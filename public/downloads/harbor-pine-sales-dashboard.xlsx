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" sheetId="2" state="visible" r:id="rId4"/>
    <sheet name="Marketing" sheetId="3" state="visible" r:id="rId5"/>
    <sheet name="Calc" sheetId="4" state="visible" r:id="rId6"/>
    <sheet name="Lists" sheetId="5" state="visible" r:id="rId7"/>
    <sheet name="How to use" sheetId="6" state="visible" r:id="rId8"/>
  </sheets>
  <definedNames>
    <definedName function="false" hidden="false" localSheetId="0" name="_xlnm.Print_Area" vbProcedure="false">Dashboard!$A$1:$S$55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8" authorId="0">
      <text>
        <r>
          <rPr>
            <sz val="10"/>
            <rFont val="Arial"/>
            <family val="2"/>
          </rPr>
          <t xml:space="preserve">ROAS = net revenue ÷ ad spend for the chosen channel(s). Region and category filters do not apply, because ad spend is tracked per channel.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month × region × channel × category (a typical monthly export from Shopify/Amazon/POS). Blue = typed values, black = formulas.</t>
        </r>
      </text>
    </comment>
  </commentList>
</comments>
</file>

<file path=xl/sharedStrings.xml><?xml version="1.0" encoding="utf-8"?>
<sst xmlns="http://schemas.openxmlformats.org/spreadsheetml/2006/main" count="5542" uniqueCount="80">
  <si>
    <t xml:space="preserve">Harbor &amp; Pine Outdoor Co. — Sales &amp; Profit Dashboard</t>
  </si>
  <si>
    <t xml:space="preserve">Built by Md Muntasir Mamun Mojumder</t>
  </si>
  <si>
    <t xml:space="preserve">Year ▸</t>
  </si>
  <si>
    <t xml:space="preserve">Region ▸</t>
  </si>
  <si>
    <t xml:space="preserve">All regions</t>
  </si>
  <si>
    <t xml:space="preserve">Channel ▸</t>
  </si>
  <si>
    <t xml:space="preserve">All channels</t>
  </si>
  <si>
    <t xml:space="preserve">Category ▸</t>
  </si>
  <si>
    <t xml:space="preserve">All categories</t>
  </si>
  <si>
    <t xml:space="preserve">◂ Pick filters: everything updates</t>
  </si>
  <si>
    <t xml:space="preserve">Net revenue</t>
  </si>
  <si>
    <t xml:space="preserve">Gross profit</t>
  </si>
  <si>
    <t xml:space="preserve">Gross margin</t>
  </si>
  <si>
    <t xml:space="preserve">Orders</t>
  </si>
  <si>
    <t xml:space="preserve">Return rate</t>
  </si>
  <si>
    <t xml:space="preserve">Marketing ROAS</t>
  </si>
  <si>
    <t xml:space="preserve">Category performance (year to date · region &amp; channel filters apply)</t>
  </si>
  <si>
    <t xml:space="preserve">Category</t>
  </si>
  <si>
    <t xml:space="preserve">Prior year</t>
  </si>
  <si>
    <t xml:space="preserve">YoY change</t>
  </si>
  <si>
    <t xml:space="preserve">Total</t>
  </si>
  <si>
    <t xml:space="preserve">Net revenue = gross revenue − returns. Gross margin = gross profit ÷ net revenue. Return rates of 8% or more are highlighted. 2026 runs to October, so it is compared with Jan–Oct 2025.</t>
  </si>
  <si>
    <t xml:space="preserve">Month</t>
  </si>
  <si>
    <t xml:space="preserve">Year</t>
  </si>
  <si>
    <t xml:space="preserve">Month #</t>
  </si>
  <si>
    <t xml:space="preserve">Month name</t>
  </si>
  <si>
    <t xml:space="preserve">Region</t>
  </si>
  <si>
    <t xml:space="preserve">Channel</t>
  </si>
  <si>
    <t xml:space="preserve">Units</t>
  </si>
  <si>
    <t xml:space="preserve">Gross revenue ($)</t>
  </si>
  <si>
    <t xml:space="preserve">Returns ($)</t>
  </si>
  <si>
    <t xml:space="preserve">Net revenue ($)</t>
  </si>
  <si>
    <t xml:space="preserve">COGS ($)</t>
  </si>
  <si>
    <t xml:space="preserve">Gross profit ($)</t>
  </si>
  <si>
    <t xml:space="preserve">Jan</t>
  </si>
  <si>
    <t xml:space="preserve">West</t>
  </si>
  <si>
    <t xml:space="preserve">Online store</t>
  </si>
  <si>
    <t xml:space="preserve">Tents &amp; Shelter</t>
  </si>
  <si>
    <t xml:space="preserve">Backpacks</t>
  </si>
  <si>
    <t xml:space="preserve">Apparel</t>
  </si>
  <si>
    <t xml:space="preserve">Footwear</t>
  </si>
  <si>
    <t xml:space="preserve">Camp Kitchen</t>
  </si>
  <si>
    <t xml:space="preserve">Amazon</t>
  </si>
  <si>
    <t xml:space="preserve">Retail store</t>
  </si>
  <si>
    <t xml:space="preserve">South</t>
  </si>
  <si>
    <t xml:space="preserve">Northeast</t>
  </si>
  <si>
    <t xml:space="preserve">Midwest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</si>
  <si>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</si>
  <si>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</si>
  <si>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</si>
  <si>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</si>
  <si>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</si>
  <si>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</si>
  <si>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</si>
  <si>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</si>
  <si>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</si>
  <si>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</si>
  <si>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</si>
  <si>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Ad spend ($)</t>
  </si>
  <si>
    <t xml:space="preserve">Helper calculations for the dashboard (do not edit). Filters come from the Dashboard dropdowns.</t>
  </si>
  <si>
    <t xml:space="preserve">Region filter</t>
  </si>
  <si>
    <t xml:space="preserve">Channel filter</t>
  </si>
  <si>
    <t xml:space="preserve">Category filter</t>
  </si>
  <si>
    <t xml:space="preserve">Last month with data</t>
  </si>
  <si>
    <t xml:space="preserve">Prior year has data?</t>
  </si>
  <si>
    <t xml:space="preserve">Period label</t>
  </si>
  <si>
    <t xml:space="preserve">KPI (year to date)</t>
  </si>
  <si>
    <t xml:space="preserve">Selected year</t>
  </si>
  <si>
    <t xml:space="preserve">Same months, prior year</t>
  </si>
  <si>
    <t xml:space="preserve">Average order value</t>
  </si>
  <si>
    <t xml:space="preserve">Ad spend</t>
  </si>
  <si>
    <t xml:space="preserve">ROAS</t>
  </si>
  <si>
    <t xml:space="preserve">How to use this dashboard</t>
  </si>
  <si>
    <t xml:space="preserve">1. On the Dashboard sheet, choose a Year, Region, Channel and Category from the blue dropdowns. Every KPI, chart and table updates.</t>
  </si>
  <si>
    <t xml:space="preserve">2. Each month, paste the new monthly export at the bottom of the Sales sheet (one row per month × region × channel × category) and the ad spend per channel in the Marketing sheet. Both are Excel tables, so formulas extend automatically.</t>
  </si>
  <si>
    <t xml:space="preserve">3. KPIs are year to date and compared with the same months of the previous year, so a part year is never compared with a full year.</t>
  </si>
  <si>
    <t xml:space="preserve">4. The Calc sheet holds the helper formulas behind the charts — no need to edit it.</t>
  </si>
  <si>
    <t xml:space="preserve">Definitions: Net revenue = gross revenue − returns · Gross profit = net revenue − cost of goods sold · Gross margin = gross profit ÷ net revenue · Return rate = returns ÷ gross revenue · ROAS = net revenue ÷ ad spend.</t>
  </si>
  <si>
    <t xml:space="preserve">Colour key: blue dropdowns = choose from a list · blue numbers on data sheets = values you type · black = formulas.</t>
  </si>
  <si>
    <t xml:space="preserve">Harbor &amp; Pine Outdoor Co. is a fictional company; all figures are demo data. Works in Excel 2010 or later, Excel for the web and LibreOffice. No macros.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</si>
</sst>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#,##0"/>
    <numFmt numFmtId="168" formatCode="0.0\x"/>
    <numFmt numFmtId="169" formatCode="\+0.0%;\-0.0%;0.0%"/>
    <numFmt numFmtId="170" formatCode="0\x"/>
    <numFmt numFmtId="171" formatCode="mmm\ yyyy"/>
    <numFmt numFmtId="172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DBEAFE"/>
      <name val="Arial"/>
      <family val="0"/>
      <charset val="1"/>
    </font>
    <font>
      <sz val="10"/>
      <color rgb="FFDBEAFE"/>
      <name val="Arial"/>
      <family val="0"/>
      <charset val="1"/>
    </font>
    <font>
      <b val="true"/>
      <sz val="10"/>
      <color rgb="FFCBD5E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CBD5E1"/>
      <name val="Arial"/>
      <family val="0"/>
      <charset val="1"/>
    </font>
    <font>
      <b val="true"/>
      <sz val="20"/>
      <color rgb="FFF1F5F9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1"/>
      <color rgb="FFF1F5F9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sz val="10"/>
      <color rgb="FFF1F5F9"/>
      <name val="Arial"/>
      <family val="0"/>
      <charset val="1"/>
    </font>
    <font>
      <sz val="10"/>
      <name val="Arial"/>
      <family val="2"/>
    </font>
    <font>
      <b val="true"/>
      <sz val="11"/>
      <color rgb="FFCBD5E1"/>
      <name val="Arial"/>
      <family val="2"/>
    </font>
    <font>
      <sz val="8"/>
      <color rgb="FFCBD5E1"/>
      <name val="Arial"/>
      <family val="2"/>
    </font>
    <font>
      <b val="true"/>
      <sz val="8"/>
      <color rgb="FFFFFFFF"/>
      <name val="Arial"/>
      <family val="2"/>
    </font>
    <font>
      <b val="true"/>
      <sz val="8"/>
      <color rgb="FFF1F5F9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sz val="11"/>
      <color rgb="FF0F172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120"/>
        <bgColor rgb="FF0F172A"/>
      </patternFill>
    </fill>
    <fill>
      <patternFill patternType="solid">
        <fgColor rgb="FF1A6CAD"/>
        <bgColor rgb="FF2563EB"/>
      </patternFill>
    </fill>
    <fill>
      <patternFill patternType="solid">
        <fgColor rgb="FF1E293B"/>
        <bgColor rgb="FF263043"/>
      </patternFill>
    </fill>
    <fill>
      <patternFill patternType="solid">
        <fgColor rgb="FF151C2C"/>
        <bgColor rgb="FF0F172A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  <border diagonalUp="false" diagonalDown="false">
      <left style="thin">
        <color rgb="FF263043"/>
      </left>
      <right style="thin">
        <color rgb="FF263043"/>
      </right>
      <top style="thick">
        <color rgb="FF3987E5"/>
      </top>
      <bottom/>
      <diagonal/>
    </border>
    <border diagonalUp="false" diagonalDown="false">
      <left style="thin">
        <color rgb="FF263043"/>
      </left>
      <right style="thin">
        <color rgb="FF263043"/>
      </right>
      <top style="thick">
        <color rgb="FF199E70"/>
      </top>
      <bottom/>
      <diagonal/>
    </border>
    <border diagonalUp="false" diagonalDown="false">
      <left style="thin">
        <color rgb="FF263043"/>
      </left>
      <right style="thin">
        <color rgb="FF263043"/>
      </right>
      <top style="thick">
        <color rgb="FF9085E9"/>
      </top>
      <bottom/>
      <diagonal/>
    </border>
    <border diagonalUp="false" diagonalDown="false">
      <left style="thin">
        <color rgb="FF263043"/>
      </left>
      <right style="thin">
        <color rgb="FF263043"/>
      </right>
      <top style="thick">
        <color rgb="FFD95926"/>
      </top>
      <bottom/>
      <diagonal/>
    </border>
    <border diagonalUp="false" diagonalDown="false">
      <left style="thin">
        <color rgb="FF263043"/>
      </left>
      <right style="thin">
        <color rgb="FF263043"/>
      </right>
      <top style="thick">
        <color rgb="FFF87171"/>
      </top>
      <bottom/>
      <diagonal/>
    </border>
    <border diagonalUp="false" diagonalDown="false">
      <left style="thin">
        <color rgb="FF263043"/>
      </left>
      <right style="thin">
        <color rgb="FF263043"/>
      </right>
      <top style="thick">
        <color rgb="FFC98500"/>
      </top>
      <bottom/>
      <diagonal/>
    </border>
    <border diagonalUp="false" diagonalDown="false">
      <left style="thin">
        <color rgb="FF263043"/>
      </left>
      <right style="thin">
        <color rgb="FF263043"/>
      </right>
      <top/>
      <bottom/>
      <diagonal/>
    </border>
    <border diagonalUp="false" diagonalDown="false">
      <left style="thin">
        <color rgb="FF263043"/>
      </left>
      <right/>
      <top/>
      <bottom style="thin">
        <color rgb="FF263043"/>
      </bottom>
      <diagonal/>
    </border>
    <border diagonalUp="false" diagonalDown="false">
      <left/>
      <right style="thin">
        <color rgb="FF263043"/>
      </right>
      <top/>
      <bottom style="thin">
        <color rgb="FF263043"/>
      </bottom>
      <diagonal/>
    </border>
    <border diagonalUp="false" diagonalDown="false">
      <left style="thin">
        <color rgb="FF263043"/>
      </left>
      <right/>
      <top style="thin">
        <color rgb="FF263043"/>
      </top>
      <bottom/>
      <diagonal/>
    </border>
    <border diagonalUp="false" diagonalDown="false">
      <left/>
      <right/>
      <top style="thin">
        <color rgb="FF263043"/>
      </top>
      <bottom/>
      <diagonal/>
    </border>
    <border diagonalUp="false" diagonalDown="false">
      <left/>
      <right style="thin">
        <color rgb="FF263043"/>
      </right>
      <top style="thin">
        <color rgb="FF263043"/>
      </top>
      <bottom/>
      <diagonal/>
    </border>
    <border diagonalUp="false" diagonalDown="false">
      <left style="thin">
        <color rgb="FF263043"/>
      </left>
      <right/>
      <top/>
      <bottom/>
      <diagonal/>
    </border>
    <border diagonalUp="false" diagonalDown="false">
      <left/>
      <right style="thin">
        <color rgb="FF263043"/>
      </right>
      <top/>
      <bottom/>
      <diagonal/>
    </border>
    <border diagonalUp="false" diagonalDown="false">
      <left/>
      <right/>
      <top style="thin">
        <color rgb="FF94A3B8"/>
      </top>
      <bottom style="thin">
        <color rgb="FF263043"/>
      </bottom>
      <diagonal/>
    </border>
    <border diagonalUp="false" diagonalDown="false">
      <left/>
      <right/>
      <top/>
      <bottom style="thin">
        <color rgb="FF26304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6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5" borderId="7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8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4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5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5" fillId="5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5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5" borderId="1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4" fillId="5" borderId="1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4" fillId="5" borderId="1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22C55E"/>
        <sz val="9"/>
      </font>
    </dxf>
    <dxf>
      <font>
        <name val="Arial"/>
        <charset val="1"/>
        <family val="0"/>
        <b val="1"/>
        <color rgb="FFF87171"/>
        <sz val="9"/>
      </font>
    </dxf>
    <dxf>
      <font>
        <name val="Arial"/>
        <charset val="1"/>
        <family val="0"/>
        <b val="1"/>
        <color rgb="FF22C55E"/>
      </font>
    </dxf>
    <dxf>
      <font>
        <name val="Arial"/>
        <charset val="1"/>
        <family val="0"/>
        <b val="1"/>
        <color rgb="FFF87171"/>
      </font>
    </dxf>
    <dxf>
      <font>
        <name val="Arial"/>
        <charset val="1"/>
        <family val="0"/>
        <b val="1"/>
        <color rgb="FFFBBF24"/>
      </font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120"/>
      <rgbColor rgb="FF808000"/>
      <rgbColor rgb="FF800080"/>
      <rgbColor rgb="FF3987E5"/>
      <rgbColor rgb="FFC0C0C0"/>
      <rgbColor rgb="FF4F81BD"/>
      <rgbColor rgb="FF9085E9"/>
      <rgbColor rgb="FF993366"/>
      <rgbColor rgb="FFF1F5F9"/>
      <rgbColor rgb="FFDBEAFE"/>
      <rgbColor rgb="FF660066"/>
      <rgbColor rgb="FFF87171"/>
      <rgbColor rgb="FF1A6CAD"/>
      <rgbColor rgb="FFCBD5E1"/>
      <rgbColor rgb="FF000080"/>
      <rgbColor rgb="FFFF00FF"/>
      <rgbColor rgb="FFFFFF00"/>
      <rgbColor rgb="FF00FFFF"/>
      <rgbColor rgb="FF800080"/>
      <rgbColor rgb="FF800000"/>
      <rgbColor rgb="FF3B82F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22C55E"/>
      <rgbColor rgb="FF99CC00"/>
      <rgbColor rgb="FFFBBF24"/>
      <rgbColor rgb="FFC98500"/>
      <rgbColor rgb="FFD95926"/>
      <rgbColor rgb="FF64748B"/>
      <rgbColor rgb="FF94A3B8"/>
      <rgbColor rgb="FF1E293B"/>
      <rgbColor rgb="FF199E70"/>
      <rgbColor rgb="FF151C2C"/>
      <rgbColor rgb="FF0F172A"/>
      <rgbColor rgb="FF993300"/>
      <rgbColor rgb="FF993366"/>
      <rgbColor rgb="FF333399"/>
      <rgbColor rgb="FF263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cbd5e1"/>
                </a:solidFill>
                <a:latin typeface="Arial"/>
              </a:defRPr>
            </a:pPr>
            <a:r>
              <a:rPr b="1" sz="1100" spc="-1" strike="noStrike">
                <a:solidFill>
                  <a:srgbClr val="cbd5e1"/>
                </a:solidFill>
                <a:latin typeface="Arial"/>
              </a:rPr>
              <a:t>Net revenue by month · selected year vs prior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Calc!C22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3987e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Calc!$C$23:$C$34</c:f>
              <c:numCache>
                <c:formatCode>#,##0</c:formatCode>
                <c:ptCount val="12"/>
                <c:pt idx="0">
                  <c:v>262085</c:v>
                </c:pt>
                <c:pt idx="1">
                  <c:v>286475</c:v>
                </c:pt>
                <c:pt idx="2">
                  <c:v>365274</c:v>
                </c:pt>
                <c:pt idx="3">
                  <c:v>423467</c:v>
                </c:pt>
                <c:pt idx="4">
                  <c:v>519017</c:v>
                </c:pt>
                <c:pt idx="5">
                  <c:v>591489</c:v>
                </c:pt>
                <c:pt idx="6">
                  <c:v>596812</c:v>
                </c:pt>
                <c:pt idx="7">
                  <c:v>547935</c:v>
                </c:pt>
                <c:pt idx="8">
                  <c:v>440920</c:v>
                </c:pt>
                <c:pt idx="9">
                  <c:v>383145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Calc!D22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4748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Calc!$D$23:$D$34</c:f>
              <c:numCache>
                <c:formatCode>#,##0</c:formatCode>
                <c:ptCount val="12"/>
                <c:pt idx="0">
                  <c:v>231322</c:v>
                </c:pt>
                <c:pt idx="1">
                  <c:v>242525</c:v>
                </c:pt>
                <c:pt idx="2">
                  <c:v>313167</c:v>
                </c:pt>
                <c:pt idx="3">
                  <c:v>369220</c:v>
                </c:pt>
                <c:pt idx="4">
                  <c:v>444968</c:v>
                </c:pt>
                <c:pt idx="5">
                  <c:v>494774</c:v>
                </c:pt>
                <c:pt idx="6">
                  <c:v>524284</c:v>
                </c:pt>
                <c:pt idx="7">
                  <c:v>473279</c:v>
                </c:pt>
                <c:pt idx="8">
                  <c:v>376845</c:v>
                </c:pt>
                <c:pt idx="9">
                  <c:v>330295</c:v>
                </c:pt>
                <c:pt idx="10">
                  <c:v>422876</c:v>
                </c:pt>
                <c:pt idx="11">
                  <c:v>544925</c:v>
                </c:pt>
              </c:numCache>
            </c:numRef>
          </c:val>
        </c:ser>
        <c:gapWidth val="60"/>
        <c:overlap val="-10"/>
        <c:axId val="49493261"/>
        <c:axId val="69186612"/>
      </c:barChart>
      <c:catAx>
        <c:axId val="494932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69186612"/>
        <c:crosses val="autoZero"/>
        <c:auto val="1"/>
        <c:lblAlgn val="ctr"/>
        <c:lblOffset val="100"/>
        <c:noMultiLvlLbl val="0"/>
      </c:catAx>
      <c:valAx>
        <c:axId val="69186612"/>
        <c:scaling>
          <c:orientation val="minMax"/>
        </c:scaling>
        <c:delete val="0"/>
        <c:axPos val="l"/>
        <c:majorGridlines>
          <c:spPr>
            <a:ln w="9360">
              <a:solidFill>
                <a:srgbClr val="263043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4949326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51c2c"/>
    </a:solidFill>
    <a:ln w="9360">
      <a:solidFill>
        <a:srgbClr val="263043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cbd5e1"/>
                </a:solidFill>
                <a:latin typeface="Arial"/>
              </a:defRPr>
            </a:pPr>
            <a:r>
              <a:rPr b="1" sz="1100" spc="-1" strike="noStrike">
                <a:solidFill>
                  <a:srgbClr val="cbd5e1"/>
                </a:solidFill>
                <a:latin typeface="Arial"/>
              </a:rPr>
              <a:t>Net 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Calc!J22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987e5"/>
              </a:solidFill>
              <a:ln w="0">
                <a:solidFill>
                  <a:srgbClr val="151c2c"/>
                </a:solidFill>
              </a:ln>
            </c:spPr>
          </c:dPt>
          <c:dPt>
            <c:idx val="1"/>
            <c:spPr>
              <a:solidFill>
                <a:srgbClr val="d95926"/>
              </a:solidFill>
              <a:ln w="0">
                <a:solidFill>
                  <a:srgbClr val="151c2c"/>
                </a:solidFill>
              </a:ln>
            </c:spPr>
          </c:dPt>
          <c:dPt>
            <c:idx val="2"/>
            <c:spPr>
              <a:solidFill>
                <a:srgbClr val="199e70"/>
              </a:solidFill>
              <a:ln w="0">
                <a:solidFill>
                  <a:srgbClr val="151c2c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Calc!$I$23:$I$25</c:f>
              <c:strCache>
                <c:ptCount val="3"/>
                <c:pt idx="0">
                  <c:v>Online store</c:v>
                </c:pt>
                <c:pt idx="1">
                  <c:v>Amazon</c:v>
                </c:pt>
                <c:pt idx="2">
                  <c:v>Retail store</c:v>
                </c:pt>
              </c:strCache>
            </c:strRef>
          </c:cat>
          <c:val>
            <c:numRef>
              <c:f>Calc!$J$23:$J$25</c:f>
              <c:numCache>
                <c:formatCode>#,##0</c:formatCode>
                <c:ptCount val="3"/>
                <c:pt idx="0">
                  <c:v>2045447</c:v>
                </c:pt>
                <c:pt idx="1">
                  <c:v>1377367</c:v>
                </c:pt>
                <c:pt idx="2">
                  <c:v>993805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51c2c"/>
    </a:solidFill>
    <a:ln w="9360">
      <a:solidFill>
        <a:srgbClr val="263043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cbd5e1"/>
                </a:solidFill>
                <a:latin typeface="Arial"/>
              </a:defRPr>
            </a:pPr>
            <a:r>
              <a:rPr b="1" sz="1100" spc="-1" strike="noStrike">
                <a:solidFill>
                  <a:srgbClr val="cbd5e1"/>
                </a:solidFill>
                <a:latin typeface="Arial"/>
              </a:rPr>
              <a:t>Net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Calc!M22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199e7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Calc!$L$23:$L$26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Northeast</c:v>
                </c:pt>
                <c:pt idx="3">
                  <c:v>Midwest</c:v>
                </c:pt>
              </c:strCache>
            </c:strRef>
          </c:cat>
          <c:val>
            <c:numRef>
              <c:f>Calc!$M$23:$M$26</c:f>
              <c:numCache>
                <c:formatCode>#,##0</c:formatCode>
                <c:ptCount val="4"/>
                <c:pt idx="0">
                  <c:v>1502212</c:v>
                </c:pt>
                <c:pt idx="1">
                  <c:v>1201313</c:v>
                </c:pt>
                <c:pt idx="2">
                  <c:v>871395</c:v>
                </c:pt>
                <c:pt idx="3">
                  <c:v>841699</c:v>
                </c:pt>
              </c:numCache>
            </c:numRef>
          </c:val>
        </c:ser>
        <c:gapWidth val="60"/>
        <c:overlap val="0"/>
        <c:axId val="78254078"/>
        <c:axId val="70183752"/>
      </c:barChart>
      <c:catAx>
        <c:axId val="78254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70183752"/>
        <c:crosses val="autoZero"/>
        <c:auto val="1"/>
        <c:lblAlgn val="ctr"/>
        <c:lblOffset val="100"/>
        <c:noMultiLvlLbl val="0"/>
      </c:catAx>
      <c:valAx>
        <c:axId val="70183752"/>
        <c:scaling>
          <c:orientation val="minMax"/>
        </c:scaling>
        <c:delete val="0"/>
        <c:axPos val="l"/>
        <c:majorGridlines>
          <c:spPr>
            <a:ln w="9360">
              <a:solidFill>
                <a:srgbClr val="263043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78254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51c2c"/>
    </a:solidFill>
    <a:ln w="9360">
      <a:solidFill>
        <a:srgbClr val="263043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cbd5e1"/>
                </a:solidFill>
                <a:latin typeface="Arial"/>
              </a:defRPr>
            </a:pPr>
            <a:r>
              <a:rPr b="1" sz="1100" spc="-1" strike="noStrike">
                <a:solidFill>
                  <a:srgbClr val="cbd5e1"/>
                </a:solidFill>
                <a:latin typeface="Arial"/>
              </a:rPr>
              <a:t>Gross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Calc!F37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9085e9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Calc!$B$38:$B$42</c:f>
              <c:strCache>
                <c:ptCount val="5"/>
                <c:pt idx="0">
                  <c:v>Tents &amp; Shelter</c:v>
                </c:pt>
                <c:pt idx="1">
                  <c:v>Backpacks</c:v>
                </c:pt>
                <c:pt idx="2">
                  <c:v>Apparel</c:v>
                </c:pt>
                <c:pt idx="3">
                  <c:v>Footwear</c:v>
                </c:pt>
                <c:pt idx="4">
                  <c:v>Camp Kitchen</c:v>
                </c:pt>
              </c:strCache>
            </c:strRef>
          </c:cat>
          <c:val>
            <c:numRef>
              <c:f>Calc!$F$38:$F$42</c:f>
              <c:numCache>
                <c:formatCode>0.0%</c:formatCode>
                <c:ptCount val="5"/>
                <c:pt idx="0">
                  <c:v>0.465049820306862</c:v>
                </c:pt>
                <c:pt idx="1">
                  <c:v>0.542646143027202</c:v>
                </c:pt>
                <c:pt idx="2">
                  <c:v>0.601765270275233</c:v>
                </c:pt>
                <c:pt idx="3">
                  <c:v>0.444059091959645</c:v>
                </c:pt>
                <c:pt idx="4">
                  <c:v>0.512705437284748</c:v>
                </c:pt>
              </c:numCache>
            </c:numRef>
          </c:val>
        </c:ser>
        <c:gapWidth val="50"/>
        <c:overlap val="0"/>
        <c:axId val="35135382"/>
        <c:axId val="5933646"/>
      </c:barChart>
      <c:catAx>
        <c:axId val="351353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5933646"/>
        <c:crosses val="autoZero"/>
        <c:auto val="1"/>
        <c:lblAlgn val="ctr"/>
        <c:lblOffset val="100"/>
        <c:noMultiLvlLbl val="0"/>
      </c:catAx>
      <c:valAx>
        <c:axId val="593364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3513538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51c2c"/>
    </a:solidFill>
    <a:ln w="9360">
      <a:solidFill>
        <a:srgbClr val="263043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cbd5e1"/>
                </a:solidFill>
                <a:latin typeface="Arial"/>
              </a:defRPr>
            </a:pPr>
            <a:r>
              <a:rPr b="1" sz="1100" spc="-1" strike="noStrike">
                <a:solidFill>
                  <a:srgbClr val="cbd5e1"/>
                </a:solidFill>
                <a:latin typeface="Arial"/>
              </a:rPr>
              <a:t>Marketing ROAS by month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Calc!F22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c985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Calc!$F$23:$F$34</c:f>
              <c:numCache>
                <c:formatCode>0.0\x</c:formatCode>
                <c:ptCount val="12"/>
                <c:pt idx="0">
                  <c:v>6.3391302244582</c:v>
                </c:pt>
                <c:pt idx="1">
                  <c:v>6.19177815721789</c:v>
                </c:pt>
                <c:pt idx="2">
                  <c:v>6.48972195078618</c:v>
                </c:pt>
                <c:pt idx="3">
                  <c:v>6.6861451014447</c:v>
                </c:pt>
                <c:pt idx="4">
                  <c:v>6.033818503104</c:v>
                </c:pt>
                <c:pt idx="5">
                  <c:v>6.11111799894616</c:v>
                </c:pt>
                <c:pt idx="6">
                  <c:v>6.77948927662668</c:v>
                </c:pt>
                <c:pt idx="7">
                  <c:v>6.33582710853126</c:v>
                </c:pt>
                <c:pt idx="8">
                  <c:v>6.41646171980733</c:v>
                </c:pt>
                <c:pt idx="9">
                  <c:v>6.19524617996604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3992665"/>
        <c:axId val="35754522"/>
      </c:barChart>
      <c:catAx>
        <c:axId val="3992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35754522"/>
        <c:crosses val="autoZero"/>
        <c:auto val="1"/>
        <c:lblAlgn val="ctr"/>
        <c:lblOffset val="100"/>
        <c:noMultiLvlLbl val="0"/>
      </c:catAx>
      <c:valAx>
        <c:axId val="35754522"/>
        <c:scaling>
          <c:orientation val="minMax"/>
        </c:scaling>
        <c:delete val="0"/>
        <c:axPos val="l"/>
        <c:majorGridlines>
          <c:spPr>
            <a:ln w="9360">
              <a:solidFill>
                <a:srgbClr val="263043"/>
              </a:solidFill>
              <a:round/>
            </a:ln>
          </c:spPr>
        </c:majorGridlines>
        <c:numFmt formatCode="0\x" sourceLinked="0"/>
        <c:majorTickMark val="none"/>
        <c:minorTickMark val="none"/>
        <c:tickLblPos val="nextTo"/>
        <c:spPr>
          <a:ln w="9360">
            <a:solidFill>
              <a:srgbClr val="26304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cbd5e1"/>
                </a:solidFill>
                <a:latin typeface="Arial"/>
              </a:defRPr>
            </a:pPr>
          </a:p>
        </c:txPr>
        <c:crossAx val="3992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51c2c"/>
    </a:solidFill>
    <a:ln w="9360">
      <a:solidFill>
        <a:srgbClr val="263043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12</xdr:col>
      <xdr:colOff>103320</xdr:colOff>
      <xdr:row>26</xdr:row>
      <xdr:rowOff>183240</xdr:rowOff>
    </xdr:to>
    <xdr:graphicFrame>
      <xdr:nvGraphicFramePr>
        <xdr:cNvPr id="0" name="Chart 1"/>
        <xdr:cNvGraphicFramePr/>
      </xdr:nvGraphicFramePr>
      <xdr:xfrm>
        <a:off x="141120" y="3191040"/>
        <a:ext cx="7856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18</xdr:col>
      <xdr:colOff>31320</xdr:colOff>
      <xdr:row>26</xdr:row>
      <xdr:rowOff>183240</xdr:rowOff>
    </xdr:to>
    <xdr:graphicFrame>
      <xdr:nvGraphicFramePr>
        <xdr:cNvPr id="1" name="Chart 2"/>
        <xdr:cNvGraphicFramePr/>
      </xdr:nvGraphicFramePr>
      <xdr:xfrm>
        <a:off x="8035200" y="3191040"/>
        <a:ext cx="383760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31680</xdr:colOff>
      <xdr:row>42</xdr:row>
      <xdr:rowOff>39240</xdr:rowOff>
    </xdr:to>
    <xdr:graphicFrame>
      <xdr:nvGraphicFramePr>
        <xdr:cNvPr id="2" name="Chart 3"/>
        <xdr:cNvGraphicFramePr/>
      </xdr:nvGraphicFramePr>
      <xdr:xfrm>
        <a:off x="141120" y="6848640"/>
        <a:ext cx="38376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31320</xdr:colOff>
      <xdr:row>42</xdr:row>
      <xdr:rowOff>39240</xdr:rowOff>
    </xdr:to>
    <xdr:graphicFrame>
      <xdr:nvGraphicFramePr>
        <xdr:cNvPr id="3" name="Chart 4"/>
        <xdr:cNvGraphicFramePr/>
      </xdr:nvGraphicFramePr>
      <xdr:xfrm>
        <a:off x="4088160" y="6848640"/>
        <a:ext cx="38376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28</xdr:row>
      <xdr:rowOff>0</xdr:rowOff>
    </xdr:from>
    <xdr:to>
      <xdr:col>18</xdr:col>
      <xdr:colOff>31320</xdr:colOff>
      <xdr:row>42</xdr:row>
      <xdr:rowOff>39240</xdr:rowOff>
    </xdr:to>
    <xdr:graphicFrame>
      <xdr:nvGraphicFramePr>
        <xdr:cNvPr id="4" name="Chart 5"/>
        <xdr:cNvGraphicFramePr/>
      </xdr:nvGraphicFramePr>
      <xdr:xfrm>
        <a:off x="8035200" y="6848640"/>
        <a:ext cx="38376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arketingData" displayName="MarketingData" ref="A1:F67" headerRowCount="1" totalsRowCount="0" totalsRowShown="0">
  <autoFilter ref="A1:F67"/>
  <tableColumns count="6">
    <tableColumn id="1" name="Month"/>
    <tableColumn id="2" name="Year"/>
    <tableColumn id="3" name="Month #"/>
    <tableColumn id="4" name="Month name"/>
    <tableColumn id="5" name="Channel"/>
    <tableColumn id="6" name="Ad spend ($)"/>
  </tableColumns>
</table>
</file>

<file path=xl/tables/table2.xml><?xml version="1.0" encoding="utf-8"?>
<table xmlns="http://schemas.openxmlformats.org/spreadsheetml/2006/main" id="2" name="SalesData" displayName="SalesData" ref="A1:N1321" headerRowCount="1" totalsRowCount="0" totalsRowShown="0">
  <autoFilter ref="A1:N1321"/>
  <tableColumns count="14">
    <tableColumn id="1" name="Month"/>
    <tableColumn id="2" name="Year"/>
    <tableColumn id="3" name="Month #"/>
    <tableColumn id="4" name="Month name"/>
    <tableColumn id="5" name="Region"/>
    <tableColumn id="6" name="Channel"/>
    <tableColumn id="7" name="Category"/>
    <tableColumn id="8" name="Orders"/>
    <tableColumn id="9" name="Units"/>
    <tableColumn id="10" name="Gross revenue ($)"/>
    <tableColumn id="11" name="Returns ($)"/>
    <tableColumn id="12" name="Net revenue ($)"/>
    <tableColumn id="13" name="COGS ($)"/>
    <tableColumn id="14" name="Gross profit 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true"/>
  </sheetPr>
  <dimension ref="A1:S6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3"/>
    <col collapsed="false" customWidth="true" hidden="false" outlineLevel="0" max="4" min="4" style="0" width="2"/>
    <col collapsed="false" customWidth="true" hidden="false" outlineLevel="0" max="6" min="5" style="0" width="13"/>
    <col collapsed="false" customWidth="true" hidden="false" outlineLevel="0" max="7" min="7" style="0" width="2"/>
    <col collapsed="false" customWidth="true" hidden="false" outlineLevel="0" max="9" min="8" style="0" width="13"/>
    <col collapsed="false" customWidth="true" hidden="false" outlineLevel="0" max="10" min="10" style="0" width="2"/>
    <col collapsed="false" customWidth="true" hidden="false" outlineLevel="0" max="12" min="11" style="0" width="13"/>
    <col collapsed="false" customWidth="true" hidden="false" outlineLevel="0" max="13" min="13" style="0" width="2"/>
    <col collapsed="false" customWidth="true" hidden="false" outlineLevel="0" max="15" min="14" style="0" width="13"/>
    <col collapsed="false" customWidth="true" hidden="false" outlineLevel="0" max="16" min="16" style="0" width="2"/>
    <col collapsed="false" customWidth="true" hidden="false" outlineLevel="0" max="18" min="17" style="0" width="13"/>
    <col collapsed="false" customWidth="true" hidden="false" outlineLevel="0" max="19" min="19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  <c r="O2" s="4"/>
      <c r="P2" s="4"/>
      <c r="Q2" s="4"/>
      <c r="R2" s="4"/>
      <c r="S2" s="1"/>
    </row>
    <row r="3" customFormat="false" ht="19.5" hidden="false" customHeight="true" outlineLevel="0" collapsed="false">
      <c r="A3" s="1"/>
      <c r="B3" s="5" t="str">
        <f aca="false">"Year to date: "&amp;Calc!$C$9&amp;"  ·  US$  ·  compared with the same months a year earlier  ·  fictional demo data"</f>
        <v>Year to date: Jan–Oct 2026  ·  US$  ·  compared with the same months a year earlier  ·  fictional demo data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24" hidden="false" customHeight="true" outlineLevel="0" collapsed="false">
      <c r="A6" s="1"/>
      <c r="B6" s="6" t="s">
        <v>2</v>
      </c>
      <c r="C6" s="7" t="n">
        <v>2026</v>
      </c>
      <c r="D6" s="7"/>
      <c r="E6" s="6" t="s">
        <v>3</v>
      </c>
      <c r="F6" s="7" t="s">
        <v>4</v>
      </c>
      <c r="G6" s="7"/>
      <c r="H6" s="6" t="s">
        <v>5</v>
      </c>
      <c r="I6" s="7" t="s">
        <v>6</v>
      </c>
      <c r="J6" s="7"/>
      <c r="K6" s="6" t="s">
        <v>7</v>
      </c>
      <c r="L6" s="7" t="s">
        <v>8</v>
      </c>
      <c r="M6" s="7"/>
      <c r="N6" s="1"/>
      <c r="O6" s="8" t="s">
        <v>9</v>
      </c>
      <c r="P6" s="1"/>
      <c r="Q6" s="1"/>
      <c r="R6" s="1"/>
      <c r="S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8" hidden="false" customHeight="true" outlineLevel="0" collapsed="false">
      <c r="A8" s="1"/>
      <c r="B8" s="9" t="s">
        <v>10</v>
      </c>
      <c r="C8" s="9"/>
      <c r="D8" s="1"/>
      <c r="E8" s="10" t="s">
        <v>11</v>
      </c>
      <c r="F8" s="10"/>
      <c r="G8" s="1"/>
      <c r="H8" s="11" t="s">
        <v>12</v>
      </c>
      <c r="I8" s="11"/>
      <c r="J8" s="1"/>
      <c r="K8" s="12" t="s">
        <v>13</v>
      </c>
      <c r="L8" s="12"/>
      <c r="M8" s="1"/>
      <c r="N8" s="13" t="s">
        <v>14</v>
      </c>
      <c r="O8" s="13"/>
      <c r="P8" s="1"/>
      <c r="Q8" s="14" t="s">
        <v>15</v>
      </c>
      <c r="R8" s="14"/>
      <c r="S8" s="1"/>
    </row>
    <row r="9" customFormat="false" ht="33.75" hidden="false" customHeight="true" outlineLevel="0" collapsed="false">
      <c r="A9" s="1"/>
      <c r="B9" s="15" t="n">
        <f aca="false">Calc!C12</f>
        <v>4416619</v>
      </c>
      <c r="C9" s="15"/>
      <c r="D9" s="1"/>
      <c r="E9" s="15" t="n">
        <f aca="false">Calc!C13</f>
        <v>2283498</v>
      </c>
      <c r="F9" s="15"/>
      <c r="G9" s="1"/>
      <c r="H9" s="16" t="n">
        <f aca="false">Calc!C14</f>
        <v>0.517023995051418</v>
      </c>
      <c r="I9" s="16"/>
      <c r="J9" s="1"/>
      <c r="K9" s="17" t="n">
        <f aca="false">Calc!C15</f>
        <v>45955</v>
      </c>
      <c r="L9" s="17"/>
      <c r="M9" s="1"/>
      <c r="N9" s="16" t="n">
        <f aca="false">Calc!C17</f>
        <v>0.0731523617556852</v>
      </c>
      <c r="O9" s="16"/>
      <c r="P9" s="1"/>
      <c r="Q9" s="18" t="n">
        <f aca="false">Calc!C19</f>
        <v>6.35380527510595</v>
      </c>
      <c r="R9" s="18"/>
      <c r="S9" s="1"/>
    </row>
    <row r="10" customFormat="false" ht="18" hidden="false" customHeight="true" outlineLevel="0" collapsed="false">
      <c r="A10" s="1"/>
      <c r="B10" s="19" t="str">
        <f aca="false">IF(OR(NOT(Calc!$C$8),Calc!D12=0),"No "&amp;(Calc!$C$3-1)&amp;" data to compare",IF(ABS(Calc!C12/Calc!D12-1)&lt;0.0005,"● Same as "&amp;(Calc!$C$3-1),IF(Calc!C12&gt;=Calc!D12,"▲ ","▼ ")&amp;TEXT(ABS(Calc!C12/Calc!D12-1),"0.0%")&amp;" vs "&amp;(Calc!$C$3-1)))</f>
        <v>▲ 16.2% vs 2025</v>
      </c>
      <c r="C10" s="19"/>
      <c r="D10" s="1"/>
      <c r="E10" s="19" t="str">
        <f aca="false">IF(OR(NOT(Calc!$C$8),Calc!D13=0),"No "&amp;(Calc!$C$3-1)&amp;" data to compare",IF(ABS(Calc!C13/Calc!D13-1)&lt;0.0005,"● Same as "&amp;(Calc!$C$3-1),IF(Calc!C13&gt;=Calc!D13,"▲ ","▼ ")&amp;TEXT(ABS(Calc!C13/Calc!D13-1),"0.0%")&amp;" vs "&amp;(Calc!$C$3-1)))</f>
        <v>▲ 16.0% vs 2025</v>
      </c>
      <c r="F10" s="19"/>
      <c r="G10" s="1"/>
      <c r="H10" s="19" t="str">
        <f aca="false">IF(OR(NOT(Calc!$C$8),Calc!D14=0),"No "&amp;(Calc!$C$3-1)&amp;" data to compare",IF(ABS(Calc!C14-Calc!D14)&lt;0.0005,"● Same as "&amp;(Calc!$C$3-1),IF(Calc!C14&gt;=Calc!D14,"▲ ","▼ ")&amp;TEXT(ABS(Calc!C14-Calc!D14)*100,"0.0")&amp;" pts"&amp;" vs "&amp;(Calc!$C$3-1)))</f>
        <v>▼ 0.1 pts vs 2025</v>
      </c>
      <c r="I10" s="19"/>
      <c r="J10" s="1"/>
      <c r="K10" s="19" t="str">
        <f aca="false">IF(OR(NOT(Calc!$C$8),Calc!D15=0),"No "&amp;(Calc!$C$3-1)&amp;" data to compare",IF(ABS(Calc!C15/Calc!D15-1)&lt;0.0005,"● Same as "&amp;(Calc!$C$3-1),IF(Calc!C15&gt;=Calc!D15,"▲ ","▼ ")&amp;TEXT(ABS(Calc!C15/Calc!D15-1),"0.0%")&amp;" vs "&amp;(Calc!$C$3-1)))</f>
        <v>▲ 16.2% vs 2025</v>
      </c>
      <c r="L10" s="19"/>
      <c r="M10" s="1"/>
      <c r="N10" s="19" t="str">
        <f aca="false">IF(OR(NOT(Calc!$C$8),Calc!D17=0),"No "&amp;(Calc!$C$3-1)&amp;" data to compare",IF(ABS(Calc!C17-Calc!D17)&lt;0.0005,"● Same as "&amp;(Calc!$C$3-1),IF(Calc!C17&gt;=Calc!D17,"▲ ","▼ ")&amp;TEXT(ABS(Calc!C17-Calc!D17)*100,"0.0")&amp;" pts"&amp;" vs "&amp;(Calc!$C$3-1)))</f>
        <v>● Same as 2025</v>
      </c>
      <c r="O10" s="19"/>
      <c r="P10" s="1"/>
      <c r="Q10" s="19" t="str">
        <f aca="false">IF(OR(NOT(Calc!$C$8),Calc!D19=0),"No "&amp;(Calc!$C$3-1)&amp;" data to compare",IF(ABS(Calc!C19/Calc!D19-1)&lt;0.0005,"● Same as "&amp;(Calc!$C$3-1),IF(Calc!C19&gt;=Calc!D19,"▲ ","▼ ")&amp;TEXT(ABS(Calc!C19-Calc!D19),"0.0")&amp;"x"&amp;" vs "&amp;(Calc!$C$3-1)))</f>
        <v>▼ 0.2x vs 2025</v>
      </c>
      <c r="R10" s="19"/>
      <c r="S10" s="1"/>
    </row>
    <row r="11" customFormat="false" ht="18" hidden="false" customHeight="true" outlineLevel="0" collapsed="false">
      <c r="A11" s="1"/>
      <c r="B11" s="20"/>
      <c r="C11" s="21"/>
      <c r="D11" s="1"/>
      <c r="E11" s="20"/>
      <c r="F11" s="21"/>
      <c r="G11" s="1"/>
      <c r="H11" s="20"/>
      <c r="I11" s="21"/>
      <c r="J11" s="1"/>
      <c r="K11" s="20"/>
      <c r="L11" s="21"/>
      <c r="M11" s="1"/>
      <c r="N11" s="20"/>
      <c r="O11" s="21"/>
      <c r="P11" s="1"/>
      <c r="Q11" s="20"/>
      <c r="R11" s="21"/>
      <c r="S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8" hidden="false" customHeight="true" outlineLevel="0" collapsed="false">
      <c r="A45" s="1"/>
      <c r="B45" s="22" t="s">
        <v>16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8" hidden="false" customHeight="true" outlineLevel="0" collapsed="false">
      <c r="A46" s="1"/>
      <c r="B46" s="23" t="s">
        <v>17</v>
      </c>
      <c r="C46" s="23"/>
      <c r="D46" s="24"/>
      <c r="E46" s="25" t="s">
        <v>10</v>
      </c>
      <c r="F46" s="25"/>
      <c r="G46" s="24"/>
      <c r="H46" s="25" t="s">
        <v>18</v>
      </c>
      <c r="I46" s="25"/>
      <c r="J46" s="24"/>
      <c r="K46" s="25" t="s">
        <v>19</v>
      </c>
      <c r="L46" s="25"/>
      <c r="M46" s="24"/>
      <c r="N46" s="25" t="s">
        <v>12</v>
      </c>
      <c r="O46" s="25"/>
      <c r="P46" s="24"/>
      <c r="Q46" s="26" t="s">
        <v>14</v>
      </c>
      <c r="R46" s="26"/>
      <c r="S46" s="1"/>
    </row>
    <row r="47" customFormat="false" ht="18" hidden="false" customHeight="true" outlineLevel="0" collapsed="false">
      <c r="A47" s="1"/>
      <c r="B47" s="27" t="str">
        <f aca="false">Calc!B38</f>
        <v>Tents &amp; Shelter</v>
      </c>
      <c r="C47" s="27"/>
      <c r="D47" s="28"/>
      <c r="E47" s="29" t="n">
        <f aca="false">Calc!C38</f>
        <v>1105774</v>
      </c>
      <c r="F47" s="29"/>
      <c r="G47" s="28"/>
      <c r="H47" s="29" t="n">
        <f aca="false">Calc!D38</f>
        <v>945467</v>
      </c>
      <c r="I47" s="29"/>
      <c r="J47" s="28"/>
      <c r="K47" s="30" t="n">
        <f aca="false">Calc!E38</f>
        <v>0.169553247231262</v>
      </c>
      <c r="L47" s="30"/>
      <c r="M47" s="28"/>
      <c r="N47" s="31" t="n">
        <f aca="false">Calc!F38</f>
        <v>0.465049820306862</v>
      </c>
      <c r="O47" s="31"/>
      <c r="P47" s="28"/>
      <c r="Q47" s="32" t="n">
        <f aca="false">Calc!G38</f>
        <v>0.0411779446665678</v>
      </c>
      <c r="R47" s="32"/>
      <c r="S47" s="1"/>
    </row>
    <row r="48" customFormat="false" ht="18" hidden="false" customHeight="true" outlineLevel="0" collapsed="false">
      <c r="A48" s="1"/>
      <c r="B48" s="27" t="str">
        <f aca="false">Calc!B39</f>
        <v>Backpacks</v>
      </c>
      <c r="C48" s="27"/>
      <c r="D48" s="28"/>
      <c r="E48" s="29" t="n">
        <f aca="false">Calc!C39</f>
        <v>944212</v>
      </c>
      <c r="F48" s="29"/>
      <c r="G48" s="28"/>
      <c r="H48" s="29" t="n">
        <f aca="false">Calc!D39</f>
        <v>820493</v>
      </c>
      <c r="I48" s="29"/>
      <c r="J48" s="28"/>
      <c r="K48" s="30" t="n">
        <f aca="false">Calc!E39</f>
        <v>0.150786173678508</v>
      </c>
      <c r="L48" s="30"/>
      <c r="M48" s="28"/>
      <c r="N48" s="31" t="n">
        <f aca="false">Calc!F39</f>
        <v>0.542646143027202</v>
      </c>
      <c r="O48" s="31"/>
      <c r="P48" s="28"/>
      <c r="Q48" s="32" t="n">
        <f aca="false">Calc!G39</f>
        <v>0.0510889926918098</v>
      </c>
      <c r="R48" s="32"/>
      <c r="S48" s="1"/>
    </row>
    <row r="49" customFormat="false" ht="18" hidden="false" customHeight="true" outlineLevel="0" collapsed="false">
      <c r="A49" s="1"/>
      <c r="B49" s="27" t="str">
        <f aca="false">Calc!B40</f>
        <v>Apparel</v>
      </c>
      <c r="C49" s="27"/>
      <c r="D49" s="28"/>
      <c r="E49" s="29" t="n">
        <f aca="false">Calc!C40</f>
        <v>1062047</v>
      </c>
      <c r="F49" s="29"/>
      <c r="G49" s="28"/>
      <c r="H49" s="29" t="n">
        <f aca="false">Calc!D40</f>
        <v>915813</v>
      </c>
      <c r="I49" s="29"/>
      <c r="J49" s="28"/>
      <c r="K49" s="30" t="n">
        <f aca="false">Calc!E40</f>
        <v>0.159676702558273</v>
      </c>
      <c r="L49" s="30"/>
      <c r="M49" s="28"/>
      <c r="N49" s="31" t="n">
        <f aca="false">Calc!F40</f>
        <v>0.601765270275233</v>
      </c>
      <c r="O49" s="31"/>
      <c r="P49" s="28"/>
      <c r="Q49" s="32" t="n">
        <f aca="false">Calc!G40</f>
        <v>0.103674602705736</v>
      </c>
      <c r="R49" s="32"/>
      <c r="S49" s="1"/>
    </row>
    <row r="50" customFormat="false" ht="18" hidden="false" customHeight="true" outlineLevel="0" collapsed="false">
      <c r="A50" s="1"/>
      <c r="B50" s="27" t="str">
        <f aca="false">Calc!B41</f>
        <v>Footwear</v>
      </c>
      <c r="C50" s="27"/>
      <c r="D50" s="28"/>
      <c r="E50" s="29" t="n">
        <f aca="false">Calc!C41</f>
        <v>744196</v>
      </c>
      <c r="F50" s="29"/>
      <c r="G50" s="28"/>
      <c r="H50" s="29" t="n">
        <f aca="false">Calc!D41</f>
        <v>638906</v>
      </c>
      <c r="I50" s="29"/>
      <c r="J50" s="28"/>
      <c r="K50" s="30" t="n">
        <f aca="false">Calc!E41</f>
        <v>0.164797325428154</v>
      </c>
      <c r="L50" s="30"/>
      <c r="M50" s="28"/>
      <c r="N50" s="31" t="n">
        <f aca="false">Calc!F41</f>
        <v>0.444059091959645</v>
      </c>
      <c r="O50" s="31"/>
      <c r="P50" s="28"/>
      <c r="Q50" s="32" t="n">
        <f aca="false">Calc!G41</f>
        <v>0.12810851721415</v>
      </c>
      <c r="R50" s="32"/>
      <c r="S50" s="1"/>
    </row>
    <row r="51" customFormat="false" ht="18" hidden="false" customHeight="true" outlineLevel="0" collapsed="false">
      <c r="A51" s="1"/>
      <c r="B51" s="27" t="str">
        <f aca="false">Calc!B42</f>
        <v>Camp Kitchen</v>
      </c>
      <c r="C51" s="27"/>
      <c r="D51" s="28"/>
      <c r="E51" s="29" t="n">
        <f aca="false">Calc!C42</f>
        <v>560390</v>
      </c>
      <c r="F51" s="29"/>
      <c r="G51" s="28"/>
      <c r="H51" s="29" t="n">
        <f aca="false">Calc!D42</f>
        <v>480000</v>
      </c>
      <c r="I51" s="29"/>
      <c r="J51" s="28"/>
      <c r="K51" s="30" t="n">
        <f aca="false">Calc!E42</f>
        <v>0.167479166666667</v>
      </c>
      <c r="L51" s="30"/>
      <c r="M51" s="28"/>
      <c r="N51" s="31" t="n">
        <f aca="false">Calc!F42</f>
        <v>0.512705437284748</v>
      </c>
      <c r="O51" s="31"/>
      <c r="P51" s="28"/>
      <c r="Q51" s="32" t="n">
        <f aca="false">Calc!G42</f>
        <v>0.0312414644350018</v>
      </c>
      <c r="R51" s="32"/>
      <c r="S51" s="1"/>
    </row>
    <row r="52" customFormat="false" ht="18" hidden="false" customHeight="true" outlineLevel="0" collapsed="false">
      <c r="A52" s="1"/>
      <c r="B52" s="33" t="s">
        <v>20</v>
      </c>
      <c r="C52" s="33"/>
      <c r="D52" s="34"/>
      <c r="E52" s="35" t="n">
        <f aca="false">SUM(E47:E51)</f>
        <v>4416619</v>
      </c>
      <c r="F52" s="35"/>
      <c r="G52" s="34"/>
      <c r="H52" s="35" t="n">
        <f aca="false">SUM(H47:H51)</f>
        <v>3800679</v>
      </c>
      <c r="I52" s="35"/>
      <c r="J52" s="34"/>
      <c r="K52" s="36" t="n">
        <f aca="false">IF(H52=0,"",E52/H52-1)</f>
        <v>0.162060516028846</v>
      </c>
      <c r="L52" s="36"/>
      <c r="M52" s="34"/>
      <c r="N52" s="37" t="n">
        <f aca="false">IF(E52=0,0,SUMPRODUCT(E47:E51,N47:N51)/E52)</f>
        <v>0.517023995051418</v>
      </c>
      <c r="O52" s="37"/>
      <c r="P52" s="34"/>
      <c r="Q52" s="37" t="n">
        <f aca="false">IFERROR(SUMIFS(Sales!$K$2:$K$1321,Sales!$B$2:$B$1321,Calc!$C$3,Sales!$C$2:$C$1321,"&lt;="&amp;Calc!$C$7,Sales!$E$2:$E$1321,Calc!$C$4,Sales!$F$2:$F$1321,Calc!$C$5)/SUMIFS(Sales!$J$2:$J$1321,Sales!$B$2:$B$1321,Calc!$C$3,Sales!$C$2:$C$1321,"&lt;="&amp;Calc!$C$7,Sales!$E$2:$E$1321,Calc!$C$4,Sales!$F$2:$F$1321,Calc!$C$5),0)</f>
        <v>0.0731523617556852</v>
      </c>
      <c r="R52" s="37"/>
      <c r="S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8" hidden="false" customHeight="true" outlineLevel="0" collapsed="false">
      <c r="A54" s="1"/>
      <c r="B54" s="38" t="s">
        <v>21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</sheetData>
  <mergeCells count="65">
    <mergeCell ref="N2:R2"/>
    <mergeCell ref="C6:D6"/>
    <mergeCell ref="F6:G6"/>
    <mergeCell ref="I6:J6"/>
    <mergeCell ref="L6:M6"/>
    <mergeCell ref="B8:C8"/>
    <mergeCell ref="E8:F8"/>
    <mergeCell ref="H8:I8"/>
    <mergeCell ref="K8:L8"/>
    <mergeCell ref="N8:O8"/>
    <mergeCell ref="Q8:R8"/>
    <mergeCell ref="B9:C9"/>
    <mergeCell ref="E9:F9"/>
    <mergeCell ref="H9:I9"/>
    <mergeCell ref="K9:L9"/>
    <mergeCell ref="N9:O9"/>
    <mergeCell ref="Q9:R9"/>
    <mergeCell ref="B10:C10"/>
    <mergeCell ref="E10:F10"/>
    <mergeCell ref="H10:I10"/>
    <mergeCell ref="K10:L10"/>
    <mergeCell ref="N10:O10"/>
    <mergeCell ref="Q10:R10"/>
    <mergeCell ref="B46:C46"/>
    <mergeCell ref="E46:F46"/>
    <mergeCell ref="H46:I46"/>
    <mergeCell ref="K46:L46"/>
    <mergeCell ref="N46:O46"/>
    <mergeCell ref="Q46:R46"/>
    <mergeCell ref="B47:C47"/>
    <mergeCell ref="E47:F47"/>
    <mergeCell ref="H47:I47"/>
    <mergeCell ref="K47:L47"/>
    <mergeCell ref="N47:O47"/>
    <mergeCell ref="Q47:R47"/>
    <mergeCell ref="B48:C48"/>
    <mergeCell ref="E48:F48"/>
    <mergeCell ref="H48:I48"/>
    <mergeCell ref="K48:L48"/>
    <mergeCell ref="N48:O48"/>
    <mergeCell ref="Q48:R48"/>
    <mergeCell ref="B49:C49"/>
    <mergeCell ref="E49:F49"/>
    <mergeCell ref="H49:I49"/>
    <mergeCell ref="K49:L49"/>
    <mergeCell ref="N49:O49"/>
    <mergeCell ref="Q49:R49"/>
    <mergeCell ref="B50:C50"/>
    <mergeCell ref="E50:F50"/>
    <mergeCell ref="H50:I50"/>
    <mergeCell ref="K50:L50"/>
    <mergeCell ref="N50:O50"/>
    <mergeCell ref="Q50:R50"/>
    <mergeCell ref="B51:C51"/>
    <mergeCell ref="E51:F51"/>
    <mergeCell ref="H51:I51"/>
    <mergeCell ref="K51:L51"/>
    <mergeCell ref="N51:O51"/>
    <mergeCell ref="Q51:R51"/>
    <mergeCell ref="B52:C52"/>
    <mergeCell ref="E52:F52"/>
    <mergeCell ref="H52:I52"/>
    <mergeCell ref="K52:L52"/>
    <mergeCell ref="N52:O52"/>
    <mergeCell ref="Q52:R52"/>
  </mergeCells>
  <conditionalFormatting sqref="B10">
    <cfRule type="expression" priority="2" aboveAverage="0" equalAverage="0" bottom="0" percent="0" rank="0" text="" dxfId="0">
      <formula>LEFT(B10,1)="▲"</formula>
    </cfRule>
    <cfRule type="expression" priority="3" aboveAverage="0" equalAverage="0" bottom="0" percent="0" rank="0" text="" dxfId="1">
      <formula>LEFT(B10,1)="▼"</formula>
    </cfRule>
  </conditionalFormatting>
  <conditionalFormatting sqref="E10">
    <cfRule type="expression" priority="4" aboveAverage="0" equalAverage="0" bottom="0" percent="0" rank="0" text="" dxfId="0">
      <formula>LEFT(E10,1)="▲"</formula>
    </cfRule>
    <cfRule type="expression" priority="5" aboveAverage="0" equalAverage="0" bottom="0" percent="0" rank="0" text="" dxfId="1">
      <formula>LEFT(E10,1)="▼"</formula>
    </cfRule>
  </conditionalFormatting>
  <conditionalFormatting sqref="H10">
    <cfRule type="expression" priority="6" aboveAverage="0" equalAverage="0" bottom="0" percent="0" rank="0" text="" dxfId="0">
      <formula>LEFT(H10,1)="▲"</formula>
    </cfRule>
    <cfRule type="expression" priority="7" aboveAverage="0" equalAverage="0" bottom="0" percent="0" rank="0" text="" dxfId="1">
      <formula>LEFT(H10,1)="▼"</formula>
    </cfRule>
  </conditionalFormatting>
  <conditionalFormatting sqref="K10">
    <cfRule type="expression" priority="8" aboveAverage="0" equalAverage="0" bottom="0" percent="0" rank="0" text="" dxfId="0">
      <formula>LEFT(K10,1)="▲"</formula>
    </cfRule>
    <cfRule type="expression" priority="9" aboveAverage="0" equalAverage="0" bottom="0" percent="0" rank="0" text="" dxfId="1">
      <formula>LEFT(K10,1)="▼"</formula>
    </cfRule>
  </conditionalFormatting>
  <conditionalFormatting sqref="N10">
    <cfRule type="expression" priority="10" aboveAverage="0" equalAverage="0" bottom="0" percent="0" rank="0" text="" dxfId="1">
      <formula>LEFT(N10,1)="▲"</formula>
    </cfRule>
    <cfRule type="expression" priority="11" aboveAverage="0" equalAverage="0" bottom="0" percent="0" rank="0" text="" dxfId="0">
      <formula>LEFT(N10,1)="▼"</formula>
    </cfRule>
  </conditionalFormatting>
  <conditionalFormatting sqref="Q10">
    <cfRule type="expression" priority="12" aboveAverage="0" equalAverage="0" bottom="0" percent="0" rank="0" text="" dxfId="0">
      <formula>LEFT(Q10,1)="▲"</formula>
    </cfRule>
    <cfRule type="expression" priority="13" aboveAverage="0" equalAverage="0" bottom="0" percent="0" rank="0" text="" dxfId="1">
      <formula>LEFT(Q10,1)="▼"</formula>
    </cfRule>
  </conditionalFormatting>
  <conditionalFormatting sqref="K47:K52">
    <cfRule type="expression" priority="14" aboveAverage="0" equalAverage="0" bottom="0" percent="0" rank="0" text="" dxfId="2">
      <formula>AND(ISNUMBER(K47),K47&gt;=0)</formula>
    </cfRule>
    <cfRule type="expression" priority="15" aboveAverage="0" equalAverage="0" bottom="0" percent="0" rank="0" text="" dxfId="3">
      <formula>AND(ISNUMBER(K47),K47&lt;0)</formula>
    </cfRule>
  </conditionalFormatting>
  <conditionalFormatting sqref="Q47:Q51">
    <cfRule type="expression" priority="16" aboveAverage="0" equalAverage="0" bottom="0" percent="0" rank="0" text="" dxfId="4">
      <formula>Q47&gt;=0.08</formula>
    </cfRule>
  </conditionalFormatting>
  <dataValidations count="4"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C6" type="list">
      <formula1>Lists!$A$2:$A$3</formula1>
      <formula2>0</formula2>
    </dataValidation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F6" type="list">
      <formula1>Lists!$B$2:$B$6</formula1>
      <formula2>0</formula2>
    </dataValidation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I6" type="list">
      <formula1>Lists!$C$2:$C$5</formula1>
      <formula2>0</formula2>
    </dataValidation>
    <dataValidation allowBlank="false" error="Pick a value from the list." errorStyle="stop" errorTitle="Not in the list" operator="between" prompt="Choose from the list — the whole dashboard updates." promptTitle="Filter" showDropDown="false" showErrorMessage="false" showInputMessage="false" sqref="L6" type="list">
      <formula1>Lists!$D$2:$D$7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9" min="8" style="0" width="9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39" t="s">
        <v>22</v>
      </c>
      <c r="B1" s="39" t="s">
        <v>23</v>
      </c>
      <c r="C1" s="39" t="s">
        <v>24</v>
      </c>
      <c r="D1" s="39" t="s">
        <v>25</v>
      </c>
      <c r="E1" s="39" t="s">
        <v>26</v>
      </c>
      <c r="F1" s="39" t="s">
        <v>27</v>
      </c>
      <c r="G1" s="39" t="s">
        <v>17</v>
      </c>
      <c r="H1" s="39" t="s">
        <v>13</v>
      </c>
      <c r="I1" s="39" t="s">
        <v>28</v>
      </c>
      <c r="J1" s="39" t="s">
        <v>29</v>
      </c>
      <c r="K1" s="39" t="s">
        <v>30</v>
      </c>
      <c r="L1" s="39" t="s">
        <v>31</v>
      </c>
      <c r="M1" s="39" t="s">
        <v>32</v>
      </c>
      <c r="N1" s="39" t="s">
        <v>33</v>
      </c>
    </row>
    <row r="2" customFormat="false" ht="15" hidden="false" customHeight="false" outlineLevel="0" collapsed="false">
      <c r="A2" s="40" t="n">
        <v>45658</v>
      </c>
      <c r="B2" s="41" t="n">
        <v>2025</v>
      </c>
      <c r="C2" s="41" t="n">
        <v>1</v>
      </c>
      <c r="D2" s="41" t="s">
        <v>34</v>
      </c>
      <c r="E2" s="41" t="s">
        <v>35</v>
      </c>
      <c r="F2" s="41" t="s">
        <v>36</v>
      </c>
      <c r="G2" s="41" t="s">
        <v>37</v>
      </c>
      <c r="H2" s="42" t="n">
        <v>48</v>
      </c>
      <c r="I2" s="42" t="n">
        <v>58</v>
      </c>
      <c r="J2" s="42" t="n">
        <v>9071</v>
      </c>
      <c r="K2" s="42" t="n">
        <v>385</v>
      </c>
      <c r="L2" s="43" t="n">
        <f aca="false">J2-K2</f>
        <v>8686</v>
      </c>
      <c r="M2" s="42" t="n">
        <v>4486</v>
      </c>
      <c r="N2" s="43" t="n">
        <f aca="false">L2-M2</f>
        <v>4200</v>
      </c>
    </row>
    <row r="3" customFormat="false" ht="15" hidden="false" customHeight="false" outlineLevel="0" collapsed="false">
      <c r="A3" s="40" t="n">
        <v>45658</v>
      </c>
      <c r="B3" s="41" t="n">
        <v>2025</v>
      </c>
      <c r="C3" s="41" t="n">
        <v>1</v>
      </c>
      <c r="D3" s="41" t="s">
        <v>34</v>
      </c>
      <c r="E3" s="41" t="s">
        <v>35</v>
      </c>
      <c r="F3" s="41" t="s">
        <v>36</v>
      </c>
      <c r="G3" s="41" t="s">
        <v>38</v>
      </c>
      <c r="H3" s="42" t="n">
        <v>75</v>
      </c>
      <c r="I3" s="42" t="n">
        <v>99</v>
      </c>
      <c r="J3" s="42" t="n">
        <v>8433</v>
      </c>
      <c r="K3" s="42" t="n">
        <v>347</v>
      </c>
      <c r="L3" s="43" t="n">
        <f aca="false">J3-K3</f>
        <v>8086</v>
      </c>
      <c r="M3" s="42" t="n">
        <v>3640</v>
      </c>
      <c r="N3" s="43" t="n">
        <f aca="false">L3-M3</f>
        <v>4446</v>
      </c>
    </row>
    <row r="4" customFormat="false" ht="15" hidden="false" customHeight="false" outlineLevel="0" collapsed="false">
      <c r="A4" s="40" t="n">
        <v>45658</v>
      </c>
      <c r="B4" s="41" t="n">
        <v>2025</v>
      </c>
      <c r="C4" s="41" t="n">
        <v>1</v>
      </c>
      <c r="D4" s="41" t="s">
        <v>34</v>
      </c>
      <c r="E4" s="41" t="s">
        <v>35</v>
      </c>
      <c r="F4" s="41" t="s">
        <v>36</v>
      </c>
      <c r="G4" s="41" t="s">
        <v>39</v>
      </c>
      <c r="H4" s="42" t="n">
        <v>103</v>
      </c>
      <c r="I4" s="42" t="n">
        <v>139</v>
      </c>
      <c r="J4" s="42" t="n">
        <v>8652</v>
      </c>
      <c r="K4" s="42" t="n">
        <v>716</v>
      </c>
      <c r="L4" s="43" t="n">
        <f aca="false">J4-K4</f>
        <v>7936</v>
      </c>
      <c r="M4" s="42" t="n">
        <v>3019</v>
      </c>
      <c r="N4" s="43" t="n">
        <f aca="false">L4-M4</f>
        <v>4917</v>
      </c>
    </row>
    <row r="5" customFormat="false" ht="15" hidden="false" customHeight="false" outlineLevel="0" collapsed="false">
      <c r="A5" s="40" t="n">
        <v>45658</v>
      </c>
      <c r="B5" s="41" t="n">
        <v>2025</v>
      </c>
      <c r="C5" s="41" t="n">
        <v>1</v>
      </c>
      <c r="D5" s="41" t="s">
        <v>34</v>
      </c>
      <c r="E5" s="41" t="s">
        <v>35</v>
      </c>
      <c r="F5" s="41" t="s">
        <v>36</v>
      </c>
      <c r="G5" s="41" t="s">
        <v>40</v>
      </c>
      <c r="H5" s="42" t="n">
        <v>55</v>
      </c>
      <c r="I5" s="42" t="n">
        <v>84</v>
      </c>
      <c r="J5" s="42" t="n">
        <v>7005</v>
      </c>
      <c r="K5" s="42" t="n">
        <v>714</v>
      </c>
      <c r="L5" s="43" t="n">
        <f aca="false">J5-K5</f>
        <v>6291</v>
      </c>
      <c r="M5" s="42" t="n">
        <v>3403</v>
      </c>
      <c r="N5" s="43" t="n">
        <f aca="false">L5-M5</f>
        <v>2888</v>
      </c>
    </row>
    <row r="6" customFormat="false" ht="15" hidden="false" customHeight="false" outlineLevel="0" collapsed="false">
      <c r="A6" s="40" t="n">
        <v>45658</v>
      </c>
      <c r="B6" s="41" t="n">
        <v>2025</v>
      </c>
      <c r="C6" s="41" t="n">
        <v>1</v>
      </c>
      <c r="D6" s="41" t="s">
        <v>34</v>
      </c>
      <c r="E6" s="41" t="s">
        <v>35</v>
      </c>
      <c r="F6" s="41" t="s">
        <v>36</v>
      </c>
      <c r="G6" s="41" t="s">
        <v>41</v>
      </c>
      <c r="H6" s="42" t="n">
        <v>81</v>
      </c>
      <c r="I6" s="42" t="n">
        <v>128</v>
      </c>
      <c r="J6" s="42" t="n">
        <v>4941</v>
      </c>
      <c r="K6" s="42" t="n">
        <v>153</v>
      </c>
      <c r="L6" s="43" t="n">
        <f aca="false">J6-K6</f>
        <v>4788</v>
      </c>
      <c r="M6" s="42" t="n">
        <v>2284</v>
      </c>
      <c r="N6" s="43" t="n">
        <f aca="false">L6-M6</f>
        <v>2504</v>
      </c>
    </row>
    <row r="7" customFormat="false" ht="15" hidden="false" customHeight="false" outlineLevel="0" collapsed="false">
      <c r="A7" s="40" t="n">
        <v>45658</v>
      </c>
      <c r="B7" s="41" t="n">
        <v>2025</v>
      </c>
      <c r="C7" s="41" t="n">
        <v>1</v>
      </c>
      <c r="D7" s="41" t="s">
        <v>34</v>
      </c>
      <c r="E7" s="41" t="s">
        <v>35</v>
      </c>
      <c r="F7" s="41" t="s">
        <v>42</v>
      </c>
      <c r="G7" s="41" t="s">
        <v>37</v>
      </c>
      <c r="H7" s="42" t="n">
        <v>43</v>
      </c>
      <c r="I7" s="42" t="n">
        <v>50</v>
      </c>
      <c r="J7" s="42" t="n">
        <v>7523</v>
      </c>
      <c r="K7" s="42" t="n">
        <v>464</v>
      </c>
      <c r="L7" s="43" t="n">
        <f aca="false">J7-K7</f>
        <v>7059</v>
      </c>
      <c r="M7" s="42" t="n">
        <v>3825</v>
      </c>
      <c r="N7" s="43" t="n">
        <f aca="false">L7-M7</f>
        <v>3234</v>
      </c>
    </row>
    <row r="8" customFormat="false" ht="15" hidden="false" customHeight="false" outlineLevel="0" collapsed="false">
      <c r="A8" s="40" t="n">
        <v>45658</v>
      </c>
      <c r="B8" s="41" t="n">
        <v>2025</v>
      </c>
      <c r="C8" s="41" t="n">
        <v>1</v>
      </c>
      <c r="D8" s="41" t="s">
        <v>34</v>
      </c>
      <c r="E8" s="41" t="s">
        <v>35</v>
      </c>
      <c r="F8" s="41" t="s">
        <v>42</v>
      </c>
      <c r="G8" s="41" t="s">
        <v>38</v>
      </c>
      <c r="H8" s="42" t="n">
        <v>51</v>
      </c>
      <c r="I8" s="42" t="n">
        <v>61</v>
      </c>
      <c r="J8" s="42" t="n">
        <v>5229</v>
      </c>
      <c r="K8" s="42" t="n">
        <v>326</v>
      </c>
      <c r="L8" s="43" t="n">
        <f aca="false">J8-K8</f>
        <v>4903</v>
      </c>
      <c r="M8" s="42" t="n">
        <v>2358</v>
      </c>
      <c r="N8" s="43" t="n">
        <f aca="false">L8-M8</f>
        <v>2545</v>
      </c>
    </row>
    <row r="9" customFormat="false" ht="15" hidden="false" customHeight="false" outlineLevel="0" collapsed="false">
      <c r="A9" s="40" t="n">
        <v>45658</v>
      </c>
      <c r="B9" s="41" t="n">
        <v>2025</v>
      </c>
      <c r="C9" s="41" t="n">
        <v>1</v>
      </c>
      <c r="D9" s="41" t="s">
        <v>34</v>
      </c>
      <c r="E9" s="41" t="s">
        <v>35</v>
      </c>
      <c r="F9" s="41" t="s">
        <v>42</v>
      </c>
      <c r="G9" s="41" t="s">
        <v>39</v>
      </c>
      <c r="H9" s="42" t="n">
        <v>81</v>
      </c>
      <c r="I9" s="42" t="n">
        <v>114</v>
      </c>
      <c r="J9" s="42" t="n">
        <v>6296</v>
      </c>
      <c r="K9" s="42" t="n">
        <v>897</v>
      </c>
      <c r="L9" s="43" t="n">
        <f aca="false">J9-K9</f>
        <v>5399</v>
      </c>
      <c r="M9" s="42" t="n">
        <v>2220</v>
      </c>
      <c r="N9" s="43" t="n">
        <f aca="false">L9-M9</f>
        <v>3179</v>
      </c>
    </row>
    <row r="10" customFormat="false" ht="15" hidden="false" customHeight="false" outlineLevel="0" collapsed="false">
      <c r="A10" s="40" t="n">
        <v>45658</v>
      </c>
      <c r="B10" s="41" t="n">
        <v>2025</v>
      </c>
      <c r="C10" s="41" t="n">
        <v>1</v>
      </c>
      <c r="D10" s="41" t="s">
        <v>34</v>
      </c>
      <c r="E10" s="41" t="s">
        <v>35</v>
      </c>
      <c r="F10" s="41" t="s">
        <v>42</v>
      </c>
      <c r="G10" s="41" t="s">
        <v>40</v>
      </c>
      <c r="H10" s="42" t="n">
        <v>43</v>
      </c>
      <c r="I10" s="42" t="n">
        <v>51</v>
      </c>
      <c r="J10" s="42" t="n">
        <v>5045</v>
      </c>
      <c r="K10" s="42" t="n">
        <v>673</v>
      </c>
      <c r="L10" s="43" t="n">
        <f aca="false">J10-K10</f>
        <v>4372</v>
      </c>
      <c r="M10" s="42" t="n">
        <v>2439</v>
      </c>
      <c r="N10" s="43" t="n">
        <f aca="false">L10-M10</f>
        <v>1933</v>
      </c>
    </row>
    <row r="11" customFormat="false" ht="15" hidden="false" customHeight="false" outlineLevel="0" collapsed="false">
      <c r="A11" s="40" t="n">
        <v>45658</v>
      </c>
      <c r="B11" s="41" t="n">
        <v>2025</v>
      </c>
      <c r="C11" s="41" t="n">
        <v>1</v>
      </c>
      <c r="D11" s="41" t="s">
        <v>34</v>
      </c>
      <c r="E11" s="41" t="s">
        <v>35</v>
      </c>
      <c r="F11" s="41" t="s">
        <v>42</v>
      </c>
      <c r="G11" s="41" t="s">
        <v>41</v>
      </c>
      <c r="H11" s="42" t="n">
        <v>62</v>
      </c>
      <c r="I11" s="42" t="n">
        <v>83</v>
      </c>
      <c r="J11" s="42" t="n">
        <v>3486</v>
      </c>
      <c r="K11" s="42" t="n">
        <v>131</v>
      </c>
      <c r="L11" s="43" t="n">
        <f aca="false">J11-K11</f>
        <v>3355</v>
      </c>
      <c r="M11" s="42" t="n">
        <v>1689</v>
      </c>
      <c r="N11" s="43" t="n">
        <f aca="false">L11-M11</f>
        <v>1666</v>
      </c>
    </row>
    <row r="12" customFormat="false" ht="15" hidden="false" customHeight="false" outlineLevel="0" collapsed="false">
      <c r="A12" s="40" t="n">
        <v>45658</v>
      </c>
      <c r="B12" s="41" t="n">
        <v>2025</v>
      </c>
      <c r="C12" s="41" t="n">
        <v>1</v>
      </c>
      <c r="D12" s="41" t="s">
        <v>34</v>
      </c>
      <c r="E12" s="41" t="s">
        <v>35</v>
      </c>
      <c r="F12" s="41" t="s">
        <v>43</v>
      </c>
      <c r="G12" s="41" t="s">
        <v>37</v>
      </c>
      <c r="H12" s="42" t="n">
        <v>22</v>
      </c>
      <c r="I12" s="42" t="n">
        <v>28</v>
      </c>
      <c r="J12" s="42" t="n">
        <v>4504</v>
      </c>
      <c r="K12" s="42" t="n">
        <v>141</v>
      </c>
      <c r="L12" s="43" t="n">
        <f aca="false">J12-K12</f>
        <v>4363</v>
      </c>
      <c r="M12" s="42" t="n">
        <v>2340</v>
      </c>
      <c r="N12" s="43" t="n">
        <f aca="false">L12-M12</f>
        <v>2023</v>
      </c>
    </row>
    <row r="13" customFormat="false" ht="15" hidden="false" customHeight="false" outlineLevel="0" collapsed="false">
      <c r="A13" s="40" t="n">
        <v>45658</v>
      </c>
      <c r="B13" s="41" t="n">
        <v>2025</v>
      </c>
      <c r="C13" s="41" t="n">
        <v>1</v>
      </c>
      <c r="D13" s="41" t="s">
        <v>34</v>
      </c>
      <c r="E13" s="41" t="s">
        <v>35</v>
      </c>
      <c r="F13" s="41" t="s">
        <v>43</v>
      </c>
      <c r="G13" s="41" t="s">
        <v>38</v>
      </c>
      <c r="H13" s="42" t="n">
        <v>31</v>
      </c>
      <c r="I13" s="42" t="n">
        <v>44</v>
      </c>
      <c r="J13" s="42" t="n">
        <v>3707</v>
      </c>
      <c r="K13" s="42" t="n">
        <v>131</v>
      </c>
      <c r="L13" s="43" t="n">
        <f aca="false">J13-K13</f>
        <v>3576</v>
      </c>
      <c r="M13" s="42" t="n">
        <v>1645</v>
      </c>
      <c r="N13" s="43" t="n">
        <f aca="false">L13-M13</f>
        <v>1931</v>
      </c>
    </row>
    <row r="14" customFormat="false" ht="15" hidden="false" customHeight="false" outlineLevel="0" collapsed="false">
      <c r="A14" s="40" t="n">
        <v>45658</v>
      </c>
      <c r="B14" s="41" t="n">
        <v>2025</v>
      </c>
      <c r="C14" s="41" t="n">
        <v>1</v>
      </c>
      <c r="D14" s="41" t="s">
        <v>34</v>
      </c>
      <c r="E14" s="41" t="s">
        <v>35</v>
      </c>
      <c r="F14" s="41" t="s">
        <v>43</v>
      </c>
      <c r="G14" s="41" t="s">
        <v>39</v>
      </c>
      <c r="H14" s="42" t="n">
        <v>57</v>
      </c>
      <c r="I14" s="42" t="n">
        <v>73</v>
      </c>
      <c r="J14" s="42" t="n">
        <v>5059</v>
      </c>
      <c r="K14" s="42" t="n">
        <v>422</v>
      </c>
      <c r="L14" s="43" t="n">
        <f aca="false">J14-K14</f>
        <v>4637</v>
      </c>
      <c r="M14" s="42" t="n">
        <v>1767</v>
      </c>
      <c r="N14" s="43" t="n">
        <f aca="false">L14-M14</f>
        <v>2870</v>
      </c>
    </row>
    <row r="15" customFormat="false" ht="15" hidden="false" customHeight="false" outlineLevel="0" collapsed="false">
      <c r="A15" s="40" t="n">
        <v>45658</v>
      </c>
      <c r="B15" s="41" t="n">
        <v>2025</v>
      </c>
      <c r="C15" s="41" t="n">
        <v>1</v>
      </c>
      <c r="D15" s="41" t="s">
        <v>34</v>
      </c>
      <c r="E15" s="41" t="s">
        <v>35</v>
      </c>
      <c r="F15" s="41" t="s">
        <v>43</v>
      </c>
      <c r="G15" s="41" t="s">
        <v>40</v>
      </c>
      <c r="H15" s="42" t="n">
        <v>25</v>
      </c>
      <c r="I15" s="42" t="n">
        <v>37</v>
      </c>
      <c r="J15" s="42" t="n">
        <v>3344</v>
      </c>
      <c r="K15" s="42" t="n">
        <v>242</v>
      </c>
      <c r="L15" s="43" t="n">
        <f aca="false">J15-K15</f>
        <v>3102</v>
      </c>
      <c r="M15" s="42" t="n">
        <v>1705</v>
      </c>
      <c r="N15" s="43" t="n">
        <f aca="false">L15-M15</f>
        <v>1397</v>
      </c>
    </row>
    <row r="16" customFormat="false" ht="15" hidden="false" customHeight="false" outlineLevel="0" collapsed="false">
      <c r="A16" s="40" t="n">
        <v>45658</v>
      </c>
      <c r="B16" s="41" t="n">
        <v>2025</v>
      </c>
      <c r="C16" s="41" t="n">
        <v>1</v>
      </c>
      <c r="D16" s="41" t="s">
        <v>34</v>
      </c>
      <c r="E16" s="41" t="s">
        <v>35</v>
      </c>
      <c r="F16" s="41" t="s">
        <v>43</v>
      </c>
      <c r="G16" s="41" t="s">
        <v>41</v>
      </c>
      <c r="H16" s="42" t="n">
        <v>31</v>
      </c>
      <c r="I16" s="42" t="n">
        <v>45</v>
      </c>
      <c r="J16" s="42" t="n">
        <v>1987</v>
      </c>
      <c r="K16" s="42" t="n">
        <v>46</v>
      </c>
      <c r="L16" s="43" t="n">
        <f aca="false">J16-K16</f>
        <v>1941</v>
      </c>
      <c r="M16" s="42" t="n">
        <v>936</v>
      </c>
      <c r="N16" s="43" t="n">
        <f aca="false">L16-M16</f>
        <v>1005</v>
      </c>
    </row>
    <row r="17" customFormat="false" ht="15" hidden="false" customHeight="false" outlineLevel="0" collapsed="false">
      <c r="A17" s="40" t="n">
        <v>45658</v>
      </c>
      <c r="B17" s="41" t="n">
        <v>2025</v>
      </c>
      <c r="C17" s="41" t="n">
        <v>1</v>
      </c>
      <c r="D17" s="41" t="s">
        <v>34</v>
      </c>
      <c r="E17" s="41" t="s">
        <v>44</v>
      </c>
      <c r="F17" s="41" t="s">
        <v>36</v>
      </c>
      <c r="G17" s="41" t="s">
        <v>37</v>
      </c>
      <c r="H17" s="42" t="n">
        <v>44</v>
      </c>
      <c r="I17" s="42" t="n">
        <v>57</v>
      </c>
      <c r="J17" s="42" t="n">
        <v>8374</v>
      </c>
      <c r="K17" s="42" t="n">
        <v>361</v>
      </c>
      <c r="L17" s="43" t="n">
        <f aca="false">J17-K17</f>
        <v>8013</v>
      </c>
      <c r="M17" s="42" t="n">
        <v>4271</v>
      </c>
      <c r="N17" s="43" t="n">
        <f aca="false">L17-M17</f>
        <v>3742</v>
      </c>
    </row>
    <row r="18" customFormat="false" ht="15" hidden="false" customHeight="false" outlineLevel="0" collapsed="false">
      <c r="A18" s="40" t="n">
        <v>45658</v>
      </c>
      <c r="B18" s="41" t="n">
        <v>2025</v>
      </c>
      <c r="C18" s="41" t="n">
        <v>1</v>
      </c>
      <c r="D18" s="41" t="s">
        <v>34</v>
      </c>
      <c r="E18" s="41" t="s">
        <v>44</v>
      </c>
      <c r="F18" s="41" t="s">
        <v>36</v>
      </c>
      <c r="G18" s="41" t="s">
        <v>38</v>
      </c>
      <c r="H18" s="42" t="n">
        <v>61</v>
      </c>
      <c r="I18" s="42" t="n">
        <v>83</v>
      </c>
      <c r="J18" s="42" t="n">
        <v>6778</v>
      </c>
      <c r="K18" s="42" t="n">
        <v>385</v>
      </c>
      <c r="L18" s="43" t="n">
        <f aca="false">J18-K18</f>
        <v>6393</v>
      </c>
      <c r="M18" s="42" t="n">
        <v>2954</v>
      </c>
      <c r="N18" s="43" t="n">
        <f aca="false">L18-M18</f>
        <v>3439</v>
      </c>
    </row>
    <row r="19" customFormat="false" ht="15" hidden="false" customHeight="false" outlineLevel="0" collapsed="false">
      <c r="A19" s="40" t="n">
        <v>45658</v>
      </c>
      <c r="B19" s="41" t="n">
        <v>2025</v>
      </c>
      <c r="C19" s="41" t="n">
        <v>1</v>
      </c>
      <c r="D19" s="41" t="s">
        <v>34</v>
      </c>
      <c r="E19" s="41" t="s">
        <v>44</v>
      </c>
      <c r="F19" s="41" t="s">
        <v>36</v>
      </c>
      <c r="G19" s="41" t="s">
        <v>39</v>
      </c>
      <c r="H19" s="42" t="n">
        <v>93</v>
      </c>
      <c r="I19" s="42" t="n">
        <v>135</v>
      </c>
      <c r="J19" s="42" t="n">
        <v>7836</v>
      </c>
      <c r="K19" s="42" t="n">
        <v>646</v>
      </c>
      <c r="L19" s="43" t="n">
        <f aca="false">J19-K19</f>
        <v>7190</v>
      </c>
      <c r="M19" s="42" t="n">
        <v>2838</v>
      </c>
      <c r="N19" s="43" t="n">
        <f aca="false">L19-M19</f>
        <v>4352</v>
      </c>
    </row>
    <row r="20" customFormat="false" ht="15" hidden="false" customHeight="false" outlineLevel="0" collapsed="false">
      <c r="A20" s="40" t="n">
        <v>45658</v>
      </c>
      <c r="B20" s="41" t="n">
        <v>2025</v>
      </c>
      <c r="C20" s="41" t="n">
        <v>1</v>
      </c>
      <c r="D20" s="41" t="s">
        <v>34</v>
      </c>
      <c r="E20" s="41" t="s">
        <v>44</v>
      </c>
      <c r="F20" s="41" t="s">
        <v>36</v>
      </c>
      <c r="G20" s="41" t="s">
        <v>40</v>
      </c>
      <c r="H20" s="42" t="n">
        <v>46</v>
      </c>
      <c r="I20" s="42" t="n">
        <v>73</v>
      </c>
      <c r="J20" s="42" t="n">
        <v>5917</v>
      </c>
      <c r="K20" s="42" t="n">
        <v>801</v>
      </c>
      <c r="L20" s="43" t="n">
        <f aca="false">J20-K20</f>
        <v>5116</v>
      </c>
      <c r="M20" s="42" t="n">
        <v>2777</v>
      </c>
      <c r="N20" s="43" t="n">
        <f aca="false">L20-M20</f>
        <v>2339</v>
      </c>
    </row>
    <row r="21" customFormat="false" ht="15" hidden="false" customHeight="false" outlineLevel="0" collapsed="false">
      <c r="A21" s="40" t="n">
        <v>45658</v>
      </c>
      <c r="B21" s="41" t="n">
        <v>2025</v>
      </c>
      <c r="C21" s="41" t="n">
        <v>1</v>
      </c>
      <c r="D21" s="41" t="s">
        <v>34</v>
      </c>
      <c r="E21" s="41" t="s">
        <v>44</v>
      </c>
      <c r="F21" s="41" t="s">
        <v>36</v>
      </c>
      <c r="G21" s="41" t="s">
        <v>41</v>
      </c>
      <c r="H21" s="42" t="n">
        <v>60</v>
      </c>
      <c r="I21" s="42" t="n">
        <v>87</v>
      </c>
      <c r="J21" s="42" t="n">
        <v>3667</v>
      </c>
      <c r="K21" s="42" t="n">
        <v>89</v>
      </c>
      <c r="L21" s="43" t="n">
        <f aca="false">J21-K21</f>
        <v>3578</v>
      </c>
      <c r="M21" s="42" t="n">
        <v>1714</v>
      </c>
      <c r="N21" s="43" t="n">
        <f aca="false">L21-M21</f>
        <v>1864</v>
      </c>
    </row>
    <row r="22" customFormat="false" ht="15" hidden="false" customHeight="false" outlineLevel="0" collapsed="false">
      <c r="A22" s="40" t="n">
        <v>45658</v>
      </c>
      <c r="B22" s="41" t="n">
        <v>2025</v>
      </c>
      <c r="C22" s="41" t="n">
        <v>1</v>
      </c>
      <c r="D22" s="41" t="s">
        <v>34</v>
      </c>
      <c r="E22" s="41" t="s">
        <v>44</v>
      </c>
      <c r="F22" s="41" t="s">
        <v>42</v>
      </c>
      <c r="G22" s="41" t="s">
        <v>37</v>
      </c>
      <c r="H22" s="42" t="n">
        <v>27</v>
      </c>
      <c r="I22" s="42" t="n">
        <v>32</v>
      </c>
      <c r="J22" s="42" t="n">
        <v>4781</v>
      </c>
      <c r="K22" s="42" t="n">
        <v>213</v>
      </c>
      <c r="L22" s="43" t="n">
        <f aca="false">J22-K22</f>
        <v>4568</v>
      </c>
      <c r="M22" s="42" t="n">
        <v>2548</v>
      </c>
      <c r="N22" s="43" t="n">
        <f aca="false">L22-M22</f>
        <v>2020</v>
      </c>
    </row>
    <row r="23" customFormat="false" ht="15" hidden="false" customHeight="false" outlineLevel="0" collapsed="false">
      <c r="A23" s="40" t="n">
        <v>45658</v>
      </c>
      <c r="B23" s="41" t="n">
        <v>2025</v>
      </c>
      <c r="C23" s="41" t="n">
        <v>1</v>
      </c>
      <c r="D23" s="41" t="s">
        <v>34</v>
      </c>
      <c r="E23" s="41" t="s">
        <v>44</v>
      </c>
      <c r="F23" s="41" t="s">
        <v>42</v>
      </c>
      <c r="G23" s="41" t="s">
        <v>38</v>
      </c>
      <c r="H23" s="42" t="n">
        <v>40</v>
      </c>
      <c r="I23" s="42" t="n">
        <v>50</v>
      </c>
      <c r="J23" s="42" t="n">
        <v>4134</v>
      </c>
      <c r="K23" s="42" t="n">
        <v>267</v>
      </c>
      <c r="L23" s="43" t="n">
        <f aca="false">J23-K23</f>
        <v>3867</v>
      </c>
      <c r="M23" s="42" t="n">
        <v>1866</v>
      </c>
      <c r="N23" s="43" t="n">
        <f aca="false">L23-M23</f>
        <v>2001</v>
      </c>
    </row>
    <row r="24" customFormat="false" ht="15" hidden="false" customHeight="false" outlineLevel="0" collapsed="false">
      <c r="A24" s="40" t="n">
        <v>45658</v>
      </c>
      <c r="B24" s="41" t="n">
        <v>2025</v>
      </c>
      <c r="C24" s="41" t="n">
        <v>1</v>
      </c>
      <c r="D24" s="41" t="s">
        <v>34</v>
      </c>
      <c r="E24" s="41" t="s">
        <v>44</v>
      </c>
      <c r="F24" s="41" t="s">
        <v>42</v>
      </c>
      <c r="G24" s="41" t="s">
        <v>39</v>
      </c>
      <c r="H24" s="42" t="n">
        <v>63</v>
      </c>
      <c r="I24" s="42" t="n">
        <v>85</v>
      </c>
      <c r="J24" s="42" t="n">
        <v>4846</v>
      </c>
      <c r="K24" s="42" t="n">
        <v>667</v>
      </c>
      <c r="L24" s="43" t="n">
        <f aca="false">J24-K24</f>
        <v>4179</v>
      </c>
      <c r="M24" s="42" t="n">
        <v>1772</v>
      </c>
      <c r="N24" s="43" t="n">
        <f aca="false">L24-M24</f>
        <v>2407</v>
      </c>
    </row>
    <row r="25" customFormat="false" ht="15" hidden="false" customHeight="false" outlineLevel="0" collapsed="false">
      <c r="A25" s="40" t="n">
        <v>45658</v>
      </c>
      <c r="B25" s="41" t="n">
        <v>2025</v>
      </c>
      <c r="C25" s="41" t="n">
        <v>1</v>
      </c>
      <c r="D25" s="41" t="s">
        <v>34</v>
      </c>
      <c r="E25" s="41" t="s">
        <v>44</v>
      </c>
      <c r="F25" s="41" t="s">
        <v>42</v>
      </c>
      <c r="G25" s="41" t="s">
        <v>40</v>
      </c>
      <c r="H25" s="42" t="n">
        <v>37</v>
      </c>
      <c r="I25" s="42" t="n">
        <v>57</v>
      </c>
      <c r="J25" s="42" t="n">
        <v>4307</v>
      </c>
      <c r="K25" s="42" t="n">
        <v>636</v>
      </c>
      <c r="L25" s="43" t="n">
        <f aca="false">J25-K25</f>
        <v>3671</v>
      </c>
      <c r="M25" s="42" t="n">
        <v>2074</v>
      </c>
      <c r="N25" s="43" t="n">
        <f aca="false">L25-M25</f>
        <v>1597</v>
      </c>
    </row>
    <row r="26" customFormat="false" ht="15" hidden="false" customHeight="false" outlineLevel="0" collapsed="false">
      <c r="A26" s="40" t="n">
        <v>45658</v>
      </c>
      <c r="B26" s="41" t="n">
        <v>2025</v>
      </c>
      <c r="C26" s="41" t="n">
        <v>1</v>
      </c>
      <c r="D26" s="41" t="s">
        <v>34</v>
      </c>
      <c r="E26" s="41" t="s">
        <v>44</v>
      </c>
      <c r="F26" s="41" t="s">
        <v>42</v>
      </c>
      <c r="G26" s="41" t="s">
        <v>41</v>
      </c>
      <c r="H26" s="42" t="n">
        <v>45</v>
      </c>
      <c r="I26" s="42" t="n">
        <v>70</v>
      </c>
      <c r="J26" s="42" t="n">
        <v>2531</v>
      </c>
      <c r="K26" s="42" t="n">
        <v>121</v>
      </c>
      <c r="L26" s="43" t="n">
        <f aca="false">J26-K26</f>
        <v>2410</v>
      </c>
      <c r="M26" s="42" t="n">
        <v>1182</v>
      </c>
      <c r="N26" s="43" t="n">
        <f aca="false">L26-M26</f>
        <v>1228</v>
      </c>
    </row>
    <row r="27" customFormat="false" ht="15" hidden="false" customHeight="false" outlineLevel="0" collapsed="false">
      <c r="A27" s="40" t="n">
        <v>45658</v>
      </c>
      <c r="B27" s="41" t="n">
        <v>2025</v>
      </c>
      <c r="C27" s="41" t="n">
        <v>1</v>
      </c>
      <c r="D27" s="41" t="s">
        <v>34</v>
      </c>
      <c r="E27" s="41" t="s">
        <v>44</v>
      </c>
      <c r="F27" s="41" t="s">
        <v>43</v>
      </c>
      <c r="G27" s="41" t="s">
        <v>37</v>
      </c>
      <c r="H27" s="42" t="n">
        <v>16</v>
      </c>
      <c r="I27" s="42" t="n">
        <v>20</v>
      </c>
      <c r="J27" s="42" t="n">
        <v>3295</v>
      </c>
      <c r="K27" s="42" t="n">
        <v>82</v>
      </c>
      <c r="L27" s="43" t="n">
        <f aca="false">J27-K27</f>
        <v>3213</v>
      </c>
      <c r="M27" s="42" t="n">
        <v>1701</v>
      </c>
      <c r="N27" s="43" t="n">
        <f aca="false">L27-M27</f>
        <v>1512</v>
      </c>
    </row>
    <row r="28" customFormat="false" ht="15" hidden="false" customHeight="false" outlineLevel="0" collapsed="false">
      <c r="A28" s="40" t="n">
        <v>45658</v>
      </c>
      <c r="B28" s="41" t="n">
        <v>2025</v>
      </c>
      <c r="C28" s="41" t="n">
        <v>1</v>
      </c>
      <c r="D28" s="41" t="s">
        <v>34</v>
      </c>
      <c r="E28" s="41" t="s">
        <v>44</v>
      </c>
      <c r="F28" s="41" t="s">
        <v>43</v>
      </c>
      <c r="G28" s="41" t="s">
        <v>38</v>
      </c>
      <c r="H28" s="42" t="n">
        <v>27</v>
      </c>
      <c r="I28" s="42" t="n">
        <v>34</v>
      </c>
      <c r="J28" s="42" t="n">
        <v>3250</v>
      </c>
      <c r="K28" s="42" t="n">
        <v>91</v>
      </c>
      <c r="L28" s="43" t="n">
        <f aca="false">J28-K28</f>
        <v>3159</v>
      </c>
      <c r="M28" s="42" t="n">
        <v>1415</v>
      </c>
      <c r="N28" s="43" t="n">
        <f aca="false">L28-M28</f>
        <v>1744</v>
      </c>
    </row>
    <row r="29" customFormat="false" ht="15" hidden="false" customHeight="false" outlineLevel="0" collapsed="false">
      <c r="A29" s="40" t="n">
        <v>45658</v>
      </c>
      <c r="B29" s="41" t="n">
        <v>2025</v>
      </c>
      <c r="C29" s="41" t="n">
        <v>1</v>
      </c>
      <c r="D29" s="41" t="s">
        <v>34</v>
      </c>
      <c r="E29" s="41" t="s">
        <v>44</v>
      </c>
      <c r="F29" s="41" t="s">
        <v>43</v>
      </c>
      <c r="G29" s="41" t="s">
        <v>39</v>
      </c>
      <c r="H29" s="42" t="n">
        <v>41</v>
      </c>
      <c r="I29" s="42" t="n">
        <v>58</v>
      </c>
      <c r="J29" s="42" t="n">
        <v>3637</v>
      </c>
      <c r="K29" s="42" t="n">
        <v>301</v>
      </c>
      <c r="L29" s="43" t="n">
        <f aca="false">J29-K29</f>
        <v>3336</v>
      </c>
      <c r="M29" s="42" t="n">
        <v>1316</v>
      </c>
      <c r="N29" s="43" t="n">
        <f aca="false">L29-M29</f>
        <v>2020</v>
      </c>
    </row>
    <row r="30" customFormat="false" ht="15" hidden="false" customHeight="false" outlineLevel="0" collapsed="false">
      <c r="A30" s="40" t="n">
        <v>45658</v>
      </c>
      <c r="B30" s="41" t="n">
        <v>2025</v>
      </c>
      <c r="C30" s="41" t="n">
        <v>1</v>
      </c>
      <c r="D30" s="41" t="s">
        <v>34</v>
      </c>
      <c r="E30" s="41" t="s">
        <v>44</v>
      </c>
      <c r="F30" s="41" t="s">
        <v>43</v>
      </c>
      <c r="G30" s="41" t="s">
        <v>40</v>
      </c>
      <c r="H30" s="42" t="n">
        <v>20</v>
      </c>
      <c r="I30" s="42" t="n">
        <v>29</v>
      </c>
      <c r="J30" s="42" t="n">
        <v>2730</v>
      </c>
      <c r="K30" s="42" t="n">
        <v>245</v>
      </c>
      <c r="L30" s="43" t="n">
        <f aca="false">J30-K30</f>
        <v>2485</v>
      </c>
      <c r="M30" s="42" t="n">
        <v>1330</v>
      </c>
      <c r="N30" s="43" t="n">
        <f aca="false">L30-M30</f>
        <v>1155</v>
      </c>
    </row>
    <row r="31" customFormat="false" ht="15" hidden="false" customHeight="false" outlineLevel="0" collapsed="false">
      <c r="A31" s="40" t="n">
        <v>45658</v>
      </c>
      <c r="B31" s="41" t="n">
        <v>2025</v>
      </c>
      <c r="C31" s="41" t="n">
        <v>1</v>
      </c>
      <c r="D31" s="41" t="s">
        <v>34</v>
      </c>
      <c r="E31" s="41" t="s">
        <v>44</v>
      </c>
      <c r="F31" s="41" t="s">
        <v>43</v>
      </c>
      <c r="G31" s="41" t="s">
        <v>41</v>
      </c>
      <c r="H31" s="42" t="n">
        <v>31</v>
      </c>
      <c r="I31" s="42" t="n">
        <v>47</v>
      </c>
      <c r="J31" s="42" t="n">
        <v>2015</v>
      </c>
      <c r="K31" s="42" t="n">
        <v>49</v>
      </c>
      <c r="L31" s="43" t="n">
        <f aca="false">J31-K31</f>
        <v>1966</v>
      </c>
      <c r="M31" s="42" t="n">
        <v>961</v>
      </c>
      <c r="N31" s="43" t="n">
        <f aca="false">L31-M31</f>
        <v>1005</v>
      </c>
    </row>
    <row r="32" customFormat="false" ht="15" hidden="false" customHeight="false" outlineLevel="0" collapsed="false">
      <c r="A32" s="40" t="n">
        <v>45658</v>
      </c>
      <c r="B32" s="41" t="n">
        <v>2025</v>
      </c>
      <c r="C32" s="41" t="n">
        <v>1</v>
      </c>
      <c r="D32" s="41" t="s">
        <v>34</v>
      </c>
      <c r="E32" s="41" t="s">
        <v>45</v>
      </c>
      <c r="F32" s="41" t="s">
        <v>36</v>
      </c>
      <c r="G32" s="41" t="s">
        <v>37</v>
      </c>
      <c r="H32" s="42" t="n">
        <v>29</v>
      </c>
      <c r="I32" s="42" t="n">
        <v>39</v>
      </c>
      <c r="J32" s="42" t="n">
        <v>5444</v>
      </c>
      <c r="K32" s="42" t="n">
        <v>183</v>
      </c>
      <c r="L32" s="43" t="n">
        <f aca="false">J32-K32</f>
        <v>5261</v>
      </c>
      <c r="M32" s="42" t="n">
        <v>2810</v>
      </c>
      <c r="N32" s="43" t="n">
        <f aca="false">L32-M32</f>
        <v>2451</v>
      </c>
    </row>
    <row r="33" customFormat="false" ht="15" hidden="false" customHeight="false" outlineLevel="0" collapsed="false">
      <c r="A33" s="40" t="n">
        <v>45658</v>
      </c>
      <c r="B33" s="41" t="n">
        <v>2025</v>
      </c>
      <c r="C33" s="41" t="n">
        <v>1</v>
      </c>
      <c r="D33" s="41" t="s">
        <v>34</v>
      </c>
      <c r="E33" s="41" t="s">
        <v>45</v>
      </c>
      <c r="F33" s="41" t="s">
        <v>36</v>
      </c>
      <c r="G33" s="41" t="s">
        <v>38</v>
      </c>
      <c r="H33" s="42" t="n">
        <v>38</v>
      </c>
      <c r="I33" s="42" t="n">
        <v>45</v>
      </c>
      <c r="J33" s="42" t="n">
        <v>4309</v>
      </c>
      <c r="K33" s="42" t="n">
        <v>190</v>
      </c>
      <c r="L33" s="43" t="n">
        <f aca="false">J33-K33</f>
        <v>4119</v>
      </c>
      <c r="M33" s="42" t="n">
        <v>1816</v>
      </c>
      <c r="N33" s="43" t="n">
        <f aca="false">L33-M33</f>
        <v>2303</v>
      </c>
    </row>
    <row r="34" customFormat="false" ht="15" hidden="false" customHeight="false" outlineLevel="0" collapsed="false">
      <c r="A34" s="40" t="n">
        <v>45658</v>
      </c>
      <c r="B34" s="41" t="n">
        <v>2025</v>
      </c>
      <c r="C34" s="41" t="n">
        <v>1</v>
      </c>
      <c r="D34" s="41" t="s">
        <v>34</v>
      </c>
      <c r="E34" s="41" t="s">
        <v>45</v>
      </c>
      <c r="F34" s="41" t="s">
        <v>36</v>
      </c>
      <c r="G34" s="41" t="s">
        <v>39</v>
      </c>
      <c r="H34" s="42" t="n">
        <v>66</v>
      </c>
      <c r="I34" s="42" t="n">
        <v>77</v>
      </c>
      <c r="J34" s="42" t="n">
        <v>5585</v>
      </c>
      <c r="K34" s="42" t="n">
        <v>447</v>
      </c>
      <c r="L34" s="43" t="n">
        <f aca="false">J34-K34</f>
        <v>5138</v>
      </c>
      <c r="M34" s="42" t="n">
        <v>1962</v>
      </c>
      <c r="N34" s="43" t="n">
        <f aca="false">L34-M34</f>
        <v>3176</v>
      </c>
    </row>
    <row r="35" customFormat="false" ht="15" hidden="false" customHeight="false" outlineLevel="0" collapsed="false">
      <c r="A35" s="40" t="n">
        <v>45658</v>
      </c>
      <c r="B35" s="41" t="n">
        <v>2025</v>
      </c>
      <c r="C35" s="41" t="n">
        <v>1</v>
      </c>
      <c r="D35" s="41" t="s">
        <v>34</v>
      </c>
      <c r="E35" s="41" t="s">
        <v>45</v>
      </c>
      <c r="F35" s="41" t="s">
        <v>36</v>
      </c>
      <c r="G35" s="41" t="s">
        <v>40</v>
      </c>
      <c r="H35" s="42" t="n">
        <v>29</v>
      </c>
      <c r="I35" s="42" t="n">
        <v>38</v>
      </c>
      <c r="J35" s="42" t="n">
        <v>3740</v>
      </c>
      <c r="K35" s="42" t="n">
        <v>364</v>
      </c>
      <c r="L35" s="43" t="n">
        <f aca="false">J35-K35</f>
        <v>3376</v>
      </c>
      <c r="M35" s="42" t="n">
        <v>1899</v>
      </c>
      <c r="N35" s="43" t="n">
        <f aca="false">L35-M35</f>
        <v>1477</v>
      </c>
    </row>
    <row r="36" customFormat="false" ht="15" hidden="false" customHeight="false" outlineLevel="0" collapsed="false">
      <c r="A36" s="40" t="n">
        <v>45658</v>
      </c>
      <c r="B36" s="41" t="n">
        <v>2025</v>
      </c>
      <c r="C36" s="41" t="n">
        <v>1</v>
      </c>
      <c r="D36" s="41" t="s">
        <v>34</v>
      </c>
      <c r="E36" s="41" t="s">
        <v>45</v>
      </c>
      <c r="F36" s="41" t="s">
        <v>36</v>
      </c>
      <c r="G36" s="41" t="s">
        <v>41</v>
      </c>
      <c r="H36" s="42" t="n">
        <v>47</v>
      </c>
      <c r="I36" s="42" t="n">
        <v>57</v>
      </c>
      <c r="J36" s="42" t="n">
        <v>2896</v>
      </c>
      <c r="K36" s="42" t="n">
        <v>78</v>
      </c>
      <c r="L36" s="43" t="n">
        <f aca="false">J36-K36</f>
        <v>2818</v>
      </c>
      <c r="M36" s="42" t="n">
        <v>1340</v>
      </c>
      <c r="N36" s="43" t="n">
        <f aca="false">L36-M36</f>
        <v>1478</v>
      </c>
    </row>
    <row r="37" customFormat="false" ht="15" hidden="false" customHeight="false" outlineLevel="0" collapsed="false">
      <c r="A37" s="40" t="n">
        <v>45658</v>
      </c>
      <c r="B37" s="41" t="n">
        <v>2025</v>
      </c>
      <c r="C37" s="41" t="n">
        <v>1</v>
      </c>
      <c r="D37" s="41" t="s">
        <v>34</v>
      </c>
      <c r="E37" s="41" t="s">
        <v>45</v>
      </c>
      <c r="F37" s="41" t="s">
        <v>42</v>
      </c>
      <c r="G37" s="41" t="s">
        <v>37</v>
      </c>
      <c r="H37" s="42" t="n">
        <v>22</v>
      </c>
      <c r="I37" s="42" t="n">
        <v>27</v>
      </c>
      <c r="J37" s="42" t="n">
        <v>3756</v>
      </c>
      <c r="K37" s="42" t="n">
        <v>231</v>
      </c>
      <c r="L37" s="43" t="n">
        <f aca="false">J37-K37</f>
        <v>3525</v>
      </c>
      <c r="M37" s="42" t="n">
        <v>1992</v>
      </c>
      <c r="N37" s="43" t="n">
        <f aca="false">L37-M37</f>
        <v>1533</v>
      </c>
    </row>
    <row r="38" customFormat="false" ht="15" hidden="false" customHeight="false" outlineLevel="0" collapsed="false">
      <c r="A38" s="40" t="n">
        <v>45658</v>
      </c>
      <c r="B38" s="41" t="n">
        <v>2025</v>
      </c>
      <c r="C38" s="41" t="n">
        <v>1</v>
      </c>
      <c r="D38" s="41" t="s">
        <v>34</v>
      </c>
      <c r="E38" s="41" t="s">
        <v>45</v>
      </c>
      <c r="F38" s="41" t="s">
        <v>42</v>
      </c>
      <c r="G38" s="41" t="s">
        <v>38</v>
      </c>
      <c r="H38" s="42" t="n">
        <v>33</v>
      </c>
      <c r="I38" s="42" t="n">
        <v>45</v>
      </c>
      <c r="J38" s="42" t="n">
        <v>3384</v>
      </c>
      <c r="K38" s="42" t="n">
        <v>191</v>
      </c>
      <c r="L38" s="43" t="n">
        <f aca="false">J38-K38</f>
        <v>3193</v>
      </c>
      <c r="M38" s="42" t="n">
        <v>1471</v>
      </c>
      <c r="N38" s="43" t="n">
        <f aca="false">L38-M38</f>
        <v>1722</v>
      </c>
    </row>
    <row r="39" customFormat="false" ht="15" hidden="false" customHeight="false" outlineLevel="0" collapsed="false">
      <c r="A39" s="40" t="n">
        <v>45658</v>
      </c>
      <c r="B39" s="41" t="n">
        <v>2025</v>
      </c>
      <c r="C39" s="41" t="n">
        <v>1</v>
      </c>
      <c r="D39" s="41" t="s">
        <v>34</v>
      </c>
      <c r="E39" s="41" t="s">
        <v>45</v>
      </c>
      <c r="F39" s="41" t="s">
        <v>42</v>
      </c>
      <c r="G39" s="41" t="s">
        <v>39</v>
      </c>
      <c r="H39" s="42" t="n">
        <v>50</v>
      </c>
      <c r="I39" s="42" t="n">
        <v>63</v>
      </c>
      <c r="J39" s="42" t="n">
        <v>3888</v>
      </c>
      <c r="K39" s="42" t="n">
        <v>594</v>
      </c>
      <c r="L39" s="43" t="n">
        <f aca="false">J39-K39</f>
        <v>3294</v>
      </c>
      <c r="M39" s="42" t="n">
        <v>1337</v>
      </c>
      <c r="N39" s="43" t="n">
        <f aca="false">L39-M39</f>
        <v>1957</v>
      </c>
    </row>
    <row r="40" customFormat="false" ht="15" hidden="false" customHeight="false" outlineLevel="0" collapsed="false">
      <c r="A40" s="40" t="n">
        <v>45658</v>
      </c>
      <c r="B40" s="41" t="n">
        <v>2025</v>
      </c>
      <c r="C40" s="41" t="n">
        <v>1</v>
      </c>
      <c r="D40" s="41" t="s">
        <v>34</v>
      </c>
      <c r="E40" s="41" t="s">
        <v>45</v>
      </c>
      <c r="F40" s="41" t="s">
        <v>42</v>
      </c>
      <c r="G40" s="41" t="s">
        <v>40</v>
      </c>
      <c r="H40" s="42" t="n">
        <v>22</v>
      </c>
      <c r="I40" s="42" t="n">
        <v>35</v>
      </c>
      <c r="J40" s="42" t="n">
        <v>2537</v>
      </c>
      <c r="K40" s="42" t="n">
        <v>416</v>
      </c>
      <c r="L40" s="43" t="n">
        <f aca="false">J40-K40</f>
        <v>2121</v>
      </c>
      <c r="M40" s="42" t="n">
        <v>1180</v>
      </c>
      <c r="N40" s="43" t="n">
        <f aca="false">L40-M40</f>
        <v>941</v>
      </c>
    </row>
    <row r="41" customFormat="false" ht="15" hidden="false" customHeight="false" outlineLevel="0" collapsed="false">
      <c r="A41" s="40" t="n">
        <v>45658</v>
      </c>
      <c r="B41" s="41" t="n">
        <v>2025</v>
      </c>
      <c r="C41" s="41" t="n">
        <v>1</v>
      </c>
      <c r="D41" s="41" t="s">
        <v>34</v>
      </c>
      <c r="E41" s="41" t="s">
        <v>45</v>
      </c>
      <c r="F41" s="41" t="s">
        <v>42</v>
      </c>
      <c r="G41" s="41" t="s">
        <v>41</v>
      </c>
      <c r="H41" s="42" t="n">
        <v>35</v>
      </c>
      <c r="I41" s="42" t="n">
        <v>41</v>
      </c>
      <c r="J41" s="42" t="n">
        <v>1976</v>
      </c>
      <c r="K41" s="42" t="n">
        <v>81</v>
      </c>
      <c r="L41" s="43" t="n">
        <f aca="false">J41-K41</f>
        <v>1895</v>
      </c>
      <c r="M41" s="42" t="n">
        <v>976</v>
      </c>
      <c r="N41" s="43" t="n">
        <f aca="false">L41-M41</f>
        <v>919</v>
      </c>
    </row>
    <row r="42" customFormat="false" ht="15" hidden="false" customHeight="false" outlineLevel="0" collapsed="false">
      <c r="A42" s="40" t="n">
        <v>45658</v>
      </c>
      <c r="B42" s="41" t="n">
        <v>2025</v>
      </c>
      <c r="C42" s="41" t="n">
        <v>1</v>
      </c>
      <c r="D42" s="41" t="s">
        <v>34</v>
      </c>
      <c r="E42" s="41" t="s">
        <v>45</v>
      </c>
      <c r="F42" s="41" t="s">
        <v>43</v>
      </c>
      <c r="G42" s="41" t="s">
        <v>37</v>
      </c>
      <c r="H42" s="42" t="n">
        <v>15</v>
      </c>
      <c r="I42" s="42" t="n">
        <v>22</v>
      </c>
      <c r="J42" s="42" t="n">
        <v>2957</v>
      </c>
      <c r="K42" s="42" t="n">
        <v>75</v>
      </c>
      <c r="L42" s="43" t="n">
        <f aca="false">J42-K42</f>
        <v>2882</v>
      </c>
      <c r="M42" s="42" t="n">
        <v>1516</v>
      </c>
      <c r="N42" s="43" t="n">
        <f aca="false">L42-M42</f>
        <v>1366</v>
      </c>
    </row>
    <row r="43" customFormat="false" ht="15" hidden="false" customHeight="false" outlineLevel="0" collapsed="false">
      <c r="A43" s="40" t="n">
        <v>45658</v>
      </c>
      <c r="B43" s="41" t="n">
        <v>2025</v>
      </c>
      <c r="C43" s="41" t="n">
        <v>1</v>
      </c>
      <c r="D43" s="41" t="s">
        <v>34</v>
      </c>
      <c r="E43" s="41" t="s">
        <v>45</v>
      </c>
      <c r="F43" s="41" t="s">
        <v>43</v>
      </c>
      <c r="G43" s="41" t="s">
        <v>38</v>
      </c>
      <c r="H43" s="42" t="n">
        <v>18</v>
      </c>
      <c r="I43" s="42" t="n">
        <v>27</v>
      </c>
      <c r="J43" s="42" t="n">
        <v>2130</v>
      </c>
      <c r="K43" s="42" t="n">
        <v>76</v>
      </c>
      <c r="L43" s="43" t="n">
        <f aca="false">J43-K43</f>
        <v>2054</v>
      </c>
      <c r="M43" s="42" t="n">
        <v>940</v>
      </c>
      <c r="N43" s="43" t="n">
        <f aca="false">L43-M43</f>
        <v>1114</v>
      </c>
    </row>
    <row r="44" customFormat="false" ht="15" hidden="false" customHeight="false" outlineLevel="0" collapsed="false">
      <c r="A44" s="40" t="n">
        <v>45658</v>
      </c>
      <c r="B44" s="41" t="n">
        <v>2025</v>
      </c>
      <c r="C44" s="41" t="n">
        <v>1</v>
      </c>
      <c r="D44" s="41" t="s">
        <v>34</v>
      </c>
      <c r="E44" s="41" t="s">
        <v>45</v>
      </c>
      <c r="F44" s="41" t="s">
        <v>43</v>
      </c>
      <c r="G44" s="41" t="s">
        <v>39</v>
      </c>
      <c r="H44" s="42" t="n">
        <v>30</v>
      </c>
      <c r="I44" s="42" t="n">
        <v>38</v>
      </c>
      <c r="J44" s="42" t="n">
        <v>2663</v>
      </c>
      <c r="K44" s="42" t="n">
        <v>210</v>
      </c>
      <c r="L44" s="43" t="n">
        <f aca="false">J44-K44</f>
        <v>2453</v>
      </c>
      <c r="M44" s="42" t="n">
        <v>985</v>
      </c>
      <c r="N44" s="43" t="n">
        <f aca="false">L44-M44</f>
        <v>1468</v>
      </c>
    </row>
    <row r="45" customFormat="false" ht="15" hidden="false" customHeight="false" outlineLevel="0" collapsed="false">
      <c r="A45" s="40" t="n">
        <v>45658</v>
      </c>
      <c r="B45" s="41" t="n">
        <v>2025</v>
      </c>
      <c r="C45" s="41" t="n">
        <v>1</v>
      </c>
      <c r="D45" s="41" t="s">
        <v>34</v>
      </c>
      <c r="E45" s="41" t="s">
        <v>45</v>
      </c>
      <c r="F45" s="41" t="s">
        <v>43</v>
      </c>
      <c r="G45" s="41" t="s">
        <v>40</v>
      </c>
      <c r="H45" s="42" t="n">
        <v>16</v>
      </c>
      <c r="I45" s="42" t="n">
        <v>24</v>
      </c>
      <c r="J45" s="42" t="n">
        <v>2212</v>
      </c>
      <c r="K45" s="42" t="n">
        <v>209</v>
      </c>
      <c r="L45" s="43" t="n">
        <f aca="false">J45-K45</f>
        <v>2003</v>
      </c>
      <c r="M45" s="42" t="n">
        <v>1117</v>
      </c>
      <c r="N45" s="43" t="n">
        <f aca="false">L45-M45</f>
        <v>886</v>
      </c>
    </row>
    <row r="46" customFormat="false" ht="15" hidden="false" customHeight="false" outlineLevel="0" collapsed="false">
      <c r="A46" s="40" t="n">
        <v>45658</v>
      </c>
      <c r="B46" s="41" t="n">
        <v>2025</v>
      </c>
      <c r="C46" s="41" t="n">
        <v>1</v>
      </c>
      <c r="D46" s="41" t="s">
        <v>34</v>
      </c>
      <c r="E46" s="41" t="s">
        <v>45</v>
      </c>
      <c r="F46" s="41" t="s">
        <v>43</v>
      </c>
      <c r="G46" s="41" t="s">
        <v>41</v>
      </c>
      <c r="H46" s="42" t="n">
        <v>19</v>
      </c>
      <c r="I46" s="42" t="n">
        <v>26</v>
      </c>
      <c r="J46" s="42" t="n">
        <v>1239</v>
      </c>
      <c r="K46" s="42" t="n">
        <v>25</v>
      </c>
      <c r="L46" s="43" t="n">
        <f aca="false">J46-K46</f>
        <v>1214</v>
      </c>
      <c r="M46" s="42" t="n">
        <v>567</v>
      </c>
      <c r="N46" s="43" t="n">
        <f aca="false">L46-M46</f>
        <v>647</v>
      </c>
    </row>
    <row r="47" customFormat="false" ht="15" hidden="false" customHeight="false" outlineLevel="0" collapsed="false">
      <c r="A47" s="40" t="n">
        <v>45658</v>
      </c>
      <c r="B47" s="41" t="n">
        <v>2025</v>
      </c>
      <c r="C47" s="41" t="n">
        <v>1</v>
      </c>
      <c r="D47" s="41" t="s">
        <v>34</v>
      </c>
      <c r="E47" s="41" t="s">
        <v>46</v>
      </c>
      <c r="F47" s="41" t="s">
        <v>36</v>
      </c>
      <c r="G47" s="41" t="s">
        <v>37</v>
      </c>
      <c r="H47" s="42" t="n">
        <v>24</v>
      </c>
      <c r="I47" s="42" t="n">
        <v>31</v>
      </c>
      <c r="J47" s="42" t="n">
        <v>4627</v>
      </c>
      <c r="K47" s="42" t="n">
        <v>167</v>
      </c>
      <c r="L47" s="43" t="n">
        <f aca="false">J47-K47</f>
        <v>4460</v>
      </c>
      <c r="M47" s="42" t="n">
        <v>2391</v>
      </c>
      <c r="N47" s="43" t="n">
        <f aca="false">L47-M47</f>
        <v>2069</v>
      </c>
    </row>
    <row r="48" customFormat="false" ht="15" hidden="false" customHeight="false" outlineLevel="0" collapsed="false">
      <c r="A48" s="40" t="n">
        <v>45658</v>
      </c>
      <c r="B48" s="41" t="n">
        <v>2025</v>
      </c>
      <c r="C48" s="41" t="n">
        <v>1</v>
      </c>
      <c r="D48" s="41" t="s">
        <v>34</v>
      </c>
      <c r="E48" s="41" t="s">
        <v>46</v>
      </c>
      <c r="F48" s="41" t="s">
        <v>36</v>
      </c>
      <c r="G48" s="41" t="s">
        <v>38</v>
      </c>
      <c r="H48" s="42" t="n">
        <v>47</v>
      </c>
      <c r="I48" s="42" t="n">
        <v>64</v>
      </c>
      <c r="J48" s="42" t="n">
        <v>5262</v>
      </c>
      <c r="K48" s="42" t="n">
        <v>309</v>
      </c>
      <c r="L48" s="43" t="n">
        <f aca="false">J48-K48</f>
        <v>4953</v>
      </c>
      <c r="M48" s="42" t="n">
        <v>2294</v>
      </c>
      <c r="N48" s="43" t="n">
        <f aca="false">L48-M48</f>
        <v>2659</v>
      </c>
    </row>
    <row r="49" customFormat="false" ht="15" hidden="false" customHeight="false" outlineLevel="0" collapsed="false">
      <c r="A49" s="40" t="n">
        <v>45658</v>
      </c>
      <c r="B49" s="41" t="n">
        <v>2025</v>
      </c>
      <c r="C49" s="41" t="n">
        <v>1</v>
      </c>
      <c r="D49" s="41" t="s">
        <v>34</v>
      </c>
      <c r="E49" s="41" t="s">
        <v>46</v>
      </c>
      <c r="F49" s="41" t="s">
        <v>36</v>
      </c>
      <c r="G49" s="41" t="s">
        <v>39</v>
      </c>
      <c r="H49" s="42" t="n">
        <v>75</v>
      </c>
      <c r="I49" s="42" t="n">
        <v>99</v>
      </c>
      <c r="J49" s="42" t="n">
        <v>6262</v>
      </c>
      <c r="K49" s="42" t="n">
        <v>556</v>
      </c>
      <c r="L49" s="43" t="n">
        <f aca="false">J49-K49</f>
        <v>5706</v>
      </c>
      <c r="M49" s="42" t="n">
        <v>2189</v>
      </c>
      <c r="N49" s="43" t="n">
        <f aca="false">L49-M49</f>
        <v>3517</v>
      </c>
    </row>
    <row r="50" customFormat="false" ht="15" hidden="false" customHeight="false" outlineLevel="0" collapsed="false">
      <c r="A50" s="40" t="n">
        <v>45658</v>
      </c>
      <c r="B50" s="41" t="n">
        <v>2025</v>
      </c>
      <c r="C50" s="41" t="n">
        <v>1</v>
      </c>
      <c r="D50" s="41" t="s">
        <v>34</v>
      </c>
      <c r="E50" s="41" t="s">
        <v>46</v>
      </c>
      <c r="F50" s="41" t="s">
        <v>36</v>
      </c>
      <c r="G50" s="41" t="s">
        <v>40</v>
      </c>
      <c r="H50" s="42" t="n">
        <v>29</v>
      </c>
      <c r="I50" s="42" t="n">
        <v>36</v>
      </c>
      <c r="J50" s="42" t="n">
        <v>3659</v>
      </c>
      <c r="K50" s="42" t="n">
        <v>461</v>
      </c>
      <c r="L50" s="43" t="n">
        <f aca="false">J50-K50</f>
        <v>3198</v>
      </c>
      <c r="M50" s="42" t="n">
        <v>1801</v>
      </c>
      <c r="N50" s="43" t="n">
        <f aca="false">L50-M50</f>
        <v>1397</v>
      </c>
    </row>
    <row r="51" customFormat="false" ht="15" hidden="false" customHeight="false" outlineLevel="0" collapsed="false">
      <c r="A51" s="40" t="n">
        <v>45658</v>
      </c>
      <c r="B51" s="41" t="n">
        <v>2025</v>
      </c>
      <c r="C51" s="41" t="n">
        <v>1</v>
      </c>
      <c r="D51" s="41" t="s">
        <v>34</v>
      </c>
      <c r="E51" s="41" t="s">
        <v>46</v>
      </c>
      <c r="F51" s="41" t="s">
        <v>36</v>
      </c>
      <c r="G51" s="41" t="s">
        <v>41</v>
      </c>
      <c r="H51" s="42" t="n">
        <v>48</v>
      </c>
      <c r="I51" s="42" t="n">
        <v>66</v>
      </c>
      <c r="J51" s="42" t="n">
        <v>2920</v>
      </c>
      <c r="K51" s="42" t="n">
        <v>93</v>
      </c>
      <c r="L51" s="43" t="n">
        <f aca="false">J51-K51</f>
        <v>2827</v>
      </c>
      <c r="M51" s="42" t="n">
        <v>1381</v>
      </c>
      <c r="N51" s="43" t="n">
        <f aca="false">L51-M51</f>
        <v>1446</v>
      </c>
    </row>
    <row r="52" customFormat="false" ht="15" hidden="false" customHeight="false" outlineLevel="0" collapsed="false">
      <c r="A52" s="40" t="n">
        <v>45658</v>
      </c>
      <c r="B52" s="41" t="n">
        <v>2025</v>
      </c>
      <c r="C52" s="41" t="n">
        <v>1</v>
      </c>
      <c r="D52" s="41" t="s">
        <v>34</v>
      </c>
      <c r="E52" s="41" t="s">
        <v>46</v>
      </c>
      <c r="F52" s="41" t="s">
        <v>42</v>
      </c>
      <c r="G52" s="41" t="s">
        <v>37</v>
      </c>
      <c r="H52" s="42" t="n">
        <v>19</v>
      </c>
      <c r="I52" s="42" t="n">
        <v>27</v>
      </c>
      <c r="J52" s="42" t="n">
        <v>3278</v>
      </c>
      <c r="K52" s="42" t="n">
        <v>206</v>
      </c>
      <c r="L52" s="43" t="n">
        <f aca="false">J52-K52</f>
        <v>3072</v>
      </c>
      <c r="M52" s="42" t="n">
        <v>1714</v>
      </c>
      <c r="N52" s="43" t="n">
        <f aca="false">L52-M52</f>
        <v>1358</v>
      </c>
    </row>
    <row r="53" customFormat="false" ht="15" hidden="false" customHeight="false" outlineLevel="0" collapsed="false">
      <c r="A53" s="40" t="n">
        <v>45658</v>
      </c>
      <c r="B53" s="41" t="n">
        <v>2025</v>
      </c>
      <c r="C53" s="41" t="n">
        <v>1</v>
      </c>
      <c r="D53" s="41" t="s">
        <v>34</v>
      </c>
      <c r="E53" s="41" t="s">
        <v>46</v>
      </c>
      <c r="F53" s="41" t="s">
        <v>42</v>
      </c>
      <c r="G53" s="41" t="s">
        <v>38</v>
      </c>
      <c r="H53" s="42" t="n">
        <v>34</v>
      </c>
      <c r="I53" s="42" t="n">
        <v>46</v>
      </c>
      <c r="J53" s="42" t="n">
        <v>3473</v>
      </c>
      <c r="K53" s="42" t="n">
        <v>204</v>
      </c>
      <c r="L53" s="43" t="n">
        <f aca="false">J53-K53</f>
        <v>3269</v>
      </c>
      <c r="M53" s="42" t="n">
        <v>1570</v>
      </c>
      <c r="N53" s="43" t="n">
        <f aca="false">L53-M53</f>
        <v>1699</v>
      </c>
    </row>
    <row r="54" customFormat="false" ht="15" hidden="false" customHeight="false" outlineLevel="0" collapsed="false">
      <c r="A54" s="40" t="n">
        <v>45658</v>
      </c>
      <c r="B54" s="41" t="n">
        <v>2025</v>
      </c>
      <c r="C54" s="41" t="n">
        <v>1</v>
      </c>
      <c r="D54" s="41" t="s">
        <v>34</v>
      </c>
      <c r="E54" s="41" t="s">
        <v>46</v>
      </c>
      <c r="F54" s="41" t="s">
        <v>42</v>
      </c>
      <c r="G54" s="41" t="s">
        <v>39</v>
      </c>
      <c r="H54" s="42" t="n">
        <v>48</v>
      </c>
      <c r="I54" s="42" t="n">
        <v>72</v>
      </c>
      <c r="J54" s="42" t="n">
        <v>3683</v>
      </c>
      <c r="K54" s="42" t="n">
        <v>591</v>
      </c>
      <c r="L54" s="43" t="n">
        <f aca="false">J54-K54</f>
        <v>3092</v>
      </c>
      <c r="M54" s="42" t="n">
        <v>1273</v>
      </c>
      <c r="N54" s="43" t="n">
        <f aca="false">L54-M54</f>
        <v>1819</v>
      </c>
    </row>
    <row r="55" customFormat="false" ht="15" hidden="false" customHeight="false" outlineLevel="0" collapsed="false">
      <c r="A55" s="40" t="n">
        <v>45658</v>
      </c>
      <c r="B55" s="41" t="n">
        <v>2025</v>
      </c>
      <c r="C55" s="41" t="n">
        <v>1</v>
      </c>
      <c r="D55" s="41" t="s">
        <v>34</v>
      </c>
      <c r="E55" s="41" t="s">
        <v>46</v>
      </c>
      <c r="F55" s="41" t="s">
        <v>42</v>
      </c>
      <c r="G55" s="41" t="s">
        <v>40</v>
      </c>
      <c r="H55" s="42" t="n">
        <v>23</v>
      </c>
      <c r="I55" s="42" t="n">
        <v>36</v>
      </c>
      <c r="J55" s="42" t="n">
        <v>2705</v>
      </c>
      <c r="K55" s="42" t="n">
        <v>478</v>
      </c>
      <c r="L55" s="43" t="n">
        <f aca="false">J55-K55</f>
        <v>2227</v>
      </c>
      <c r="M55" s="42" t="n">
        <v>1240</v>
      </c>
      <c r="N55" s="43" t="n">
        <f aca="false">L55-M55</f>
        <v>987</v>
      </c>
    </row>
    <row r="56" customFormat="false" ht="15" hidden="false" customHeight="false" outlineLevel="0" collapsed="false">
      <c r="A56" s="40" t="n">
        <v>45658</v>
      </c>
      <c r="B56" s="41" t="n">
        <v>2025</v>
      </c>
      <c r="C56" s="41" t="n">
        <v>1</v>
      </c>
      <c r="D56" s="41" t="s">
        <v>34</v>
      </c>
      <c r="E56" s="41" t="s">
        <v>46</v>
      </c>
      <c r="F56" s="41" t="s">
        <v>42</v>
      </c>
      <c r="G56" s="41" t="s">
        <v>41</v>
      </c>
      <c r="H56" s="42" t="n">
        <v>30</v>
      </c>
      <c r="I56" s="42" t="n">
        <v>37</v>
      </c>
      <c r="J56" s="42" t="n">
        <v>1661</v>
      </c>
      <c r="K56" s="42" t="n">
        <v>78</v>
      </c>
      <c r="L56" s="43" t="n">
        <f aca="false">J56-K56</f>
        <v>1583</v>
      </c>
      <c r="M56" s="42" t="n">
        <v>807</v>
      </c>
      <c r="N56" s="43" t="n">
        <f aca="false">L56-M56</f>
        <v>776</v>
      </c>
    </row>
    <row r="57" customFormat="false" ht="15" hidden="false" customHeight="false" outlineLevel="0" collapsed="false">
      <c r="A57" s="40" t="n">
        <v>45658</v>
      </c>
      <c r="B57" s="41" t="n">
        <v>2025</v>
      </c>
      <c r="C57" s="41" t="n">
        <v>1</v>
      </c>
      <c r="D57" s="41" t="s">
        <v>34</v>
      </c>
      <c r="E57" s="41" t="s">
        <v>46</v>
      </c>
      <c r="F57" s="41" t="s">
        <v>43</v>
      </c>
      <c r="G57" s="41" t="s">
        <v>37</v>
      </c>
      <c r="H57" s="42" t="n">
        <v>11</v>
      </c>
      <c r="I57" s="42" t="n">
        <v>17</v>
      </c>
      <c r="J57" s="42" t="n">
        <v>2297</v>
      </c>
      <c r="K57" s="42" t="n">
        <v>77</v>
      </c>
      <c r="L57" s="43" t="n">
        <f aca="false">J57-K57</f>
        <v>2220</v>
      </c>
      <c r="M57" s="42" t="n">
        <v>1188</v>
      </c>
      <c r="N57" s="43" t="n">
        <f aca="false">L57-M57</f>
        <v>1032</v>
      </c>
    </row>
    <row r="58" customFormat="false" ht="15" hidden="false" customHeight="false" outlineLevel="0" collapsed="false">
      <c r="A58" s="40" t="n">
        <v>45658</v>
      </c>
      <c r="B58" s="41" t="n">
        <v>2025</v>
      </c>
      <c r="C58" s="41" t="n">
        <v>1</v>
      </c>
      <c r="D58" s="41" t="s">
        <v>34</v>
      </c>
      <c r="E58" s="41" t="s">
        <v>46</v>
      </c>
      <c r="F58" s="41" t="s">
        <v>43</v>
      </c>
      <c r="G58" s="41" t="s">
        <v>38</v>
      </c>
      <c r="H58" s="42" t="n">
        <v>18</v>
      </c>
      <c r="I58" s="42" t="n">
        <v>25</v>
      </c>
      <c r="J58" s="42" t="n">
        <v>2138</v>
      </c>
      <c r="K58" s="42" t="n">
        <v>64</v>
      </c>
      <c r="L58" s="43" t="n">
        <f aca="false">J58-K58</f>
        <v>2074</v>
      </c>
      <c r="M58" s="42" t="n">
        <v>906</v>
      </c>
      <c r="N58" s="43" t="n">
        <f aca="false">L58-M58</f>
        <v>1168</v>
      </c>
    </row>
    <row r="59" customFormat="false" ht="15" hidden="false" customHeight="false" outlineLevel="0" collapsed="false">
      <c r="A59" s="40" t="n">
        <v>45658</v>
      </c>
      <c r="B59" s="41" t="n">
        <v>2025</v>
      </c>
      <c r="C59" s="41" t="n">
        <v>1</v>
      </c>
      <c r="D59" s="41" t="s">
        <v>34</v>
      </c>
      <c r="E59" s="41" t="s">
        <v>46</v>
      </c>
      <c r="F59" s="41" t="s">
        <v>43</v>
      </c>
      <c r="G59" s="41" t="s">
        <v>39</v>
      </c>
      <c r="H59" s="42" t="n">
        <v>34</v>
      </c>
      <c r="I59" s="42" t="n">
        <v>49</v>
      </c>
      <c r="J59" s="42" t="n">
        <v>3007</v>
      </c>
      <c r="K59" s="42" t="n">
        <v>213</v>
      </c>
      <c r="L59" s="43" t="n">
        <f aca="false">J59-K59</f>
        <v>2794</v>
      </c>
      <c r="M59" s="42" t="n">
        <v>1118</v>
      </c>
      <c r="N59" s="43" t="n">
        <f aca="false">L59-M59</f>
        <v>1676</v>
      </c>
    </row>
    <row r="60" customFormat="false" ht="15" hidden="false" customHeight="false" outlineLevel="0" collapsed="false">
      <c r="A60" s="40" t="n">
        <v>45658</v>
      </c>
      <c r="B60" s="41" t="n">
        <v>2025</v>
      </c>
      <c r="C60" s="41" t="n">
        <v>1</v>
      </c>
      <c r="D60" s="41" t="s">
        <v>34</v>
      </c>
      <c r="E60" s="41" t="s">
        <v>46</v>
      </c>
      <c r="F60" s="41" t="s">
        <v>43</v>
      </c>
      <c r="G60" s="41" t="s">
        <v>40</v>
      </c>
      <c r="H60" s="42" t="n">
        <v>14</v>
      </c>
      <c r="I60" s="42" t="n">
        <v>22</v>
      </c>
      <c r="J60" s="42" t="n">
        <v>1877</v>
      </c>
      <c r="K60" s="42" t="n">
        <v>178</v>
      </c>
      <c r="L60" s="43" t="n">
        <f aca="false">J60-K60</f>
        <v>1699</v>
      </c>
      <c r="M60" s="42" t="n">
        <v>918</v>
      </c>
      <c r="N60" s="43" t="n">
        <f aca="false">L60-M60</f>
        <v>781</v>
      </c>
    </row>
    <row r="61" customFormat="false" ht="15" hidden="false" customHeight="false" outlineLevel="0" collapsed="false">
      <c r="A61" s="40" t="n">
        <v>45658</v>
      </c>
      <c r="B61" s="41" t="n">
        <v>2025</v>
      </c>
      <c r="C61" s="41" t="n">
        <v>1</v>
      </c>
      <c r="D61" s="41" t="s">
        <v>34</v>
      </c>
      <c r="E61" s="41" t="s">
        <v>46</v>
      </c>
      <c r="F61" s="41" t="s">
        <v>43</v>
      </c>
      <c r="G61" s="41" t="s">
        <v>41</v>
      </c>
      <c r="H61" s="42" t="n">
        <v>18</v>
      </c>
      <c r="I61" s="42" t="n">
        <v>23</v>
      </c>
      <c r="J61" s="42" t="n">
        <v>1186</v>
      </c>
      <c r="K61" s="42" t="n">
        <v>22</v>
      </c>
      <c r="L61" s="43" t="n">
        <f aca="false">J61-K61</f>
        <v>1164</v>
      </c>
      <c r="M61" s="42" t="n">
        <v>562</v>
      </c>
      <c r="N61" s="43" t="n">
        <f aca="false">L61-M61</f>
        <v>602</v>
      </c>
    </row>
    <row r="62" customFormat="false" ht="15" hidden="false" customHeight="false" outlineLevel="0" collapsed="false">
      <c r="A62" s="40" t="n">
        <v>45689</v>
      </c>
      <c r="B62" s="41" t="n">
        <v>2025</v>
      </c>
      <c r="C62" s="41" t="n">
        <v>2</v>
      </c>
      <c r="D62" s="41" t="s">
        <v>47</v>
      </c>
      <c r="E62" s="41" t="s">
        <v>35</v>
      </c>
      <c r="F62" s="41" t="s">
        <v>36</v>
      </c>
      <c r="G62" s="41" t="s">
        <v>37</v>
      </c>
      <c r="H62" s="42" t="n">
        <v>50</v>
      </c>
      <c r="I62" s="42" t="n">
        <v>67</v>
      </c>
      <c r="J62" s="42" t="n">
        <v>9473</v>
      </c>
      <c r="K62" s="42" t="n">
        <v>323</v>
      </c>
      <c r="L62" s="43" t="n">
        <f aca="false">J62-K62</f>
        <v>9150</v>
      </c>
      <c r="M62" s="42" t="n">
        <v>4969</v>
      </c>
      <c r="N62" s="43" t="n">
        <f aca="false">L62-M62</f>
        <v>4181</v>
      </c>
    </row>
    <row r="63" customFormat="false" ht="15" hidden="false" customHeight="false" outlineLevel="0" collapsed="false">
      <c r="A63" s="40" t="n">
        <v>45689</v>
      </c>
      <c r="B63" s="41" t="n">
        <v>2025</v>
      </c>
      <c r="C63" s="41" t="n">
        <v>2</v>
      </c>
      <c r="D63" s="41" t="s">
        <v>47</v>
      </c>
      <c r="E63" s="41" t="s">
        <v>35</v>
      </c>
      <c r="F63" s="41" t="s">
        <v>36</v>
      </c>
      <c r="G63" s="41" t="s">
        <v>38</v>
      </c>
      <c r="H63" s="42" t="n">
        <v>76</v>
      </c>
      <c r="I63" s="42" t="n">
        <v>103</v>
      </c>
      <c r="J63" s="42" t="n">
        <v>8524</v>
      </c>
      <c r="K63" s="42" t="n">
        <v>440</v>
      </c>
      <c r="L63" s="43" t="n">
        <f aca="false">J63-K63</f>
        <v>8084</v>
      </c>
      <c r="M63" s="42" t="n">
        <v>3726</v>
      </c>
      <c r="N63" s="43" t="n">
        <f aca="false">L63-M63</f>
        <v>4358</v>
      </c>
    </row>
    <row r="64" customFormat="false" ht="15" hidden="false" customHeight="false" outlineLevel="0" collapsed="false">
      <c r="A64" s="40" t="n">
        <v>45689</v>
      </c>
      <c r="B64" s="41" t="n">
        <v>2025</v>
      </c>
      <c r="C64" s="41" t="n">
        <v>2</v>
      </c>
      <c r="D64" s="41" t="s">
        <v>47</v>
      </c>
      <c r="E64" s="41" t="s">
        <v>35</v>
      </c>
      <c r="F64" s="41" t="s">
        <v>36</v>
      </c>
      <c r="G64" s="41" t="s">
        <v>39</v>
      </c>
      <c r="H64" s="42" t="n">
        <v>123</v>
      </c>
      <c r="I64" s="42" t="n">
        <v>192</v>
      </c>
      <c r="J64" s="42" t="n">
        <v>10345</v>
      </c>
      <c r="K64" s="42" t="n">
        <v>1035</v>
      </c>
      <c r="L64" s="43" t="n">
        <f aca="false">J64-K64</f>
        <v>9310</v>
      </c>
      <c r="M64" s="42" t="n">
        <v>3638</v>
      </c>
      <c r="N64" s="43" t="n">
        <f aca="false">L64-M64</f>
        <v>5672</v>
      </c>
    </row>
    <row r="65" customFormat="false" ht="15" hidden="false" customHeight="false" outlineLevel="0" collapsed="false">
      <c r="A65" s="40" t="n">
        <v>45689</v>
      </c>
      <c r="B65" s="41" t="n">
        <v>2025</v>
      </c>
      <c r="C65" s="41" t="n">
        <v>2</v>
      </c>
      <c r="D65" s="41" t="s">
        <v>47</v>
      </c>
      <c r="E65" s="41" t="s">
        <v>35</v>
      </c>
      <c r="F65" s="41" t="s">
        <v>36</v>
      </c>
      <c r="G65" s="41" t="s">
        <v>40</v>
      </c>
      <c r="H65" s="42" t="n">
        <v>60</v>
      </c>
      <c r="I65" s="42" t="n">
        <v>70</v>
      </c>
      <c r="J65" s="42" t="n">
        <v>7668</v>
      </c>
      <c r="K65" s="42" t="n">
        <v>898</v>
      </c>
      <c r="L65" s="43" t="n">
        <f aca="false">J65-K65</f>
        <v>6770</v>
      </c>
      <c r="M65" s="42" t="n">
        <v>3653</v>
      </c>
      <c r="N65" s="43" t="n">
        <f aca="false">L65-M65</f>
        <v>3117</v>
      </c>
    </row>
    <row r="66" customFormat="false" ht="15" hidden="false" customHeight="false" outlineLevel="0" collapsed="false">
      <c r="A66" s="40" t="n">
        <v>45689</v>
      </c>
      <c r="B66" s="41" t="n">
        <v>2025</v>
      </c>
      <c r="C66" s="41" t="n">
        <v>2</v>
      </c>
      <c r="D66" s="41" t="s">
        <v>47</v>
      </c>
      <c r="E66" s="41" t="s">
        <v>35</v>
      </c>
      <c r="F66" s="41" t="s">
        <v>36</v>
      </c>
      <c r="G66" s="41" t="s">
        <v>41</v>
      </c>
      <c r="H66" s="42" t="n">
        <v>72</v>
      </c>
      <c r="I66" s="42" t="n">
        <v>109</v>
      </c>
      <c r="J66" s="42" t="n">
        <v>4373</v>
      </c>
      <c r="K66" s="42" t="n">
        <v>114</v>
      </c>
      <c r="L66" s="43" t="n">
        <f aca="false">J66-K66</f>
        <v>4259</v>
      </c>
      <c r="M66" s="42" t="n">
        <v>2041</v>
      </c>
      <c r="N66" s="43" t="n">
        <f aca="false">L66-M66</f>
        <v>2218</v>
      </c>
    </row>
    <row r="67" customFormat="false" ht="15" hidden="false" customHeight="false" outlineLevel="0" collapsed="false">
      <c r="A67" s="40" t="n">
        <v>45689</v>
      </c>
      <c r="B67" s="41" t="n">
        <v>2025</v>
      </c>
      <c r="C67" s="41" t="n">
        <v>2</v>
      </c>
      <c r="D67" s="41" t="s">
        <v>47</v>
      </c>
      <c r="E67" s="41" t="s">
        <v>35</v>
      </c>
      <c r="F67" s="41" t="s">
        <v>42</v>
      </c>
      <c r="G67" s="41" t="s">
        <v>37</v>
      </c>
      <c r="H67" s="42" t="n">
        <v>43</v>
      </c>
      <c r="I67" s="42" t="n">
        <v>60</v>
      </c>
      <c r="J67" s="42" t="n">
        <v>7511</v>
      </c>
      <c r="K67" s="42" t="n">
        <v>377</v>
      </c>
      <c r="L67" s="43" t="n">
        <f aca="false">J67-K67</f>
        <v>7134</v>
      </c>
      <c r="M67" s="42" t="n">
        <v>3919</v>
      </c>
      <c r="N67" s="43" t="n">
        <f aca="false">L67-M67</f>
        <v>3215</v>
      </c>
    </row>
    <row r="68" customFormat="false" ht="15" hidden="false" customHeight="false" outlineLevel="0" collapsed="false">
      <c r="A68" s="40" t="n">
        <v>45689</v>
      </c>
      <c r="B68" s="41" t="n">
        <v>2025</v>
      </c>
      <c r="C68" s="41" t="n">
        <v>2</v>
      </c>
      <c r="D68" s="41" t="s">
        <v>47</v>
      </c>
      <c r="E68" s="41" t="s">
        <v>35</v>
      </c>
      <c r="F68" s="41" t="s">
        <v>42</v>
      </c>
      <c r="G68" s="41" t="s">
        <v>38</v>
      </c>
      <c r="H68" s="42" t="n">
        <v>61</v>
      </c>
      <c r="I68" s="42" t="n">
        <v>92</v>
      </c>
      <c r="J68" s="42" t="n">
        <v>6279</v>
      </c>
      <c r="K68" s="42" t="n">
        <v>357</v>
      </c>
      <c r="L68" s="43" t="n">
        <f aca="false">J68-K68</f>
        <v>5922</v>
      </c>
      <c r="M68" s="42" t="n">
        <v>2805</v>
      </c>
      <c r="N68" s="43" t="n">
        <f aca="false">L68-M68</f>
        <v>3117</v>
      </c>
    </row>
    <row r="69" customFormat="false" ht="15" hidden="false" customHeight="false" outlineLevel="0" collapsed="false">
      <c r="A69" s="40" t="n">
        <v>45689</v>
      </c>
      <c r="B69" s="41" t="n">
        <v>2025</v>
      </c>
      <c r="C69" s="41" t="n">
        <v>2</v>
      </c>
      <c r="D69" s="41" t="s">
        <v>47</v>
      </c>
      <c r="E69" s="41" t="s">
        <v>35</v>
      </c>
      <c r="F69" s="41" t="s">
        <v>42</v>
      </c>
      <c r="G69" s="41" t="s">
        <v>39</v>
      </c>
      <c r="H69" s="42" t="n">
        <v>89</v>
      </c>
      <c r="I69" s="42" t="n">
        <v>113</v>
      </c>
      <c r="J69" s="42" t="n">
        <v>6842</v>
      </c>
      <c r="K69" s="42" t="n">
        <v>1024</v>
      </c>
      <c r="L69" s="43" t="n">
        <f aca="false">J69-K69</f>
        <v>5818</v>
      </c>
      <c r="M69" s="42" t="n">
        <v>2412</v>
      </c>
      <c r="N69" s="43" t="n">
        <f aca="false">L69-M69</f>
        <v>3406</v>
      </c>
    </row>
    <row r="70" customFormat="false" ht="15" hidden="false" customHeight="false" outlineLevel="0" collapsed="false">
      <c r="A70" s="40" t="n">
        <v>45689</v>
      </c>
      <c r="B70" s="41" t="n">
        <v>2025</v>
      </c>
      <c r="C70" s="41" t="n">
        <v>2</v>
      </c>
      <c r="D70" s="41" t="s">
        <v>47</v>
      </c>
      <c r="E70" s="41" t="s">
        <v>35</v>
      </c>
      <c r="F70" s="41" t="s">
        <v>42</v>
      </c>
      <c r="G70" s="41" t="s">
        <v>40</v>
      </c>
      <c r="H70" s="42" t="n">
        <v>46</v>
      </c>
      <c r="I70" s="42" t="n">
        <v>69</v>
      </c>
      <c r="J70" s="42" t="n">
        <v>5391</v>
      </c>
      <c r="K70" s="42" t="n">
        <v>1017</v>
      </c>
      <c r="L70" s="43" t="n">
        <f aca="false">J70-K70</f>
        <v>4374</v>
      </c>
      <c r="M70" s="42" t="n">
        <v>2476</v>
      </c>
      <c r="N70" s="43" t="n">
        <f aca="false">L70-M70</f>
        <v>1898</v>
      </c>
    </row>
    <row r="71" customFormat="false" ht="15" hidden="false" customHeight="false" outlineLevel="0" collapsed="false">
      <c r="A71" s="40" t="n">
        <v>45689</v>
      </c>
      <c r="B71" s="41" t="n">
        <v>2025</v>
      </c>
      <c r="C71" s="41" t="n">
        <v>2</v>
      </c>
      <c r="D71" s="41" t="s">
        <v>47</v>
      </c>
      <c r="E71" s="41" t="s">
        <v>35</v>
      </c>
      <c r="F71" s="41" t="s">
        <v>42</v>
      </c>
      <c r="G71" s="41" t="s">
        <v>41</v>
      </c>
      <c r="H71" s="42" t="n">
        <v>65</v>
      </c>
      <c r="I71" s="42" t="n">
        <v>90</v>
      </c>
      <c r="J71" s="42" t="n">
        <v>3644</v>
      </c>
      <c r="K71" s="42" t="n">
        <v>148</v>
      </c>
      <c r="L71" s="43" t="n">
        <f aca="false">J71-K71</f>
        <v>3496</v>
      </c>
      <c r="M71" s="42" t="n">
        <v>1771</v>
      </c>
      <c r="N71" s="43" t="n">
        <f aca="false">L71-M71</f>
        <v>1725</v>
      </c>
    </row>
    <row r="72" customFormat="false" ht="15" hidden="false" customHeight="false" outlineLevel="0" collapsed="false">
      <c r="A72" s="40" t="n">
        <v>45689</v>
      </c>
      <c r="B72" s="41" t="n">
        <v>2025</v>
      </c>
      <c r="C72" s="41" t="n">
        <v>2</v>
      </c>
      <c r="D72" s="41" t="s">
        <v>47</v>
      </c>
      <c r="E72" s="41" t="s">
        <v>35</v>
      </c>
      <c r="F72" s="41" t="s">
        <v>43</v>
      </c>
      <c r="G72" s="41" t="s">
        <v>37</v>
      </c>
      <c r="H72" s="42" t="n">
        <v>24</v>
      </c>
      <c r="I72" s="42" t="n">
        <v>33</v>
      </c>
      <c r="J72" s="42" t="n">
        <v>4793</v>
      </c>
      <c r="K72" s="42" t="n">
        <v>133</v>
      </c>
      <c r="L72" s="43" t="n">
        <f aca="false">J72-K72</f>
        <v>4660</v>
      </c>
      <c r="M72" s="42" t="n">
        <v>2535</v>
      </c>
      <c r="N72" s="43" t="n">
        <f aca="false">L72-M72</f>
        <v>2125</v>
      </c>
    </row>
    <row r="73" customFormat="false" ht="15" hidden="false" customHeight="false" outlineLevel="0" collapsed="false">
      <c r="A73" s="40" t="n">
        <v>45689</v>
      </c>
      <c r="B73" s="41" t="n">
        <v>2025</v>
      </c>
      <c r="C73" s="41" t="n">
        <v>2</v>
      </c>
      <c r="D73" s="41" t="s">
        <v>47</v>
      </c>
      <c r="E73" s="41" t="s">
        <v>35</v>
      </c>
      <c r="F73" s="41" t="s">
        <v>43</v>
      </c>
      <c r="G73" s="41" t="s">
        <v>38</v>
      </c>
      <c r="H73" s="42" t="n">
        <v>38</v>
      </c>
      <c r="I73" s="42" t="n">
        <v>59</v>
      </c>
      <c r="J73" s="42" t="n">
        <v>4488</v>
      </c>
      <c r="K73" s="42" t="n">
        <v>185</v>
      </c>
      <c r="L73" s="43" t="n">
        <f aca="false">J73-K73</f>
        <v>4303</v>
      </c>
      <c r="M73" s="42" t="n">
        <v>1908</v>
      </c>
      <c r="N73" s="43" t="n">
        <f aca="false">L73-M73</f>
        <v>2395</v>
      </c>
    </row>
    <row r="74" customFormat="false" ht="15" hidden="false" customHeight="false" outlineLevel="0" collapsed="false">
      <c r="A74" s="40" t="n">
        <v>45689</v>
      </c>
      <c r="B74" s="41" t="n">
        <v>2025</v>
      </c>
      <c r="C74" s="41" t="n">
        <v>2</v>
      </c>
      <c r="D74" s="41" t="s">
        <v>47</v>
      </c>
      <c r="E74" s="41" t="s">
        <v>35</v>
      </c>
      <c r="F74" s="41" t="s">
        <v>43</v>
      </c>
      <c r="G74" s="41" t="s">
        <v>39</v>
      </c>
      <c r="H74" s="42" t="n">
        <v>58</v>
      </c>
      <c r="I74" s="42" t="n">
        <v>91</v>
      </c>
      <c r="J74" s="42" t="n">
        <v>5145</v>
      </c>
      <c r="K74" s="42" t="n">
        <v>409</v>
      </c>
      <c r="L74" s="43" t="n">
        <f aca="false">J74-K74</f>
        <v>4736</v>
      </c>
      <c r="M74" s="42" t="n">
        <v>1807</v>
      </c>
      <c r="N74" s="43" t="n">
        <f aca="false">L74-M74</f>
        <v>2929</v>
      </c>
    </row>
    <row r="75" customFormat="false" ht="15" hidden="false" customHeight="false" outlineLevel="0" collapsed="false">
      <c r="A75" s="40" t="n">
        <v>45689</v>
      </c>
      <c r="B75" s="41" t="n">
        <v>2025</v>
      </c>
      <c r="C75" s="41" t="n">
        <v>2</v>
      </c>
      <c r="D75" s="41" t="s">
        <v>47</v>
      </c>
      <c r="E75" s="41" t="s">
        <v>35</v>
      </c>
      <c r="F75" s="41" t="s">
        <v>43</v>
      </c>
      <c r="G75" s="41" t="s">
        <v>40</v>
      </c>
      <c r="H75" s="42" t="n">
        <v>24</v>
      </c>
      <c r="I75" s="42" t="n">
        <v>32</v>
      </c>
      <c r="J75" s="42" t="n">
        <v>3257</v>
      </c>
      <c r="K75" s="42" t="n">
        <v>227</v>
      </c>
      <c r="L75" s="43" t="n">
        <f aca="false">J75-K75</f>
        <v>3030</v>
      </c>
      <c r="M75" s="42" t="n">
        <v>1641</v>
      </c>
      <c r="N75" s="43" t="n">
        <f aca="false">L75-M75</f>
        <v>1389</v>
      </c>
    </row>
    <row r="76" customFormat="false" ht="15" hidden="false" customHeight="false" outlineLevel="0" collapsed="false">
      <c r="A76" s="40" t="n">
        <v>45689</v>
      </c>
      <c r="B76" s="41" t="n">
        <v>2025</v>
      </c>
      <c r="C76" s="41" t="n">
        <v>2</v>
      </c>
      <c r="D76" s="41" t="s">
        <v>47</v>
      </c>
      <c r="E76" s="41" t="s">
        <v>35</v>
      </c>
      <c r="F76" s="41" t="s">
        <v>43</v>
      </c>
      <c r="G76" s="41" t="s">
        <v>41</v>
      </c>
      <c r="H76" s="42" t="n">
        <v>33</v>
      </c>
      <c r="I76" s="42" t="n">
        <v>48</v>
      </c>
      <c r="J76" s="42" t="n">
        <v>2139</v>
      </c>
      <c r="K76" s="42" t="n">
        <v>50</v>
      </c>
      <c r="L76" s="43" t="n">
        <f aca="false">J76-K76</f>
        <v>2089</v>
      </c>
      <c r="M76" s="42" t="n">
        <v>1026</v>
      </c>
      <c r="N76" s="43" t="n">
        <f aca="false">L76-M76</f>
        <v>1063</v>
      </c>
    </row>
    <row r="77" customFormat="false" ht="15" hidden="false" customHeight="false" outlineLevel="0" collapsed="false">
      <c r="A77" s="40" t="n">
        <v>45689</v>
      </c>
      <c r="B77" s="41" t="n">
        <v>2025</v>
      </c>
      <c r="C77" s="41" t="n">
        <v>2</v>
      </c>
      <c r="D77" s="41" t="s">
        <v>47</v>
      </c>
      <c r="E77" s="41" t="s">
        <v>44</v>
      </c>
      <c r="F77" s="41" t="s">
        <v>36</v>
      </c>
      <c r="G77" s="41" t="s">
        <v>37</v>
      </c>
      <c r="H77" s="42" t="n">
        <v>39</v>
      </c>
      <c r="I77" s="42" t="n">
        <v>57</v>
      </c>
      <c r="J77" s="42" t="n">
        <v>7286</v>
      </c>
      <c r="K77" s="42" t="n">
        <v>310</v>
      </c>
      <c r="L77" s="43" t="n">
        <f aca="false">J77-K77</f>
        <v>6976</v>
      </c>
      <c r="M77" s="42" t="n">
        <v>3618</v>
      </c>
      <c r="N77" s="43" t="n">
        <f aca="false">L77-M77</f>
        <v>3358</v>
      </c>
    </row>
    <row r="78" customFormat="false" ht="15" hidden="false" customHeight="false" outlineLevel="0" collapsed="false">
      <c r="A78" s="40" t="n">
        <v>45689</v>
      </c>
      <c r="B78" s="41" t="n">
        <v>2025</v>
      </c>
      <c r="C78" s="41" t="n">
        <v>2</v>
      </c>
      <c r="D78" s="41" t="s">
        <v>47</v>
      </c>
      <c r="E78" s="41" t="s">
        <v>44</v>
      </c>
      <c r="F78" s="41" t="s">
        <v>36</v>
      </c>
      <c r="G78" s="41" t="s">
        <v>38</v>
      </c>
      <c r="H78" s="42" t="n">
        <v>70</v>
      </c>
      <c r="I78" s="42" t="n">
        <v>111</v>
      </c>
      <c r="J78" s="42" t="n">
        <v>7814</v>
      </c>
      <c r="K78" s="42" t="n">
        <v>347</v>
      </c>
      <c r="L78" s="43" t="n">
        <f aca="false">J78-K78</f>
        <v>7467</v>
      </c>
      <c r="M78" s="42" t="n">
        <v>3452</v>
      </c>
      <c r="N78" s="43" t="n">
        <f aca="false">L78-M78</f>
        <v>4015</v>
      </c>
    </row>
    <row r="79" customFormat="false" ht="15" hidden="false" customHeight="false" outlineLevel="0" collapsed="false">
      <c r="A79" s="40" t="n">
        <v>45689</v>
      </c>
      <c r="B79" s="41" t="n">
        <v>2025</v>
      </c>
      <c r="C79" s="41" t="n">
        <v>2</v>
      </c>
      <c r="D79" s="41" t="s">
        <v>47</v>
      </c>
      <c r="E79" s="41" t="s">
        <v>44</v>
      </c>
      <c r="F79" s="41" t="s">
        <v>36</v>
      </c>
      <c r="G79" s="41" t="s">
        <v>39</v>
      </c>
      <c r="H79" s="42" t="n">
        <v>97</v>
      </c>
      <c r="I79" s="42" t="n">
        <v>133</v>
      </c>
      <c r="J79" s="42" t="n">
        <v>8163</v>
      </c>
      <c r="K79" s="42" t="n">
        <v>976</v>
      </c>
      <c r="L79" s="43" t="n">
        <f aca="false">J79-K79</f>
        <v>7187</v>
      </c>
      <c r="M79" s="42" t="n">
        <v>2859</v>
      </c>
      <c r="N79" s="43" t="n">
        <f aca="false">L79-M79</f>
        <v>4328</v>
      </c>
    </row>
    <row r="80" customFormat="false" ht="15" hidden="false" customHeight="false" outlineLevel="0" collapsed="false">
      <c r="A80" s="40" t="n">
        <v>45689</v>
      </c>
      <c r="B80" s="41" t="n">
        <v>2025</v>
      </c>
      <c r="C80" s="41" t="n">
        <v>2</v>
      </c>
      <c r="D80" s="41" t="s">
        <v>47</v>
      </c>
      <c r="E80" s="41" t="s">
        <v>44</v>
      </c>
      <c r="F80" s="41" t="s">
        <v>36</v>
      </c>
      <c r="G80" s="41" t="s">
        <v>40</v>
      </c>
      <c r="H80" s="42" t="n">
        <v>43</v>
      </c>
      <c r="I80" s="42" t="n">
        <v>58</v>
      </c>
      <c r="J80" s="42" t="n">
        <v>5476</v>
      </c>
      <c r="K80" s="42" t="n">
        <v>661</v>
      </c>
      <c r="L80" s="43" t="n">
        <f aca="false">J80-K80</f>
        <v>4815</v>
      </c>
      <c r="M80" s="42" t="n">
        <v>2623</v>
      </c>
      <c r="N80" s="43" t="n">
        <f aca="false">L80-M80</f>
        <v>2192</v>
      </c>
    </row>
    <row r="81" customFormat="false" ht="15" hidden="false" customHeight="false" outlineLevel="0" collapsed="false">
      <c r="A81" s="40" t="n">
        <v>45689</v>
      </c>
      <c r="B81" s="41" t="n">
        <v>2025</v>
      </c>
      <c r="C81" s="41" t="n">
        <v>2</v>
      </c>
      <c r="D81" s="41" t="s">
        <v>47</v>
      </c>
      <c r="E81" s="41" t="s">
        <v>44</v>
      </c>
      <c r="F81" s="41" t="s">
        <v>36</v>
      </c>
      <c r="G81" s="41" t="s">
        <v>41</v>
      </c>
      <c r="H81" s="42" t="n">
        <v>60</v>
      </c>
      <c r="I81" s="42" t="n">
        <v>78</v>
      </c>
      <c r="J81" s="42" t="n">
        <v>3689</v>
      </c>
      <c r="K81" s="42" t="n">
        <v>121</v>
      </c>
      <c r="L81" s="43" t="n">
        <f aca="false">J81-K81</f>
        <v>3568</v>
      </c>
      <c r="M81" s="42" t="n">
        <v>1664</v>
      </c>
      <c r="N81" s="43" t="n">
        <f aca="false">L81-M81</f>
        <v>1904</v>
      </c>
    </row>
    <row r="82" customFormat="false" ht="15" hidden="false" customHeight="false" outlineLevel="0" collapsed="false">
      <c r="A82" s="40" t="n">
        <v>45689</v>
      </c>
      <c r="B82" s="41" t="n">
        <v>2025</v>
      </c>
      <c r="C82" s="41" t="n">
        <v>2</v>
      </c>
      <c r="D82" s="41" t="s">
        <v>47</v>
      </c>
      <c r="E82" s="41" t="s">
        <v>44</v>
      </c>
      <c r="F82" s="41" t="s">
        <v>42</v>
      </c>
      <c r="G82" s="41" t="s">
        <v>37</v>
      </c>
      <c r="H82" s="42" t="n">
        <v>33</v>
      </c>
      <c r="I82" s="42" t="n">
        <v>44</v>
      </c>
      <c r="J82" s="42" t="n">
        <v>5696</v>
      </c>
      <c r="K82" s="42" t="n">
        <v>248</v>
      </c>
      <c r="L82" s="43" t="n">
        <f aca="false">J82-K82</f>
        <v>5448</v>
      </c>
      <c r="M82" s="42" t="n">
        <v>2960</v>
      </c>
      <c r="N82" s="43" t="n">
        <f aca="false">L82-M82</f>
        <v>2488</v>
      </c>
    </row>
    <row r="83" customFormat="false" ht="15" hidden="false" customHeight="false" outlineLevel="0" collapsed="false">
      <c r="A83" s="40" t="n">
        <v>45689</v>
      </c>
      <c r="B83" s="41" t="n">
        <v>2025</v>
      </c>
      <c r="C83" s="41" t="n">
        <v>2</v>
      </c>
      <c r="D83" s="41" t="s">
        <v>47</v>
      </c>
      <c r="E83" s="41" t="s">
        <v>44</v>
      </c>
      <c r="F83" s="41" t="s">
        <v>42</v>
      </c>
      <c r="G83" s="41" t="s">
        <v>38</v>
      </c>
      <c r="H83" s="42" t="n">
        <v>49</v>
      </c>
      <c r="I83" s="42" t="n">
        <v>68</v>
      </c>
      <c r="J83" s="42" t="n">
        <v>5080</v>
      </c>
      <c r="K83" s="42" t="n">
        <v>283</v>
      </c>
      <c r="L83" s="43" t="n">
        <f aca="false">J83-K83</f>
        <v>4797</v>
      </c>
      <c r="M83" s="42" t="n">
        <v>2330</v>
      </c>
      <c r="N83" s="43" t="n">
        <f aca="false">L83-M83</f>
        <v>2467</v>
      </c>
    </row>
    <row r="84" customFormat="false" ht="15" hidden="false" customHeight="false" outlineLevel="0" collapsed="false">
      <c r="A84" s="40" t="n">
        <v>45689</v>
      </c>
      <c r="B84" s="41" t="n">
        <v>2025</v>
      </c>
      <c r="C84" s="41" t="n">
        <v>2</v>
      </c>
      <c r="D84" s="41" t="s">
        <v>47</v>
      </c>
      <c r="E84" s="41" t="s">
        <v>44</v>
      </c>
      <c r="F84" s="41" t="s">
        <v>42</v>
      </c>
      <c r="G84" s="41" t="s">
        <v>39</v>
      </c>
      <c r="H84" s="42" t="n">
        <v>82</v>
      </c>
      <c r="I84" s="42" t="n">
        <v>130</v>
      </c>
      <c r="J84" s="42" t="n">
        <v>6317</v>
      </c>
      <c r="K84" s="42" t="n">
        <v>718</v>
      </c>
      <c r="L84" s="43" t="n">
        <f aca="false">J84-K84</f>
        <v>5599</v>
      </c>
      <c r="M84" s="42" t="n">
        <v>2288</v>
      </c>
      <c r="N84" s="43" t="n">
        <f aca="false">L84-M84</f>
        <v>3311</v>
      </c>
    </row>
    <row r="85" customFormat="false" ht="15" hidden="false" customHeight="false" outlineLevel="0" collapsed="false">
      <c r="A85" s="40" t="n">
        <v>45689</v>
      </c>
      <c r="B85" s="41" t="n">
        <v>2025</v>
      </c>
      <c r="C85" s="41" t="n">
        <v>2</v>
      </c>
      <c r="D85" s="41" t="s">
        <v>47</v>
      </c>
      <c r="E85" s="41" t="s">
        <v>44</v>
      </c>
      <c r="F85" s="41" t="s">
        <v>42</v>
      </c>
      <c r="G85" s="41" t="s">
        <v>40</v>
      </c>
      <c r="H85" s="42" t="n">
        <v>31</v>
      </c>
      <c r="I85" s="42" t="n">
        <v>47</v>
      </c>
      <c r="J85" s="42" t="n">
        <v>3666</v>
      </c>
      <c r="K85" s="42" t="n">
        <v>539</v>
      </c>
      <c r="L85" s="43" t="n">
        <f aca="false">J85-K85</f>
        <v>3127</v>
      </c>
      <c r="M85" s="42" t="n">
        <v>1736</v>
      </c>
      <c r="N85" s="43" t="n">
        <f aca="false">L85-M85</f>
        <v>1391</v>
      </c>
    </row>
    <row r="86" customFormat="false" ht="15" hidden="false" customHeight="false" outlineLevel="0" collapsed="false">
      <c r="A86" s="40" t="n">
        <v>45689</v>
      </c>
      <c r="B86" s="41" t="n">
        <v>2025</v>
      </c>
      <c r="C86" s="41" t="n">
        <v>2</v>
      </c>
      <c r="D86" s="41" t="s">
        <v>47</v>
      </c>
      <c r="E86" s="41" t="s">
        <v>44</v>
      </c>
      <c r="F86" s="41" t="s">
        <v>42</v>
      </c>
      <c r="G86" s="41" t="s">
        <v>41</v>
      </c>
      <c r="H86" s="42" t="n">
        <v>49</v>
      </c>
      <c r="I86" s="42" t="n">
        <v>76</v>
      </c>
      <c r="J86" s="42" t="n">
        <v>2745</v>
      </c>
      <c r="K86" s="42" t="n">
        <v>125</v>
      </c>
      <c r="L86" s="43" t="n">
        <f aca="false">J86-K86</f>
        <v>2620</v>
      </c>
      <c r="M86" s="42" t="n">
        <v>1293</v>
      </c>
      <c r="N86" s="43" t="n">
        <f aca="false">L86-M86</f>
        <v>1327</v>
      </c>
    </row>
    <row r="87" customFormat="false" ht="15" hidden="false" customHeight="false" outlineLevel="0" collapsed="false">
      <c r="A87" s="40" t="n">
        <v>45689</v>
      </c>
      <c r="B87" s="41" t="n">
        <v>2025</v>
      </c>
      <c r="C87" s="41" t="n">
        <v>2</v>
      </c>
      <c r="D87" s="41" t="s">
        <v>47</v>
      </c>
      <c r="E87" s="41" t="s">
        <v>44</v>
      </c>
      <c r="F87" s="41" t="s">
        <v>43</v>
      </c>
      <c r="G87" s="41" t="s">
        <v>37</v>
      </c>
      <c r="H87" s="42" t="n">
        <v>17</v>
      </c>
      <c r="I87" s="42" t="n">
        <v>27</v>
      </c>
      <c r="J87" s="42" t="n">
        <v>3479</v>
      </c>
      <c r="K87" s="42" t="n">
        <v>100</v>
      </c>
      <c r="L87" s="43" t="n">
        <f aca="false">J87-K87</f>
        <v>3379</v>
      </c>
      <c r="M87" s="42" t="n">
        <v>1812</v>
      </c>
      <c r="N87" s="43" t="n">
        <f aca="false">L87-M87</f>
        <v>1567</v>
      </c>
    </row>
    <row r="88" customFormat="false" ht="15" hidden="false" customHeight="false" outlineLevel="0" collapsed="false">
      <c r="A88" s="40" t="n">
        <v>45689</v>
      </c>
      <c r="B88" s="41" t="n">
        <v>2025</v>
      </c>
      <c r="C88" s="41" t="n">
        <v>2</v>
      </c>
      <c r="D88" s="41" t="s">
        <v>47</v>
      </c>
      <c r="E88" s="41" t="s">
        <v>44</v>
      </c>
      <c r="F88" s="41" t="s">
        <v>43</v>
      </c>
      <c r="G88" s="41" t="s">
        <v>38</v>
      </c>
      <c r="H88" s="42" t="n">
        <v>25</v>
      </c>
      <c r="I88" s="42" t="n">
        <v>29</v>
      </c>
      <c r="J88" s="42" t="n">
        <v>2987</v>
      </c>
      <c r="K88" s="42" t="n">
        <v>112</v>
      </c>
      <c r="L88" s="43" t="n">
        <f aca="false">J88-K88</f>
        <v>2875</v>
      </c>
      <c r="M88" s="42" t="n">
        <v>1288</v>
      </c>
      <c r="N88" s="43" t="n">
        <f aca="false">L88-M88</f>
        <v>1587</v>
      </c>
    </row>
    <row r="89" customFormat="false" ht="15" hidden="false" customHeight="false" outlineLevel="0" collapsed="false">
      <c r="A89" s="40" t="n">
        <v>45689</v>
      </c>
      <c r="B89" s="41" t="n">
        <v>2025</v>
      </c>
      <c r="C89" s="41" t="n">
        <v>2</v>
      </c>
      <c r="D89" s="41" t="s">
        <v>47</v>
      </c>
      <c r="E89" s="41" t="s">
        <v>44</v>
      </c>
      <c r="F89" s="41" t="s">
        <v>43</v>
      </c>
      <c r="G89" s="41" t="s">
        <v>39</v>
      </c>
      <c r="H89" s="42" t="n">
        <v>40</v>
      </c>
      <c r="I89" s="42" t="n">
        <v>63</v>
      </c>
      <c r="J89" s="42" t="n">
        <v>3537</v>
      </c>
      <c r="K89" s="42" t="n">
        <v>261</v>
      </c>
      <c r="L89" s="43" t="n">
        <f aca="false">J89-K89</f>
        <v>3276</v>
      </c>
      <c r="M89" s="42" t="n">
        <v>1301</v>
      </c>
      <c r="N89" s="43" t="n">
        <f aca="false">L89-M89</f>
        <v>1975</v>
      </c>
    </row>
    <row r="90" customFormat="false" ht="15" hidden="false" customHeight="false" outlineLevel="0" collapsed="false">
      <c r="A90" s="40" t="n">
        <v>45689</v>
      </c>
      <c r="B90" s="41" t="n">
        <v>2025</v>
      </c>
      <c r="C90" s="41" t="n">
        <v>2</v>
      </c>
      <c r="D90" s="41" t="s">
        <v>47</v>
      </c>
      <c r="E90" s="41" t="s">
        <v>44</v>
      </c>
      <c r="F90" s="41" t="s">
        <v>43</v>
      </c>
      <c r="G90" s="41" t="s">
        <v>40</v>
      </c>
      <c r="H90" s="42" t="n">
        <v>19</v>
      </c>
      <c r="I90" s="42" t="n">
        <v>29</v>
      </c>
      <c r="J90" s="42" t="n">
        <v>2556</v>
      </c>
      <c r="K90" s="42" t="n">
        <v>177</v>
      </c>
      <c r="L90" s="43" t="n">
        <f aca="false">J90-K90</f>
        <v>2379</v>
      </c>
      <c r="M90" s="42" t="n">
        <v>1337</v>
      </c>
      <c r="N90" s="43" t="n">
        <f aca="false">L90-M90</f>
        <v>1042</v>
      </c>
    </row>
    <row r="91" customFormat="false" ht="15" hidden="false" customHeight="false" outlineLevel="0" collapsed="false">
      <c r="A91" s="40" t="n">
        <v>45689</v>
      </c>
      <c r="B91" s="41" t="n">
        <v>2025</v>
      </c>
      <c r="C91" s="41" t="n">
        <v>2</v>
      </c>
      <c r="D91" s="41" t="s">
        <v>47</v>
      </c>
      <c r="E91" s="41" t="s">
        <v>44</v>
      </c>
      <c r="F91" s="41" t="s">
        <v>43</v>
      </c>
      <c r="G91" s="41" t="s">
        <v>41</v>
      </c>
      <c r="H91" s="42" t="n">
        <v>29</v>
      </c>
      <c r="I91" s="42" t="n">
        <v>38</v>
      </c>
      <c r="J91" s="42" t="n">
        <v>1904</v>
      </c>
      <c r="K91" s="42" t="n">
        <v>41</v>
      </c>
      <c r="L91" s="43" t="n">
        <f aca="false">J91-K91</f>
        <v>1863</v>
      </c>
      <c r="M91" s="42" t="n">
        <v>917</v>
      </c>
      <c r="N91" s="43" t="n">
        <f aca="false">L91-M91</f>
        <v>946</v>
      </c>
    </row>
    <row r="92" customFormat="false" ht="15" hidden="false" customHeight="false" outlineLevel="0" collapsed="false">
      <c r="A92" s="40" t="n">
        <v>45689</v>
      </c>
      <c r="B92" s="41" t="n">
        <v>2025</v>
      </c>
      <c r="C92" s="41" t="n">
        <v>2</v>
      </c>
      <c r="D92" s="41" t="s">
        <v>47</v>
      </c>
      <c r="E92" s="41" t="s">
        <v>45</v>
      </c>
      <c r="F92" s="41" t="s">
        <v>36</v>
      </c>
      <c r="G92" s="41" t="s">
        <v>37</v>
      </c>
      <c r="H92" s="42" t="n">
        <v>30</v>
      </c>
      <c r="I92" s="42" t="n">
        <v>36</v>
      </c>
      <c r="J92" s="42" t="n">
        <v>5586</v>
      </c>
      <c r="K92" s="42" t="n">
        <v>226</v>
      </c>
      <c r="L92" s="43" t="n">
        <f aca="false">J92-K92</f>
        <v>5360</v>
      </c>
      <c r="M92" s="42" t="n">
        <v>2797</v>
      </c>
      <c r="N92" s="43" t="n">
        <f aca="false">L92-M92</f>
        <v>2563</v>
      </c>
    </row>
    <row r="93" customFormat="false" ht="15" hidden="false" customHeight="false" outlineLevel="0" collapsed="false">
      <c r="A93" s="40" t="n">
        <v>45689</v>
      </c>
      <c r="B93" s="41" t="n">
        <v>2025</v>
      </c>
      <c r="C93" s="41" t="n">
        <v>2</v>
      </c>
      <c r="D93" s="41" t="s">
        <v>47</v>
      </c>
      <c r="E93" s="41" t="s">
        <v>45</v>
      </c>
      <c r="F93" s="41" t="s">
        <v>36</v>
      </c>
      <c r="G93" s="41" t="s">
        <v>38</v>
      </c>
      <c r="H93" s="42" t="n">
        <v>42</v>
      </c>
      <c r="I93" s="42" t="n">
        <v>51</v>
      </c>
      <c r="J93" s="42" t="n">
        <v>4656</v>
      </c>
      <c r="K93" s="42" t="n">
        <v>191</v>
      </c>
      <c r="L93" s="43" t="n">
        <f aca="false">J93-K93</f>
        <v>4465</v>
      </c>
      <c r="M93" s="42" t="n">
        <v>1973</v>
      </c>
      <c r="N93" s="43" t="n">
        <f aca="false">L93-M93</f>
        <v>2492</v>
      </c>
    </row>
    <row r="94" customFormat="false" ht="15" hidden="false" customHeight="false" outlineLevel="0" collapsed="false">
      <c r="A94" s="40" t="n">
        <v>45689</v>
      </c>
      <c r="B94" s="41" t="n">
        <v>2025</v>
      </c>
      <c r="C94" s="41" t="n">
        <v>2</v>
      </c>
      <c r="D94" s="41" t="s">
        <v>47</v>
      </c>
      <c r="E94" s="41" t="s">
        <v>45</v>
      </c>
      <c r="F94" s="41" t="s">
        <v>36</v>
      </c>
      <c r="G94" s="41" t="s">
        <v>39</v>
      </c>
      <c r="H94" s="42" t="n">
        <v>70</v>
      </c>
      <c r="I94" s="42" t="n">
        <v>90</v>
      </c>
      <c r="J94" s="42" t="n">
        <v>5896</v>
      </c>
      <c r="K94" s="42" t="n">
        <v>651</v>
      </c>
      <c r="L94" s="43" t="n">
        <f aca="false">J94-K94</f>
        <v>5245</v>
      </c>
      <c r="M94" s="42" t="n">
        <v>2020</v>
      </c>
      <c r="N94" s="43" t="n">
        <f aca="false">L94-M94</f>
        <v>3225</v>
      </c>
    </row>
    <row r="95" customFormat="false" ht="15" hidden="false" customHeight="false" outlineLevel="0" collapsed="false">
      <c r="A95" s="40" t="n">
        <v>45689</v>
      </c>
      <c r="B95" s="41" t="n">
        <v>2025</v>
      </c>
      <c r="C95" s="41" t="n">
        <v>2</v>
      </c>
      <c r="D95" s="41" t="s">
        <v>47</v>
      </c>
      <c r="E95" s="41" t="s">
        <v>45</v>
      </c>
      <c r="F95" s="41" t="s">
        <v>36</v>
      </c>
      <c r="G95" s="41" t="s">
        <v>40</v>
      </c>
      <c r="H95" s="42" t="n">
        <v>35</v>
      </c>
      <c r="I95" s="42" t="n">
        <v>43</v>
      </c>
      <c r="J95" s="42" t="n">
        <v>4481</v>
      </c>
      <c r="K95" s="42" t="n">
        <v>505</v>
      </c>
      <c r="L95" s="43" t="n">
        <f aca="false">J95-K95</f>
        <v>3976</v>
      </c>
      <c r="M95" s="42" t="n">
        <v>2124</v>
      </c>
      <c r="N95" s="43" t="n">
        <f aca="false">L95-M95</f>
        <v>1852</v>
      </c>
    </row>
    <row r="96" customFormat="false" ht="15" hidden="false" customHeight="false" outlineLevel="0" collapsed="false">
      <c r="A96" s="40" t="n">
        <v>45689</v>
      </c>
      <c r="B96" s="41" t="n">
        <v>2025</v>
      </c>
      <c r="C96" s="41" t="n">
        <v>2</v>
      </c>
      <c r="D96" s="41" t="s">
        <v>47</v>
      </c>
      <c r="E96" s="41" t="s">
        <v>45</v>
      </c>
      <c r="F96" s="41" t="s">
        <v>36</v>
      </c>
      <c r="G96" s="41" t="s">
        <v>41</v>
      </c>
      <c r="H96" s="42" t="n">
        <v>46</v>
      </c>
      <c r="I96" s="42" t="n">
        <v>53</v>
      </c>
      <c r="J96" s="42" t="n">
        <v>2779</v>
      </c>
      <c r="K96" s="42" t="n">
        <v>91</v>
      </c>
      <c r="L96" s="43" t="n">
        <f aca="false">J96-K96</f>
        <v>2688</v>
      </c>
      <c r="M96" s="42" t="n">
        <v>1294</v>
      </c>
      <c r="N96" s="43" t="n">
        <f aca="false">L96-M96</f>
        <v>1394</v>
      </c>
    </row>
    <row r="97" customFormat="false" ht="15" hidden="false" customHeight="false" outlineLevel="0" collapsed="false">
      <c r="A97" s="40" t="n">
        <v>45689</v>
      </c>
      <c r="B97" s="41" t="n">
        <v>2025</v>
      </c>
      <c r="C97" s="41" t="n">
        <v>2</v>
      </c>
      <c r="D97" s="41" t="s">
        <v>47</v>
      </c>
      <c r="E97" s="41" t="s">
        <v>45</v>
      </c>
      <c r="F97" s="41" t="s">
        <v>42</v>
      </c>
      <c r="G97" s="41" t="s">
        <v>37</v>
      </c>
      <c r="H97" s="42" t="n">
        <v>22</v>
      </c>
      <c r="I97" s="42" t="n">
        <v>30</v>
      </c>
      <c r="J97" s="42" t="n">
        <v>3795</v>
      </c>
      <c r="K97" s="42" t="n">
        <v>241</v>
      </c>
      <c r="L97" s="43" t="n">
        <f aca="false">J97-K97</f>
        <v>3554</v>
      </c>
      <c r="M97" s="42" t="n">
        <v>1905</v>
      </c>
      <c r="N97" s="43" t="n">
        <f aca="false">L97-M97</f>
        <v>1649</v>
      </c>
    </row>
    <row r="98" customFormat="false" ht="15" hidden="false" customHeight="false" outlineLevel="0" collapsed="false">
      <c r="A98" s="40" t="n">
        <v>45689</v>
      </c>
      <c r="B98" s="41" t="n">
        <v>2025</v>
      </c>
      <c r="C98" s="41" t="n">
        <v>2</v>
      </c>
      <c r="D98" s="41" t="s">
        <v>47</v>
      </c>
      <c r="E98" s="41" t="s">
        <v>45</v>
      </c>
      <c r="F98" s="41" t="s">
        <v>42</v>
      </c>
      <c r="G98" s="41" t="s">
        <v>38</v>
      </c>
      <c r="H98" s="42" t="n">
        <v>38</v>
      </c>
      <c r="I98" s="42" t="n">
        <v>51</v>
      </c>
      <c r="J98" s="42" t="n">
        <v>3962</v>
      </c>
      <c r="K98" s="42" t="n">
        <v>267</v>
      </c>
      <c r="L98" s="43" t="n">
        <f aca="false">J98-K98</f>
        <v>3695</v>
      </c>
      <c r="M98" s="42" t="n">
        <v>1779</v>
      </c>
      <c r="N98" s="43" t="n">
        <f aca="false">L98-M98</f>
        <v>1916</v>
      </c>
    </row>
    <row r="99" customFormat="false" ht="15" hidden="false" customHeight="false" outlineLevel="0" collapsed="false">
      <c r="A99" s="40" t="n">
        <v>45689</v>
      </c>
      <c r="B99" s="41" t="n">
        <v>2025</v>
      </c>
      <c r="C99" s="41" t="n">
        <v>2</v>
      </c>
      <c r="D99" s="41" t="s">
        <v>47</v>
      </c>
      <c r="E99" s="41" t="s">
        <v>45</v>
      </c>
      <c r="F99" s="41" t="s">
        <v>42</v>
      </c>
      <c r="G99" s="41" t="s">
        <v>39</v>
      </c>
      <c r="H99" s="42" t="n">
        <v>54</v>
      </c>
      <c r="I99" s="42" t="n">
        <v>74</v>
      </c>
      <c r="J99" s="42" t="n">
        <v>4200</v>
      </c>
      <c r="K99" s="42" t="n">
        <v>610</v>
      </c>
      <c r="L99" s="43" t="n">
        <f aca="false">J99-K99</f>
        <v>3590</v>
      </c>
      <c r="M99" s="42" t="n">
        <v>1531</v>
      </c>
      <c r="N99" s="43" t="n">
        <f aca="false">L99-M99</f>
        <v>2059</v>
      </c>
    </row>
    <row r="100" customFormat="false" ht="15" hidden="false" customHeight="false" outlineLevel="0" collapsed="false">
      <c r="A100" s="40" t="n">
        <v>45689</v>
      </c>
      <c r="B100" s="41" t="n">
        <v>2025</v>
      </c>
      <c r="C100" s="41" t="n">
        <v>2</v>
      </c>
      <c r="D100" s="41" t="s">
        <v>47</v>
      </c>
      <c r="E100" s="41" t="s">
        <v>45</v>
      </c>
      <c r="F100" s="41" t="s">
        <v>42</v>
      </c>
      <c r="G100" s="41" t="s">
        <v>40</v>
      </c>
      <c r="H100" s="42" t="n">
        <v>25</v>
      </c>
      <c r="I100" s="42" t="n">
        <v>38</v>
      </c>
      <c r="J100" s="42" t="n">
        <v>2980</v>
      </c>
      <c r="K100" s="42" t="n">
        <v>523</v>
      </c>
      <c r="L100" s="43" t="n">
        <f aca="false">J100-K100</f>
        <v>2457</v>
      </c>
      <c r="M100" s="42" t="n">
        <v>1407</v>
      </c>
      <c r="N100" s="43" t="n">
        <f aca="false">L100-M100</f>
        <v>1050</v>
      </c>
    </row>
    <row r="101" customFormat="false" ht="15" hidden="false" customHeight="false" outlineLevel="0" collapsed="false">
      <c r="A101" s="40" t="n">
        <v>45689</v>
      </c>
      <c r="B101" s="41" t="n">
        <v>2025</v>
      </c>
      <c r="C101" s="41" t="n">
        <v>2</v>
      </c>
      <c r="D101" s="41" t="s">
        <v>47</v>
      </c>
      <c r="E101" s="41" t="s">
        <v>45</v>
      </c>
      <c r="F101" s="41" t="s">
        <v>42</v>
      </c>
      <c r="G101" s="41" t="s">
        <v>41</v>
      </c>
      <c r="H101" s="42" t="n">
        <v>36</v>
      </c>
      <c r="I101" s="42" t="n">
        <v>47</v>
      </c>
      <c r="J101" s="42" t="n">
        <v>2023</v>
      </c>
      <c r="K101" s="42" t="n">
        <v>67</v>
      </c>
      <c r="L101" s="43" t="n">
        <f aca="false">J101-K101</f>
        <v>1956</v>
      </c>
      <c r="M101" s="42" t="n">
        <v>958</v>
      </c>
      <c r="N101" s="43" t="n">
        <f aca="false">L101-M101</f>
        <v>998</v>
      </c>
    </row>
    <row r="102" customFormat="false" ht="15" hidden="false" customHeight="false" outlineLevel="0" collapsed="false">
      <c r="A102" s="40" t="n">
        <v>45689</v>
      </c>
      <c r="B102" s="41" t="n">
        <v>2025</v>
      </c>
      <c r="C102" s="41" t="n">
        <v>2</v>
      </c>
      <c r="D102" s="41" t="s">
        <v>47</v>
      </c>
      <c r="E102" s="41" t="s">
        <v>45</v>
      </c>
      <c r="F102" s="41" t="s">
        <v>43</v>
      </c>
      <c r="G102" s="41" t="s">
        <v>37</v>
      </c>
      <c r="H102" s="42" t="n">
        <v>13</v>
      </c>
      <c r="I102" s="42" t="n">
        <v>19</v>
      </c>
      <c r="J102" s="42" t="n">
        <v>2514</v>
      </c>
      <c r="K102" s="42" t="n">
        <v>64</v>
      </c>
      <c r="L102" s="43" t="n">
        <f aca="false">J102-K102</f>
        <v>2450</v>
      </c>
      <c r="M102" s="42" t="n">
        <v>1273</v>
      </c>
      <c r="N102" s="43" t="n">
        <f aca="false">L102-M102</f>
        <v>1177</v>
      </c>
    </row>
    <row r="103" customFormat="false" ht="15" hidden="false" customHeight="false" outlineLevel="0" collapsed="false">
      <c r="A103" s="40" t="n">
        <v>45689</v>
      </c>
      <c r="B103" s="41" t="n">
        <v>2025</v>
      </c>
      <c r="C103" s="41" t="n">
        <v>2</v>
      </c>
      <c r="D103" s="41" t="s">
        <v>47</v>
      </c>
      <c r="E103" s="41" t="s">
        <v>45</v>
      </c>
      <c r="F103" s="41" t="s">
        <v>43</v>
      </c>
      <c r="G103" s="41" t="s">
        <v>38</v>
      </c>
      <c r="H103" s="42" t="n">
        <v>19</v>
      </c>
      <c r="I103" s="42" t="n">
        <v>29</v>
      </c>
      <c r="J103" s="42" t="n">
        <v>2209</v>
      </c>
      <c r="K103" s="42" t="n">
        <v>89</v>
      </c>
      <c r="L103" s="43" t="n">
        <f aca="false">J103-K103</f>
        <v>2120</v>
      </c>
      <c r="M103" s="42" t="n">
        <v>964</v>
      </c>
      <c r="N103" s="43" t="n">
        <f aca="false">L103-M103</f>
        <v>1156</v>
      </c>
    </row>
    <row r="104" customFormat="false" ht="15" hidden="false" customHeight="false" outlineLevel="0" collapsed="false">
      <c r="A104" s="40" t="n">
        <v>45689</v>
      </c>
      <c r="B104" s="41" t="n">
        <v>2025</v>
      </c>
      <c r="C104" s="41" t="n">
        <v>2</v>
      </c>
      <c r="D104" s="41" t="s">
        <v>47</v>
      </c>
      <c r="E104" s="41" t="s">
        <v>45</v>
      </c>
      <c r="F104" s="41" t="s">
        <v>43</v>
      </c>
      <c r="G104" s="41" t="s">
        <v>39</v>
      </c>
      <c r="H104" s="42" t="n">
        <v>31</v>
      </c>
      <c r="I104" s="42" t="n">
        <v>39</v>
      </c>
      <c r="J104" s="42" t="n">
        <v>2795</v>
      </c>
      <c r="K104" s="42" t="n">
        <v>179</v>
      </c>
      <c r="L104" s="43" t="n">
        <f aca="false">J104-K104</f>
        <v>2616</v>
      </c>
      <c r="M104" s="42" t="n">
        <v>1018</v>
      </c>
      <c r="N104" s="43" t="n">
        <f aca="false">L104-M104</f>
        <v>1598</v>
      </c>
    </row>
    <row r="105" customFormat="false" ht="15" hidden="false" customHeight="false" outlineLevel="0" collapsed="false">
      <c r="A105" s="40" t="n">
        <v>45689</v>
      </c>
      <c r="B105" s="41" t="n">
        <v>2025</v>
      </c>
      <c r="C105" s="41" t="n">
        <v>2</v>
      </c>
      <c r="D105" s="41" t="s">
        <v>47</v>
      </c>
      <c r="E105" s="41" t="s">
        <v>45</v>
      </c>
      <c r="F105" s="41" t="s">
        <v>43</v>
      </c>
      <c r="G105" s="41" t="s">
        <v>40</v>
      </c>
      <c r="H105" s="42" t="n">
        <v>14</v>
      </c>
      <c r="I105" s="42" t="n">
        <v>19</v>
      </c>
      <c r="J105" s="42" t="n">
        <v>1938</v>
      </c>
      <c r="K105" s="42" t="n">
        <v>147</v>
      </c>
      <c r="L105" s="43" t="n">
        <f aca="false">J105-K105</f>
        <v>1791</v>
      </c>
      <c r="M105" s="42" t="n">
        <v>1012</v>
      </c>
      <c r="N105" s="43" t="n">
        <f aca="false">L105-M105</f>
        <v>779</v>
      </c>
    </row>
    <row r="106" customFormat="false" ht="15" hidden="false" customHeight="false" outlineLevel="0" collapsed="false">
      <c r="A106" s="40" t="n">
        <v>45689</v>
      </c>
      <c r="B106" s="41" t="n">
        <v>2025</v>
      </c>
      <c r="C106" s="41" t="n">
        <v>2</v>
      </c>
      <c r="D106" s="41" t="s">
        <v>47</v>
      </c>
      <c r="E106" s="41" t="s">
        <v>45</v>
      </c>
      <c r="F106" s="41" t="s">
        <v>43</v>
      </c>
      <c r="G106" s="41" t="s">
        <v>41</v>
      </c>
      <c r="H106" s="42" t="n">
        <v>25</v>
      </c>
      <c r="I106" s="42" t="n">
        <v>35</v>
      </c>
      <c r="J106" s="42" t="n">
        <v>1618</v>
      </c>
      <c r="K106" s="42" t="n">
        <v>31</v>
      </c>
      <c r="L106" s="43" t="n">
        <f aca="false">J106-K106</f>
        <v>1587</v>
      </c>
      <c r="M106" s="42" t="n">
        <v>783</v>
      </c>
      <c r="N106" s="43" t="n">
        <f aca="false">L106-M106</f>
        <v>804</v>
      </c>
    </row>
    <row r="107" customFormat="false" ht="15" hidden="false" customHeight="false" outlineLevel="0" collapsed="false">
      <c r="A107" s="40" t="n">
        <v>45689</v>
      </c>
      <c r="B107" s="41" t="n">
        <v>2025</v>
      </c>
      <c r="C107" s="41" t="n">
        <v>2</v>
      </c>
      <c r="D107" s="41" t="s">
        <v>47</v>
      </c>
      <c r="E107" s="41" t="s">
        <v>46</v>
      </c>
      <c r="F107" s="41" t="s">
        <v>36</v>
      </c>
      <c r="G107" s="41" t="s">
        <v>37</v>
      </c>
      <c r="H107" s="42" t="n">
        <v>28</v>
      </c>
      <c r="I107" s="42" t="n">
        <v>37</v>
      </c>
      <c r="J107" s="42" t="n">
        <v>5373</v>
      </c>
      <c r="K107" s="42" t="n">
        <v>172</v>
      </c>
      <c r="L107" s="43" t="n">
        <f aca="false">J107-K107</f>
        <v>5201</v>
      </c>
      <c r="M107" s="42" t="n">
        <v>2737</v>
      </c>
      <c r="N107" s="43" t="n">
        <f aca="false">L107-M107</f>
        <v>2464</v>
      </c>
    </row>
    <row r="108" customFormat="false" ht="15" hidden="false" customHeight="false" outlineLevel="0" collapsed="false">
      <c r="A108" s="40" t="n">
        <v>45689</v>
      </c>
      <c r="B108" s="41" t="n">
        <v>2025</v>
      </c>
      <c r="C108" s="41" t="n">
        <v>2</v>
      </c>
      <c r="D108" s="41" t="s">
        <v>47</v>
      </c>
      <c r="E108" s="41" t="s">
        <v>46</v>
      </c>
      <c r="F108" s="41" t="s">
        <v>36</v>
      </c>
      <c r="G108" s="41" t="s">
        <v>38</v>
      </c>
      <c r="H108" s="42" t="n">
        <v>44</v>
      </c>
      <c r="I108" s="42" t="n">
        <v>61</v>
      </c>
      <c r="J108" s="42" t="n">
        <v>4931</v>
      </c>
      <c r="K108" s="42" t="n">
        <v>217</v>
      </c>
      <c r="L108" s="43" t="n">
        <f aca="false">J108-K108</f>
        <v>4714</v>
      </c>
      <c r="M108" s="42" t="n">
        <v>2122</v>
      </c>
      <c r="N108" s="43" t="n">
        <f aca="false">L108-M108</f>
        <v>2592</v>
      </c>
    </row>
    <row r="109" customFormat="false" ht="15" hidden="false" customHeight="false" outlineLevel="0" collapsed="false">
      <c r="A109" s="40" t="n">
        <v>45689</v>
      </c>
      <c r="B109" s="41" t="n">
        <v>2025</v>
      </c>
      <c r="C109" s="41" t="n">
        <v>2</v>
      </c>
      <c r="D109" s="41" t="s">
        <v>47</v>
      </c>
      <c r="E109" s="41" t="s">
        <v>46</v>
      </c>
      <c r="F109" s="41" t="s">
        <v>36</v>
      </c>
      <c r="G109" s="41" t="s">
        <v>39</v>
      </c>
      <c r="H109" s="42" t="n">
        <v>61</v>
      </c>
      <c r="I109" s="42" t="n">
        <v>77</v>
      </c>
      <c r="J109" s="42" t="n">
        <v>5093</v>
      </c>
      <c r="K109" s="42" t="n">
        <v>426</v>
      </c>
      <c r="L109" s="43" t="n">
        <f aca="false">J109-K109</f>
        <v>4667</v>
      </c>
      <c r="M109" s="42" t="n">
        <v>1809</v>
      </c>
      <c r="N109" s="43" t="n">
        <f aca="false">L109-M109</f>
        <v>2858</v>
      </c>
    </row>
    <row r="110" customFormat="false" ht="15" hidden="false" customHeight="false" outlineLevel="0" collapsed="false">
      <c r="A110" s="40" t="n">
        <v>45689</v>
      </c>
      <c r="B110" s="41" t="n">
        <v>2025</v>
      </c>
      <c r="C110" s="41" t="n">
        <v>2</v>
      </c>
      <c r="D110" s="41" t="s">
        <v>47</v>
      </c>
      <c r="E110" s="41" t="s">
        <v>46</v>
      </c>
      <c r="F110" s="41" t="s">
        <v>36</v>
      </c>
      <c r="G110" s="41" t="s">
        <v>40</v>
      </c>
      <c r="H110" s="42" t="n">
        <v>29</v>
      </c>
      <c r="I110" s="42" t="n">
        <v>34</v>
      </c>
      <c r="J110" s="42" t="n">
        <v>3711</v>
      </c>
      <c r="K110" s="42" t="n">
        <v>410</v>
      </c>
      <c r="L110" s="43" t="n">
        <f aca="false">J110-K110</f>
        <v>3301</v>
      </c>
      <c r="M110" s="42" t="n">
        <v>1786</v>
      </c>
      <c r="N110" s="43" t="n">
        <f aca="false">L110-M110</f>
        <v>1515</v>
      </c>
    </row>
    <row r="111" customFormat="false" ht="15" hidden="false" customHeight="false" outlineLevel="0" collapsed="false">
      <c r="A111" s="40" t="n">
        <v>45689</v>
      </c>
      <c r="B111" s="41" t="n">
        <v>2025</v>
      </c>
      <c r="C111" s="41" t="n">
        <v>2</v>
      </c>
      <c r="D111" s="41" t="s">
        <v>47</v>
      </c>
      <c r="E111" s="41" t="s">
        <v>46</v>
      </c>
      <c r="F111" s="41" t="s">
        <v>36</v>
      </c>
      <c r="G111" s="41" t="s">
        <v>41</v>
      </c>
      <c r="H111" s="42" t="n">
        <v>48</v>
      </c>
      <c r="I111" s="42" t="n">
        <v>67</v>
      </c>
      <c r="J111" s="42" t="n">
        <v>2906</v>
      </c>
      <c r="K111" s="42" t="n">
        <v>96</v>
      </c>
      <c r="L111" s="43" t="n">
        <f aca="false">J111-K111</f>
        <v>2810</v>
      </c>
      <c r="M111" s="42" t="n">
        <v>1362</v>
      </c>
      <c r="N111" s="43" t="n">
        <f aca="false">L111-M111</f>
        <v>1448</v>
      </c>
    </row>
    <row r="112" customFormat="false" ht="15" hidden="false" customHeight="false" outlineLevel="0" collapsed="false">
      <c r="A112" s="40" t="n">
        <v>45689</v>
      </c>
      <c r="B112" s="41" t="n">
        <v>2025</v>
      </c>
      <c r="C112" s="41" t="n">
        <v>2</v>
      </c>
      <c r="D112" s="41" t="s">
        <v>47</v>
      </c>
      <c r="E112" s="41" t="s">
        <v>46</v>
      </c>
      <c r="F112" s="41" t="s">
        <v>42</v>
      </c>
      <c r="G112" s="41" t="s">
        <v>37</v>
      </c>
      <c r="H112" s="42" t="n">
        <v>24</v>
      </c>
      <c r="I112" s="42" t="n">
        <v>37</v>
      </c>
      <c r="J112" s="42" t="n">
        <v>4187</v>
      </c>
      <c r="K112" s="42" t="n">
        <v>216</v>
      </c>
      <c r="L112" s="43" t="n">
        <f aca="false">J112-K112</f>
        <v>3971</v>
      </c>
      <c r="M112" s="42" t="n">
        <v>2157</v>
      </c>
      <c r="N112" s="43" t="n">
        <f aca="false">L112-M112</f>
        <v>1814</v>
      </c>
    </row>
    <row r="113" customFormat="false" ht="15" hidden="false" customHeight="false" outlineLevel="0" collapsed="false">
      <c r="A113" s="40" t="n">
        <v>45689</v>
      </c>
      <c r="B113" s="41" t="n">
        <v>2025</v>
      </c>
      <c r="C113" s="41" t="n">
        <v>2</v>
      </c>
      <c r="D113" s="41" t="s">
        <v>47</v>
      </c>
      <c r="E113" s="41" t="s">
        <v>46</v>
      </c>
      <c r="F113" s="41" t="s">
        <v>42</v>
      </c>
      <c r="G113" s="41" t="s">
        <v>38</v>
      </c>
      <c r="H113" s="42" t="n">
        <v>38</v>
      </c>
      <c r="I113" s="42" t="n">
        <v>46</v>
      </c>
      <c r="J113" s="42" t="n">
        <v>3924</v>
      </c>
      <c r="K113" s="42" t="n">
        <v>289</v>
      </c>
      <c r="L113" s="43" t="n">
        <f aca="false">J113-K113</f>
        <v>3635</v>
      </c>
      <c r="M113" s="42" t="n">
        <v>1731</v>
      </c>
      <c r="N113" s="43" t="n">
        <f aca="false">L113-M113</f>
        <v>1904</v>
      </c>
    </row>
    <row r="114" customFormat="false" ht="15" hidden="false" customHeight="false" outlineLevel="0" collapsed="false">
      <c r="A114" s="40" t="n">
        <v>45689</v>
      </c>
      <c r="B114" s="41" t="n">
        <v>2025</v>
      </c>
      <c r="C114" s="41" t="n">
        <v>2</v>
      </c>
      <c r="D114" s="41" t="s">
        <v>47</v>
      </c>
      <c r="E114" s="41" t="s">
        <v>46</v>
      </c>
      <c r="F114" s="41" t="s">
        <v>42</v>
      </c>
      <c r="G114" s="41" t="s">
        <v>39</v>
      </c>
      <c r="H114" s="42" t="n">
        <v>46</v>
      </c>
      <c r="I114" s="42" t="n">
        <v>70</v>
      </c>
      <c r="J114" s="42" t="n">
        <v>3588</v>
      </c>
      <c r="K114" s="42" t="n">
        <v>560</v>
      </c>
      <c r="L114" s="43" t="n">
        <f aca="false">J114-K114</f>
        <v>3028</v>
      </c>
      <c r="M114" s="42" t="n">
        <v>1264</v>
      </c>
      <c r="N114" s="43" t="n">
        <f aca="false">L114-M114</f>
        <v>1764</v>
      </c>
    </row>
    <row r="115" customFormat="false" ht="15" hidden="false" customHeight="false" outlineLevel="0" collapsed="false">
      <c r="A115" s="40" t="n">
        <v>45689</v>
      </c>
      <c r="B115" s="41" t="n">
        <v>2025</v>
      </c>
      <c r="C115" s="41" t="n">
        <v>2</v>
      </c>
      <c r="D115" s="41" t="s">
        <v>47</v>
      </c>
      <c r="E115" s="41" t="s">
        <v>46</v>
      </c>
      <c r="F115" s="41" t="s">
        <v>42</v>
      </c>
      <c r="G115" s="41" t="s">
        <v>40</v>
      </c>
      <c r="H115" s="42" t="n">
        <v>27</v>
      </c>
      <c r="I115" s="42" t="n">
        <v>41</v>
      </c>
      <c r="J115" s="42" t="n">
        <v>3155</v>
      </c>
      <c r="K115" s="42" t="n">
        <v>437</v>
      </c>
      <c r="L115" s="43" t="n">
        <f aca="false">J115-K115</f>
        <v>2718</v>
      </c>
      <c r="M115" s="42" t="n">
        <v>1546</v>
      </c>
      <c r="N115" s="43" t="n">
        <f aca="false">L115-M115</f>
        <v>1172</v>
      </c>
    </row>
    <row r="116" customFormat="false" ht="15" hidden="false" customHeight="false" outlineLevel="0" collapsed="false">
      <c r="A116" s="40" t="n">
        <v>45689</v>
      </c>
      <c r="B116" s="41" t="n">
        <v>2025</v>
      </c>
      <c r="C116" s="41" t="n">
        <v>2</v>
      </c>
      <c r="D116" s="41" t="s">
        <v>47</v>
      </c>
      <c r="E116" s="41" t="s">
        <v>46</v>
      </c>
      <c r="F116" s="41" t="s">
        <v>42</v>
      </c>
      <c r="G116" s="41" t="s">
        <v>41</v>
      </c>
      <c r="H116" s="42" t="n">
        <v>35</v>
      </c>
      <c r="I116" s="42" t="n">
        <v>53</v>
      </c>
      <c r="J116" s="42" t="n">
        <v>1977</v>
      </c>
      <c r="K116" s="42" t="n">
        <v>90</v>
      </c>
      <c r="L116" s="43" t="n">
        <f aca="false">J116-K116</f>
        <v>1887</v>
      </c>
      <c r="M116" s="42" t="n">
        <v>963</v>
      </c>
      <c r="N116" s="43" t="n">
        <f aca="false">L116-M116</f>
        <v>924</v>
      </c>
    </row>
    <row r="117" customFormat="false" ht="15" hidden="false" customHeight="false" outlineLevel="0" collapsed="false">
      <c r="A117" s="40" t="n">
        <v>45689</v>
      </c>
      <c r="B117" s="41" t="n">
        <v>2025</v>
      </c>
      <c r="C117" s="41" t="n">
        <v>2</v>
      </c>
      <c r="D117" s="41" t="s">
        <v>47</v>
      </c>
      <c r="E117" s="41" t="s">
        <v>46</v>
      </c>
      <c r="F117" s="41" t="s">
        <v>43</v>
      </c>
      <c r="G117" s="41" t="s">
        <v>37</v>
      </c>
      <c r="H117" s="42" t="n">
        <v>14</v>
      </c>
      <c r="I117" s="42" t="n">
        <v>22</v>
      </c>
      <c r="J117" s="42" t="n">
        <v>2779</v>
      </c>
      <c r="K117" s="42" t="n">
        <v>83</v>
      </c>
      <c r="L117" s="43" t="n">
        <f aca="false">J117-K117</f>
        <v>2696</v>
      </c>
      <c r="M117" s="42" t="n">
        <v>1445</v>
      </c>
      <c r="N117" s="43" t="n">
        <f aca="false">L117-M117</f>
        <v>1251</v>
      </c>
    </row>
    <row r="118" customFormat="false" ht="15" hidden="false" customHeight="false" outlineLevel="0" collapsed="false">
      <c r="A118" s="40" t="n">
        <v>45689</v>
      </c>
      <c r="B118" s="41" t="n">
        <v>2025</v>
      </c>
      <c r="C118" s="41" t="n">
        <v>2</v>
      </c>
      <c r="D118" s="41" t="s">
        <v>47</v>
      </c>
      <c r="E118" s="41" t="s">
        <v>46</v>
      </c>
      <c r="F118" s="41" t="s">
        <v>43</v>
      </c>
      <c r="G118" s="41" t="s">
        <v>38</v>
      </c>
      <c r="H118" s="42" t="n">
        <v>18</v>
      </c>
      <c r="I118" s="42" t="n">
        <v>21</v>
      </c>
      <c r="J118" s="42" t="n">
        <v>2196</v>
      </c>
      <c r="K118" s="42" t="n">
        <v>66</v>
      </c>
      <c r="L118" s="43" t="n">
        <f aca="false">J118-K118</f>
        <v>2130</v>
      </c>
      <c r="M118" s="42" t="n">
        <v>951</v>
      </c>
      <c r="N118" s="43" t="n">
        <f aca="false">L118-M118</f>
        <v>1179</v>
      </c>
    </row>
    <row r="119" customFormat="false" ht="15" hidden="false" customHeight="false" outlineLevel="0" collapsed="false">
      <c r="A119" s="40" t="n">
        <v>45689</v>
      </c>
      <c r="B119" s="41" t="n">
        <v>2025</v>
      </c>
      <c r="C119" s="41" t="n">
        <v>2</v>
      </c>
      <c r="D119" s="41" t="s">
        <v>47</v>
      </c>
      <c r="E119" s="41" t="s">
        <v>46</v>
      </c>
      <c r="F119" s="41" t="s">
        <v>43</v>
      </c>
      <c r="G119" s="41" t="s">
        <v>39</v>
      </c>
      <c r="H119" s="42" t="n">
        <v>28</v>
      </c>
      <c r="I119" s="42" t="n">
        <v>43</v>
      </c>
      <c r="J119" s="42" t="n">
        <v>2515</v>
      </c>
      <c r="K119" s="42" t="n">
        <v>180</v>
      </c>
      <c r="L119" s="43" t="n">
        <f aca="false">J119-K119</f>
        <v>2335</v>
      </c>
      <c r="M119" s="42" t="n">
        <v>918</v>
      </c>
      <c r="N119" s="43" t="n">
        <f aca="false">L119-M119</f>
        <v>1417</v>
      </c>
    </row>
    <row r="120" customFormat="false" ht="15" hidden="false" customHeight="false" outlineLevel="0" collapsed="false">
      <c r="A120" s="40" t="n">
        <v>45689</v>
      </c>
      <c r="B120" s="41" t="n">
        <v>2025</v>
      </c>
      <c r="C120" s="41" t="n">
        <v>2</v>
      </c>
      <c r="D120" s="41" t="s">
        <v>47</v>
      </c>
      <c r="E120" s="41" t="s">
        <v>46</v>
      </c>
      <c r="F120" s="41" t="s">
        <v>43</v>
      </c>
      <c r="G120" s="41" t="s">
        <v>40</v>
      </c>
      <c r="H120" s="42" t="n">
        <v>16</v>
      </c>
      <c r="I120" s="42" t="n">
        <v>23</v>
      </c>
      <c r="J120" s="42" t="n">
        <v>2108</v>
      </c>
      <c r="K120" s="42" t="n">
        <v>176</v>
      </c>
      <c r="L120" s="43" t="n">
        <f aca="false">J120-K120</f>
        <v>1932</v>
      </c>
      <c r="M120" s="42" t="n">
        <v>1031</v>
      </c>
      <c r="N120" s="43" t="n">
        <f aca="false">L120-M120</f>
        <v>901</v>
      </c>
    </row>
    <row r="121" customFormat="false" ht="15" hidden="false" customHeight="false" outlineLevel="0" collapsed="false">
      <c r="A121" s="40" t="n">
        <v>45689</v>
      </c>
      <c r="B121" s="41" t="n">
        <v>2025</v>
      </c>
      <c r="C121" s="41" t="n">
        <v>2</v>
      </c>
      <c r="D121" s="41" t="s">
        <v>47</v>
      </c>
      <c r="E121" s="41" t="s">
        <v>46</v>
      </c>
      <c r="F121" s="41" t="s">
        <v>43</v>
      </c>
      <c r="G121" s="41" t="s">
        <v>41</v>
      </c>
      <c r="H121" s="42" t="n">
        <v>23</v>
      </c>
      <c r="I121" s="42" t="n">
        <v>34</v>
      </c>
      <c r="J121" s="42" t="n">
        <v>1470</v>
      </c>
      <c r="K121" s="42" t="n">
        <v>31</v>
      </c>
      <c r="L121" s="43" t="n">
        <f aca="false">J121-K121</f>
        <v>1439</v>
      </c>
      <c r="M121" s="42" t="n">
        <v>692</v>
      </c>
      <c r="N121" s="43" t="n">
        <f aca="false">L121-M121</f>
        <v>747</v>
      </c>
    </row>
    <row r="122" customFormat="false" ht="15" hidden="false" customHeight="false" outlineLevel="0" collapsed="false">
      <c r="A122" s="40" t="n">
        <v>45717</v>
      </c>
      <c r="B122" s="41" t="n">
        <v>2025</v>
      </c>
      <c r="C122" s="41" t="n">
        <v>3</v>
      </c>
      <c r="D122" s="41" t="s">
        <v>48</v>
      </c>
      <c r="E122" s="41" t="s">
        <v>35</v>
      </c>
      <c r="F122" s="41" t="s">
        <v>36</v>
      </c>
      <c r="G122" s="41" t="s">
        <v>37</v>
      </c>
      <c r="H122" s="42" t="n">
        <v>71</v>
      </c>
      <c r="I122" s="42" t="n">
        <v>84</v>
      </c>
      <c r="J122" s="42" t="n">
        <v>13504</v>
      </c>
      <c r="K122" s="42" t="n">
        <v>591</v>
      </c>
      <c r="L122" s="43" t="n">
        <f aca="false">J122-K122</f>
        <v>12913</v>
      </c>
      <c r="M122" s="42" t="n">
        <v>6742</v>
      </c>
      <c r="N122" s="43" t="n">
        <f aca="false">L122-M122</f>
        <v>6171</v>
      </c>
    </row>
    <row r="123" customFormat="false" ht="15" hidden="false" customHeight="false" outlineLevel="0" collapsed="false">
      <c r="A123" s="40" t="n">
        <v>45717</v>
      </c>
      <c r="B123" s="41" t="n">
        <v>2025</v>
      </c>
      <c r="C123" s="41" t="n">
        <v>3</v>
      </c>
      <c r="D123" s="41" t="s">
        <v>48</v>
      </c>
      <c r="E123" s="41" t="s">
        <v>35</v>
      </c>
      <c r="F123" s="41" t="s">
        <v>36</v>
      </c>
      <c r="G123" s="41" t="s">
        <v>38</v>
      </c>
      <c r="H123" s="42" t="n">
        <v>89</v>
      </c>
      <c r="I123" s="42" t="n">
        <v>113</v>
      </c>
      <c r="J123" s="42" t="n">
        <v>9964</v>
      </c>
      <c r="K123" s="42" t="n">
        <v>544</v>
      </c>
      <c r="L123" s="43" t="n">
        <f aca="false">J123-K123</f>
        <v>9420</v>
      </c>
      <c r="M123" s="42" t="n">
        <v>4164</v>
      </c>
      <c r="N123" s="43" t="n">
        <f aca="false">L123-M123</f>
        <v>5256</v>
      </c>
    </row>
    <row r="124" customFormat="false" ht="15" hidden="false" customHeight="false" outlineLevel="0" collapsed="false">
      <c r="A124" s="40" t="n">
        <v>45717</v>
      </c>
      <c r="B124" s="41" t="n">
        <v>2025</v>
      </c>
      <c r="C124" s="41" t="n">
        <v>3</v>
      </c>
      <c r="D124" s="41" t="s">
        <v>48</v>
      </c>
      <c r="E124" s="41" t="s">
        <v>35</v>
      </c>
      <c r="F124" s="41" t="s">
        <v>36</v>
      </c>
      <c r="G124" s="41" t="s">
        <v>39</v>
      </c>
      <c r="H124" s="42" t="n">
        <v>171</v>
      </c>
      <c r="I124" s="42" t="n">
        <v>272</v>
      </c>
      <c r="J124" s="42" t="n">
        <v>14370</v>
      </c>
      <c r="K124" s="42" t="n">
        <v>1434</v>
      </c>
      <c r="L124" s="43" t="n">
        <f aca="false">J124-K124</f>
        <v>12936</v>
      </c>
      <c r="M124" s="42" t="n">
        <v>5010</v>
      </c>
      <c r="N124" s="43" t="n">
        <f aca="false">L124-M124</f>
        <v>7926</v>
      </c>
    </row>
    <row r="125" customFormat="false" ht="15" hidden="false" customHeight="false" outlineLevel="0" collapsed="false">
      <c r="A125" s="40" t="n">
        <v>45717</v>
      </c>
      <c r="B125" s="41" t="n">
        <v>2025</v>
      </c>
      <c r="C125" s="41" t="n">
        <v>3</v>
      </c>
      <c r="D125" s="41" t="s">
        <v>48</v>
      </c>
      <c r="E125" s="41" t="s">
        <v>35</v>
      </c>
      <c r="F125" s="41" t="s">
        <v>36</v>
      </c>
      <c r="G125" s="41" t="s">
        <v>40</v>
      </c>
      <c r="H125" s="42" t="n">
        <v>75</v>
      </c>
      <c r="I125" s="42" t="n">
        <v>109</v>
      </c>
      <c r="J125" s="42" t="n">
        <v>9639</v>
      </c>
      <c r="K125" s="42" t="n">
        <v>1280</v>
      </c>
      <c r="L125" s="43" t="n">
        <f aca="false">J125-K125</f>
        <v>8359</v>
      </c>
      <c r="M125" s="42" t="n">
        <v>4629</v>
      </c>
      <c r="N125" s="43" t="n">
        <f aca="false">L125-M125</f>
        <v>3730</v>
      </c>
    </row>
    <row r="126" customFormat="false" ht="15" hidden="false" customHeight="false" outlineLevel="0" collapsed="false">
      <c r="A126" s="40" t="n">
        <v>45717</v>
      </c>
      <c r="B126" s="41" t="n">
        <v>2025</v>
      </c>
      <c r="C126" s="41" t="n">
        <v>3</v>
      </c>
      <c r="D126" s="41" t="s">
        <v>48</v>
      </c>
      <c r="E126" s="41" t="s">
        <v>35</v>
      </c>
      <c r="F126" s="41" t="s">
        <v>36</v>
      </c>
      <c r="G126" s="41" t="s">
        <v>41</v>
      </c>
      <c r="H126" s="42" t="n">
        <v>110</v>
      </c>
      <c r="I126" s="42" t="n">
        <v>130</v>
      </c>
      <c r="J126" s="42" t="n">
        <v>6722</v>
      </c>
      <c r="K126" s="42" t="n">
        <v>173</v>
      </c>
      <c r="L126" s="43" t="n">
        <f aca="false">J126-K126</f>
        <v>6549</v>
      </c>
      <c r="M126" s="42" t="n">
        <v>3097</v>
      </c>
      <c r="N126" s="43" t="n">
        <f aca="false">L126-M126</f>
        <v>3452</v>
      </c>
    </row>
    <row r="127" customFormat="false" ht="15" hidden="false" customHeight="false" outlineLevel="0" collapsed="false">
      <c r="A127" s="40" t="n">
        <v>45717</v>
      </c>
      <c r="B127" s="41" t="n">
        <v>2025</v>
      </c>
      <c r="C127" s="41" t="n">
        <v>3</v>
      </c>
      <c r="D127" s="41" t="s">
        <v>48</v>
      </c>
      <c r="E127" s="41" t="s">
        <v>35</v>
      </c>
      <c r="F127" s="41" t="s">
        <v>42</v>
      </c>
      <c r="G127" s="41" t="s">
        <v>37</v>
      </c>
      <c r="H127" s="42" t="n">
        <v>55</v>
      </c>
      <c r="I127" s="42" t="n">
        <v>71</v>
      </c>
      <c r="J127" s="42" t="n">
        <v>9605</v>
      </c>
      <c r="K127" s="42" t="n">
        <v>533</v>
      </c>
      <c r="L127" s="43" t="n">
        <f aca="false">J127-K127</f>
        <v>9072</v>
      </c>
      <c r="M127" s="42" t="n">
        <v>4833</v>
      </c>
      <c r="N127" s="43" t="n">
        <f aca="false">L127-M127</f>
        <v>4239</v>
      </c>
    </row>
    <row r="128" customFormat="false" ht="15" hidden="false" customHeight="false" outlineLevel="0" collapsed="false">
      <c r="A128" s="40" t="n">
        <v>45717</v>
      </c>
      <c r="B128" s="41" t="n">
        <v>2025</v>
      </c>
      <c r="C128" s="41" t="n">
        <v>3</v>
      </c>
      <c r="D128" s="41" t="s">
        <v>48</v>
      </c>
      <c r="E128" s="41" t="s">
        <v>35</v>
      </c>
      <c r="F128" s="41" t="s">
        <v>42</v>
      </c>
      <c r="G128" s="41" t="s">
        <v>38</v>
      </c>
      <c r="H128" s="42" t="n">
        <v>67</v>
      </c>
      <c r="I128" s="42" t="n">
        <v>85</v>
      </c>
      <c r="J128" s="42" t="n">
        <v>6901</v>
      </c>
      <c r="K128" s="42" t="n">
        <v>498</v>
      </c>
      <c r="L128" s="43" t="n">
        <f aca="false">J128-K128</f>
        <v>6403</v>
      </c>
      <c r="M128" s="42" t="n">
        <v>3057</v>
      </c>
      <c r="N128" s="43" t="n">
        <f aca="false">L128-M128</f>
        <v>3346</v>
      </c>
    </row>
    <row r="129" customFormat="false" ht="15" hidden="false" customHeight="false" outlineLevel="0" collapsed="false">
      <c r="A129" s="40" t="n">
        <v>45717</v>
      </c>
      <c r="B129" s="41" t="n">
        <v>2025</v>
      </c>
      <c r="C129" s="41" t="n">
        <v>3</v>
      </c>
      <c r="D129" s="41" t="s">
        <v>48</v>
      </c>
      <c r="E129" s="41" t="s">
        <v>35</v>
      </c>
      <c r="F129" s="41" t="s">
        <v>42</v>
      </c>
      <c r="G129" s="41" t="s">
        <v>39</v>
      </c>
      <c r="H129" s="42" t="n">
        <v>127</v>
      </c>
      <c r="I129" s="42" t="n">
        <v>163</v>
      </c>
      <c r="J129" s="42" t="n">
        <v>9829</v>
      </c>
      <c r="K129" s="42" t="n">
        <v>1336</v>
      </c>
      <c r="L129" s="43" t="n">
        <f aca="false">J129-K129</f>
        <v>8493</v>
      </c>
      <c r="M129" s="42" t="n">
        <v>3512</v>
      </c>
      <c r="N129" s="43" t="n">
        <f aca="false">L129-M129</f>
        <v>4981</v>
      </c>
    </row>
    <row r="130" customFormat="false" ht="15" hidden="false" customHeight="false" outlineLevel="0" collapsed="false">
      <c r="A130" s="40" t="n">
        <v>45717</v>
      </c>
      <c r="B130" s="41" t="n">
        <v>2025</v>
      </c>
      <c r="C130" s="41" t="n">
        <v>3</v>
      </c>
      <c r="D130" s="41" t="s">
        <v>48</v>
      </c>
      <c r="E130" s="41" t="s">
        <v>35</v>
      </c>
      <c r="F130" s="41" t="s">
        <v>42</v>
      </c>
      <c r="G130" s="41" t="s">
        <v>40</v>
      </c>
      <c r="H130" s="42" t="n">
        <v>57</v>
      </c>
      <c r="I130" s="42" t="n">
        <v>69</v>
      </c>
      <c r="J130" s="42" t="n">
        <v>6681</v>
      </c>
      <c r="K130" s="42" t="n">
        <v>1253</v>
      </c>
      <c r="L130" s="43" t="n">
        <f aca="false">J130-K130</f>
        <v>5428</v>
      </c>
      <c r="M130" s="42" t="n">
        <v>3028</v>
      </c>
      <c r="N130" s="43" t="n">
        <f aca="false">L130-M130</f>
        <v>2400</v>
      </c>
    </row>
    <row r="131" customFormat="false" ht="15" hidden="false" customHeight="false" outlineLevel="0" collapsed="false">
      <c r="A131" s="40" t="n">
        <v>45717</v>
      </c>
      <c r="B131" s="41" t="n">
        <v>2025</v>
      </c>
      <c r="C131" s="41" t="n">
        <v>3</v>
      </c>
      <c r="D131" s="41" t="s">
        <v>48</v>
      </c>
      <c r="E131" s="41" t="s">
        <v>35</v>
      </c>
      <c r="F131" s="41" t="s">
        <v>42</v>
      </c>
      <c r="G131" s="41" t="s">
        <v>41</v>
      </c>
      <c r="H131" s="42" t="n">
        <v>91</v>
      </c>
      <c r="I131" s="42" t="n">
        <v>143</v>
      </c>
      <c r="J131" s="42" t="n">
        <v>5098</v>
      </c>
      <c r="K131" s="42" t="n">
        <v>167</v>
      </c>
      <c r="L131" s="43" t="n">
        <f aca="false">J131-K131</f>
        <v>4931</v>
      </c>
      <c r="M131" s="42" t="n">
        <v>2464</v>
      </c>
      <c r="N131" s="43" t="n">
        <f aca="false">L131-M131</f>
        <v>2467</v>
      </c>
    </row>
    <row r="132" customFormat="false" ht="15" hidden="false" customHeight="false" outlineLevel="0" collapsed="false">
      <c r="A132" s="40" t="n">
        <v>45717</v>
      </c>
      <c r="B132" s="41" t="n">
        <v>2025</v>
      </c>
      <c r="C132" s="41" t="n">
        <v>3</v>
      </c>
      <c r="D132" s="41" t="s">
        <v>48</v>
      </c>
      <c r="E132" s="41" t="s">
        <v>35</v>
      </c>
      <c r="F132" s="41" t="s">
        <v>43</v>
      </c>
      <c r="G132" s="41" t="s">
        <v>37</v>
      </c>
      <c r="H132" s="42" t="n">
        <v>34</v>
      </c>
      <c r="I132" s="42" t="n">
        <v>54</v>
      </c>
      <c r="J132" s="42" t="n">
        <v>6736</v>
      </c>
      <c r="K132" s="42" t="n">
        <v>185</v>
      </c>
      <c r="L132" s="43" t="n">
        <f aca="false">J132-K132</f>
        <v>6551</v>
      </c>
      <c r="M132" s="42" t="n">
        <v>3424</v>
      </c>
      <c r="N132" s="43" t="n">
        <f aca="false">L132-M132</f>
        <v>3127</v>
      </c>
    </row>
    <row r="133" customFormat="false" ht="15" hidden="false" customHeight="false" outlineLevel="0" collapsed="false">
      <c r="A133" s="40" t="n">
        <v>45717</v>
      </c>
      <c r="B133" s="41" t="n">
        <v>2025</v>
      </c>
      <c r="C133" s="41" t="n">
        <v>3</v>
      </c>
      <c r="D133" s="41" t="s">
        <v>48</v>
      </c>
      <c r="E133" s="41" t="s">
        <v>35</v>
      </c>
      <c r="F133" s="41" t="s">
        <v>43</v>
      </c>
      <c r="G133" s="41" t="s">
        <v>38</v>
      </c>
      <c r="H133" s="42" t="n">
        <v>42</v>
      </c>
      <c r="I133" s="42" t="n">
        <v>66</v>
      </c>
      <c r="J133" s="42" t="n">
        <v>4970</v>
      </c>
      <c r="K133" s="42" t="n">
        <v>154</v>
      </c>
      <c r="L133" s="43" t="n">
        <f aca="false">J133-K133</f>
        <v>4816</v>
      </c>
      <c r="M133" s="42" t="n">
        <v>2178</v>
      </c>
      <c r="N133" s="43" t="n">
        <f aca="false">L133-M133</f>
        <v>2638</v>
      </c>
    </row>
    <row r="134" customFormat="false" ht="15" hidden="false" customHeight="false" outlineLevel="0" collapsed="false">
      <c r="A134" s="40" t="n">
        <v>45717</v>
      </c>
      <c r="B134" s="41" t="n">
        <v>2025</v>
      </c>
      <c r="C134" s="41" t="n">
        <v>3</v>
      </c>
      <c r="D134" s="41" t="s">
        <v>48</v>
      </c>
      <c r="E134" s="41" t="s">
        <v>35</v>
      </c>
      <c r="F134" s="41" t="s">
        <v>43</v>
      </c>
      <c r="G134" s="41" t="s">
        <v>39</v>
      </c>
      <c r="H134" s="42" t="n">
        <v>65</v>
      </c>
      <c r="I134" s="42" t="n">
        <v>90</v>
      </c>
      <c r="J134" s="42" t="n">
        <v>5794</v>
      </c>
      <c r="K134" s="42" t="n">
        <v>479</v>
      </c>
      <c r="L134" s="43" t="n">
        <f aca="false">J134-K134</f>
        <v>5315</v>
      </c>
      <c r="M134" s="42" t="n">
        <v>2027</v>
      </c>
      <c r="N134" s="43" t="n">
        <f aca="false">L134-M134</f>
        <v>3288</v>
      </c>
    </row>
    <row r="135" customFormat="false" ht="15" hidden="false" customHeight="false" outlineLevel="0" collapsed="false">
      <c r="A135" s="40" t="n">
        <v>45717</v>
      </c>
      <c r="B135" s="41" t="n">
        <v>2025</v>
      </c>
      <c r="C135" s="41" t="n">
        <v>3</v>
      </c>
      <c r="D135" s="41" t="s">
        <v>48</v>
      </c>
      <c r="E135" s="41" t="s">
        <v>35</v>
      </c>
      <c r="F135" s="41" t="s">
        <v>43</v>
      </c>
      <c r="G135" s="41" t="s">
        <v>40</v>
      </c>
      <c r="H135" s="42" t="n">
        <v>37</v>
      </c>
      <c r="I135" s="42" t="n">
        <v>51</v>
      </c>
      <c r="J135" s="42" t="n">
        <v>5053</v>
      </c>
      <c r="K135" s="42" t="n">
        <v>490</v>
      </c>
      <c r="L135" s="43" t="n">
        <f aca="false">J135-K135</f>
        <v>4563</v>
      </c>
      <c r="M135" s="42" t="n">
        <v>2540</v>
      </c>
      <c r="N135" s="43" t="n">
        <f aca="false">L135-M135</f>
        <v>2023</v>
      </c>
    </row>
    <row r="136" customFormat="false" ht="15" hidden="false" customHeight="false" outlineLevel="0" collapsed="false">
      <c r="A136" s="40" t="n">
        <v>45717</v>
      </c>
      <c r="B136" s="41" t="n">
        <v>2025</v>
      </c>
      <c r="C136" s="41" t="n">
        <v>3</v>
      </c>
      <c r="D136" s="41" t="s">
        <v>48</v>
      </c>
      <c r="E136" s="41" t="s">
        <v>35</v>
      </c>
      <c r="F136" s="41" t="s">
        <v>43</v>
      </c>
      <c r="G136" s="41" t="s">
        <v>41</v>
      </c>
      <c r="H136" s="42" t="n">
        <v>44</v>
      </c>
      <c r="I136" s="42" t="n">
        <v>68</v>
      </c>
      <c r="J136" s="42" t="n">
        <v>2859</v>
      </c>
      <c r="K136" s="42" t="n">
        <v>60</v>
      </c>
      <c r="L136" s="43" t="n">
        <f aca="false">J136-K136</f>
        <v>2799</v>
      </c>
      <c r="M136" s="42" t="n">
        <v>1305</v>
      </c>
      <c r="N136" s="43" t="n">
        <f aca="false">L136-M136</f>
        <v>1494</v>
      </c>
    </row>
    <row r="137" customFormat="false" ht="15" hidden="false" customHeight="false" outlineLevel="0" collapsed="false">
      <c r="A137" s="40" t="n">
        <v>45717</v>
      </c>
      <c r="B137" s="41" t="n">
        <v>2025</v>
      </c>
      <c r="C137" s="41" t="n">
        <v>3</v>
      </c>
      <c r="D137" s="41" t="s">
        <v>48</v>
      </c>
      <c r="E137" s="41" t="s">
        <v>44</v>
      </c>
      <c r="F137" s="41" t="s">
        <v>36</v>
      </c>
      <c r="G137" s="41" t="s">
        <v>37</v>
      </c>
      <c r="H137" s="42" t="n">
        <v>47</v>
      </c>
      <c r="I137" s="42" t="n">
        <v>64</v>
      </c>
      <c r="J137" s="42" t="n">
        <v>8839</v>
      </c>
      <c r="K137" s="42" t="n">
        <v>347</v>
      </c>
      <c r="L137" s="43" t="n">
        <f aca="false">J137-K137</f>
        <v>8492</v>
      </c>
      <c r="M137" s="42" t="n">
        <v>4447</v>
      </c>
      <c r="N137" s="43" t="n">
        <f aca="false">L137-M137</f>
        <v>4045</v>
      </c>
    </row>
    <row r="138" customFormat="false" ht="15" hidden="false" customHeight="false" outlineLevel="0" collapsed="false">
      <c r="A138" s="40" t="n">
        <v>45717</v>
      </c>
      <c r="B138" s="41" t="n">
        <v>2025</v>
      </c>
      <c r="C138" s="41" t="n">
        <v>3</v>
      </c>
      <c r="D138" s="41" t="s">
        <v>48</v>
      </c>
      <c r="E138" s="41" t="s">
        <v>44</v>
      </c>
      <c r="F138" s="41" t="s">
        <v>36</v>
      </c>
      <c r="G138" s="41" t="s">
        <v>38</v>
      </c>
      <c r="H138" s="42" t="n">
        <v>72</v>
      </c>
      <c r="I138" s="42" t="n">
        <v>94</v>
      </c>
      <c r="J138" s="42" t="n">
        <v>8079</v>
      </c>
      <c r="K138" s="42" t="n">
        <v>374</v>
      </c>
      <c r="L138" s="43" t="n">
        <f aca="false">J138-K138</f>
        <v>7705</v>
      </c>
      <c r="M138" s="42" t="n">
        <v>3538</v>
      </c>
      <c r="N138" s="43" t="n">
        <f aca="false">L138-M138</f>
        <v>4167</v>
      </c>
    </row>
    <row r="139" customFormat="false" ht="15" hidden="false" customHeight="false" outlineLevel="0" collapsed="false">
      <c r="A139" s="40" t="n">
        <v>45717</v>
      </c>
      <c r="B139" s="41" t="n">
        <v>2025</v>
      </c>
      <c r="C139" s="41" t="n">
        <v>3</v>
      </c>
      <c r="D139" s="41" t="s">
        <v>48</v>
      </c>
      <c r="E139" s="41" t="s">
        <v>44</v>
      </c>
      <c r="F139" s="41" t="s">
        <v>36</v>
      </c>
      <c r="G139" s="41" t="s">
        <v>39</v>
      </c>
      <c r="H139" s="42" t="n">
        <v>110</v>
      </c>
      <c r="I139" s="42" t="n">
        <v>164</v>
      </c>
      <c r="J139" s="42" t="n">
        <v>9202</v>
      </c>
      <c r="K139" s="42" t="n">
        <v>1045</v>
      </c>
      <c r="L139" s="43" t="n">
        <f aca="false">J139-K139</f>
        <v>8157</v>
      </c>
      <c r="M139" s="42" t="n">
        <v>3109</v>
      </c>
      <c r="N139" s="43" t="n">
        <f aca="false">L139-M139</f>
        <v>5048</v>
      </c>
    </row>
    <row r="140" customFormat="false" ht="15" hidden="false" customHeight="false" outlineLevel="0" collapsed="false">
      <c r="A140" s="40" t="n">
        <v>45717</v>
      </c>
      <c r="B140" s="41" t="n">
        <v>2025</v>
      </c>
      <c r="C140" s="41" t="n">
        <v>3</v>
      </c>
      <c r="D140" s="41" t="s">
        <v>48</v>
      </c>
      <c r="E140" s="41" t="s">
        <v>44</v>
      </c>
      <c r="F140" s="41" t="s">
        <v>36</v>
      </c>
      <c r="G140" s="41" t="s">
        <v>40</v>
      </c>
      <c r="H140" s="42" t="n">
        <v>67</v>
      </c>
      <c r="I140" s="42" t="n">
        <v>99</v>
      </c>
      <c r="J140" s="42" t="n">
        <v>8619</v>
      </c>
      <c r="K140" s="42" t="n">
        <v>1200</v>
      </c>
      <c r="L140" s="43" t="n">
        <f aca="false">J140-K140</f>
        <v>7419</v>
      </c>
      <c r="M140" s="42" t="n">
        <v>4029</v>
      </c>
      <c r="N140" s="43" t="n">
        <f aca="false">L140-M140</f>
        <v>3390</v>
      </c>
    </row>
    <row r="141" customFormat="false" ht="15" hidden="false" customHeight="false" outlineLevel="0" collapsed="false">
      <c r="A141" s="40" t="n">
        <v>45717</v>
      </c>
      <c r="B141" s="41" t="n">
        <v>2025</v>
      </c>
      <c r="C141" s="41" t="n">
        <v>3</v>
      </c>
      <c r="D141" s="41" t="s">
        <v>48</v>
      </c>
      <c r="E141" s="41" t="s">
        <v>44</v>
      </c>
      <c r="F141" s="41" t="s">
        <v>36</v>
      </c>
      <c r="G141" s="41" t="s">
        <v>41</v>
      </c>
      <c r="H141" s="42" t="n">
        <v>81</v>
      </c>
      <c r="I141" s="42" t="n">
        <v>107</v>
      </c>
      <c r="J141" s="42" t="n">
        <v>4949</v>
      </c>
      <c r="K141" s="42" t="n">
        <v>178</v>
      </c>
      <c r="L141" s="43" t="n">
        <f aca="false">J141-K141</f>
        <v>4771</v>
      </c>
      <c r="M141" s="42" t="n">
        <v>2302</v>
      </c>
      <c r="N141" s="43" t="n">
        <f aca="false">L141-M141</f>
        <v>2469</v>
      </c>
    </row>
    <row r="142" customFormat="false" ht="15" hidden="false" customHeight="false" outlineLevel="0" collapsed="false">
      <c r="A142" s="40" t="n">
        <v>45717</v>
      </c>
      <c r="B142" s="41" t="n">
        <v>2025</v>
      </c>
      <c r="C142" s="41" t="n">
        <v>3</v>
      </c>
      <c r="D142" s="41" t="s">
        <v>48</v>
      </c>
      <c r="E142" s="41" t="s">
        <v>44</v>
      </c>
      <c r="F142" s="41" t="s">
        <v>42</v>
      </c>
      <c r="G142" s="41" t="s">
        <v>37</v>
      </c>
      <c r="H142" s="42" t="n">
        <v>39</v>
      </c>
      <c r="I142" s="42" t="n">
        <v>52</v>
      </c>
      <c r="J142" s="42" t="n">
        <v>6863</v>
      </c>
      <c r="K142" s="42" t="n">
        <v>337</v>
      </c>
      <c r="L142" s="43" t="n">
        <f aca="false">J142-K142</f>
        <v>6526</v>
      </c>
      <c r="M142" s="42" t="n">
        <v>3484</v>
      </c>
      <c r="N142" s="43" t="n">
        <f aca="false">L142-M142</f>
        <v>3042</v>
      </c>
    </row>
    <row r="143" customFormat="false" ht="15" hidden="false" customHeight="false" outlineLevel="0" collapsed="false">
      <c r="A143" s="40" t="n">
        <v>45717</v>
      </c>
      <c r="B143" s="41" t="n">
        <v>2025</v>
      </c>
      <c r="C143" s="41" t="n">
        <v>3</v>
      </c>
      <c r="D143" s="41" t="s">
        <v>48</v>
      </c>
      <c r="E143" s="41" t="s">
        <v>44</v>
      </c>
      <c r="F143" s="41" t="s">
        <v>42</v>
      </c>
      <c r="G143" s="41" t="s">
        <v>38</v>
      </c>
      <c r="H143" s="42" t="n">
        <v>54</v>
      </c>
      <c r="I143" s="42" t="n">
        <v>82</v>
      </c>
      <c r="J143" s="42" t="n">
        <v>5552</v>
      </c>
      <c r="K143" s="42" t="n">
        <v>343</v>
      </c>
      <c r="L143" s="43" t="n">
        <f aca="false">J143-K143</f>
        <v>5209</v>
      </c>
      <c r="M143" s="42" t="n">
        <v>2523</v>
      </c>
      <c r="N143" s="43" t="n">
        <f aca="false">L143-M143</f>
        <v>2686</v>
      </c>
    </row>
    <row r="144" customFormat="false" ht="15" hidden="false" customHeight="false" outlineLevel="0" collapsed="false">
      <c r="A144" s="40" t="n">
        <v>45717</v>
      </c>
      <c r="B144" s="41" t="n">
        <v>2025</v>
      </c>
      <c r="C144" s="41" t="n">
        <v>3</v>
      </c>
      <c r="D144" s="41" t="s">
        <v>48</v>
      </c>
      <c r="E144" s="41" t="s">
        <v>44</v>
      </c>
      <c r="F144" s="41" t="s">
        <v>42</v>
      </c>
      <c r="G144" s="41" t="s">
        <v>39</v>
      </c>
      <c r="H144" s="42" t="n">
        <v>90</v>
      </c>
      <c r="I144" s="42" t="n">
        <v>114</v>
      </c>
      <c r="J144" s="42" t="n">
        <v>6917</v>
      </c>
      <c r="K144" s="42" t="n">
        <v>938</v>
      </c>
      <c r="L144" s="43" t="n">
        <f aca="false">J144-K144</f>
        <v>5979</v>
      </c>
      <c r="M144" s="42" t="n">
        <v>2432</v>
      </c>
      <c r="N144" s="43" t="n">
        <f aca="false">L144-M144</f>
        <v>3547</v>
      </c>
    </row>
    <row r="145" customFormat="false" ht="15" hidden="false" customHeight="false" outlineLevel="0" collapsed="false">
      <c r="A145" s="40" t="n">
        <v>45717</v>
      </c>
      <c r="B145" s="41" t="n">
        <v>2025</v>
      </c>
      <c r="C145" s="41" t="n">
        <v>3</v>
      </c>
      <c r="D145" s="41" t="s">
        <v>48</v>
      </c>
      <c r="E145" s="41" t="s">
        <v>44</v>
      </c>
      <c r="F145" s="41" t="s">
        <v>42</v>
      </c>
      <c r="G145" s="41" t="s">
        <v>40</v>
      </c>
      <c r="H145" s="42" t="n">
        <v>44</v>
      </c>
      <c r="I145" s="42" t="n">
        <v>70</v>
      </c>
      <c r="J145" s="42" t="n">
        <v>5166</v>
      </c>
      <c r="K145" s="42" t="n">
        <v>966</v>
      </c>
      <c r="L145" s="43" t="n">
        <f aca="false">J145-K145</f>
        <v>4200</v>
      </c>
      <c r="M145" s="42" t="n">
        <v>2431</v>
      </c>
      <c r="N145" s="43" t="n">
        <f aca="false">L145-M145</f>
        <v>1769</v>
      </c>
    </row>
    <row r="146" customFormat="false" ht="15" hidden="false" customHeight="false" outlineLevel="0" collapsed="false">
      <c r="A146" s="40" t="n">
        <v>45717</v>
      </c>
      <c r="B146" s="41" t="n">
        <v>2025</v>
      </c>
      <c r="C146" s="41" t="n">
        <v>3</v>
      </c>
      <c r="D146" s="41" t="s">
        <v>48</v>
      </c>
      <c r="E146" s="41" t="s">
        <v>44</v>
      </c>
      <c r="F146" s="41" t="s">
        <v>42</v>
      </c>
      <c r="G146" s="41" t="s">
        <v>41</v>
      </c>
      <c r="H146" s="42" t="n">
        <v>66</v>
      </c>
      <c r="I146" s="42" t="n">
        <v>103</v>
      </c>
      <c r="J146" s="42" t="n">
        <v>3702</v>
      </c>
      <c r="K146" s="42" t="n">
        <v>176</v>
      </c>
      <c r="L146" s="43" t="n">
        <f aca="false">J146-K146</f>
        <v>3526</v>
      </c>
      <c r="M146" s="42" t="n">
        <v>1771</v>
      </c>
      <c r="N146" s="43" t="n">
        <f aca="false">L146-M146</f>
        <v>1755</v>
      </c>
    </row>
    <row r="147" customFormat="false" ht="15" hidden="false" customHeight="false" outlineLevel="0" collapsed="false">
      <c r="A147" s="40" t="n">
        <v>45717</v>
      </c>
      <c r="B147" s="41" t="n">
        <v>2025</v>
      </c>
      <c r="C147" s="41" t="n">
        <v>3</v>
      </c>
      <c r="D147" s="41" t="s">
        <v>48</v>
      </c>
      <c r="E147" s="41" t="s">
        <v>44</v>
      </c>
      <c r="F147" s="41" t="s">
        <v>43</v>
      </c>
      <c r="G147" s="41" t="s">
        <v>37</v>
      </c>
      <c r="H147" s="42" t="n">
        <v>26</v>
      </c>
      <c r="I147" s="42" t="n">
        <v>30</v>
      </c>
      <c r="J147" s="42" t="n">
        <v>5212</v>
      </c>
      <c r="K147" s="42" t="n">
        <v>159</v>
      </c>
      <c r="L147" s="43" t="n">
        <f aca="false">J147-K147</f>
        <v>5053</v>
      </c>
      <c r="M147" s="42" t="n">
        <v>2670</v>
      </c>
      <c r="N147" s="43" t="n">
        <f aca="false">L147-M147</f>
        <v>2383</v>
      </c>
    </row>
    <row r="148" customFormat="false" ht="15" hidden="false" customHeight="false" outlineLevel="0" collapsed="false">
      <c r="A148" s="40" t="n">
        <v>45717</v>
      </c>
      <c r="B148" s="41" t="n">
        <v>2025</v>
      </c>
      <c r="C148" s="41" t="n">
        <v>3</v>
      </c>
      <c r="D148" s="41" t="s">
        <v>48</v>
      </c>
      <c r="E148" s="41" t="s">
        <v>44</v>
      </c>
      <c r="F148" s="41" t="s">
        <v>43</v>
      </c>
      <c r="G148" s="41" t="s">
        <v>38</v>
      </c>
      <c r="H148" s="42" t="n">
        <v>39</v>
      </c>
      <c r="I148" s="42" t="n">
        <v>56</v>
      </c>
      <c r="J148" s="42" t="n">
        <v>4600</v>
      </c>
      <c r="K148" s="42" t="n">
        <v>147</v>
      </c>
      <c r="L148" s="43" t="n">
        <f aca="false">J148-K148</f>
        <v>4453</v>
      </c>
      <c r="M148" s="42" t="n">
        <v>1950</v>
      </c>
      <c r="N148" s="43" t="n">
        <f aca="false">L148-M148</f>
        <v>2503</v>
      </c>
    </row>
    <row r="149" customFormat="false" ht="15" hidden="false" customHeight="false" outlineLevel="0" collapsed="false">
      <c r="A149" s="40" t="n">
        <v>45717</v>
      </c>
      <c r="B149" s="41" t="n">
        <v>2025</v>
      </c>
      <c r="C149" s="41" t="n">
        <v>3</v>
      </c>
      <c r="D149" s="41" t="s">
        <v>48</v>
      </c>
      <c r="E149" s="41" t="s">
        <v>44</v>
      </c>
      <c r="F149" s="41" t="s">
        <v>43</v>
      </c>
      <c r="G149" s="41" t="s">
        <v>39</v>
      </c>
      <c r="H149" s="42" t="n">
        <v>64</v>
      </c>
      <c r="I149" s="42" t="n">
        <v>77</v>
      </c>
      <c r="J149" s="42" t="n">
        <v>5725</v>
      </c>
      <c r="K149" s="42" t="n">
        <v>396</v>
      </c>
      <c r="L149" s="43" t="n">
        <f aca="false">J149-K149</f>
        <v>5329</v>
      </c>
      <c r="M149" s="42" t="n">
        <v>2059</v>
      </c>
      <c r="N149" s="43" t="n">
        <f aca="false">L149-M149</f>
        <v>3270</v>
      </c>
    </row>
    <row r="150" customFormat="false" ht="15" hidden="false" customHeight="false" outlineLevel="0" collapsed="false">
      <c r="A150" s="40" t="n">
        <v>45717</v>
      </c>
      <c r="B150" s="41" t="n">
        <v>2025</v>
      </c>
      <c r="C150" s="41" t="n">
        <v>3</v>
      </c>
      <c r="D150" s="41" t="s">
        <v>48</v>
      </c>
      <c r="E150" s="41" t="s">
        <v>44</v>
      </c>
      <c r="F150" s="41" t="s">
        <v>43</v>
      </c>
      <c r="G150" s="41" t="s">
        <v>40</v>
      </c>
      <c r="H150" s="42" t="n">
        <v>26</v>
      </c>
      <c r="I150" s="42" t="n">
        <v>39</v>
      </c>
      <c r="J150" s="42" t="n">
        <v>3474</v>
      </c>
      <c r="K150" s="42" t="n">
        <v>347</v>
      </c>
      <c r="L150" s="43" t="n">
        <f aca="false">J150-K150</f>
        <v>3127</v>
      </c>
      <c r="M150" s="42" t="n">
        <v>1695</v>
      </c>
      <c r="N150" s="43" t="n">
        <f aca="false">L150-M150</f>
        <v>1432</v>
      </c>
    </row>
    <row r="151" customFormat="false" ht="15" hidden="false" customHeight="false" outlineLevel="0" collapsed="false">
      <c r="A151" s="40" t="n">
        <v>45717</v>
      </c>
      <c r="B151" s="41" t="n">
        <v>2025</v>
      </c>
      <c r="C151" s="41" t="n">
        <v>3</v>
      </c>
      <c r="D151" s="41" t="s">
        <v>48</v>
      </c>
      <c r="E151" s="41" t="s">
        <v>44</v>
      </c>
      <c r="F151" s="41" t="s">
        <v>43</v>
      </c>
      <c r="G151" s="41" t="s">
        <v>41</v>
      </c>
      <c r="H151" s="42" t="n">
        <v>40</v>
      </c>
      <c r="I151" s="42" t="n">
        <v>51</v>
      </c>
      <c r="J151" s="42" t="n">
        <v>2562</v>
      </c>
      <c r="K151" s="42" t="n">
        <v>55</v>
      </c>
      <c r="L151" s="43" t="n">
        <f aca="false">J151-K151</f>
        <v>2507</v>
      </c>
      <c r="M151" s="42" t="n">
        <v>1196</v>
      </c>
      <c r="N151" s="43" t="n">
        <f aca="false">L151-M151</f>
        <v>1311</v>
      </c>
    </row>
    <row r="152" customFormat="false" ht="15" hidden="false" customHeight="false" outlineLevel="0" collapsed="false">
      <c r="A152" s="40" t="n">
        <v>45717</v>
      </c>
      <c r="B152" s="41" t="n">
        <v>2025</v>
      </c>
      <c r="C152" s="41" t="n">
        <v>3</v>
      </c>
      <c r="D152" s="41" t="s">
        <v>48</v>
      </c>
      <c r="E152" s="41" t="s">
        <v>45</v>
      </c>
      <c r="F152" s="41" t="s">
        <v>36</v>
      </c>
      <c r="G152" s="41" t="s">
        <v>37</v>
      </c>
      <c r="H152" s="42" t="n">
        <v>36</v>
      </c>
      <c r="I152" s="42" t="n">
        <v>44</v>
      </c>
      <c r="J152" s="42" t="n">
        <v>6896</v>
      </c>
      <c r="K152" s="42" t="n">
        <v>244</v>
      </c>
      <c r="L152" s="43" t="n">
        <f aca="false">J152-K152</f>
        <v>6652</v>
      </c>
      <c r="M152" s="42" t="n">
        <v>3612</v>
      </c>
      <c r="N152" s="43" t="n">
        <f aca="false">L152-M152</f>
        <v>3040</v>
      </c>
    </row>
    <row r="153" customFormat="false" ht="15" hidden="false" customHeight="false" outlineLevel="0" collapsed="false">
      <c r="A153" s="40" t="n">
        <v>45717</v>
      </c>
      <c r="B153" s="41" t="n">
        <v>2025</v>
      </c>
      <c r="C153" s="41" t="n">
        <v>3</v>
      </c>
      <c r="D153" s="41" t="s">
        <v>48</v>
      </c>
      <c r="E153" s="41" t="s">
        <v>45</v>
      </c>
      <c r="F153" s="41" t="s">
        <v>36</v>
      </c>
      <c r="G153" s="41" t="s">
        <v>38</v>
      </c>
      <c r="H153" s="42" t="n">
        <v>59</v>
      </c>
      <c r="I153" s="42" t="n">
        <v>74</v>
      </c>
      <c r="J153" s="42" t="n">
        <v>6648</v>
      </c>
      <c r="K153" s="42" t="n">
        <v>386</v>
      </c>
      <c r="L153" s="43" t="n">
        <f aca="false">J153-K153</f>
        <v>6262</v>
      </c>
      <c r="M153" s="42" t="n">
        <v>2902</v>
      </c>
      <c r="N153" s="43" t="n">
        <f aca="false">L153-M153</f>
        <v>3360</v>
      </c>
    </row>
    <row r="154" customFormat="false" ht="15" hidden="false" customHeight="false" outlineLevel="0" collapsed="false">
      <c r="A154" s="40" t="n">
        <v>45717</v>
      </c>
      <c r="B154" s="41" t="n">
        <v>2025</v>
      </c>
      <c r="C154" s="41" t="n">
        <v>3</v>
      </c>
      <c r="D154" s="41" t="s">
        <v>48</v>
      </c>
      <c r="E154" s="41" t="s">
        <v>45</v>
      </c>
      <c r="F154" s="41" t="s">
        <v>36</v>
      </c>
      <c r="G154" s="41" t="s">
        <v>39</v>
      </c>
      <c r="H154" s="42" t="n">
        <v>93</v>
      </c>
      <c r="I154" s="42" t="n">
        <v>113</v>
      </c>
      <c r="J154" s="42" t="n">
        <v>7810</v>
      </c>
      <c r="K154" s="42" t="n">
        <v>685</v>
      </c>
      <c r="L154" s="43" t="n">
        <f aca="false">J154-K154</f>
        <v>7125</v>
      </c>
      <c r="M154" s="42" t="n">
        <v>2711</v>
      </c>
      <c r="N154" s="43" t="n">
        <f aca="false">L154-M154</f>
        <v>4414</v>
      </c>
    </row>
    <row r="155" customFormat="false" ht="15" hidden="false" customHeight="false" outlineLevel="0" collapsed="false">
      <c r="A155" s="40" t="n">
        <v>45717</v>
      </c>
      <c r="B155" s="41" t="n">
        <v>2025</v>
      </c>
      <c r="C155" s="41" t="n">
        <v>3</v>
      </c>
      <c r="D155" s="41" t="s">
        <v>48</v>
      </c>
      <c r="E155" s="41" t="s">
        <v>45</v>
      </c>
      <c r="F155" s="41" t="s">
        <v>36</v>
      </c>
      <c r="G155" s="41" t="s">
        <v>40</v>
      </c>
      <c r="H155" s="42" t="n">
        <v>43</v>
      </c>
      <c r="I155" s="42" t="n">
        <v>51</v>
      </c>
      <c r="J155" s="42" t="n">
        <v>5451</v>
      </c>
      <c r="K155" s="42" t="n">
        <v>586</v>
      </c>
      <c r="L155" s="43" t="n">
        <f aca="false">J155-K155</f>
        <v>4865</v>
      </c>
      <c r="M155" s="42" t="n">
        <v>2637</v>
      </c>
      <c r="N155" s="43" t="n">
        <f aca="false">L155-M155</f>
        <v>2228</v>
      </c>
    </row>
    <row r="156" customFormat="false" ht="15" hidden="false" customHeight="false" outlineLevel="0" collapsed="false">
      <c r="A156" s="40" t="n">
        <v>45717</v>
      </c>
      <c r="B156" s="41" t="n">
        <v>2025</v>
      </c>
      <c r="C156" s="41" t="n">
        <v>3</v>
      </c>
      <c r="D156" s="41" t="s">
        <v>48</v>
      </c>
      <c r="E156" s="41" t="s">
        <v>45</v>
      </c>
      <c r="F156" s="41" t="s">
        <v>36</v>
      </c>
      <c r="G156" s="41" t="s">
        <v>41</v>
      </c>
      <c r="H156" s="42" t="n">
        <v>64</v>
      </c>
      <c r="I156" s="42" t="n">
        <v>99</v>
      </c>
      <c r="J156" s="42" t="n">
        <v>3876</v>
      </c>
      <c r="K156" s="42" t="n">
        <v>128</v>
      </c>
      <c r="L156" s="43" t="n">
        <f aca="false">J156-K156</f>
        <v>3748</v>
      </c>
      <c r="M156" s="42" t="n">
        <v>1790</v>
      </c>
      <c r="N156" s="43" t="n">
        <f aca="false">L156-M156</f>
        <v>1958</v>
      </c>
    </row>
    <row r="157" customFormat="false" ht="15" hidden="false" customHeight="false" outlineLevel="0" collapsed="false">
      <c r="A157" s="40" t="n">
        <v>45717</v>
      </c>
      <c r="B157" s="41" t="n">
        <v>2025</v>
      </c>
      <c r="C157" s="41" t="n">
        <v>3</v>
      </c>
      <c r="D157" s="41" t="s">
        <v>48</v>
      </c>
      <c r="E157" s="41" t="s">
        <v>45</v>
      </c>
      <c r="F157" s="41" t="s">
        <v>42</v>
      </c>
      <c r="G157" s="41" t="s">
        <v>37</v>
      </c>
      <c r="H157" s="42" t="n">
        <v>30</v>
      </c>
      <c r="I157" s="42" t="n">
        <v>42</v>
      </c>
      <c r="J157" s="42" t="n">
        <v>5162</v>
      </c>
      <c r="K157" s="42" t="n">
        <v>265</v>
      </c>
      <c r="L157" s="43" t="n">
        <f aca="false">J157-K157</f>
        <v>4897</v>
      </c>
      <c r="M157" s="42" t="n">
        <v>2662</v>
      </c>
      <c r="N157" s="43" t="n">
        <f aca="false">L157-M157</f>
        <v>2235</v>
      </c>
    </row>
    <row r="158" customFormat="false" ht="15" hidden="false" customHeight="false" outlineLevel="0" collapsed="false">
      <c r="A158" s="40" t="n">
        <v>45717</v>
      </c>
      <c r="B158" s="41" t="n">
        <v>2025</v>
      </c>
      <c r="C158" s="41" t="n">
        <v>3</v>
      </c>
      <c r="D158" s="41" t="s">
        <v>48</v>
      </c>
      <c r="E158" s="41" t="s">
        <v>45</v>
      </c>
      <c r="F158" s="41" t="s">
        <v>42</v>
      </c>
      <c r="G158" s="41" t="s">
        <v>38</v>
      </c>
      <c r="H158" s="42" t="n">
        <v>39</v>
      </c>
      <c r="I158" s="42" t="n">
        <v>50</v>
      </c>
      <c r="J158" s="42" t="n">
        <v>4061</v>
      </c>
      <c r="K158" s="42" t="n">
        <v>325</v>
      </c>
      <c r="L158" s="43" t="n">
        <f aca="false">J158-K158</f>
        <v>3736</v>
      </c>
      <c r="M158" s="42" t="n">
        <v>1724</v>
      </c>
      <c r="N158" s="43" t="n">
        <f aca="false">L158-M158</f>
        <v>2012</v>
      </c>
    </row>
    <row r="159" customFormat="false" ht="15" hidden="false" customHeight="false" outlineLevel="0" collapsed="false">
      <c r="A159" s="40" t="n">
        <v>45717</v>
      </c>
      <c r="B159" s="41" t="n">
        <v>2025</v>
      </c>
      <c r="C159" s="41" t="n">
        <v>3</v>
      </c>
      <c r="D159" s="41" t="s">
        <v>48</v>
      </c>
      <c r="E159" s="41" t="s">
        <v>45</v>
      </c>
      <c r="F159" s="41" t="s">
        <v>42</v>
      </c>
      <c r="G159" s="41" t="s">
        <v>39</v>
      </c>
      <c r="H159" s="42" t="n">
        <v>71</v>
      </c>
      <c r="I159" s="42" t="n">
        <v>102</v>
      </c>
      <c r="J159" s="42" t="n">
        <v>5516</v>
      </c>
      <c r="K159" s="42" t="n">
        <v>853</v>
      </c>
      <c r="L159" s="43" t="n">
        <f aca="false">J159-K159</f>
        <v>4663</v>
      </c>
      <c r="M159" s="42" t="n">
        <v>1899</v>
      </c>
      <c r="N159" s="43" t="n">
        <f aca="false">L159-M159</f>
        <v>2764</v>
      </c>
    </row>
    <row r="160" customFormat="false" ht="15" hidden="false" customHeight="false" outlineLevel="0" collapsed="false">
      <c r="A160" s="40" t="n">
        <v>45717</v>
      </c>
      <c r="B160" s="41" t="n">
        <v>2025</v>
      </c>
      <c r="C160" s="41" t="n">
        <v>3</v>
      </c>
      <c r="D160" s="41" t="s">
        <v>48</v>
      </c>
      <c r="E160" s="41" t="s">
        <v>45</v>
      </c>
      <c r="F160" s="41" t="s">
        <v>42</v>
      </c>
      <c r="G160" s="41" t="s">
        <v>40</v>
      </c>
      <c r="H160" s="42" t="n">
        <v>32</v>
      </c>
      <c r="I160" s="42" t="n">
        <v>40</v>
      </c>
      <c r="J160" s="42" t="n">
        <v>3713</v>
      </c>
      <c r="K160" s="42" t="n">
        <v>577</v>
      </c>
      <c r="L160" s="43" t="n">
        <f aca="false">J160-K160</f>
        <v>3136</v>
      </c>
      <c r="M160" s="42" t="n">
        <v>1775</v>
      </c>
      <c r="N160" s="43" t="n">
        <f aca="false">L160-M160</f>
        <v>1361</v>
      </c>
    </row>
    <row r="161" customFormat="false" ht="15" hidden="false" customHeight="false" outlineLevel="0" collapsed="false">
      <c r="A161" s="40" t="n">
        <v>45717</v>
      </c>
      <c r="B161" s="41" t="n">
        <v>2025</v>
      </c>
      <c r="C161" s="41" t="n">
        <v>3</v>
      </c>
      <c r="D161" s="41" t="s">
        <v>48</v>
      </c>
      <c r="E161" s="41" t="s">
        <v>45</v>
      </c>
      <c r="F161" s="41" t="s">
        <v>42</v>
      </c>
      <c r="G161" s="41" t="s">
        <v>41</v>
      </c>
      <c r="H161" s="42" t="n">
        <v>53</v>
      </c>
      <c r="I161" s="42" t="n">
        <v>81</v>
      </c>
      <c r="J161" s="42" t="n">
        <v>2981</v>
      </c>
      <c r="K161" s="42" t="n">
        <v>139</v>
      </c>
      <c r="L161" s="43" t="n">
        <f aca="false">J161-K161</f>
        <v>2842</v>
      </c>
      <c r="M161" s="42" t="n">
        <v>1383</v>
      </c>
      <c r="N161" s="43" t="n">
        <f aca="false">L161-M161</f>
        <v>1459</v>
      </c>
    </row>
    <row r="162" customFormat="false" ht="15" hidden="false" customHeight="false" outlineLevel="0" collapsed="false">
      <c r="A162" s="40" t="n">
        <v>45717</v>
      </c>
      <c r="B162" s="41" t="n">
        <v>2025</v>
      </c>
      <c r="C162" s="41" t="n">
        <v>3</v>
      </c>
      <c r="D162" s="41" t="s">
        <v>48</v>
      </c>
      <c r="E162" s="41" t="s">
        <v>45</v>
      </c>
      <c r="F162" s="41" t="s">
        <v>43</v>
      </c>
      <c r="G162" s="41" t="s">
        <v>37</v>
      </c>
      <c r="H162" s="42" t="n">
        <v>16</v>
      </c>
      <c r="I162" s="42" t="n">
        <v>24</v>
      </c>
      <c r="J162" s="42" t="n">
        <v>3161</v>
      </c>
      <c r="K162" s="42" t="n">
        <v>103</v>
      </c>
      <c r="L162" s="43" t="n">
        <f aca="false">J162-K162</f>
        <v>3058</v>
      </c>
      <c r="M162" s="42" t="n">
        <v>1618</v>
      </c>
      <c r="N162" s="43" t="n">
        <f aca="false">L162-M162</f>
        <v>1440</v>
      </c>
    </row>
    <row r="163" customFormat="false" ht="15" hidden="false" customHeight="false" outlineLevel="0" collapsed="false">
      <c r="A163" s="40" t="n">
        <v>45717</v>
      </c>
      <c r="B163" s="41" t="n">
        <v>2025</v>
      </c>
      <c r="C163" s="41" t="n">
        <v>3</v>
      </c>
      <c r="D163" s="41" t="s">
        <v>48</v>
      </c>
      <c r="E163" s="41" t="s">
        <v>45</v>
      </c>
      <c r="F163" s="41" t="s">
        <v>43</v>
      </c>
      <c r="G163" s="41" t="s">
        <v>38</v>
      </c>
      <c r="H163" s="42" t="n">
        <v>27</v>
      </c>
      <c r="I163" s="42" t="n">
        <v>31</v>
      </c>
      <c r="J163" s="42" t="n">
        <v>3260</v>
      </c>
      <c r="K163" s="42" t="n">
        <v>109</v>
      </c>
      <c r="L163" s="43" t="n">
        <f aca="false">J163-K163</f>
        <v>3151</v>
      </c>
      <c r="M163" s="42" t="n">
        <v>1454</v>
      </c>
      <c r="N163" s="43" t="n">
        <f aca="false">L163-M163</f>
        <v>1697</v>
      </c>
    </row>
    <row r="164" customFormat="false" ht="15" hidden="false" customHeight="false" outlineLevel="0" collapsed="false">
      <c r="A164" s="40" t="n">
        <v>45717</v>
      </c>
      <c r="B164" s="41" t="n">
        <v>2025</v>
      </c>
      <c r="C164" s="41" t="n">
        <v>3</v>
      </c>
      <c r="D164" s="41" t="s">
        <v>48</v>
      </c>
      <c r="E164" s="41" t="s">
        <v>45</v>
      </c>
      <c r="F164" s="41" t="s">
        <v>43</v>
      </c>
      <c r="G164" s="41" t="s">
        <v>39</v>
      </c>
      <c r="H164" s="42" t="n">
        <v>46</v>
      </c>
      <c r="I164" s="42" t="n">
        <v>71</v>
      </c>
      <c r="J164" s="42" t="n">
        <v>4134</v>
      </c>
      <c r="K164" s="42" t="n">
        <v>344</v>
      </c>
      <c r="L164" s="43" t="n">
        <f aca="false">J164-K164</f>
        <v>3790</v>
      </c>
      <c r="M164" s="42" t="n">
        <v>1456</v>
      </c>
      <c r="N164" s="43" t="n">
        <f aca="false">L164-M164</f>
        <v>2334</v>
      </c>
    </row>
    <row r="165" customFormat="false" ht="15" hidden="false" customHeight="false" outlineLevel="0" collapsed="false">
      <c r="A165" s="40" t="n">
        <v>45717</v>
      </c>
      <c r="B165" s="41" t="n">
        <v>2025</v>
      </c>
      <c r="C165" s="41" t="n">
        <v>3</v>
      </c>
      <c r="D165" s="41" t="s">
        <v>48</v>
      </c>
      <c r="E165" s="41" t="s">
        <v>45</v>
      </c>
      <c r="F165" s="41" t="s">
        <v>43</v>
      </c>
      <c r="G165" s="41" t="s">
        <v>40</v>
      </c>
      <c r="H165" s="42" t="n">
        <v>18</v>
      </c>
      <c r="I165" s="42" t="n">
        <v>22</v>
      </c>
      <c r="J165" s="42" t="n">
        <v>2429</v>
      </c>
      <c r="K165" s="42" t="n">
        <v>206</v>
      </c>
      <c r="L165" s="43" t="n">
        <f aca="false">J165-K165</f>
        <v>2223</v>
      </c>
      <c r="M165" s="42" t="n">
        <v>1236</v>
      </c>
      <c r="N165" s="43" t="n">
        <f aca="false">L165-M165</f>
        <v>987</v>
      </c>
    </row>
    <row r="166" customFormat="false" ht="15" hidden="false" customHeight="false" outlineLevel="0" collapsed="false">
      <c r="A166" s="40" t="n">
        <v>45717</v>
      </c>
      <c r="B166" s="41" t="n">
        <v>2025</v>
      </c>
      <c r="C166" s="41" t="n">
        <v>3</v>
      </c>
      <c r="D166" s="41" t="s">
        <v>48</v>
      </c>
      <c r="E166" s="41" t="s">
        <v>45</v>
      </c>
      <c r="F166" s="41" t="s">
        <v>43</v>
      </c>
      <c r="G166" s="41" t="s">
        <v>41</v>
      </c>
      <c r="H166" s="42" t="n">
        <v>32</v>
      </c>
      <c r="I166" s="42" t="n">
        <v>47</v>
      </c>
      <c r="J166" s="42" t="n">
        <v>2043</v>
      </c>
      <c r="K166" s="42" t="n">
        <v>45</v>
      </c>
      <c r="L166" s="43" t="n">
        <f aca="false">J166-K166</f>
        <v>1998</v>
      </c>
      <c r="M166" s="42" t="n">
        <v>974</v>
      </c>
      <c r="N166" s="43" t="n">
        <f aca="false">L166-M166</f>
        <v>1024</v>
      </c>
    </row>
    <row r="167" customFormat="false" ht="15" hidden="false" customHeight="false" outlineLevel="0" collapsed="false">
      <c r="A167" s="40" t="n">
        <v>45717</v>
      </c>
      <c r="B167" s="41" t="n">
        <v>2025</v>
      </c>
      <c r="C167" s="41" t="n">
        <v>3</v>
      </c>
      <c r="D167" s="41" t="s">
        <v>48</v>
      </c>
      <c r="E167" s="41" t="s">
        <v>46</v>
      </c>
      <c r="F167" s="41" t="s">
        <v>36</v>
      </c>
      <c r="G167" s="41" t="s">
        <v>37</v>
      </c>
      <c r="H167" s="42" t="n">
        <v>38</v>
      </c>
      <c r="I167" s="42" t="n">
        <v>53</v>
      </c>
      <c r="J167" s="42" t="n">
        <v>7138</v>
      </c>
      <c r="K167" s="42" t="n">
        <v>233</v>
      </c>
      <c r="L167" s="43" t="n">
        <f aca="false">J167-K167</f>
        <v>6905</v>
      </c>
      <c r="M167" s="42" t="n">
        <v>3722</v>
      </c>
      <c r="N167" s="43" t="n">
        <f aca="false">L167-M167</f>
        <v>3183</v>
      </c>
    </row>
    <row r="168" customFormat="false" ht="15" hidden="false" customHeight="false" outlineLevel="0" collapsed="false">
      <c r="A168" s="40" t="n">
        <v>45717</v>
      </c>
      <c r="B168" s="41" t="n">
        <v>2025</v>
      </c>
      <c r="C168" s="41" t="n">
        <v>3</v>
      </c>
      <c r="D168" s="41" t="s">
        <v>48</v>
      </c>
      <c r="E168" s="41" t="s">
        <v>46</v>
      </c>
      <c r="F168" s="41" t="s">
        <v>36</v>
      </c>
      <c r="G168" s="41" t="s">
        <v>38</v>
      </c>
      <c r="H168" s="42" t="n">
        <v>52</v>
      </c>
      <c r="I168" s="42" t="n">
        <v>81</v>
      </c>
      <c r="J168" s="42" t="n">
        <v>5848</v>
      </c>
      <c r="K168" s="42" t="n">
        <v>309</v>
      </c>
      <c r="L168" s="43" t="n">
        <f aca="false">J168-K168</f>
        <v>5539</v>
      </c>
      <c r="M168" s="42" t="n">
        <v>2463</v>
      </c>
      <c r="N168" s="43" t="n">
        <f aca="false">L168-M168</f>
        <v>3076</v>
      </c>
    </row>
    <row r="169" customFormat="false" ht="15" hidden="false" customHeight="false" outlineLevel="0" collapsed="false">
      <c r="A169" s="40" t="n">
        <v>45717</v>
      </c>
      <c r="B169" s="41" t="n">
        <v>2025</v>
      </c>
      <c r="C169" s="41" t="n">
        <v>3</v>
      </c>
      <c r="D169" s="41" t="s">
        <v>48</v>
      </c>
      <c r="E169" s="41" t="s">
        <v>46</v>
      </c>
      <c r="F169" s="41" t="s">
        <v>36</v>
      </c>
      <c r="G169" s="41" t="s">
        <v>39</v>
      </c>
      <c r="H169" s="42" t="n">
        <v>80</v>
      </c>
      <c r="I169" s="42" t="n">
        <v>101</v>
      </c>
      <c r="J169" s="42" t="n">
        <v>6741</v>
      </c>
      <c r="K169" s="42" t="n">
        <v>711</v>
      </c>
      <c r="L169" s="43" t="n">
        <f aca="false">J169-K169</f>
        <v>6030</v>
      </c>
      <c r="M169" s="42" t="n">
        <v>2380</v>
      </c>
      <c r="N169" s="43" t="n">
        <f aca="false">L169-M169</f>
        <v>3650</v>
      </c>
    </row>
    <row r="170" customFormat="false" ht="15" hidden="false" customHeight="false" outlineLevel="0" collapsed="false">
      <c r="A170" s="40" t="n">
        <v>45717</v>
      </c>
      <c r="B170" s="41" t="n">
        <v>2025</v>
      </c>
      <c r="C170" s="41" t="n">
        <v>3</v>
      </c>
      <c r="D170" s="41" t="s">
        <v>48</v>
      </c>
      <c r="E170" s="41" t="s">
        <v>46</v>
      </c>
      <c r="F170" s="41" t="s">
        <v>36</v>
      </c>
      <c r="G170" s="41" t="s">
        <v>40</v>
      </c>
      <c r="H170" s="42" t="n">
        <v>38</v>
      </c>
      <c r="I170" s="42" t="n">
        <v>45</v>
      </c>
      <c r="J170" s="42" t="n">
        <v>4830</v>
      </c>
      <c r="K170" s="42" t="n">
        <v>585</v>
      </c>
      <c r="L170" s="43" t="n">
        <f aca="false">J170-K170</f>
        <v>4245</v>
      </c>
      <c r="M170" s="42" t="n">
        <v>2346</v>
      </c>
      <c r="N170" s="43" t="n">
        <f aca="false">L170-M170</f>
        <v>1899</v>
      </c>
    </row>
    <row r="171" customFormat="false" ht="15" hidden="false" customHeight="false" outlineLevel="0" collapsed="false">
      <c r="A171" s="40" t="n">
        <v>45717</v>
      </c>
      <c r="B171" s="41" t="n">
        <v>2025</v>
      </c>
      <c r="C171" s="41" t="n">
        <v>3</v>
      </c>
      <c r="D171" s="41" t="s">
        <v>48</v>
      </c>
      <c r="E171" s="41" t="s">
        <v>46</v>
      </c>
      <c r="F171" s="41" t="s">
        <v>36</v>
      </c>
      <c r="G171" s="41" t="s">
        <v>41</v>
      </c>
      <c r="H171" s="42" t="n">
        <v>57</v>
      </c>
      <c r="I171" s="42" t="n">
        <v>71</v>
      </c>
      <c r="J171" s="42" t="n">
        <v>3499</v>
      </c>
      <c r="K171" s="42" t="n">
        <v>109</v>
      </c>
      <c r="L171" s="43" t="n">
        <f aca="false">J171-K171</f>
        <v>3390</v>
      </c>
      <c r="M171" s="42" t="n">
        <v>1579</v>
      </c>
      <c r="N171" s="43" t="n">
        <f aca="false">L171-M171</f>
        <v>1811</v>
      </c>
    </row>
    <row r="172" customFormat="false" ht="15" hidden="false" customHeight="false" outlineLevel="0" collapsed="false">
      <c r="A172" s="40" t="n">
        <v>45717</v>
      </c>
      <c r="B172" s="41" t="n">
        <v>2025</v>
      </c>
      <c r="C172" s="41" t="n">
        <v>3</v>
      </c>
      <c r="D172" s="41" t="s">
        <v>48</v>
      </c>
      <c r="E172" s="41" t="s">
        <v>46</v>
      </c>
      <c r="F172" s="41" t="s">
        <v>42</v>
      </c>
      <c r="G172" s="41" t="s">
        <v>37</v>
      </c>
      <c r="H172" s="42" t="n">
        <v>27</v>
      </c>
      <c r="I172" s="42" t="n">
        <v>37</v>
      </c>
      <c r="J172" s="42" t="n">
        <v>4746</v>
      </c>
      <c r="K172" s="42" t="n">
        <v>303</v>
      </c>
      <c r="L172" s="43" t="n">
        <f aca="false">J172-K172</f>
        <v>4443</v>
      </c>
      <c r="M172" s="42" t="n">
        <v>2459</v>
      </c>
      <c r="N172" s="43" t="n">
        <f aca="false">L172-M172</f>
        <v>1984</v>
      </c>
    </row>
    <row r="173" customFormat="false" ht="15" hidden="false" customHeight="false" outlineLevel="0" collapsed="false">
      <c r="A173" s="40" t="n">
        <v>45717</v>
      </c>
      <c r="B173" s="41" t="n">
        <v>2025</v>
      </c>
      <c r="C173" s="41" t="n">
        <v>3</v>
      </c>
      <c r="D173" s="41" t="s">
        <v>48</v>
      </c>
      <c r="E173" s="41" t="s">
        <v>46</v>
      </c>
      <c r="F173" s="41" t="s">
        <v>42</v>
      </c>
      <c r="G173" s="41" t="s">
        <v>38</v>
      </c>
      <c r="H173" s="42" t="n">
        <v>47</v>
      </c>
      <c r="I173" s="42" t="n">
        <v>64</v>
      </c>
      <c r="J173" s="42" t="n">
        <v>4870</v>
      </c>
      <c r="K173" s="42" t="n">
        <v>294</v>
      </c>
      <c r="L173" s="43" t="n">
        <f aca="false">J173-K173</f>
        <v>4576</v>
      </c>
      <c r="M173" s="42" t="n">
        <v>2127</v>
      </c>
      <c r="N173" s="43" t="n">
        <f aca="false">L173-M173</f>
        <v>2449</v>
      </c>
    </row>
    <row r="174" customFormat="false" ht="15" hidden="false" customHeight="false" outlineLevel="0" collapsed="false">
      <c r="A174" s="40" t="n">
        <v>45717</v>
      </c>
      <c r="B174" s="41" t="n">
        <v>2025</v>
      </c>
      <c r="C174" s="41" t="n">
        <v>3</v>
      </c>
      <c r="D174" s="41" t="s">
        <v>48</v>
      </c>
      <c r="E174" s="41" t="s">
        <v>46</v>
      </c>
      <c r="F174" s="41" t="s">
        <v>42</v>
      </c>
      <c r="G174" s="41" t="s">
        <v>39</v>
      </c>
      <c r="H174" s="42" t="n">
        <v>76</v>
      </c>
      <c r="I174" s="42" t="n">
        <v>111</v>
      </c>
      <c r="J174" s="42" t="n">
        <v>5910</v>
      </c>
      <c r="K174" s="42" t="n">
        <v>736</v>
      </c>
      <c r="L174" s="43" t="n">
        <f aca="false">J174-K174</f>
        <v>5174</v>
      </c>
      <c r="M174" s="42" t="n">
        <v>2082</v>
      </c>
      <c r="N174" s="43" t="n">
        <f aca="false">L174-M174</f>
        <v>3092</v>
      </c>
    </row>
    <row r="175" customFormat="false" ht="15" hidden="false" customHeight="false" outlineLevel="0" collapsed="false">
      <c r="A175" s="40" t="n">
        <v>45717</v>
      </c>
      <c r="B175" s="41" t="n">
        <v>2025</v>
      </c>
      <c r="C175" s="41" t="n">
        <v>3</v>
      </c>
      <c r="D175" s="41" t="s">
        <v>48</v>
      </c>
      <c r="E175" s="41" t="s">
        <v>46</v>
      </c>
      <c r="F175" s="41" t="s">
        <v>42</v>
      </c>
      <c r="G175" s="41" t="s">
        <v>40</v>
      </c>
      <c r="H175" s="42" t="n">
        <v>32</v>
      </c>
      <c r="I175" s="42" t="n">
        <v>47</v>
      </c>
      <c r="J175" s="42" t="n">
        <v>3767</v>
      </c>
      <c r="K175" s="42" t="n">
        <v>591</v>
      </c>
      <c r="L175" s="43" t="n">
        <f aca="false">J175-K175</f>
        <v>3176</v>
      </c>
      <c r="M175" s="42" t="n">
        <v>1778</v>
      </c>
      <c r="N175" s="43" t="n">
        <f aca="false">L175-M175</f>
        <v>1398</v>
      </c>
    </row>
    <row r="176" customFormat="false" ht="15" hidden="false" customHeight="false" outlineLevel="0" collapsed="false">
      <c r="A176" s="40" t="n">
        <v>45717</v>
      </c>
      <c r="B176" s="41" t="n">
        <v>2025</v>
      </c>
      <c r="C176" s="41" t="n">
        <v>3</v>
      </c>
      <c r="D176" s="41" t="s">
        <v>48</v>
      </c>
      <c r="E176" s="41" t="s">
        <v>46</v>
      </c>
      <c r="F176" s="41" t="s">
        <v>42</v>
      </c>
      <c r="G176" s="41" t="s">
        <v>41</v>
      </c>
      <c r="H176" s="42" t="n">
        <v>47</v>
      </c>
      <c r="I176" s="42" t="n">
        <v>74</v>
      </c>
      <c r="J176" s="42" t="n">
        <v>2630</v>
      </c>
      <c r="K176" s="42" t="n">
        <v>95</v>
      </c>
      <c r="L176" s="43" t="n">
        <f aca="false">J176-K176</f>
        <v>2535</v>
      </c>
      <c r="M176" s="42" t="n">
        <v>1234</v>
      </c>
      <c r="N176" s="43" t="n">
        <f aca="false">L176-M176</f>
        <v>1301</v>
      </c>
    </row>
    <row r="177" customFormat="false" ht="15" hidden="false" customHeight="false" outlineLevel="0" collapsed="false">
      <c r="A177" s="40" t="n">
        <v>45717</v>
      </c>
      <c r="B177" s="41" t="n">
        <v>2025</v>
      </c>
      <c r="C177" s="41" t="n">
        <v>3</v>
      </c>
      <c r="D177" s="41" t="s">
        <v>48</v>
      </c>
      <c r="E177" s="41" t="s">
        <v>46</v>
      </c>
      <c r="F177" s="41" t="s">
        <v>43</v>
      </c>
      <c r="G177" s="41" t="s">
        <v>37</v>
      </c>
      <c r="H177" s="42" t="n">
        <v>16</v>
      </c>
      <c r="I177" s="42" t="n">
        <v>21</v>
      </c>
      <c r="J177" s="42" t="n">
        <v>3298</v>
      </c>
      <c r="K177" s="42" t="n">
        <v>99</v>
      </c>
      <c r="L177" s="43" t="n">
        <f aca="false">J177-K177</f>
        <v>3199</v>
      </c>
      <c r="M177" s="42" t="n">
        <v>1665</v>
      </c>
      <c r="N177" s="43" t="n">
        <f aca="false">L177-M177</f>
        <v>1534</v>
      </c>
    </row>
    <row r="178" customFormat="false" ht="15" hidden="false" customHeight="false" outlineLevel="0" collapsed="false">
      <c r="A178" s="40" t="n">
        <v>45717</v>
      </c>
      <c r="B178" s="41" t="n">
        <v>2025</v>
      </c>
      <c r="C178" s="41" t="n">
        <v>3</v>
      </c>
      <c r="D178" s="41" t="s">
        <v>48</v>
      </c>
      <c r="E178" s="41" t="s">
        <v>46</v>
      </c>
      <c r="F178" s="41" t="s">
        <v>43</v>
      </c>
      <c r="G178" s="41" t="s">
        <v>38</v>
      </c>
      <c r="H178" s="42" t="n">
        <v>28</v>
      </c>
      <c r="I178" s="42" t="n">
        <v>42</v>
      </c>
      <c r="J178" s="42" t="n">
        <v>3275</v>
      </c>
      <c r="K178" s="42" t="n">
        <v>115</v>
      </c>
      <c r="L178" s="43" t="n">
        <f aca="false">J178-K178</f>
        <v>3160</v>
      </c>
      <c r="M178" s="42" t="n">
        <v>1397</v>
      </c>
      <c r="N178" s="43" t="n">
        <f aca="false">L178-M178</f>
        <v>1763</v>
      </c>
    </row>
    <row r="179" customFormat="false" ht="15" hidden="false" customHeight="false" outlineLevel="0" collapsed="false">
      <c r="A179" s="40" t="n">
        <v>45717</v>
      </c>
      <c r="B179" s="41" t="n">
        <v>2025</v>
      </c>
      <c r="C179" s="41" t="n">
        <v>3</v>
      </c>
      <c r="D179" s="41" t="s">
        <v>48</v>
      </c>
      <c r="E179" s="41" t="s">
        <v>46</v>
      </c>
      <c r="F179" s="41" t="s">
        <v>43</v>
      </c>
      <c r="G179" s="41" t="s">
        <v>39</v>
      </c>
      <c r="H179" s="42" t="n">
        <v>46</v>
      </c>
      <c r="I179" s="42" t="n">
        <v>59</v>
      </c>
      <c r="J179" s="42" t="n">
        <v>4072</v>
      </c>
      <c r="K179" s="42" t="n">
        <v>322</v>
      </c>
      <c r="L179" s="43" t="n">
        <f aca="false">J179-K179</f>
        <v>3750</v>
      </c>
      <c r="M179" s="42" t="n">
        <v>1439</v>
      </c>
      <c r="N179" s="43" t="n">
        <f aca="false">L179-M179</f>
        <v>2311</v>
      </c>
    </row>
    <row r="180" customFormat="false" ht="15" hidden="false" customHeight="false" outlineLevel="0" collapsed="false">
      <c r="A180" s="40" t="n">
        <v>45717</v>
      </c>
      <c r="B180" s="41" t="n">
        <v>2025</v>
      </c>
      <c r="C180" s="41" t="n">
        <v>3</v>
      </c>
      <c r="D180" s="41" t="s">
        <v>48</v>
      </c>
      <c r="E180" s="41" t="s">
        <v>46</v>
      </c>
      <c r="F180" s="41" t="s">
        <v>43</v>
      </c>
      <c r="G180" s="41" t="s">
        <v>40</v>
      </c>
      <c r="H180" s="42" t="n">
        <v>18</v>
      </c>
      <c r="I180" s="42" t="n">
        <v>27</v>
      </c>
      <c r="J180" s="42" t="n">
        <v>2389</v>
      </c>
      <c r="K180" s="42" t="n">
        <v>184</v>
      </c>
      <c r="L180" s="43" t="n">
        <f aca="false">J180-K180</f>
        <v>2205</v>
      </c>
      <c r="M180" s="42" t="n">
        <v>1246</v>
      </c>
      <c r="N180" s="43" t="n">
        <f aca="false">L180-M180</f>
        <v>959</v>
      </c>
    </row>
    <row r="181" customFormat="false" ht="15" hidden="false" customHeight="false" outlineLevel="0" collapsed="false">
      <c r="A181" s="40" t="n">
        <v>45717</v>
      </c>
      <c r="B181" s="41" t="n">
        <v>2025</v>
      </c>
      <c r="C181" s="41" t="n">
        <v>3</v>
      </c>
      <c r="D181" s="41" t="s">
        <v>48</v>
      </c>
      <c r="E181" s="41" t="s">
        <v>46</v>
      </c>
      <c r="F181" s="41" t="s">
        <v>43</v>
      </c>
      <c r="G181" s="41" t="s">
        <v>41</v>
      </c>
      <c r="H181" s="42" t="n">
        <v>27</v>
      </c>
      <c r="I181" s="42" t="n">
        <v>33</v>
      </c>
      <c r="J181" s="42" t="n">
        <v>1725</v>
      </c>
      <c r="K181" s="42" t="n">
        <v>32</v>
      </c>
      <c r="L181" s="43" t="n">
        <f aca="false">J181-K181</f>
        <v>1693</v>
      </c>
      <c r="M181" s="42" t="n">
        <v>809</v>
      </c>
      <c r="N181" s="43" t="n">
        <f aca="false">L181-M181</f>
        <v>884</v>
      </c>
    </row>
    <row r="182" customFormat="false" ht="15" hidden="false" customHeight="false" outlineLevel="0" collapsed="false">
      <c r="A182" s="40" t="n">
        <v>45748</v>
      </c>
      <c r="B182" s="41" t="n">
        <v>2025</v>
      </c>
      <c r="C182" s="41" t="n">
        <v>4</v>
      </c>
      <c r="D182" s="41" t="s">
        <v>49</v>
      </c>
      <c r="E182" s="41" t="s">
        <v>35</v>
      </c>
      <c r="F182" s="41" t="s">
        <v>36</v>
      </c>
      <c r="G182" s="41" t="s">
        <v>37</v>
      </c>
      <c r="H182" s="42" t="n">
        <v>83</v>
      </c>
      <c r="I182" s="42" t="n">
        <v>131</v>
      </c>
      <c r="J182" s="42" t="n">
        <v>15780</v>
      </c>
      <c r="K182" s="42" t="n">
        <v>542</v>
      </c>
      <c r="L182" s="43" t="n">
        <f aca="false">J182-K182</f>
        <v>15238</v>
      </c>
      <c r="M182" s="42" t="n">
        <v>8025</v>
      </c>
      <c r="N182" s="43" t="n">
        <f aca="false">L182-M182</f>
        <v>7213</v>
      </c>
    </row>
    <row r="183" customFormat="false" ht="15" hidden="false" customHeight="false" outlineLevel="0" collapsed="false">
      <c r="A183" s="40" t="n">
        <v>45748</v>
      </c>
      <c r="B183" s="41" t="n">
        <v>2025</v>
      </c>
      <c r="C183" s="41" t="n">
        <v>4</v>
      </c>
      <c r="D183" s="41" t="s">
        <v>49</v>
      </c>
      <c r="E183" s="41" t="s">
        <v>35</v>
      </c>
      <c r="F183" s="41" t="s">
        <v>36</v>
      </c>
      <c r="G183" s="41" t="s">
        <v>38</v>
      </c>
      <c r="H183" s="42" t="n">
        <v>108</v>
      </c>
      <c r="I183" s="42" t="n">
        <v>172</v>
      </c>
      <c r="J183" s="42" t="n">
        <v>12136</v>
      </c>
      <c r="K183" s="42" t="n">
        <v>520</v>
      </c>
      <c r="L183" s="43" t="n">
        <f aca="false">J183-K183</f>
        <v>11616</v>
      </c>
      <c r="M183" s="42" t="n">
        <v>5087</v>
      </c>
      <c r="N183" s="43" t="n">
        <f aca="false">L183-M183</f>
        <v>6529</v>
      </c>
    </row>
    <row r="184" customFormat="false" ht="15" hidden="false" customHeight="false" outlineLevel="0" collapsed="false">
      <c r="A184" s="40" t="n">
        <v>45748</v>
      </c>
      <c r="B184" s="41" t="n">
        <v>2025</v>
      </c>
      <c r="C184" s="41" t="n">
        <v>4</v>
      </c>
      <c r="D184" s="41" t="s">
        <v>49</v>
      </c>
      <c r="E184" s="41" t="s">
        <v>35</v>
      </c>
      <c r="F184" s="41" t="s">
        <v>36</v>
      </c>
      <c r="G184" s="41" t="s">
        <v>39</v>
      </c>
      <c r="H184" s="42" t="n">
        <v>164</v>
      </c>
      <c r="I184" s="42" t="n">
        <v>218</v>
      </c>
      <c r="J184" s="42" t="n">
        <v>13775</v>
      </c>
      <c r="K184" s="42" t="n">
        <v>1597</v>
      </c>
      <c r="L184" s="43" t="n">
        <f aca="false">J184-K184</f>
        <v>12178</v>
      </c>
      <c r="M184" s="42" t="n">
        <v>4859</v>
      </c>
      <c r="N184" s="43" t="n">
        <f aca="false">L184-M184</f>
        <v>7319</v>
      </c>
    </row>
    <row r="185" customFormat="false" ht="15" hidden="false" customHeight="false" outlineLevel="0" collapsed="false">
      <c r="A185" s="40" t="n">
        <v>45748</v>
      </c>
      <c r="B185" s="41" t="n">
        <v>2025</v>
      </c>
      <c r="C185" s="41" t="n">
        <v>4</v>
      </c>
      <c r="D185" s="41" t="s">
        <v>49</v>
      </c>
      <c r="E185" s="41" t="s">
        <v>35</v>
      </c>
      <c r="F185" s="41" t="s">
        <v>36</v>
      </c>
      <c r="G185" s="41" t="s">
        <v>40</v>
      </c>
      <c r="H185" s="42" t="n">
        <v>94</v>
      </c>
      <c r="I185" s="42" t="n">
        <v>150</v>
      </c>
      <c r="J185" s="42" t="n">
        <v>12049</v>
      </c>
      <c r="K185" s="42" t="n">
        <v>1695</v>
      </c>
      <c r="L185" s="43" t="n">
        <f aca="false">J185-K185</f>
        <v>10354</v>
      </c>
      <c r="M185" s="42" t="n">
        <v>5636</v>
      </c>
      <c r="N185" s="43" t="n">
        <f aca="false">L185-M185</f>
        <v>4718</v>
      </c>
    </row>
    <row r="186" customFormat="false" ht="15" hidden="false" customHeight="false" outlineLevel="0" collapsed="false">
      <c r="A186" s="40" t="n">
        <v>45748</v>
      </c>
      <c r="B186" s="41" t="n">
        <v>2025</v>
      </c>
      <c r="C186" s="41" t="n">
        <v>4</v>
      </c>
      <c r="D186" s="41" t="s">
        <v>49</v>
      </c>
      <c r="E186" s="41" t="s">
        <v>35</v>
      </c>
      <c r="F186" s="41" t="s">
        <v>36</v>
      </c>
      <c r="G186" s="41" t="s">
        <v>41</v>
      </c>
      <c r="H186" s="42" t="n">
        <v>113</v>
      </c>
      <c r="I186" s="42" t="n">
        <v>178</v>
      </c>
      <c r="J186" s="42" t="n">
        <v>6877</v>
      </c>
      <c r="K186" s="42" t="n">
        <v>227</v>
      </c>
      <c r="L186" s="43" t="n">
        <f aca="false">J186-K186</f>
        <v>6650</v>
      </c>
      <c r="M186" s="42" t="n">
        <v>3102</v>
      </c>
      <c r="N186" s="43" t="n">
        <f aca="false">L186-M186</f>
        <v>3548</v>
      </c>
    </row>
    <row r="187" customFormat="false" ht="15" hidden="false" customHeight="false" outlineLevel="0" collapsed="false">
      <c r="A187" s="40" t="n">
        <v>45748</v>
      </c>
      <c r="B187" s="41" t="n">
        <v>2025</v>
      </c>
      <c r="C187" s="41" t="n">
        <v>4</v>
      </c>
      <c r="D187" s="41" t="s">
        <v>49</v>
      </c>
      <c r="E187" s="41" t="s">
        <v>35</v>
      </c>
      <c r="F187" s="41" t="s">
        <v>42</v>
      </c>
      <c r="G187" s="41" t="s">
        <v>37</v>
      </c>
      <c r="H187" s="42" t="n">
        <v>63</v>
      </c>
      <c r="I187" s="42" t="n">
        <v>83</v>
      </c>
      <c r="J187" s="42" t="n">
        <v>10975</v>
      </c>
      <c r="K187" s="42" t="n">
        <v>563</v>
      </c>
      <c r="L187" s="43" t="n">
        <f aca="false">J187-K187</f>
        <v>10412</v>
      </c>
      <c r="M187" s="42" t="n">
        <v>5656</v>
      </c>
      <c r="N187" s="43" t="n">
        <f aca="false">L187-M187</f>
        <v>4756</v>
      </c>
    </row>
    <row r="188" customFormat="false" ht="15" hidden="false" customHeight="false" outlineLevel="0" collapsed="false">
      <c r="A188" s="40" t="n">
        <v>45748</v>
      </c>
      <c r="B188" s="41" t="n">
        <v>2025</v>
      </c>
      <c r="C188" s="41" t="n">
        <v>4</v>
      </c>
      <c r="D188" s="41" t="s">
        <v>49</v>
      </c>
      <c r="E188" s="41" t="s">
        <v>35</v>
      </c>
      <c r="F188" s="41" t="s">
        <v>42</v>
      </c>
      <c r="G188" s="41" t="s">
        <v>38</v>
      </c>
      <c r="H188" s="42" t="n">
        <v>81</v>
      </c>
      <c r="I188" s="42" t="n">
        <v>93</v>
      </c>
      <c r="J188" s="42" t="n">
        <v>8330</v>
      </c>
      <c r="K188" s="42" t="n">
        <v>513</v>
      </c>
      <c r="L188" s="43" t="n">
        <f aca="false">J188-K188</f>
        <v>7817</v>
      </c>
      <c r="M188" s="42" t="n">
        <v>3657</v>
      </c>
      <c r="N188" s="43" t="n">
        <f aca="false">L188-M188</f>
        <v>4160</v>
      </c>
    </row>
    <row r="189" customFormat="false" ht="15" hidden="false" customHeight="false" outlineLevel="0" collapsed="false">
      <c r="A189" s="40" t="n">
        <v>45748</v>
      </c>
      <c r="B189" s="41" t="n">
        <v>2025</v>
      </c>
      <c r="C189" s="41" t="n">
        <v>4</v>
      </c>
      <c r="D189" s="41" t="s">
        <v>49</v>
      </c>
      <c r="E189" s="41" t="s">
        <v>35</v>
      </c>
      <c r="F189" s="41" t="s">
        <v>42</v>
      </c>
      <c r="G189" s="41" t="s">
        <v>39</v>
      </c>
      <c r="H189" s="42" t="n">
        <v>159</v>
      </c>
      <c r="I189" s="42" t="n">
        <v>192</v>
      </c>
      <c r="J189" s="42" t="n">
        <v>12323</v>
      </c>
      <c r="K189" s="42" t="n">
        <v>1973</v>
      </c>
      <c r="L189" s="43" t="n">
        <f aca="false">J189-K189</f>
        <v>10350</v>
      </c>
      <c r="M189" s="42" t="n">
        <v>4214</v>
      </c>
      <c r="N189" s="43" t="n">
        <f aca="false">L189-M189</f>
        <v>6136</v>
      </c>
    </row>
    <row r="190" customFormat="false" ht="15" hidden="false" customHeight="false" outlineLevel="0" collapsed="false">
      <c r="A190" s="40" t="n">
        <v>45748</v>
      </c>
      <c r="B190" s="41" t="n">
        <v>2025</v>
      </c>
      <c r="C190" s="41" t="n">
        <v>4</v>
      </c>
      <c r="D190" s="41" t="s">
        <v>49</v>
      </c>
      <c r="E190" s="41" t="s">
        <v>35</v>
      </c>
      <c r="F190" s="41" t="s">
        <v>42</v>
      </c>
      <c r="G190" s="41" t="s">
        <v>40</v>
      </c>
      <c r="H190" s="42" t="n">
        <v>64</v>
      </c>
      <c r="I190" s="42" t="n">
        <v>97</v>
      </c>
      <c r="J190" s="42" t="n">
        <v>7553</v>
      </c>
      <c r="K190" s="42" t="n">
        <v>1381</v>
      </c>
      <c r="L190" s="43" t="n">
        <f aca="false">J190-K190</f>
        <v>6172</v>
      </c>
      <c r="M190" s="42" t="n">
        <v>3491</v>
      </c>
      <c r="N190" s="43" t="n">
        <f aca="false">L190-M190</f>
        <v>2681</v>
      </c>
    </row>
    <row r="191" customFormat="false" ht="15" hidden="false" customHeight="false" outlineLevel="0" collapsed="false">
      <c r="A191" s="40" t="n">
        <v>45748</v>
      </c>
      <c r="B191" s="41" t="n">
        <v>2025</v>
      </c>
      <c r="C191" s="41" t="n">
        <v>4</v>
      </c>
      <c r="D191" s="41" t="s">
        <v>49</v>
      </c>
      <c r="E191" s="41" t="s">
        <v>35</v>
      </c>
      <c r="F191" s="41" t="s">
        <v>42</v>
      </c>
      <c r="G191" s="41" t="s">
        <v>41</v>
      </c>
      <c r="H191" s="42" t="n">
        <v>82</v>
      </c>
      <c r="I191" s="42" t="n">
        <v>112</v>
      </c>
      <c r="J191" s="42" t="n">
        <v>4584</v>
      </c>
      <c r="K191" s="42" t="n">
        <v>176</v>
      </c>
      <c r="L191" s="43" t="n">
        <f aca="false">J191-K191</f>
        <v>4408</v>
      </c>
      <c r="M191" s="42" t="n">
        <v>2263</v>
      </c>
      <c r="N191" s="43" t="n">
        <f aca="false">L191-M191</f>
        <v>2145</v>
      </c>
    </row>
    <row r="192" customFormat="false" ht="15" hidden="false" customHeight="false" outlineLevel="0" collapsed="false">
      <c r="A192" s="40" t="n">
        <v>45748</v>
      </c>
      <c r="B192" s="41" t="n">
        <v>2025</v>
      </c>
      <c r="C192" s="41" t="n">
        <v>4</v>
      </c>
      <c r="D192" s="41" t="s">
        <v>49</v>
      </c>
      <c r="E192" s="41" t="s">
        <v>35</v>
      </c>
      <c r="F192" s="41" t="s">
        <v>43</v>
      </c>
      <c r="G192" s="41" t="s">
        <v>37</v>
      </c>
      <c r="H192" s="42" t="n">
        <v>33</v>
      </c>
      <c r="I192" s="42" t="n">
        <v>43</v>
      </c>
      <c r="J192" s="42" t="n">
        <v>6593</v>
      </c>
      <c r="K192" s="42" t="n">
        <v>214</v>
      </c>
      <c r="L192" s="43" t="n">
        <f aca="false">J192-K192</f>
        <v>6379</v>
      </c>
      <c r="M192" s="42" t="n">
        <v>3286</v>
      </c>
      <c r="N192" s="43" t="n">
        <f aca="false">L192-M192</f>
        <v>3093</v>
      </c>
    </row>
    <row r="193" customFormat="false" ht="15" hidden="false" customHeight="false" outlineLevel="0" collapsed="false">
      <c r="A193" s="40" t="n">
        <v>45748</v>
      </c>
      <c r="B193" s="41" t="n">
        <v>2025</v>
      </c>
      <c r="C193" s="41" t="n">
        <v>4</v>
      </c>
      <c r="D193" s="41" t="s">
        <v>49</v>
      </c>
      <c r="E193" s="41" t="s">
        <v>35</v>
      </c>
      <c r="F193" s="41" t="s">
        <v>43</v>
      </c>
      <c r="G193" s="41" t="s">
        <v>38</v>
      </c>
      <c r="H193" s="42" t="n">
        <v>52</v>
      </c>
      <c r="I193" s="42" t="n">
        <v>79</v>
      </c>
      <c r="J193" s="42" t="n">
        <v>6154</v>
      </c>
      <c r="K193" s="42" t="n">
        <v>238</v>
      </c>
      <c r="L193" s="43" t="n">
        <f aca="false">J193-K193</f>
        <v>5916</v>
      </c>
      <c r="M193" s="42" t="n">
        <v>2589</v>
      </c>
      <c r="N193" s="43" t="n">
        <f aca="false">L193-M193</f>
        <v>3327</v>
      </c>
    </row>
    <row r="194" customFormat="false" ht="15" hidden="false" customHeight="false" outlineLevel="0" collapsed="false">
      <c r="A194" s="40" t="n">
        <v>45748</v>
      </c>
      <c r="B194" s="41" t="n">
        <v>2025</v>
      </c>
      <c r="C194" s="41" t="n">
        <v>4</v>
      </c>
      <c r="D194" s="41" t="s">
        <v>49</v>
      </c>
      <c r="E194" s="41" t="s">
        <v>35</v>
      </c>
      <c r="F194" s="41" t="s">
        <v>43</v>
      </c>
      <c r="G194" s="41" t="s">
        <v>39</v>
      </c>
      <c r="H194" s="42" t="n">
        <v>73</v>
      </c>
      <c r="I194" s="42" t="n">
        <v>86</v>
      </c>
      <c r="J194" s="42" t="n">
        <v>6535</v>
      </c>
      <c r="K194" s="42" t="n">
        <v>534</v>
      </c>
      <c r="L194" s="43" t="n">
        <f aca="false">J194-K194</f>
        <v>6001</v>
      </c>
      <c r="M194" s="42" t="n">
        <v>2306</v>
      </c>
      <c r="N194" s="43" t="n">
        <f aca="false">L194-M194</f>
        <v>3695</v>
      </c>
    </row>
    <row r="195" customFormat="false" ht="15" hidden="false" customHeight="false" outlineLevel="0" collapsed="false">
      <c r="A195" s="40" t="n">
        <v>45748</v>
      </c>
      <c r="B195" s="41" t="n">
        <v>2025</v>
      </c>
      <c r="C195" s="41" t="n">
        <v>4</v>
      </c>
      <c r="D195" s="41" t="s">
        <v>49</v>
      </c>
      <c r="E195" s="41" t="s">
        <v>35</v>
      </c>
      <c r="F195" s="41" t="s">
        <v>43</v>
      </c>
      <c r="G195" s="41" t="s">
        <v>40</v>
      </c>
      <c r="H195" s="42" t="n">
        <v>43</v>
      </c>
      <c r="I195" s="42" t="n">
        <v>67</v>
      </c>
      <c r="J195" s="42" t="n">
        <v>5784</v>
      </c>
      <c r="K195" s="42" t="n">
        <v>455</v>
      </c>
      <c r="L195" s="43" t="n">
        <f aca="false">J195-K195</f>
        <v>5329</v>
      </c>
      <c r="M195" s="42" t="n">
        <v>2891</v>
      </c>
      <c r="N195" s="43" t="n">
        <f aca="false">L195-M195</f>
        <v>2438</v>
      </c>
    </row>
    <row r="196" customFormat="false" ht="15" hidden="false" customHeight="false" outlineLevel="0" collapsed="false">
      <c r="A196" s="40" t="n">
        <v>45748</v>
      </c>
      <c r="B196" s="41" t="n">
        <v>2025</v>
      </c>
      <c r="C196" s="41" t="n">
        <v>4</v>
      </c>
      <c r="D196" s="41" t="s">
        <v>49</v>
      </c>
      <c r="E196" s="41" t="s">
        <v>35</v>
      </c>
      <c r="F196" s="41" t="s">
        <v>43</v>
      </c>
      <c r="G196" s="41" t="s">
        <v>41</v>
      </c>
      <c r="H196" s="42" t="n">
        <v>63</v>
      </c>
      <c r="I196" s="42" t="n">
        <v>90</v>
      </c>
      <c r="J196" s="42" t="n">
        <v>4069</v>
      </c>
      <c r="K196" s="42" t="n">
        <v>77</v>
      </c>
      <c r="L196" s="43" t="n">
        <f aca="false">J196-K196</f>
        <v>3992</v>
      </c>
      <c r="M196" s="42" t="n">
        <v>1941</v>
      </c>
      <c r="N196" s="43" t="n">
        <f aca="false">L196-M196</f>
        <v>2051</v>
      </c>
    </row>
    <row r="197" customFormat="false" ht="15" hidden="false" customHeight="false" outlineLevel="0" collapsed="false">
      <c r="A197" s="40" t="n">
        <v>45748</v>
      </c>
      <c r="B197" s="41" t="n">
        <v>2025</v>
      </c>
      <c r="C197" s="41" t="n">
        <v>4</v>
      </c>
      <c r="D197" s="41" t="s">
        <v>49</v>
      </c>
      <c r="E197" s="41" t="s">
        <v>44</v>
      </c>
      <c r="F197" s="41" t="s">
        <v>36</v>
      </c>
      <c r="G197" s="41" t="s">
        <v>37</v>
      </c>
      <c r="H197" s="42" t="n">
        <v>60</v>
      </c>
      <c r="I197" s="42" t="n">
        <v>76</v>
      </c>
      <c r="J197" s="42" t="n">
        <v>11361</v>
      </c>
      <c r="K197" s="42" t="n">
        <v>364</v>
      </c>
      <c r="L197" s="43" t="n">
        <f aca="false">J197-K197</f>
        <v>10997</v>
      </c>
      <c r="M197" s="42" t="n">
        <v>5918</v>
      </c>
      <c r="N197" s="43" t="n">
        <f aca="false">L197-M197</f>
        <v>5079</v>
      </c>
    </row>
    <row r="198" customFormat="false" ht="15" hidden="false" customHeight="false" outlineLevel="0" collapsed="false">
      <c r="A198" s="40" t="n">
        <v>45748</v>
      </c>
      <c r="B198" s="41" t="n">
        <v>2025</v>
      </c>
      <c r="C198" s="41" t="n">
        <v>4</v>
      </c>
      <c r="D198" s="41" t="s">
        <v>49</v>
      </c>
      <c r="E198" s="41" t="s">
        <v>44</v>
      </c>
      <c r="F198" s="41" t="s">
        <v>36</v>
      </c>
      <c r="G198" s="41" t="s">
        <v>38</v>
      </c>
      <c r="H198" s="42" t="n">
        <v>104</v>
      </c>
      <c r="I198" s="42" t="n">
        <v>149</v>
      </c>
      <c r="J198" s="42" t="n">
        <v>11702</v>
      </c>
      <c r="K198" s="42" t="n">
        <v>689</v>
      </c>
      <c r="L198" s="43" t="n">
        <f aca="false">J198-K198</f>
        <v>11013</v>
      </c>
      <c r="M198" s="42" t="n">
        <v>4814</v>
      </c>
      <c r="N198" s="43" t="n">
        <f aca="false">L198-M198</f>
        <v>6199</v>
      </c>
    </row>
    <row r="199" customFormat="false" ht="15" hidden="false" customHeight="false" outlineLevel="0" collapsed="false">
      <c r="A199" s="40" t="n">
        <v>45748</v>
      </c>
      <c r="B199" s="41" t="n">
        <v>2025</v>
      </c>
      <c r="C199" s="41" t="n">
        <v>4</v>
      </c>
      <c r="D199" s="41" t="s">
        <v>49</v>
      </c>
      <c r="E199" s="41" t="s">
        <v>44</v>
      </c>
      <c r="F199" s="41" t="s">
        <v>36</v>
      </c>
      <c r="G199" s="41" t="s">
        <v>39</v>
      </c>
      <c r="H199" s="42" t="n">
        <v>137</v>
      </c>
      <c r="I199" s="42" t="n">
        <v>187</v>
      </c>
      <c r="J199" s="42" t="n">
        <v>11546</v>
      </c>
      <c r="K199" s="42" t="n">
        <v>1366</v>
      </c>
      <c r="L199" s="43" t="n">
        <f aca="false">J199-K199</f>
        <v>10180</v>
      </c>
      <c r="M199" s="42" t="n">
        <v>4079</v>
      </c>
      <c r="N199" s="43" t="n">
        <f aca="false">L199-M199</f>
        <v>6101</v>
      </c>
    </row>
    <row r="200" customFormat="false" ht="15" hidden="false" customHeight="false" outlineLevel="0" collapsed="false">
      <c r="A200" s="40" t="n">
        <v>45748</v>
      </c>
      <c r="B200" s="41" t="n">
        <v>2025</v>
      </c>
      <c r="C200" s="41" t="n">
        <v>4</v>
      </c>
      <c r="D200" s="41" t="s">
        <v>49</v>
      </c>
      <c r="E200" s="41" t="s">
        <v>44</v>
      </c>
      <c r="F200" s="41" t="s">
        <v>36</v>
      </c>
      <c r="G200" s="41" t="s">
        <v>40</v>
      </c>
      <c r="H200" s="42" t="n">
        <v>68</v>
      </c>
      <c r="I200" s="42" t="n">
        <v>86</v>
      </c>
      <c r="J200" s="42" t="n">
        <v>8697</v>
      </c>
      <c r="K200" s="42" t="n">
        <v>1014</v>
      </c>
      <c r="L200" s="43" t="n">
        <f aca="false">J200-K200</f>
        <v>7683</v>
      </c>
      <c r="M200" s="42" t="n">
        <v>4224</v>
      </c>
      <c r="N200" s="43" t="n">
        <f aca="false">L200-M200</f>
        <v>3459</v>
      </c>
    </row>
    <row r="201" customFormat="false" ht="15" hidden="false" customHeight="false" outlineLevel="0" collapsed="false">
      <c r="A201" s="40" t="n">
        <v>45748</v>
      </c>
      <c r="B201" s="41" t="n">
        <v>2025</v>
      </c>
      <c r="C201" s="41" t="n">
        <v>4</v>
      </c>
      <c r="D201" s="41" t="s">
        <v>49</v>
      </c>
      <c r="E201" s="41" t="s">
        <v>44</v>
      </c>
      <c r="F201" s="41" t="s">
        <v>36</v>
      </c>
      <c r="G201" s="41" t="s">
        <v>41</v>
      </c>
      <c r="H201" s="42" t="n">
        <v>110</v>
      </c>
      <c r="I201" s="42" t="n">
        <v>136</v>
      </c>
      <c r="J201" s="42" t="n">
        <v>6706</v>
      </c>
      <c r="K201" s="42" t="n">
        <v>226</v>
      </c>
      <c r="L201" s="43" t="n">
        <f aca="false">J201-K201</f>
        <v>6480</v>
      </c>
      <c r="M201" s="42" t="n">
        <v>3155</v>
      </c>
      <c r="N201" s="43" t="n">
        <f aca="false">L201-M201</f>
        <v>3325</v>
      </c>
    </row>
    <row r="202" customFormat="false" ht="15" hidden="false" customHeight="false" outlineLevel="0" collapsed="false">
      <c r="A202" s="40" t="n">
        <v>45748</v>
      </c>
      <c r="B202" s="41" t="n">
        <v>2025</v>
      </c>
      <c r="C202" s="41" t="n">
        <v>4</v>
      </c>
      <c r="D202" s="41" t="s">
        <v>49</v>
      </c>
      <c r="E202" s="41" t="s">
        <v>44</v>
      </c>
      <c r="F202" s="41" t="s">
        <v>42</v>
      </c>
      <c r="G202" s="41" t="s">
        <v>37</v>
      </c>
      <c r="H202" s="42" t="n">
        <v>52</v>
      </c>
      <c r="I202" s="42" t="n">
        <v>78</v>
      </c>
      <c r="J202" s="42" t="n">
        <v>9085</v>
      </c>
      <c r="K202" s="42" t="n">
        <v>512</v>
      </c>
      <c r="L202" s="43" t="n">
        <f aca="false">J202-K202</f>
        <v>8573</v>
      </c>
      <c r="M202" s="42" t="n">
        <v>4656</v>
      </c>
      <c r="N202" s="43" t="n">
        <f aca="false">L202-M202</f>
        <v>3917</v>
      </c>
    </row>
    <row r="203" customFormat="false" ht="15" hidden="false" customHeight="false" outlineLevel="0" collapsed="false">
      <c r="A203" s="40" t="n">
        <v>45748</v>
      </c>
      <c r="B203" s="41" t="n">
        <v>2025</v>
      </c>
      <c r="C203" s="41" t="n">
        <v>4</v>
      </c>
      <c r="D203" s="41" t="s">
        <v>49</v>
      </c>
      <c r="E203" s="41" t="s">
        <v>44</v>
      </c>
      <c r="F203" s="41" t="s">
        <v>42</v>
      </c>
      <c r="G203" s="41" t="s">
        <v>38</v>
      </c>
      <c r="H203" s="42" t="n">
        <v>67</v>
      </c>
      <c r="I203" s="42" t="n">
        <v>88</v>
      </c>
      <c r="J203" s="42" t="n">
        <v>6922</v>
      </c>
      <c r="K203" s="42" t="n">
        <v>520</v>
      </c>
      <c r="L203" s="43" t="n">
        <f aca="false">J203-K203</f>
        <v>6402</v>
      </c>
      <c r="M203" s="42" t="n">
        <v>2945</v>
      </c>
      <c r="N203" s="43" t="n">
        <f aca="false">L203-M203</f>
        <v>3457</v>
      </c>
    </row>
    <row r="204" customFormat="false" ht="15" hidden="false" customHeight="false" outlineLevel="0" collapsed="false">
      <c r="A204" s="40" t="n">
        <v>45748</v>
      </c>
      <c r="B204" s="41" t="n">
        <v>2025</v>
      </c>
      <c r="C204" s="41" t="n">
        <v>4</v>
      </c>
      <c r="D204" s="41" t="s">
        <v>49</v>
      </c>
      <c r="E204" s="41" t="s">
        <v>44</v>
      </c>
      <c r="F204" s="41" t="s">
        <v>42</v>
      </c>
      <c r="G204" s="41" t="s">
        <v>39</v>
      </c>
      <c r="H204" s="42" t="n">
        <v>103</v>
      </c>
      <c r="I204" s="42" t="n">
        <v>153</v>
      </c>
      <c r="J204" s="42" t="n">
        <v>7943</v>
      </c>
      <c r="K204" s="42" t="n">
        <v>964</v>
      </c>
      <c r="L204" s="43" t="n">
        <f aca="false">J204-K204</f>
        <v>6979</v>
      </c>
      <c r="M204" s="42" t="n">
        <v>2817</v>
      </c>
      <c r="N204" s="43" t="n">
        <f aca="false">L204-M204</f>
        <v>4162</v>
      </c>
    </row>
    <row r="205" customFormat="false" ht="15" hidden="false" customHeight="false" outlineLevel="0" collapsed="false">
      <c r="A205" s="40" t="n">
        <v>45748</v>
      </c>
      <c r="B205" s="41" t="n">
        <v>2025</v>
      </c>
      <c r="C205" s="41" t="n">
        <v>4</v>
      </c>
      <c r="D205" s="41" t="s">
        <v>49</v>
      </c>
      <c r="E205" s="41" t="s">
        <v>44</v>
      </c>
      <c r="F205" s="41" t="s">
        <v>42</v>
      </c>
      <c r="G205" s="41" t="s">
        <v>40</v>
      </c>
      <c r="H205" s="42" t="n">
        <v>46</v>
      </c>
      <c r="I205" s="42" t="n">
        <v>64</v>
      </c>
      <c r="J205" s="42" t="n">
        <v>5433</v>
      </c>
      <c r="K205" s="42" t="n">
        <v>819</v>
      </c>
      <c r="L205" s="43" t="n">
        <f aca="false">J205-K205</f>
        <v>4614</v>
      </c>
      <c r="M205" s="42" t="n">
        <v>2696</v>
      </c>
      <c r="N205" s="43" t="n">
        <f aca="false">L205-M205</f>
        <v>1918</v>
      </c>
    </row>
    <row r="206" customFormat="false" ht="15" hidden="false" customHeight="false" outlineLevel="0" collapsed="false">
      <c r="A206" s="40" t="n">
        <v>45748</v>
      </c>
      <c r="B206" s="41" t="n">
        <v>2025</v>
      </c>
      <c r="C206" s="41" t="n">
        <v>4</v>
      </c>
      <c r="D206" s="41" t="s">
        <v>49</v>
      </c>
      <c r="E206" s="41" t="s">
        <v>44</v>
      </c>
      <c r="F206" s="41" t="s">
        <v>42</v>
      </c>
      <c r="G206" s="41" t="s">
        <v>41</v>
      </c>
      <c r="H206" s="42" t="n">
        <v>82</v>
      </c>
      <c r="I206" s="42" t="n">
        <v>131</v>
      </c>
      <c r="J206" s="42" t="n">
        <v>4613</v>
      </c>
      <c r="K206" s="42" t="n">
        <v>169</v>
      </c>
      <c r="L206" s="43" t="n">
        <f aca="false">J206-K206</f>
        <v>4444</v>
      </c>
      <c r="M206" s="42" t="n">
        <v>2170</v>
      </c>
      <c r="N206" s="43" t="n">
        <f aca="false">L206-M206</f>
        <v>2274</v>
      </c>
    </row>
    <row r="207" customFormat="false" ht="15" hidden="false" customHeight="false" outlineLevel="0" collapsed="false">
      <c r="A207" s="40" t="n">
        <v>45748</v>
      </c>
      <c r="B207" s="41" t="n">
        <v>2025</v>
      </c>
      <c r="C207" s="41" t="n">
        <v>4</v>
      </c>
      <c r="D207" s="41" t="s">
        <v>49</v>
      </c>
      <c r="E207" s="41" t="s">
        <v>44</v>
      </c>
      <c r="F207" s="41" t="s">
        <v>43</v>
      </c>
      <c r="G207" s="41" t="s">
        <v>37</v>
      </c>
      <c r="H207" s="42" t="n">
        <v>25</v>
      </c>
      <c r="I207" s="42" t="n">
        <v>34</v>
      </c>
      <c r="J207" s="42" t="n">
        <v>5081</v>
      </c>
      <c r="K207" s="42" t="n">
        <v>154</v>
      </c>
      <c r="L207" s="43" t="n">
        <f aca="false">J207-K207</f>
        <v>4927</v>
      </c>
      <c r="M207" s="42" t="n">
        <v>2603</v>
      </c>
      <c r="N207" s="43" t="n">
        <f aca="false">L207-M207</f>
        <v>2324</v>
      </c>
    </row>
    <row r="208" customFormat="false" ht="15" hidden="false" customHeight="false" outlineLevel="0" collapsed="false">
      <c r="A208" s="40" t="n">
        <v>45748</v>
      </c>
      <c r="B208" s="41" t="n">
        <v>2025</v>
      </c>
      <c r="C208" s="41" t="n">
        <v>4</v>
      </c>
      <c r="D208" s="41" t="s">
        <v>49</v>
      </c>
      <c r="E208" s="41" t="s">
        <v>44</v>
      </c>
      <c r="F208" s="41" t="s">
        <v>43</v>
      </c>
      <c r="G208" s="41" t="s">
        <v>38</v>
      </c>
      <c r="H208" s="42" t="n">
        <v>39</v>
      </c>
      <c r="I208" s="42" t="n">
        <v>52</v>
      </c>
      <c r="J208" s="42" t="n">
        <v>4639</v>
      </c>
      <c r="K208" s="42" t="n">
        <v>170</v>
      </c>
      <c r="L208" s="43" t="n">
        <f aca="false">J208-K208</f>
        <v>4469</v>
      </c>
      <c r="M208" s="42" t="n">
        <v>2032</v>
      </c>
      <c r="N208" s="43" t="n">
        <f aca="false">L208-M208</f>
        <v>2437</v>
      </c>
    </row>
    <row r="209" customFormat="false" ht="15" hidden="false" customHeight="false" outlineLevel="0" collapsed="false">
      <c r="A209" s="40" t="n">
        <v>45748</v>
      </c>
      <c r="B209" s="41" t="n">
        <v>2025</v>
      </c>
      <c r="C209" s="41" t="n">
        <v>4</v>
      </c>
      <c r="D209" s="41" t="s">
        <v>49</v>
      </c>
      <c r="E209" s="41" t="s">
        <v>44</v>
      </c>
      <c r="F209" s="41" t="s">
        <v>43</v>
      </c>
      <c r="G209" s="41" t="s">
        <v>39</v>
      </c>
      <c r="H209" s="42" t="n">
        <v>72</v>
      </c>
      <c r="I209" s="42" t="n">
        <v>110</v>
      </c>
      <c r="J209" s="42" t="n">
        <v>6381</v>
      </c>
      <c r="K209" s="42" t="n">
        <v>476</v>
      </c>
      <c r="L209" s="43" t="n">
        <f aca="false">J209-K209</f>
        <v>5905</v>
      </c>
      <c r="M209" s="42" t="n">
        <v>2251</v>
      </c>
      <c r="N209" s="43" t="n">
        <f aca="false">L209-M209</f>
        <v>3654</v>
      </c>
    </row>
    <row r="210" customFormat="false" ht="15" hidden="false" customHeight="false" outlineLevel="0" collapsed="false">
      <c r="A210" s="40" t="n">
        <v>45748</v>
      </c>
      <c r="B210" s="41" t="n">
        <v>2025</v>
      </c>
      <c r="C210" s="41" t="n">
        <v>4</v>
      </c>
      <c r="D210" s="41" t="s">
        <v>49</v>
      </c>
      <c r="E210" s="41" t="s">
        <v>44</v>
      </c>
      <c r="F210" s="41" t="s">
        <v>43</v>
      </c>
      <c r="G210" s="41" t="s">
        <v>40</v>
      </c>
      <c r="H210" s="42" t="n">
        <v>35</v>
      </c>
      <c r="I210" s="42" t="n">
        <v>45</v>
      </c>
      <c r="J210" s="42" t="n">
        <v>4706</v>
      </c>
      <c r="K210" s="42" t="n">
        <v>406</v>
      </c>
      <c r="L210" s="43" t="n">
        <f aca="false">J210-K210</f>
        <v>4300</v>
      </c>
      <c r="M210" s="42" t="n">
        <v>2347</v>
      </c>
      <c r="N210" s="43" t="n">
        <f aca="false">L210-M210</f>
        <v>1953</v>
      </c>
    </row>
    <row r="211" customFormat="false" ht="15" hidden="false" customHeight="false" outlineLevel="0" collapsed="false">
      <c r="A211" s="40" t="n">
        <v>45748</v>
      </c>
      <c r="B211" s="41" t="n">
        <v>2025</v>
      </c>
      <c r="C211" s="41" t="n">
        <v>4</v>
      </c>
      <c r="D211" s="41" t="s">
        <v>49</v>
      </c>
      <c r="E211" s="41" t="s">
        <v>44</v>
      </c>
      <c r="F211" s="41" t="s">
        <v>43</v>
      </c>
      <c r="G211" s="41" t="s">
        <v>41</v>
      </c>
      <c r="H211" s="42" t="n">
        <v>47</v>
      </c>
      <c r="I211" s="42" t="n">
        <v>58</v>
      </c>
      <c r="J211" s="42" t="n">
        <v>3055</v>
      </c>
      <c r="K211" s="42" t="n">
        <v>58</v>
      </c>
      <c r="L211" s="43" t="n">
        <f aca="false">J211-K211</f>
        <v>2997</v>
      </c>
      <c r="M211" s="42" t="n">
        <v>1417</v>
      </c>
      <c r="N211" s="43" t="n">
        <f aca="false">L211-M211</f>
        <v>1580</v>
      </c>
    </row>
    <row r="212" customFormat="false" ht="15" hidden="false" customHeight="false" outlineLevel="0" collapsed="false">
      <c r="A212" s="40" t="n">
        <v>45748</v>
      </c>
      <c r="B212" s="41" t="n">
        <v>2025</v>
      </c>
      <c r="C212" s="41" t="n">
        <v>4</v>
      </c>
      <c r="D212" s="41" t="s">
        <v>49</v>
      </c>
      <c r="E212" s="41" t="s">
        <v>45</v>
      </c>
      <c r="F212" s="41" t="s">
        <v>36</v>
      </c>
      <c r="G212" s="41" t="s">
        <v>37</v>
      </c>
      <c r="H212" s="42" t="n">
        <v>42</v>
      </c>
      <c r="I212" s="42" t="n">
        <v>65</v>
      </c>
      <c r="J212" s="42" t="n">
        <v>8011</v>
      </c>
      <c r="K212" s="42" t="n">
        <v>330</v>
      </c>
      <c r="L212" s="43" t="n">
        <f aca="false">J212-K212</f>
        <v>7681</v>
      </c>
      <c r="M212" s="42" t="n">
        <v>4028</v>
      </c>
      <c r="N212" s="43" t="n">
        <f aca="false">L212-M212</f>
        <v>3653</v>
      </c>
    </row>
    <row r="213" customFormat="false" ht="15" hidden="false" customHeight="false" outlineLevel="0" collapsed="false">
      <c r="A213" s="40" t="n">
        <v>45748</v>
      </c>
      <c r="B213" s="41" t="n">
        <v>2025</v>
      </c>
      <c r="C213" s="41" t="n">
        <v>4</v>
      </c>
      <c r="D213" s="41" t="s">
        <v>49</v>
      </c>
      <c r="E213" s="41" t="s">
        <v>45</v>
      </c>
      <c r="F213" s="41" t="s">
        <v>36</v>
      </c>
      <c r="G213" s="41" t="s">
        <v>38</v>
      </c>
      <c r="H213" s="42" t="n">
        <v>67</v>
      </c>
      <c r="I213" s="42" t="n">
        <v>107</v>
      </c>
      <c r="J213" s="42" t="n">
        <v>7537</v>
      </c>
      <c r="K213" s="42" t="n">
        <v>378</v>
      </c>
      <c r="L213" s="43" t="n">
        <f aca="false">J213-K213</f>
        <v>7159</v>
      </c>
      <c r="M213" s="42" t="n">
        <v>3170</v>
      </c>
      <c r="N213" s="43" t="n">
        <f aca="false">L213-M213</f>
        <v>3989</v>
      </c>
    </row>
    <row r="214" customFormat="false" ht="15" hidden="false" customHeight="false" outlineLevel="0" collapsed="false">
      <c r="A214" s="40" t="n">
        <v>45748</v>
      </c>
      <c r="B214" s="41" t="n">
        <v>2025</v>
      </c>
      <c r="C214" s="41" t="n">
        <v>4</v>
      </c>
      <c r="D214" s="41" t="s">
        <v>49</v>
      </c>
      <c r="E214" s="41" t="s">
        <v>45</v>
      </c>
      <c r="F214" s="41" t="s">
        <v>36</v>
      </c>
      <c r="G214" s="41" t="s">
        <v>39</v>
      </c>
      <c r="H214" s="42" t="n">
        <v>120</v>
      </c>
      <c r="I214" s="42" t="n">
        <v>173</v>
      </c>
      <c r="J214" s="42" t="n">
        <v>10040</v>
      </c>
      <c r="K214" s="42" t="n">
        <v>1201</v>
      </c>
      <c r="L214" s="43" t="n">
        <f aca="false">J214-K214</f>
        <v>8839</v>
      </c>
      <c r="M214" s="42" t="n">
        <v>3365</v>
      </c>
      <c r="N214" s="43" t="n">
        <f aca="false">L214-M214</f>
        <v>5474</v>
      </c>
    </row>
    <row r="215" customFormat="false" ht="15" hidden="false" customHeight="false" outlineLevel="0" collapsed="false">
      <c r="A215" s="40" t="n">
        <v>45748</v>
      </c>
      <c r="B215" s="41" t="n">
        <v>2025</v>
      </c>
      <c r="C215" s="41" t="n">
        <v>4</v>
      </c>
      <c r="D215" s="41" t="s">
        <v>49</v>
      </c>
      <c r="E215" s="41" t="s">
        <v>45</v>
      </c>
      <c r="F215" s="41" t="s">
        <v>36</v>
      </c>
      <c r="G215" s="41" t="s">
        <v>40</v>
      </c>
      <c r="H215" s="42" t="n">
        <v>52</v>
      </c>
      <c r="I215" s="42" t="n">
        <v>79</v>
      </c>
      <c r="J215" s="42" t="n">
        <v>6607</v>
      </c>
      <c r="K215" s="42" t="n">
        <v>901</v>
      </c>
      <c r="L215" s="43" t="n">
        <f aca="false">J215-K215</f>
        <v>5706</v>
      </c>
      <c r="M215" s="42" t="n">
        <v>3216</v>
      </c>
      <c r="N215" s="43" t="n">
        <f aca="false">L215-M215</f>
        <v>2490</v>
      </c>
    </row>
    <row r="216" customFormat="false" ht="15" hidden="false" customHeight="false" outlineLevel="0" collapsed="false">
      <c r="A216" s="40" t="n">
        <v>45748</v>
      </c>
      <c r="B216" s="41" t="n">
        <v>2025</v>
      </c>
      <c r="C216" s="41" t="n">
        <v>4</v>
      </c>
      <c r="D216" s="41" t="s">
        <v>49</v>
      </c>
      <c r="E216" s="41" t="s">
        <v>45</v>
      </c>
      <c r="F216" s="41" t="s">
        <v>36</v>
      </c>
      <c r="G216" s="41" t="s">
        <v>41</v>
      </c>
      <c r="H216" s="42" t="n">
        <v>63</v>
      </c>
      <c r="I216" s="42" t="n">
        <v>81</v>
      </c>
      <c r="J216" s="42" t="n">
        <v>3865</v>
      </c>
      <c r="K216" s="42" t="n">
        <v>98</v>
      </c>
      <c r="L216" s="43" t="n">
        <f aca="false">J216-K216</f>
        <v>3767</v>
      </c>
      <c r="M216" s="42" t="n">
        <v>1774</v>
      </c>
      <c r="N216" s="43" t="n">
        <f aca="false">L216-M216</f>
        <v>1993</v>
      </c>
    </row>
    <row r="217" customFormat="false" ht="15" hidden="false" customHeight="false" outlineLevel="0" collapsed="false">
      <c r="A217" s="40" t="n">
        <v>45748</v>
      </c>
      <c r="B217" s="41" t="n">
        <v>2025</v>
      </c>
      <c r="C217" s="41" t="n">
        <v>4</v>
      </c>
      <c r="D217" s="41" t="s">
        <v>49</v>
      </c>
      <c r="E217" s="41" t="s">
        <v>45</v>
      </c>
      <c r="F217" s="41" t="s">
        <v>42</v>
      </c>
      <c r="G217" s="41" t="s">
        <v>37</v>
      </c>
      <c r="H217" s="42" t="n">
        <v>40</v>
      </c>
      <c r="I217" s="42" t="n">
        <v>56</v>
      </c>
      <c r="J217" s="42" t="n">
        <v>6989</v>
      </c>
      <c r="K217" s="42" t="n">
        <v>442</v>
      </c>
      <c r="L217" s="43" t="n">
        <f aca="false">J217-K217</f>
        <v>6547</v>
      </c>
      <c r="M217" s="42" t="n">
        <v>3565</v>
      </c>
      <c r="N217" s="43" t="n">
        <f aca="false">L217-M217</f>
        <v>2982</v>
      </c>
    </row>
    <row r="218" customFormat="false" ht="15" hidden="false" customHeight="false" outlineLevel="0" collapsed="false">
      <c r="A218" s="40" t="n">
        <v>45748</v>
      </c>
      <c r="B218" s="41" t="n">
        <v>2025</v>
      </c>
      <c r="C218" s="41" t="n">
        <v>4</v>
      </c>
      <c r="D218" s="41" t="s">
        <v>49</v>
      </c>
      <c r="E218" s="41" t="s">
        <v>45</v>
      </c>
      <c r="F218" s="41" t="s">
        <v>42</v>
      </c>
      <c r="G218" s="41" t="s">
        <v>38</v>
      </c>
      <c r="H218" s="42" t="n">
        <v>58</v>
      </c>
      <c r="I218" s="42" t="n">
        <v>78</v>
      </c>
      <c r="J218" s="42" t="n">
        <v>5954</v>
      </c>
      <c r="K218" s="42" t="n">
        <v>363</v>
      </c>
      <c r="L218" s="43" t="n">
        <f aca="false">J218-K218</f>
        <v>5591</v>
      </c>
      <c r="M218" s="42" t="n">
        <v>2683</v>
      </c>
      <c r="N218" s="43" t="n">
        <f aca="false">L218-M218</f>
        <v>2908</v>
      </c>
    </row>
    <row r="219" customFormat="false" ht="15" hidden="false" customHeight="false" outlineLevel="0" collapsed="false">
      <c r="A219" s="40" t="n">
        <v>45748</v>
      </c>
      <c r="B219" s="41" t="n">
        <v>2025</v>
      </c>
      <c r="C219" s="41" t="n">
        <v>4</v>
      </c>
      <c r="D219" s="41" t="s">
        <v>49</v>
      </c>
      <c r="E219" s="41" t="s">
        <v>45</v>
      </c>
      <c r="F219" s="41" t="s">
        <v>42</v>
      </c>
      <c r="G219" s="41" t="s">
        <v>39</v>
      </c>
      <c r="H219" s="42" t="n">
        <v>94</v>
      </c>
      <c r="I219" s="42" t="n">
        <v>113</v>
      </c>
      <c r="J219" s="42" t="n">
        <v>7231</v>
      </c>
      <c r="K219" s="42" t="n">
        <v>1014</v>
      </c>
      <c r="L219" s="43" t="n">
        <f aca="false">J219-K219</f>
        <v>6217</v>
      </c>
      <c r="M219" s="42" t="n">
        <v>2595</v>
      </c>
      <c r="N219" s="43" t="n">
        <f aca="false">L219-M219</f>
        <v>3622</v>
      </c>
    </row>
    <row r="220" customFormat="false" ht="15" hidden="false" customHeight="false" outlineLevel="0" collapsed="false">
      <c r="A220" s="40" t="n">
        <v>45748</v>
      </c>
      <c r="B220" s="41" t="n">
        <v>2025</v>
      </c>
      <c r="C220" s="41" t="n">
        <v>4</v>
      </c>
      <c r="D220" s="41" t="s">
        <v>49</v>
      </c>
      <c r="E220" s="41" t="s">
        <v>45</v>
      </c>
      <c r="F220" s="41" t="s">
        <v>42</v>
      </c>
      <c r="G220" s="41" t="s">
        <v>40</v>
      </c>
      <c r="H220" s="42" t="n">
        <v>36</v>
      </c>
      <c r="I220" s="42" t="n">
        <v>47</v>
      </c>
      <c r="J220" s="42" t="n">
        <v>4263</v>
      </c>
      <c r="K220" s="42" t="n">
        <v>592</v>
      </c>
      <c r="L220" s="43" t="n">
        <f aca="false">J220-K220</f>
        <v>3671</v>
      </c>
      <c r="M220" s="42" t="n">
        <v>2048</v>
      </c>
      <c r="N220" s="43" t="n">
        <f aca="false">L220-M220</f>
        <v>1623</v>
      </c>
    </row>
    <row r="221" customFormat="false" ht="15" hidden="false" customHeight="false" outlineLevel="0" collapsed="false">
      <c r="A221" s="40" t="n">
        <v>45748</v>
      </c>
      <c r="B221" s="41" t="n">
        <v>2025</v>
      </c>
      <c r="C221" s="41" t="n">
        <v>4</v>
      </c>
      <c r="D221" s="41" t="s">
        <v>49</v>
      </c>
      <c r="E221" s="41" t="s">
        <v>45</v>
      </c>
      <c r="F221" s="41" t="s">
        <v>42</v>
      </c>
      <c r="G221" s="41" t="s">
        <v>41</v>
      </c>
      <c r="H221" s="42" t="n">
        <v>51</v>
      </c>
      <c r="I221" s="42" t="n">
        <v>72</v>
      </c>
      <c r="J221" s="42" t="n">
        <v>2874</v>
      </c>
      <c r="K221" s="42" t="n">
        <v>123</v>
      </c>
      <c r="L221" s="43" t="n">
        <f aca="false">J221-K221</f>
        <v>2751</v>
      </c>
      <c r="M221" s="42" t="n">
        <v>1353</v>
      </c>
      <c r="N221" s="43" t="n">
        <f aca="false">L221-M221</f>
        <v>1398</v>
      </c>
    </row>
    <row r="222" customFormat="false" ht="15" hidden="false" customHeight="false" outlineLevel="0" collapsed="false">
      <c r="A222" s="40" t="n">
        <v>45748</v>
      </c>
      <c r="B222" s="41" t="n">
        <v>2025</v>
      </c>
      <c r="C222" s="41" t="n">
        <v>4</v>
      </c>
      <c r="D222" s="41" t="s">
        <v>49</v>
      </c>
      <c r="E222" s="41" t="s">
        <v>45</v>
      </c>
      <c r="F222" s="41" t="s">
        <v>43</v>
      </c>
      <c r="G222" s="41" t="s">
        <v>37</v>
      </c>
      <c r="H222" s="42" t="n">
        <v>18</v>
      </c>
      <c r="I222" s="42" t="n">
        <v>23</v>
      </c>
      <c r="J222" s="42" t="n">
        <v>3663</v>
      </c>
      <c r="K222" s="42" t="n">
        <v>110</v>
      </c>
      <c r="L222" s="43" t="n">
        <f aca="false">J222-K222</f>
        <v>3553</v>
      </c>
      <c r="M222" s="42" t="n">
        <v>1847</v>
      </c>
      <c r="N222" s="43" t="n">
        <f aca="false">L222-M222</f>
        <v>1706</v>
      </c>
    </row>
    <row r="223" customFormat="false" ht="15" hidden="false" customHeight="false" outlineLevel="0" collapsed="false">
      <c r="A223" s="40" t="n">
        <v>45748</v>
      </c>
      <c r="B223" s="41" t="n">
        <v>2025</v>
      </c>
      <c r="C223" s="41" t="n">
        <v>4</v>
      </c>
      <c r="D223" s="41" t="s">
        <v>49</v>
      </c>
      <c r="E223" s="41" t="s">
        <v>45</v>
      </c>
      <c r="F223" s="41" t="s">
        <v>43</v>
      </c>
      <c r="G223" s="41" t="s">
        <v>38</v>
      </c>
      <c r="H223" s="42" t="n">
        <v>30</v>
      </c>
      <c r="I223" s="42" t="n">
        <v>37</v>
      </c>
      <c r="J223" s="42" t="n">
        <v>3517</v>
      </c>
      <c r="K223" s="42" t="n">
        <v>138</v>
      </c>
      <c r="L223" s="43" t="n">
        <f aca="false">J223-K223</f>
        <v>3379</v>
      </c>
      <c r="M223" s="42" t="n">
        <v>1525</v>
      </c>
      <c r="N223" s="43" t="n">
        <f aca="false">L223-M223</f>
        <v>1854</v>
      </c>
    </row>
    <row r="224" customFormat="false" ht="15" hidden="false" customHeight="false" outlineLevel="0" collapsed="false">
      <c r="A224" s="40" t="n">
        <v>45748</v>
      </c>
      <c r="B224" s="41" t="n">
        <v>2025</v>
      </c>
      <c r="C224" s="41" t="n">
        <v>4</v>
      </c>
      <c r="D224" s="41" t="s">
        <v>49</v>
      </c>
      <c r="E224" s="41" t="s">
        <v>45</v>
      </c>
      <c r="F224" s="41" t="s">
        <v>43</v>
      </c>
      <c r="G224" s="41" t="s">
        <v>39</v>
      </c>
      <c r="H224" s="42" t="n">
        <v>44</v>
      </c>
      <c r="I224" s="42" t="n">
        <v>53</v>
      </c>
      <c r="J224" s="42" t="n">
        <v>3879</v>
      </c>
      <c r="K224" s="42" t="n">
        <v>260</v>
      </c>
      <c r="L224" s="43" t="n">
        <f aca="false">J224-K224</f>
        <v>3619</v>
      </c>
      <c r="M224" s="42" t="n">
        <v>1416</v>
      </c>
      <c r="N224" s="43" t="n">
        <f aca="false">L224-M224</f>
        <v>2203</v>
      </c>
    </row>
    <row r="225" customFormat="false" ht="15" hidden="false" customHeight="false" outlineLevel="0" collapsed="false">
      <c r="A225" s="40" t="n">
        <v>45748</v>
      </c>
      <c r="B225" s="41" t="n">
        <v>2025</v>
      </c>
      <c r="C225" s="41" t="n">
        <v>4</v>
      </c>
      <c r="D225" s="41" t="s">
        <v>49</v>
      </c>
      <c r="E225" s="41" t="s">
        <v>45</v>
      </c>
      <c r="F225" s="41" t="s">
        <v>43</v>
      </c>
      <c r="G225" s="41" t="s">
        <v>40</v>
      </c>
      <c r="H225" s="42" t="n">
        <v>24</v>
      </c>
      <c r="I225" s="42" t="n">
        <v>29</v>
      </c>
      <c r="J225" s="42" t="n">
        <v>3306</v>
      </c>
      <c r="K225" s="42" t="n">
        <v>240</v>
      </c>
      <c r="L225" s="43" t="n">
        <f aca="false">J225-K225</f>
        <v>3066</v>
      </c>
      <c r="M225" s="42" t="n">
        <v>1706</v>
      </c>
      <c r="N225" s="43" t="n">
        <f aca="false">L225-M225</f>
        <v>1360</v>
      </c>
    </row>
    <row r="226" customFormat="false" ht="15" hidden="false" customHeight="false" outlineLevel="0" collapsed="false">
      <c r="A226" s="40" t="n">
        <v>45748</v>
      </c>
      <c r="B226" s="41" t="n">
        <v>2025</v>
      </c>
      <c r="C226" s="41" t="n">
        <v>4</v>
      </c>
      <c r="D226" s="41" t="s">
        <v>49</v>
      </c>
      <c r="E226" s="41" t="s">
        <v>45</v>
      </c>
      <c r="F226" s="41" t="s">
        <v>43</v>
      </c>
      <c r="G226" s="41" t="s">
        <v>41</v>
      </c>
      <c r="H226" s="42" t="n">
        <v>32</v>
      </c>
      <c r="I226" s="42" t="n">
        <v>41</v>
      </c>
      <c r="J226" s="42" t="n">
        <v>2068</v>
      </c>
      <c r="K226" s="42" t="n">
        <v>40</v>
      </c>
      <c r="L226" s="43" t="n">
        <f aca="false">J226-K226</f>
        <v>2028</v>
      </c>
      <c r="M226" s="42" t="n">
        <v>1000</v>
      </c>
      <c r="N226" s="43" t="n">
        <f aca="false">L226-M226</f>
        <v>1028</v>
      </c>
    </row>
    <row r="227" customFormat="false" ht="15" hidden="false" customHeight="false" outlineLevel="0" collapsed="false">
      <c r="A227" s="40" t="n">
        <v>45748</v>
      </c>
      <c r="B227" s="41" t="n">
        <v>2025</v>
      </c>
      <c r="C227" s="41" t="n">
        <v>4</v>
      </c>
      <c r="D227" s="41" t="s">
        <v>49</v>
      </c>
      <c r="E227" s="41" t="s">
        <v>46</v>
      </c>
      <c r="F227" s="41" t="s">
        <v>36</v>
      </c>
      <c r="G227" s="41" t="s">
        <v>37</v>
      </c>
      <c r="H227" s="42" t="n">
        <v>42</v>
      </c>
      <c r="I227" s="42" t="n">
        <v>59</v>
      </c>
      <c r="J227" s="42" t="n">
        <v>7985</v>
      </c>
      <c r="K227" s="42" t="n">
        <v>301</v>
      </c>
      <c r="L227" s="43" t="n">
        <f aca="false">J227-K227</f>
        <v>7684</v>
      </c>
      <c r="M227" s="42" t="n">
        <v>4052</v>
      </c>
      <c r="N227" s="43" t="n">
        <f aca="false">L227-M227</f>
        <v>3632</v>
      </c>
    </row>
    <row r="228" customFormat="false" ht="15" hidden="false" customHeight="false" outlineLevel="0" collapsed="false">
      <c r="A228" s="40" t="n">
        <v>45748</v>
      </c>
      <c r="B228" s="41" t="n">
        <v>2025</v>
      </c>
      <c r="C228" s="41" t="n">
        <v>4</v>
      </c>
      <c r="D228" s="41" t="s">
        <v>49</v>
      </c>
      <c r="E228" s="41" t="s">
        <v>46</v>
      </c>
      <c r="F228" s="41" t="s">
        <v>36</v>
      </c>
      <c r="G228" s="41" t="s">
        <v>38</v>
      </c>
      <c r="H228" s="42" t="n">
        <v>73</v>
      </c>
      <c r="I228" s="42" t="n">
        <v>117</v>
      </c>
      <c r="J228" s="42" t="n">
        <v>8127</v>
      </c>
      <c r="K228" s="42" t="n">
        <v>384</v>
      </c>
      <c r="L228" s="43" t="n">
        <f aca="false">J228-K228</f>
        <v>7743</v>
      </c>
      <c r="M228" s="42" t="n">
        <v>3421</v>
      </c>
      <c r="N228" s="43" t="n">
        <f aca="false">L228-M228</f>
        <v>4322</v>
      </c>
    </row>
    <row r="229" customFormat="false" ht="15" hidden="false" customHeight="false" outlineLevel="0" collapsed="false">
      <c r="A229" s="40" t="n">
        <v>45748</v>
      </c>
      <c r="B229" s="41" t="n">
        <v>2025</v>
      </c>
      <c r="C229" s="41" t="n">
        <v>4</v>
      </c>
      <c r="D229" s="41" t="s">
        <v>49</v>
      </c>
      <c r="E229" s="41" t="s">
        <v>46</v>
      </c>
      <c r="F229" s="41" t="s">
        <v>36</v>
      </c>
      <c r="G229" s="41" t="s">
        <v>39</v>
      </c>
      <c r="H229" s="42" t="n">
        <v>111</v>
      </c>
      <c r="I229" s="42" t="n">
        <v>138</v>
      </c>
      <c r="J229" s="42" t="n">
        <v>9340</v>
      </c>
      <c r="K229" s="42" t="n">
        <v>749</v>
      </c>
      <c r="L229" s="43" t="n">
        <f aca="false">J229-K229</f>
        <v>8591</v>
      </c>
      <c r="M229" s="42" t="n">
        <v>3431</v>
      </c>
      <c r="N229" s="43" t="n">
        <f aca="false">L229-M229</f>
        <v>5160</v>
      </c>
    </row>
    <row r="230" customFormat="false" ht="15" hidden="false" customHeight="false" outlineLevel="0" collapsed="false">
      <c r="A230" s="40" t="n">
        <v>45748</v>
      </c>
      <c r="B230" s="41" t="n">
        <v>2025</v>
      </c>
      <c r="C230" s="41" t="n">
        <v>4</v>
      </c>
      <c r="D230" s="41" t="s">
        <v>49</v>
      </c>
      <c r="E230" s="41" t="s">
        <v>46</v>
      </c>
      <c r="F230" s="41" t="s">
        <v>36</v>
      </c>
      <c r="G230" s="41" t="s">
        <v>40</v>
      </c>
      <c r="H230" s="42" t="n">
        <v>48</v>
      </c>
      <c r="I230" s="42" t="n">
        <v>73</v>
      </c>
      <c r="J230" s="42" t="n">
        <v>6186</v>
      </c>
      <c r="K230" s="42" t="n">
        <v>714</v>
      </c>
      <c r="L230" s="43" t="n">
        <f aca="false">J230-K230</f>
        <v>5472</v>
      </c>
      <c r="M230" s="42" t="n">
        <v>3079</v>
      </c>
      <c r="N230" s="43" t="n">
        <f aca="false">L230-M230</f>
        <v>2393</v>
      </c>
    </row>
    <row r="231" customFormat="false" ht="15" hidden="false" customHeight="false" outlineLevel="0" collapsed="false">
      <c r="A231" s="40" t="n">
        <v>45748</v>
      </c>
      <c r="B231" s="41" t="n">
        <v>2025</v>
      </c>
      <c r="C231" s="41" t="n">
        <v>4</v>
      </c>
      <c r="D231" s="41" t="s">
        <v>49</v>
      </c>
      <c r="E231" s="41" t="s">
        <v>46</v>
      </c>
      <c r="F231" s="41" t="s">
        <v>36</v>
      </c>
      <c r="G231" s="41" t="s">
        <v>41</v>
      </c>
      <c r="H231" s="42" t="n">
        <v>68</v>
      </c>
      <c r="I231" s="42" t="n">
        <v>83</v>
      </c>
      <c r="J231" s="42" t="n">
        <v>4168</v>
      </c>
      <c r="K231" s="42" t="n">
        <v>101</v>
      </c>
      <c r="L231" s="43" t="n">
        <f aca="false">J231-K231</f>
        <v>4067</v>
      </c>
      <c r="M231" s="42" t="n">
        <v>1958</v>
      </c>
      <c r="N231" s="43" t="n">
        <f aca="false">L231-M231</f>
        <v>2109</v>
      </c>
    </row>
    <row r="232" customFormat="false" ht="15" hidden="false" customHeight="false" outlineLevel="0" collapsed="false">
      <c r="A232" s="40" t="n">
        <v>45748</v>
      </c>
      <c r="B232" s="41" t="n">
        <v>2025</v>
      </c>
      <c r="C232" s="41" t="n">
        <v>4</v>
      </c>
      <c r="D232" s="41" t="s">
        <v>49</v>
      </c>
      <c r="E232" s="41" t="s">
        <v>46</v>
      </c>
      <c r="F232" s="41" t="s">
        <v>42</v>
      </c>
      <c r="G232" s="41" t="s">
        <v>37</v>
      </c>
      <c r="H232" s="42" t="n">
        <v>35</v>
      </c>
      <c r="I232" s="42" t="n">
        <v>55</v>
      </c>
      <c r="J232" s="42" t="n">
        <v>6094</v>
      </c>
      <c r="K232" s="42" t="n">
        <v>275</v>
      </c>
      <c r="L232" s="43" t="n">
        <f aca="false">J232-K232</f>
        <v>5819</v>
      </c>
      <c r="M232" s="42" t="n">
        <v>3217</v>
      </c>
      <c r="N232" s="43" t="n">
        <f aca="false">L232-M232</f>
        <v>2602</v>
      </c>
    </row>
    <row r="233" customFormat="false" ht="15" hidden="false" customHeight="false" outlineLevel="0" collapsed="false">
      <c r="A233" s="40" t="n">
        <v>45748</v>
      </c>
      <c r="B233" s="41" t="n">
        <v>2025</v>
      </c>
      <c r="C233" s="41" t="n">
        <v>4</v>
      </c>
      <c r="D233" s="41" t="s">
        <v>49</v>
      </c>
      <c r="E233" s="41" t="s">
        <v>46</v>
      </c>
      <c r="F233" s="41" t="s">
        <v>42</v>
      </c>
      <c r="G233" s="41" t="s">
        <v>38</v>
      </c>
      <c r="H233" s="42" t="n">
        <v>48</v>
      </c>
      <c r="I233" s="42" t="n">
        <v>66</v>
      </c>
      <c r="J233" s="42" t="n">
        <v>4945</v>
      </c>
      <c r="K233" s="42" t="n">
        <v>286</v>
      </c>
      <c r="L233" s="43" t="n">
        <f aca="false">J233-K233</f>
        <v>4659</v>
      </c>
      <c r="M233" s="42" t="n">
        <v>2170</v>
      </c>
      <c r="N233" s="43" t="n">
        <f aca="false">L233-M233</f>
        <v>2489</v>
      </c>
    </row>
    <row r="234" customFormat="false" ht="15" hidden="false" customHeight="false" outlineLevel="0" collapsed="false">
      <c r="A234" s="40" t="n">
        <v>45748</v>
      </c>
      <c r="B234" s="41" t="n">
        <v>2025</v>
      </c>
      <c r="C234" s="41" t="n">
        <v>4</v>
      </c>
      <c r="D234" s="41" t="s">
        <v>49</v>
      </c>
      <c r="E234" s="41" t="s">
        <v>46</v>
      </c>
      <c r="F234" s="41" t="s">
        <v>42</v>
      </c>
      <c r="G234" s="41" t="s">
        <v>39</v>
      </c>
      <c r="H234" s="42" t="n">
        <v>79</v>
      </c>
      <c r="I234" s="42" t="n">
        <v>124</v>
      </c>
      <c r="J234" s="42" t="n">
        <v>6144</v>
      </c>
      <c r="K234" s="42" t="n">
        <v>700</v>
      </c>
      <c r="L234" s="43" t="n">
        <f aca="false">J234-K234</f>
        <v>5444</v>
      </c>
      <c r="M234" s="42" t="n">
        <v>2255</v>
      </c>
      <c r="N234" s="43" t="n">
        <f aca="false">L234-M234</f>
        <v>3189</v>
      </c>
    </row>
    <row r="235" customFormat="false" ht="15" hidden="false" customHeight="false" outlineLevel="0" collapsed="false">
      <c r="A235" s="40" t="n">
        <v>45748</v>
      </c>
      <c r="B235" s="41" t="n">
        <v>2025</v>
      </c>
      <c r="C235" s="41" t="n">
        <v>4</v>
      </c>
      <c r="D235" s="41" t="s">
        <v>49</v>
      </c>
      <c r="E235" s="41" t="s">
        <v>46</v>
      </c>
      <c r="F235" s="41" t="s">
        <v>42</v>
      </c>
      <c r="G235" s="41" t="s">
        <v>40</v>
      </c>
      <c r="H235" s="42" t="n">
        <v>41</v>
      </c>
      <c r="I235" s="42" t="n">
        <v>65</v>
      </c>
      <c r="J235" s="42" t="n">
        <v>4773</v>
      </c>
      <c r="K235" s="42" t="n">
        <v>680</v>
      </c>
      <c r="L235" s="43" t="n">
        <f aca="false">J235-K235</f>
        <v>4093</v>
      </c>
      <c r="M235" s="42" t="n">
        <v>2273</v>
      </c>
      <c r="N235" s="43" t="n">
        <f aca="false">L235-M235</f>
        <v>1820</v>
      </c>
    </row>
    <row r="236" customFormat="false" ht="15" hidden="false" customHeight="false" outlineLevel="0" collapsed="false">
      <c r="A236" s="40" t="n">
        <v>45748</v>
      </c>
      <c r="B236" s="41" t="n">
        <v>2025</v>
      </c>
      <c r="C236" s="41" t="n">
        <v>4</v>
      </c>
      <c r="D236" s="41" t="s">
        <v>49</v>
      </c>
      <c r="E236" s="41" t="s">
        <v>46</v>
      </c>
      <c r="F236" s="41" t="s">
        <v>42</v>
      </c>
      <c r="G236" s="41" t="s">
        <v>41</v>
      </c>
      <c r="H236" s="42" t="n">
        <v>59</v>
      </c>
      <c r="I236" s="42" t="n">
        <v>94</v>
      </c>
      <c r="J236" s="42" t="n">
        <v>3295</v>
      </c>
      <c r="K236" s="42" t="n">
        <v>133</v>
      </c>
      <c r="L236" s="43" t="n">
        <f aca="false">J236-K236</f>
        <v>3162</v>
      </c>
      <c r="M236" s="42" t="n">
        <v>1541</v>
      </c>
      <c r="N236" s="43" t="n">
        <f aca="false">L236-M236</f>
        <v>1621</v>
      </c>
    </row>
    <row r="237" customFormat="false" ht="15" hidden="false" customHeight="false" outlineLevel="0" collapsed="false">
      <c r="A237" s="40" t="n">
        <v>45748</v>
      </c>
      <c r="B237" s="41" t="n">
        <v>2025</v>
      </c>
      <c r="C237" s="41" t="n">
        <v>4</v>
      </c>
      <c r="D237" s="41" t="s">
        <v>49</v>
      </c>
      <c r="E237" s="41" t="s">
        <v>46</v>
      </c>
      <c r="F237" s="41" t="s">
        <v>43</v>
      </c>
      <c r="G237" s="41" t="s">
        <v>37</v>
      </c>
      <c r="H237" s="42" t="n">
        <v>23</v>
      </c>
      <c r="I237" s="42" t="n">
        <v>30</v>
      </c>
      <c r="J237" s="42" t="n">
        <v>4512</v>
      </c>
      <c r="K237" s="42" t="n">
        <v>147</v>
      </c>
      <c r="L237" s="43" t="n">
        <f aca="false">J237-K237</f>
        <v>4365</v>
      </c>
      <c r="M237" s="42" t="n">
        <v>2330</v>
      </c>
      <c r="N237" s="43" t="n">
        <f aca="false">L237-M237</f>
        <v>2035</v>
      </c>
    </row>
    <row r="238" customFormat="false" ht="15" hidden="false" customHeight="false" outlineLevel="0" collapsed="false">
      <c r="A238" s="40" t="n">
        <v>45748</v>
      </c>
      <c r="B238" s="41" t="n">
        <v>2025</v>
      </c>
      <c r="C238" s="41" t="n">
        <v>4</v>
      </c>
      <c r="D238" s="41" t="s">
        <v>49</v>
      </c>
      <c r="E238" s="41" t="s">
        <v>46</v>
      </c>
      <c r="F238" s="41" t="s">
        <v>43</v>
      </c>
      <c r="G238" s="41" t="s">
        <v>38</v>
      </c>
      <c r="H238" s="42" t="n">
        <v>32</v>
      </c>
      <c r="I238" s="42" t="n">
        <v>39</v>
      </c>
      <c r="J238" s="42" t="n">
        <v>3848</v>
      </c>
      <c r="K238" s="42" t="n">
        <v>150</v>
      </c>
      <c r="L238" s="43" t="n">
        <f aca="false">J238-K238</f>
        <v>3698</v>
      </c>
      <c r="M238" s="42" t="n">
        <v>1636</v>
      </c>
      <c r="N238" s="43" t="n">
        <f aca="false">L238-M238</f>
        <v>2062</v>
      </c>
    </row>
    <row r="239" customFormat="false" ht="15" hidden="false" customHeight="false" outlineLevel="0" collapsed="false">
      <c r="A239" s="40" t="n">
        <v>45748</v>
      </c>
      <c r="B239" s="41" t="n">
        <v>2025</v>
      </c>
      <c r="C239" s="41" t="n">
        <v>4</v>
      </c>
      <c r="D239" s="41" t="s">
        <v>49</v>
      </c>
      <c r="E239" s="41" t="s">
        <v>46</v>
      </c>
      <c r="F239" s="41" t="s">
        <v>43</v>
      </c>
      <c r="G239" s="41" t="s">
        <v>39</v>
      </c>
      <c r="H239" s="42" t="n">
        <v>46</v>
      </c>
      <c r="I239" s="42" t="n">
        <v>70</v>
      </c>
      <c r="J239" s="42" t="n">
        <v>4087</v>
      </c>
      <c r="K239" s="42" t="n">
        <v>324</v>
      </c>
      <c r="L239" s="43" t="n">
        <f aca="false">J239-K239</f>
        <v>3763</v>
      </c>
      <c r="M239" s="42" t="n">
        <v>1440</v>
      </c>
      <c r="N239" s="43" t="n">
        <f aca="false">L239-M239</f>
        <v>2323</v>
      </c>
    </row>
    <row r="240" customFormat="false" ht="15" hidden="false" customHeight="false" outlineLevel="0" collapsed="false">
      <c r="A240" s="40" t="n">
        <v>45748</v>
      </c>
      <c r="B240" s="41" t="n">
        <v>2025</v>
      </c>
      <c r="C240" s="41" t="n">
        <v>4</v>
      </c>
      <c r="D240" s="41" t="s">
        <v>49</v>
      </c>
      <c r="E240" s="41" t="s">
        <v>46</v>
      </c>
      <c r="F240" s="41" t="s">
        <v>43</v>
      </c>
      <c r="G240" s="41" t="s">
        <v>40</v>
      </c>
      <c r="H240" s="42" t="n">
        <v>21</v>
      </c>
      <c r="I240" s="42" t="n">
        <v>28</v>
      </c>
      <c r="J240" s="42" t="n">
        <v>2785</v>
      </c>
      <c r="K240" s="42" t="n">
        <v>236</v>
      </c>
      <c r="L240" s="43" t="n">
        <f aca="false">J240-K240</f>
        <v>2549</v>
      </c>
      <c r="M240" s="42" t="n">
        <v>1392</v>
      </c>
      <c r="N240" s="43" t="n">
        <f aca="false">L240-M240</f>
        <v>1157</v>
      </c>
    </row>
    <row r="241" customFormat="false" ht="15" hidden="false" customHeight="false" outlineLevel="0" collapsed="false">
      <c r="A241" s="40" t="n">
        <v>45748</v>
      </c>
      <c r="B241" s="41" t="n">
        <v>2025</v>
      </c>
      <c r="C241" s="41" t="n">
        <v>4</v>
      </c>
      <c r="D241" s="41" t="s">
        <v>49</v>
      </c>
      <c r="E241" s="41" t="s">
        <v>46</v>
      </c>
      <c r="F241" s="41" t="s">
        <v>43</v>
      </c>
      <c r="G241" s="41" t="s">
        <v>41</v>
      </c>
      <c r="H241" s="42" t="n">
        <v>28</v>
      </c>
      <c r="I241" s="42" t="n">
        <v>35</v>
      </c>
      <c r="J241" s="42" t="n">
        <v>1803</v>
      </c>
      <c r="K241" s="42" t="n">
        <v>41</v>
      </c>
      <c r="L241" s="43" t="n">
        <f aca="false">J241-K241</f>
        <v>1762</v>
      </c>
      <c r="M241" s="42" t="n">
        <v>866</v>
      </c>
      <c r="N241" s="43" t="n">
        <f aca="false">L241-M241</f>
        <v>896</v>
      </c>
    </row>
    <row r="242" customFormat="false" ht="15" hidden="false" customHeight="false" outlineLevel="0" collapsed="false">
      <c r="A242" s="40" t="n">
        <v>45778</v>
      </c>
      <c r="B242" s="41" t="n">
        <v>2025</v>
      </c>
      <c r="C242" s="41" t="n">
        <v>5</v>
      </c>
      <c r="D242" s="41" t="s">
        <v>50</v>
      </c>
      <c r="E242" s="41" t="s">
        <v>35</v>
      </c>
      <c r="F242" s="41" t="s">
        <v>36</v>
      </c>
      <c r="G242" s="41" t="s">
        <v>37</v>
      </c>
      <c r="H242" s="42" t="n">
        <v>84</v>
      </c>
      <c r="I242" s="42" t="n">
        <v>118</v>
      </c>
      <c r="J242" s="42" t="n">
        <v>15827</v>
      </c>
      <c r="K242" s="42" t="n">
        <v>698</v>
      </c>
      <c r="L242" s="43" t="n">
        <f aca="false">J242-K242</f>
        <v>15129</v>
      </c>
      <c r="M242" s="42" t="n">
        <v>7796</v>
      </c>
      <c r="N242" s="43" t="n">
        <f aca="false">L242-M242</f>
        <v>7333</v>
      </c>
    </row>
    <row r="243" customFormat="false" ht="15" hidden="false" customHeight="false" outlineLevel="0" collapsed="false">
      <c r="A243" s="40" t="n">
        <v>45778</v>
      </c>
      <c r="B243" s="41" t="n">
        <v>2025</v>
      </c>
      <c r="C243" s="41" t="n">
        <v>5</v>
      </c>
      <c r="D243" s="41" t="s">
        <v>50</v>
      </c>
      <c r="E243" s="41" t="s">
        <v>35</v>
      </c>
      <c r="F243" s="41" t="s">
        <v>36</v>
      </c>
      <c r="G243" s="41" t="s">
        <v>38</v>
      </c>
      <c r="H243" s="42" t="n">
        <v>155</v>
      </c>
      <c r="I243" s="42" t="n">
        <v>186</v>
      </c>
      <c r="J243" s="42" t="n">
        <v>17395</v>
      </c>
      <c r="K243" s="42" t="n">
        <v>904</v>
      </c>
      <c r="L243" s="43" t="n">
        <f aca="false">J243-K243</f>
        <v>16491</v>
      </c>
      <c r="M243" s="42" t="n">
        <v>7443</v>
      </c>
      <c r="N243" s="43" t="n">
        <f aca="false">L243-M243</f>
        <v>9048</v>
      </c>
    </row>
    <row r="244" customFormat="false" ht="15" hidden="false" customHeight="false" outlineLevel="0" collapsed="false">
      <c r="A244" s="40" t="n">
        <v>45778</v>
      </c>
      <c r="B244" s="41" t="n">
        <v>2025</v>
      </c>
      <c r="C244" s="41" t="n">
        <v>5</v>
      </c>
      <c r="D244" s="41" t="s">
        <v>50</v>
      </c>
      <c r="E244" s="41" t="s">
        <v>35</v>
      </c>
      <c r="F244" s="41" t="s">
        <v>36</v>
      </c>
      <c r="G244" s="41" t="s">
        <v>39</v>
      </c>
      <c r="H244" s="42" t="n">
        <v>233</v>
      </c>
      <c r="I244" s="42" t="n">
        <v>300</v>
      </c>
      <c r="J244" s="42" t="n">
        <v>19589</v>
      </c>
      <c r="K244" s="42" t="n">
        <v>1896</v>
      </c>
      <c r="L244" s="43" t="n">
        <f aca="false">J244-K244</f>
        <v>17693</v>
      </c>
      <c r="M244" s="42" t="n">
        <v>6935</v>
      </c>
      <c r="N244" s="43" t="n">
        <f aca="false">L244-M244</f>
        <v>10758</v>
      </c>
    </row>
    <row r="245" customFormat="false" ht="15" hidden="false" customHeight="false" outlineLevel="0" collapsed="false">
      <c r="A245" s="40" t="n">
        <v>45778</v>
      </c>
      <c r="B245" s="41" t="n">
        <v>2025</v>
      </c>
      <c r="C245" s="41" t="n">
        <v>5</v>
      </c>
      <c r="D245" s="41" t="s">
        <v>50</v>
      </c>
      <c r="E245" s="41" t="s">
        <v>35</v>
      </c>
      <c r="F245" s="41" t="s">
        <v>36</v>
      </c>
      <c r="G245" s="41" t="s">
        <v>40</v>
      </c>
      <c r="H245" s="42" t="n">
        <v>104</v>
      </c>
      <c r="I245" s="42" t="n">
        <v>150</v>
      </c>
      <c r="J245" s="42" t="n">
        <v>13337</v>
      </c>
      <c r="K245" s="42" t="n">
        <v>1566</v>
      </c>
      <c r="L245" s="43" t="n">
        <f aca="false">J245-K245</f>
        <v>11771</v>
      </c>
      <c r="M245" s="42" t="n">
        <v>6450</v>
      </c>
      <c r="N245" s="43" t="n">
        <f aca="false">L245-M245</f>
        <v>5321</v>
      </c>
    </row>
    <row r="246" customFormat="false" ht="15" hidden="false" customHeight="false" outlineLevel="0" collapsed="false">
      <c r="A246" s="40" t="n">
        <v>45778</v>
      </c>
      <c r="B246" s="41" t="n">
        <v>2025</v>
      </c>
      <c r="C246" s="41" t="n">
        <v>5</v>
      </c>
      <c r="D246" s="41" t="s">
        <v>50</v>
      </c>
      <c r="E246" s="41" t="s">
        <v>35</v>
      </c>
      <c r="F246" s="41" t="s">
        <v>36</v>
      </c>
      <c r="G246" s="41" t="s">
        <v>41</v>
      </c>
      <c r="H246" s="42" t="n">
        <v>129</v>
      </c>
      <c r="I246" s="42" t="n">
        <v>184</v>
      </c>
      <c r="J246" s="42" t="n">
        <v>7868</v>
      </c>
      <c r="K246" s="42" t="n">
        <v>235</v>
      </c>
      <c r="L246" s="43" t="n">
        <f aca="false">J246-K246</f>
        <v>7633</v>
      </c>
      <c r="M246" s="42" t="n">
        <v>3606</v>
      </c>
      <c r="N246" s="43" t="n">
        <f aca="false">L246-M246</f>
        <v>4027</v>
      </c>
    </row>
    <row r="247" customFormat="false" ht="15" hidden="false" customHeight="false" outlineLevel="0" collapsed="false">
      <c r="A247" s="40" t="n">
        <v>45778</v>
      </c>
      <c r="B247" s="41" t="n">
        <v>2025</v>
      </c>
      <c r="C247" s="41" t="n">
        <v>5</v>
      </c>
      <c r="D247" s="41" t="s">
        <v>50</v>
      </c>
      <c r="E247" s="41" t="s">
        <v>35</v>
      </c>
      <c r="F247" s="41" t="s">
        <v>42</v>
      </c>
      <c r="G247" s="41" t="s">
        <v>37</v>
      </c>
      <c r="H247" s="42" t="n">
        <v>78</v>
      </c>
      <c r="I247" s="42" t="n">
        <v>117</v>
      </c>
      <c r="J247" s="42" t="n">
        <v>13565</v>
      </c>
      <c r="K247" s="42" t="n">
        <v>720</v>
      </c>
      <c r="L247" s="43" t="n">
        <f aca="false">J247-K247</f>
        <v>12845</v>
      </c>
      <c r="M247" s="42" t="n">
        <v>6914</v>
      </c>
      <c r="N247" s="43" t="n">
        <f aca="false">L247-M247</f>
        <v>5931</v>
      </c>
    </row>
    <row r="248" customFormat="false" ht="15" hidden="false" customHeight="false" outlineLevel="0" collapsed="false">
      <c r="A248" s="40" t="n">
        <v>45778</v>
      </c>
      <c r="B248" s="41" t="n">
        <v>2025</v>
      </c>
      <c r="C248" s="41" t="n">
        <v>5</v>
      </c>
      <c r="D248" s="41" t="s">
        <v>50</v>
      </c>
      <c r="E248" s="41" t="s">
        <v>35</v>
      </c>
      <c r="F248" s="41" t="s">
        <v>42</v>
      </c>
      <c r="G248" s="41" t="s">
        <v>38</v>
      </c>
      <c r="H248" s="42" t="n">
        <v>106</v>
      </c>
      <c r="I248" s="42" t="n">
        <v>127</v>
      </c>
      <c r="J248" s="42" t="n">
        <v>10971</v>
      </c>
      <c r="K248" s="42" t="n">
        <v>630</v>
      </c>
      <c r="L248" s="43" t="n">
        <f aca="false">J248-K248</f>
        <v>10341</v>
      </c>
      <c r="M248" s="42" t="n">
        <v>4860</v>
      </c>
      <c r="N248" s="43" t="n">
        <f aca="false">L248-M248</f>
        <v>5481</v>
      </c>
    </row>
    <row r="249" customFormat="false" ht="15" hidden="false" customHeight="false" outlineLevel="0" collapsed="false">
      <c r="A249" s="40" t="n">
        <v>45778</v>
      </c>
      <c r="B249" s="41" t="n">
        <v>2025</v>
      </c>
      <c r="C249" s="41" t="n">
        <v>5</v>
      </c>
      <c r="D249" s="41" t="s">
        <v>50</v>
      </c>
      <c r="E249" s="41" t="s">
        <v>35</v>
      </c>
      <c r="F249" s="41" t="s">
        <v>42</v>
      </c>
      <c r="G249" s="41" t="s">
        <v>39</v>
      </c>
      <c r="H249" s="42" t="n">
        <v>151</v>
      </c>
      <c r="I249" s="42" t="n">
        <v>204</v>
      </c>
      <c r="J249" s="42" t="n">
        <v>11655</v>
      </c>
      <c r="K249" s="42" t="n">
        <v>1580</v>
      </c>
      <c r="L249" s="43" t="n">
        <f aca="false">J249-K249</f>
        <v>10075</v>
      </c>
      <c r="M249" s="42" t="n">
        <v>4060</v>
      </c>
      <c r="N249" s="43" t="n">
        <f aca="false">L249-M249</f>
        <v>6015</v>
      </c>
    </row>
    <row r="250" customFormat="false" ht="15" hidden="false" customHeight="false" outlineLevel="0" collapsed="false">
      <c r="A250" s="40" t="n">
        <v>45778</v>
      </c>
      <c r="B250" s="41" t="n">
        <v>2025</v>
      </c>
      <c r="C250" s="41" t="n">
        <v>5</v>
      </c>
      <c r="D250" s="41" t="s">
        <v>50</v>
      </c>
      <c r="E250" s="41" t="s">
        <v>35</v>
      </c>
      <c r="F250" s="41" t="s">
        <v>42</v>
      </c>
      <c r="G250" s="41" t="s">
        <v>40</v>
      </c>
      <c r="H250" s="42" t="n">
        <v>84</v>
      </c>
      <c r="I250" s="42" t="n">
        <v>100</v>
      </c>
      <c r="J250" s="42" t="n">
        <v>9837</v>
      </c>
      <c r="K250" s="42" t="n">
        <v>1742</v>
      </c>
      <c r="L250" s="43" t="n">
        <f aca="false">J250-K250</f>
        <v>8095</v>
      </c>
      <c r="M250" s="42" t="n">
        <v>4674</v>
      </c>
      <c r="N250" s="43" t="n">
        <f aca="false">L250-M250</f>
        <v>3421</v>
      </c>
    </row>
    <row r="251" customFormat="false" ht="15" hidden="false" customHeight="false" outlineLevel="0" collapsed="false">
      <c r="A251" s="40" t="n">
        <v>45778</v>
      </c>
      <c r="B251" s="41" t="n">
        <v>2025</v>
      </c>
      <c r="C251" s="41" t="n">
        <v>5</v>
      </c>
      <c r="D251" s="41" t="s">
        <v>50</v>
      </c>
      <c r="E251" s="41" t="s">
        <v>35</v>
      </c>
      <c r="F251" s="41" t="s">
        <v>42</v>
      </c>
      <c r="G251" s="41" t="s">
        <v>41</v>
      </c>
      <c r="H251" s="42" t="n">
        <v>113</v>
      </c>
      <c r="I251" s="42" t="n">
        <v>133</v>
      </c>
      <c r="J251" s="42" t="n">
        <v>6337</v>
      </c>
      <c r="K251" s="42" t="n">
        <v>257</v>
      </c>
      <c r="L251" s="43" t="n">
        <f aca="false">J251-K251</f>
        <v>6080</v>
      </c>
      <c r="M251" s="42" t="n">
        <v>3022</v>
      </c>
      <c r="N251" s="43" t="n">
        <f aca="false">L251-M251</f>
        <v>3058</v>
      </c>
    </row>
    <row r="252" customFormat="false" ht="15" hidden="false" customHeight="false" outlineLevel="0" collapsed="false">
      <c r="A252" s="40" t="n">
        <v>45778</v>
      </c>
      <c r="B252" s="41" t="n">
        <v>2025</v>
      </c>
      <c r="C252" s="41" t="n">
        <v>5</v>
      </c>
      <c r="D252" s="41" t="s">
        <v>50</v>
      </c>
      <c r="E252" s="41" t="s">
        <v>35</v>
      </c>
      <c r="F252" s="41" t="s">
        <v>43</v>
      </c>
      <c r="G252" s="41" t="s">
        <v>37</v>
      </c>
      <c r="H252" s="42" t="n">
        <v>49</v>
      </c>
      <c r="I252" s="42" t="n">
        <v>59</v>
      </c>
      <c r="J252" s="42" t="n">
        <v>9782</v>
      </c>
      <c r="K252" s="42" t="n">
        <v>313</v>
      </c>
      <c r="L252" s="43" t="n">
        <f aca="false">J252-K252</f>
        <v>9469</v>
      </c>
      <c r="M252" s="42" t="n">
        <v>5168</v>
      </c>
      <c r="N252" s="43" t="n">
        <f aca="false">L252-M252</f>
        <v>4301</v>
      </c>
    </row>
    <row r="253" customFormat="false" ht="15" hidden="false" customHeight="false" outlineLevel="0" collapsed="false">
      <c r="A253" s="40" t="n">
        <v>45778</v>
      </c>
      <c r="B253" s="41" t="n">
        <v>2025</v>
      </c>
      <c r="C253" s="41" t="n">
        <v>5</v>
      </c>
      <c r="D253" s="41" t="s">
        <v>50</v>
      </c>
      <c r="E253" s="41" t="s">
        <v>35</v>
      </c>
      <c r="F253" s="41" t="s">
        <v>43</v>
      </c>
      <c r="G253" s="41" t="s">
        <v>38</v>
      </c>
      <c r="H253" s="42" t="n">
        <v>68</v>
      </c>
      <c r="I253" s="42" t="n">
        <v>103</v>
      </c>
      <c r="J253" s="42" t="n">
        <v>8093</v>
      </c>
      <c r="K253" s="42" t="n">
        <v>249</v>
      </c>
      <c r="L253" s="43" t="n">
        <f aca="false">J253-K253</f>
        <v>7844</v>
      </c>
      <c r="M253" s="42" t="n">
        <v>3632</v>
      </c>
      <c r="N253" s="43" t="n">
        <f aca="false">L253-M253</f>
        <v>4212</v>
      </c>
    </row>
    <row r="254" customFormat="false" ht="15" hidden="false" customHeight="false" outlineLevel="0" collapsed="false">
      <c r="A254" s="40" t="n">
        <v>45778</v>
      </c>
      <c r="B254" s="41" t="n">
        <v>2025</v>
      </c>
      <c r="C254" s="41" t="n">
        <v>5</v>
      </c>
      <c r="D254" s="41" t="s">
        <v>50</v>
      </c>
      <c r="E254" s="41" t="s">
        <v>35</v>
      </c>
      <c r="F254" s="41" t="s">
        <v>43</v>
      </c>
      <c r="G254" s="41" t="s">
        <v>39</v>
      </c>
      <c r="H254" s="42" t="n">
        <v>101</v>
      </c>
      <c r="I254" s="42" t="n">
        <v>160</v>
      </c>
      <c r="J254" s="42" t="n">
        <v>9026</v>
      </c>
      <c r="K254" s="42" t="n">
        <v>737</v>
      </c>
      <c r="L254" s="43" t="n">
        <f aca="false">J254-K254</f>
        <v>8289</v>
      </c>
      <c r="M254" s="42" t="n">
        <v>3168</v>
      </c>
      <c r="N254" s="43" t="n">
        <f aca="false">L254-M254</f>
        <v>5121</v>
      </c>
    </row>
    <row r="255" customFormat="false" ht="15" hidden="false" customHeight="false" outlineLevel="0" collapsed="false">
      <c r="A255" s="40" t="n">
        <v>45778</v>
      </c>
      <c r="B255" s="41" t="n">
        <v>2025</v>
      </c>
      <c r="C255" s="41" t="n">
        <v>5</v>
      </c>
      <c r="D255" s="41" t="s">
        <v>50</v>
      </c>
      <c r="E255" s="41" t="s">
        <v>35</v>
      </c>
      <c r="F255" s="41" t="s">
        <v>43</v>
      </c>
      <c r="G255" s="41" t="s">
        <v>40</v>
      </c>
      <c r="H255" s="42" t="n">
        <v>52</v>
      </c>
      <c r="I255" s="42" t="n">
        <v>82</v>
      </c>
      <c r="J255" s="42" t="n">
        <v>7040</v>
      </c>
      <c r="K255" s="42" t="n">
        <v>489</v>
      </c>
      <c r="L255" s="43" t="n">
        <f aca="false">J255-K255</f>
        <v>6551</v>
      </c>
      <c r="M255" s="42" t="n">
        <v>3571</v>
      </c>
      <c r="N255" s="43" t="n">
        <f aca="false">L255-M255</f>
        <v>2980</v>
      </c>
    </row>
    <row r="256" customFormat="false" ht="15" hidden="false" customHeight="false" outlineLevel="0" collapsed="false">
      <c r="A256" s="40" t="n">
        <v>45778</v>
      </c>
      <c r="B256" s="41" t="n">
        <v>2025</v>
      </c>
      <c r="C256" s="41" t="n">
        <v>5</v>
      </c>
      <c r="D256" s="41" t="s">
        <v>50</v>
      </c>
      <c r="E256" s="41" t="s">
        <v>35</v>
      </c>
      <c r="F256" s="41" t="s">
        <v>43</v>
      </c>
      <c r="G256" s="41" t="s">
        <v>41</v>
      </c>
      <c r="H256" s="42" t="n">
        <v>72</v>
      </c>
      <c r="I256" s="42" t="n">
        <v>88</v>
      </c>
      <c r="J256" s="42" t="n">
        <v>4654</v>
      </c>
      <c r="K256" s="42" t="n">
        <v>113</v>
      </c>
      <c r="L256" s="43" t="n">
        <f aca="false">J256-K256</f>
        <v>4541</v>
      </c>
      <c r="M256" s="42" t="n">
        <v>2150</v>
      </c>
      <c r="N256" s="43" t="n">
        <f aca="false">L256-M256</f>
        <v>2391</v>
      </c>
    </row>
    <row r="257" customFormat="false" ht="15" hidden="false" customHeight="false" outlineLevel="0" collapsed="false">
      <c r="A257" s="40" t="n">
        <v>45778</v>
      </c>
      <c r="B257" s="41" t="n">
        <v>2025</v>
      </c>
      <c r="C257" s="41" t="n">
        <v>5</v>
      </c>
      <c r="D257" s="41" t="s">
        <v>50</v>
      </c>
      <c r="E257" s="41" t="s">
        <v>44</v>
      </c>
      <c r="F257" s="41" t="s">
        <v>36</v>
      </c>
      <c r="G257" s="41" t="s">
        <v>37</v>
      </c>
      <c r="H257" s="42" t="n">
        <v>83</v>
      </c>
      <c r="I257" s="42" t="n">
        <v>101</v>
      </c>
      <c r="J257" s="42" t="n">
        <v>15696</v>
      </c>
      <c r="K257" s="42" t="n">
        <v>628</v>
      </c>
      <c r="L257" s="43" t="n">
        <f aca="false">J257-K257</f>
        <v>15068</v>
      </c>
      <c r="M257" s="42" t="n">
        <v>8187</v>
      </c>
      <c r="N257" s="43" t="n">
        <f aca="false">L257-M257</f>
        <v>6881</v>
      </c>
    </row>
    <row r="258" customFormat="false" ht="15" hidden="false" customHeight="false" outlineLevel="0" collapsed="false">
      <c r="A258" s="40" t="n">
        <v>45778</v>
      </c>
      <c r="B258" s="41" t="n">
        <v>2025</v>
      </c>
      <c r="C258" s="41" t="n">
        <v>5</v>
      </c>
      <c r="D258" s="41" t="s">
        <v>50</v>
      </c>
      <c r="E258" s="41" t="s">
        <v>44</v>
      </c>
      <c r="F258" s="41" t="s">
        <v>36</v>
      </c>
      <c r="G258" s="41" t="s">
        <v>38</v>
      </c>
      <c r="H258" s="42" t="n">
        <v>103</v>
      </c>
      <c r="I258" s="42" t="n">
        <v>131</v>
      </c>
      <c r="J258" s="42" t="n">
        <v>11588</v>
      </c>
      <c r="K258" s="42" t="n">
        <v>581</v>
      </c>
      <c r="L258" s="43" t="n">
        <f aca="false">J258-K258</f>
        <v>11007</v>
      </c>
      <c r="M258" s="42" t="n">
        <v>4899</v>
      </c>
      <c r="N258" s="43" t="n">
        <f aca="false">L258-M258</f>
        <v>6108</v>
      </c>
    </row>
    <row r="259" customFormat="false" ht="15" hidden="false" customHeight="false" outlineLevel="0" collapsed="false">
      <c r="A259" s="40" t="n">
        <v>45778</v>
      </c>
      <c r="B259" s="41" t="n">
        <v>2025</v>
      </c>
      <c r="C259" s="41" t="n">
        <v>5</v>
      </c>
      <c r="D259" s="41" t="s">
        <v>50</v>
      </c>
      <c r="E259" s="41" t="s">
        <v>44</v>
      </c>
      <c r="F259" s="41" t="s">
        <v>36</v>
      </c>
      <c r="G259" s="41" t="s">
        <v>39</v>
      </c>
      <c r="H259" s="42" t="n">
        <v>156</v>
      </c>
      <c r="I259" s="42" t="n">
        <v>192</v>
      </c>
      <c r="J259" s="42" t="n">
        <v>13074</v>
      </c>
      <c r="K259" s="42" t="n">
        <v>1130</v>
      </c>
      <c r="L259" s="43" t="n">
        <f aca="false">J259-K259</f>
        <v>11944</v>
      </c>
      <c r="M259" s="42" t="n">
        <v>4780</v>
      </c>
      <c r="N259" s="43" t="n">
        <f aca="false">L259-M259</f>
        <v>7164</v>
      </c>
    </row>
    <row r="260" customFormat="false" ht="15" hidden="false" customHeight="false" outlineLevel="0" collapsed="false">
      <c r="A260" s="40" t="n">
        <v>45778</v>
      </c>
      <c r="B260" s="41" t="n">
        <v>2025</v>
      </c>
      <c r="C260" s="41" t="n">
        <v>5</v>
      </c>
      <c r="D260" s="41" t="s">
        <v>50</v>
      </c>
      <c r="E260" s="41" t="s">
        <v>44</v>
      </c>
      <c r="F260" s="41" t="s">
        <v>36</v>
      </c>
      <c r="G260" s="41" t="s">
        <v>40</v>
      </c>
      <c r="H260" s="42" t="n">
        <v>89</v>
      </c>
      <c r="I260" s="42" t="n">
        <v>138</v>
      </c>
      <c r="J260" s="42" t="n">
        <v>11360</v>
      </c>
      <c r="K260" s="42" t="n">
        <v>1183</v>
      </c>
      <c r="L260" s="43" t="n">
        <f aca="false">J260-K260</f>
        <v>10177</v>
      </c>
      <c r="M260" s="42" t="n">
        <v>5693</v>
      </c>
      <c r="N260" s="43" t="n">
        <f aca="false">L260-M260</f>
        <v>4484</v>
      </c>
    </row>
    <row r="261" customFormat="false" ht="15" hidden="false" customHeight="false" outlineLevel="0" collapsed="false">
      <c r="A261" s="40" t="n">
        <v>45778</v>
      </c>
      <c r="B261" s="41" t="n">
        <v>2025</v>
      </c>
      <c r="C261" s="41" t="n">
        <v>5</v>
      </c>
      <c r="D261" s="41" t="s">
        <v>50</v>
      </c>
      <c r="E261" s="41" t="s">
        <v>44</v>
      </c>
      <c r="F261" s="41" t="s">
        <v>36</v>
      </c>
      <c r="G261" s="41" t="s">
        <v>41</v>
      </c>
      <c r="H261" s="42" t="n">
        <v>105</v>
      </c>
      <c r="I261" s="42" t="n">
        <v>146</v>
      </c>
      <c r="J261" s="42" t="n">
        <v>6433</v>
      </c>
      <c r="K261" s="42" t="n">
        <v>204</v>
      </c>
      <c r="L261" s="43" t="n">
        <f aca="false">J261-K261</f>
        <v>6229</v>
      </c>
      <c r="M261" s="42" t="n">
        <v>2965</v>
      </c>
      <c r="N261" s="43" t="n">
        <f aca="false">L261-M261</f>
        <v>3264</v>
      </c>
    </row>
    <row r="262" customFormat="false" ht="15" hidden="false" customHeight="false" outlineLevel="0" collapsed="false">
      <c r="A262" s="40" t="n">
        <v>45778</v>
      </c>
      <c r="B262" s="41" t="n">
        <v>2025</v>
      </c>
      <c r="C262" s="41" t="n">
        <v>5</v>
      </c>
      <c r="D262" s="41" t="s">
        <v>50</v>
      </c>
      <c r="E262" s="41" t="s">
        <v>44</v>
      </c>
      <c r="F262" s="41" t="s">
        <v>42</v>
      </c>
      <c r="G262" s="41" t="s">
        <v>37</v>
      </c>
      <c r="H262" s="42" t="n">
        <v>64</v>
      </c>
      <c r="I262" s="42" t="n">
        <v>90</v>
      </c>
      <c r="J262" s="42" t="n">
        <v>11080</v>
      </c>
      <c r="K262" s="42" t="n">
        <v>617</v>
      </c>
      <c r="L262" s="43" t="n">
        <f aca="false">J262-K262</f>
        <v>10463</v>
      </c>
      <c r="M262" s="42" t="n">
        <v>5873</v>
      </c>
      <c r="N262" s="43" t="n">
        <f aca="false">L262-M262</f>
        <v>4590</v>
      </c>
    </row>
    <row r="263" customFormat="false" ht="15" hidden="false" customHeight="false" outlineLevel="0" collapsed="false">
      <c r="A263" s="40" t="n">
        <v>45778</v>
      </c>
      <c r="B263" s="41" t="n">
        <v>2025</v>
      </c>
      <c r="C263" s="41" t="n">
        <v>5</v>
      </c>
      <c r="D263" s="41" t="s">
        <v>50</v>
      </c>
      <c r="E263" s="41" t="s">
        <v>44</v>
      </c>
      <c r="F263" s="41" t="s">
        <v>42</v>
      </c>
      <c r="G263" s="41" t="s">
        <v>38</v>
      </c>
      <c r="H263" s="42" t="n">
        <v>76</v>
      </c>
      <c r="I263" s="42" t="n">
        <v>121</v>
      </c>
      <c r="J263" s="42" t="n">
        <v>7806</v>
      </c>
      <c r="K263" s="42" t="n">
        <v>554</v>
      </c>
      <c r="L263" s="43" t="n">
        <f aca="false">J263-K263</f>
        <v>7252</v>
      </c>
      <c r="M263" s="42" t="n">
        <v>3401</v>
      </c>
      <c r="N263" s="43" t="n">
        <f aca="false">L263-M263</f>
        <v>3851</v>
      </c>
    </row>
    <row r="264" customFormat="false" ht="15" hidden="false" customHeight="false" outlineLevel="0" collapsed="false">
      <c r="A264" s="40" t="n">
        <v>45778</v>
      </c>
      <c r="B264" s="41" t="n">
        <v>2025</v>
      </c>
      <c r="C264" s="41" t="n">
        <v>5</v>
      </c>
      <c r="D264" s="41" t="s">
        <v>50</v>
      </c>
      <c r="E264" s="41" t="s">
        <v>44</v>
      </c>
      <c r="F264" s="41" t="s">
        <v>42</v>
      </c>
      <c r="G264" s="41" t="s">
        <v>39</v>
      </c>
      <c r="H264" s="42" t="n">
        <v>146</v>
      </c>
      <c r="I264" s="42" t="n">
        <v>185</v>
      </c>
      <c r="J264" s="42" t="n">
        <v>11321</v>
      </c>
      <c r="K264" s="42" t="n">
        <v>1828</v>
      </c>
      <c r="L264" s="43" t="n">
        <f aca="false">J264-K264</f>
        <v>9493</v>
      </c>
      <c r="M264" s="42" t="n">
        <v>3952</v>
      </c>
      <c r="N264" s="43" t="n">
        <f aca="false">L264-M264</f>
        <v>5541</v>
      </c>
    </row>
    <row r="265" customFormat="false" ht="15" hidden="false" customHeight="false" outlineLevel="0" collapsed="false">
      <c r="A265" s="40" t="n">
        <v>45778</v>
      </c>
      <c r="B265" s="41" t="n">
        <v>2025</v>
      </c>
      <c r="C265" s="41" t="n">
        <v>5</v>
      </c>
      <c r="D265" s="41" t="s">
        <v>50</v>
      </c>
      <c r="E265" s="41" t="s">
        <v>44</v>
      </c>
      <c r="F265" s="41" t="s">
        <v>42</v>
      </c>
      <c r="G265" s="41" t="s">
        <v>40</v>
      </c>
      <c r="H265" s="42" t="n">
        <v>61</v>
      </c>
      <c r="I265" s="42" t="n">
        <v>91</v>
      </c>
      <c r="J265" s="42" t="n">
        <v>7230</v>
      </c>
      <c r="K265" s="42" t="n">
        <v>1144</v>
      </c>
      <c r="L265" s="43" t="n">
        <f aca="false">J265-K265</f>
        <v>6086</v>
      </c>
      <c r="M265" s="42" t="n">
        <v>3390</v>
      </c>
      <c r="N265" s="43" t="n">
        <f aca="false">L265-M265</f>
        <v>2696</v>
      </c>
    </row>
    <row r="266" customFormat="false" ht="15" hidden="false" customHeight="false" outlineLevel="0" collapsed="false">
      <c r="A266" s="40" t="n">
        <v>45778</v>
      </c>
      <c r="B266" s="41" t="n">
        <v>2025</v>
      </c>
      <c r="C266" s="41" t="n">
        <v>5</v>
      </c>
      <c r="D266" s="41" t="s">
        <v>50</v>
      </c>
      <c r="E266" s="41" t="s">
        <v>44</v>
      </c>
      <c r="F266" s="41" t="s">
        <v>42</v>
      </c>
      <c r="G266" s="41" t="s">
        <v>41</v>
      </c>
      <c r="H266" s="42" t="n">
        <v>95</v>
      </c>
      <c r="I266" s="42" t="n">
        <v>111</v>
      </c>
      <c r="J266" s="42" t="n">
        <v>5358</v>
      </c>
      <c r="K266" s="42" t="n">
        <v>245</v>
      </c>
      <c r="L266" s="43" t="n">
        <f aca="false">J266-K266</f>
        <v>5113</v>
      </c>
      <c r="M266" s="42" t="n">
        <v>2523</v>
      </c>
      <c r="N266" s="43" t="n">
        <f aca="false">L266-M266</f>
        <v>2590</v>
      </c>
    </row>
    <row r="267" customFormat="false" ht="15" hidden="false" customHeight="false" outlineLevel="0" collapsed="false">
      <c r="A267" s="40" t="n">
        <v>45778</v>
      </c>
      <c r="B267" s="41" t="n">
        <v>2025</v>
      </c>
      <c r="C267" s="41" t="n">
        <v>5</v>
      </c>
      <c r="D267" s="41" t="s">
        <v>50</v>
      </c>
      <c r="E267" s="41" t="s">
        <v>44</v>
      </c>
      <c r="F267" s="41" t="s">
        <v>43</v>
      </c>
      <c r="G267" s="41" t="s">
        <v>37</v>
      </c>
      <c r="H267" s="42" t="n">
        <v>36</v>
      </c>
      <c r="I267" s="42" t="n">
        <v>57</v>
      </c>
      <c r="J267" s="42" t="n">
        <v>7166</v>
      </c>
      <c r="K267" s="42" t="n">
        <v>208</v>
      </c>
      <c r="L267" s="43" t="n">
        <f aca="false">J267-K267</f>
        <v>6958</v>
      </c>
      <c r="M267" s="42" t="n">
        <v>3724</v>
      </c>
      <c r="N267" s="43" t="n">
        <f aca="false">L267-M267</f>
        <v>3234</v>
      </c>
    </row>
    <row r="268" customFormat="false" ht="15" hidden="false" customHeight="false" outlineLevel="0" collapsed="false">
      <c r="A268" s="40" t="n">
        <v>45778</v>
      </c>
      <c r="B268" s="41" t="n">
        <v>2025</v>
      </c>
      <c r="C268" s="41" t="n">
        <v>5</v>
      </c>
      <c r="D268" s="41" t="s">
        <v>50</v>
      </c>
      <c r="E268" s="41" t="s">
        <v>44</v>
      </c>
      <c r="F268" s="41" t="s">
        <v>43</v>
      </c>
      <c r="G268" s="41" t="s">
        <v>38</v>
      </c>
      <c r="H268" s="42" t="n">
        <v>48</v>
      </c>
      <c r="I268" s="42" t="n">
        <v>55</v>
      </c>
      <c r="J268" s="42" t="n">
        <v>5718</v>
      </c>
      <c r="K268" s="42" t="n">
        <v>163</v>
      </c>
      <c r="L268" s="43" t="n">
        <f aca="false">J268-K268</f>
        <v>5555</v>
      </c>
      <c r="M268" s="42" t="n">
        <v>2447</v>
      </c>
      <c r="N268" s="43" t="n">
        <f aca="false">L268-M268</f>
        <v>3108</v>
      </c>
    </row>
    <row r="269" customFormat="false" ht="15" hidden="false" customHeight="false" outlineLevel="0" collapsed="false">
      <c r="A269" s="40" t="n">
        <v>45778</v>
      </c>
      <c r="B269" s="41" t="n">
        <v>2025</v>
      </c>
      <c r="C269" s="41" t="n">
        <v>5</v>
      </c>
      <c r="D269" s="41" t="s">
        <v>50</v>
      </c>
      <c r="E269" s="41" t="s">
        <v>44</v>
      </c>
      <c r="F269" s="41" t="s">
        <v>43</v>
      </c>
      <c r="G269" s="41" t="s">
        <v>39</v>
      </c>
      <c r="H269" s="42" t="n">
        <v>83</v>
      </c>
      <c r="I269" s="42" t="n">
        <v>112</v>
      </c>
      <c r="J269" s="42" t="n">
        <v>7418</v>
      </c>
      <c r="K269" s="42" t="n">
        <v>522</v>
      </c>
      <c r="L269" s="43" t="n">
        <f aca="false">J269-K269</f>
        <v>6896</v>
      </c>
      <c r="M269" s="42" t="n">
        <v>2753</v>
      </c>
      <c r="N269" s="43" t="n">
        <f aca="false">L269-M269</f>
        <v>4143</v>
      </c>
    </row>
    <row r="270" customFormat="false" ht="15" hidden="false" customHeight="false" outlineLevel="0" collapsed="false">
      <c r="A270" s="40" t="n">
        <v>45778</v>
      </c>
      <c r="B270" s="41" t="n">
        <v>2025</v>
      </c>
      <c r="C270" s="41" t="n">
        <v>5</v>
      </c>
      <c r="D270" s="41" t="s">
        <v>50</v>
      </c>
      <c r="E270" s="41" t="s">
        <v>44</v>
      </c>
      <c r="F270" s="41" t="s">
        <v>43</v>
      </c>
      <c r="G270" s="41" t="s">
        <v>40</v>
      </c>
      <c r="H270" s="42" t="n">
        <v>34</v>
      </c>
      <c r="I270" s="42" t="n">
        <v>43</v>
      </c>
      <c r="J270" s="42" t="n">
        <v>4640</v>
      </c>
      <c r="K270" s="42" t="n">
        <v>414</v>
      </c>
      <c r="L270" s="43" t="n">
        <f aca="false">J270-K270</f>
        <v>4226</v>
      </c>
      <c r="M270" s="42" t="n">
        <v>2258</v>
      </c>
      <c r="N270" s="43" t="n">
        <f aca="false">L270-M270</f>
        <v>1968</v>
      </c>
    </row>
    <row r="271" customFormat="false" ht="15" hidden="false" customHeight="false" outlineLevel="0" collapsed="false">
      <c r="A271" s="40" t="n">
        <v>45778</v>
      </c>
      <c r="B271" s="41" t="n">
        <v>2025</v>
      </c>
      <c r="C271" s="41" t="n">
        <v>5</v>
      </c>
      <c r="D271" s="41" t="s">
        <v>50</v>
      </c>
      <c r="E271" s="41" t="s">
        <v>44</v>
      </c>
      <c r="F271" s="41" t="s">
        <v>43</v>
      </c>
      <c r="G271" s="41" t="s">
        <v>41</v>
      </c>
      <c r="H271" s="42" t="n">
        <v>46</v>
      </c>
      <c r="I271" s="42" t="n">
        <v>60</v>
      </c>
      <c r="J271" s="42" t="n">
        <v>2968</v>
      </c>
      <c r="K271" s="42" t="n">
        <v>53</v>
      </c>
      <c r="L271" s="43" t="n">
        <f aca="false">J271-K271</f>
        <v>2915</v>
      </c>
      <c r="M271" s="42" t="n">
        <v>1388</v>
      </c>
      <c r="N271" s="43" t="n">
        <f aca="false">L271-M271</f>
        <v>1527</v>
      </c>
    </row>
    <row r="272" customFormat="false" ht="15" hidden="false" customHeight="false" outlineLevel="0" collapsed="false">
      <c r="A272" s="40" t="n">
        <v>45778</v>
      </c>
      <c r="B272" s="41" t="n">
        <v>2025</v>
      </c>
      <c r="C272" s="41" t="n">
        <v>5</v>
      </c>
      <c r="D272" s="41" t="s">
        <v>50</v>
      </c>
      <c r="E272" s="41" t="s">
        <v>45</v>
      </c>
      <c r="F272" s="41" t="s">
        <v>36</v>
      </c>
      <c r="G272" s="41" t="s">
        <v>37</v>
      </c>
      <c r="H272" s="42" t="n">
        <v>52</v>
      </c>
      <c r="I272" s="42" t="n">
        <v>73</v>
      </c>
      <c r="J272" s="42" t="n">
        <v>9858</v>
      </c>
      <c r="K272" s="42" t="n">
        <v>408</v>
      </c>
      <c r="L272" s="43" t="n">
        <f aca="false">J272-K272</f>
        <v>9450</v>
      </c>
      <c r="M272" s="42" t="n">
        <v>4919</v>
      </c>
      <c r="N272" s="43" t="n">
        <f aca="false">L272-M272</f>
        <v>4531</v>
      </c>
    </row>
    <row r="273" customFormat="false" ht="15" hidden="false" customHeight="false" outlineLevel="0" collapsed="false">
      <c r="A273" s="40" t="n">
        <v>45778</v>
      </c>
      <c r="B273" s="41" t="n">
        <v>2025</v>
      </c>
      <c r="C273" s="41" t="n">
        <v>5</v>
      </c>
      <c r="D273" s="41" t="s">
        <v>50</v>
      </c>
      <c r="E273" s="41" t="s">
        <v>45</v>
      </c>
      <c r="F273" s="41" t="s">
        <v>36</v>
      </c>
      <c r="G273" s="41" t="s">
        <v>38</v>
      </c>
      <c r="H273" s="42" t="n">
        <v>86</v>
      </c>
      <c r="I273" s="42" t="n">
        <v>117</v>
      </c>
      <c r="J273" s="42" t="n">
        <v>9671</v>
      </c>
      <c r="K273" s="42" t="n">
        <v>413</v>
      </c>
      <c r="L273" s="43" t="n">
        <f aca="false">J273-K273</f>
        <v>9258</v>
      </c>
      <c r="M273" s="42" t="n">
        <v>4275</v>
      </c>
      <c r="N273" s="43" t="n">
        <f aca="false">L273-M273</f>
        <v>4983</v>
      </c>
    </row>
    <row r="274" customFormat="false" ht="15" hidden="false" customHeight="false" outlineLevel="0" collapsed="false">
      <c r="A274" s="40" t="n">
        <v>45778</v>
      </c>
      <c r="B274" s="41" t="n">
        <v>2025</v>
      </c>
      <c r="C274" s="41" t="n">
        <v>5</v>
      </c>
      <c r="D274" s="41" t="s">
        <v>50</v>
      </c>
      <c r="E274" s="41" t="s">
        <v>45</v>
      </c>
      <c r="F274" s="41" t="s">
        <v>36</v>
      </c>
      <c r="G274" s="41" t="s">
        <v>39</v>
      </c>
      <c r="H274" s="42" t="n">
        <v>123</v>
      </c>
      <c r="I274" s="42" t="n">
        <v>150</v>
      </c>
      <c r="J274" s="42" t="n">
        <v>10329</v>
      </c>
      <c r="K274" s="42" t="n">
        <v>866</v>
      </c>
      <c r="L274" s="43" t="n">
        <f aca="false">J274-K274</f>
        <v>9463</v>
      </c>
      <c r="M274" s="42" t="n">
        <v>3721</v>
      </c>
      <c r="N274" s="43" t="n">
        <f aca="false">L274-M274</f>
        <v>5742</v>
      </c>
    </row>
    <row r="275" customFormat="false" ht="15" hidden="false" customHeight="false" outlineLevel="0" collapsed="false">
      <c r="A275" s="40" t="n">
        <v>45778</v>
      </c>
      <c r="B275" s="41" t="n">
        <v>2025</v>
      </c>
      <c r="C275" s="41" t="n">
        <v>5</v>
      </c>
      <c r="D275" s="41" t="s">
        <v>50</v>
      </c>
      <c r="E275" s="41" t="s">
        <v>45</v>
      </c>
      <c r="F275" s="41" t="s">
        <v>36</v>
      </c>
      <c r="G275" s="41" t="s">
        <v>40</v>
      </c>
      <c r="H275" s="42" t="n">
        <v>69</v>
      </c>
      <c r="I275" s="42" t="n">
        <v>104</v>
      </c>
      <c r="J275" s="42" t="n">
        <v>8845</v>
      </c>
      <c r="K275" s="42" t="n">
        <v>1020</v>
      </c>
      <c r="L275" s="43" t="n">
        <f aca="false">J275-K275</f>
        <v>7825</v>
      </c>
      <c r="M275" s="42" t="n">
        <v>4243</v>
      </c>
      <c r="N275" s="43" t="n">
        <f aca="false">L275-M275</f>
        <v>3582</v>
      </c>
    </row>
    <row r="276" customFormat="false" ht="15" hidden="false" customHeight="false" outlineLevel="0" collapsed="false">
      <c r="A276" s="40" t="n">
        <v>45778</v>
      </c>
      <c r="B276" s="41" t="n">
        <v>2025</v>
      </c>
      <c r="C276" s="41" t="n">
        <v>5</v>
      </c>
      <c r="D276" s="41" t="s">
        <v>50</v>
      </c>
      <c r="E276" s="41" t="s">
        <v>45</v>
      </c>
      <c r="F276" s="41" t="s">
        <v>36</v>
      </c>
      <c r="G276" s="41" t="s">
        <v>41</v>
      </c>
      <c r="H276" s="42" t="n">
        <v>76</v>
      </c>
      <c r="I276" s="42" t="n">
        <v>109</v>
      </c>
      <c r="J276" s="42" t="n">
        <v>4611</v>
      </c>
      <c r="K276" s="42" t="n">
        <v>142</v>
      </c>
      <c r="L276" s="43" t="n">
        <f aca="false">J276-K276</f>
        <v>4469</v>
      </c>
      <c r="M276" s="42" t="n">
        <v>2126</v>
      </c>
      <c r="N276" s="43" t="n">
        <f aca="false">L276-M276</f>
        <v>2343</v>
      </c>
    </row>
    <row r="277" customFormat="false" ht="15" hidden="false" customHeight="false" outlineLevel="0" collapsed="false">
      <c r="A277" s="40" t="n">
        <v>45778</v>
      </c>
      <c r="B277" s="41" t="n">
        <v>2025</v>
      </c>
      <c r="C277" s="41" t="n">
        <v>5</v>
      </c>
      <c r="D277" s="41" t="s">
        <v>50</v>
      </c>
      <c r="E277" s="41" t="s">
        <v>45</v>
      </c>
      <c r="F277" s="41" t="s">
        <v>42</v>
      </c>
      <c r="G277" s="41" t="s">
        <v>37</v>
      </c>
      <c r="H277" s="42" t="n">
        <v>44</v>
      </c>
      <c r="I277" s="42" t="n">
        <v>59</v>
      </c>
      <c r="J277" s="42" t="n">
        <v>7734</v>
      </c>
      <c r="K277" s="42" t="n">
        <v>491</v>
      </c>
      <c r="L277" s="43" t="n">
        <f aca="false">J277-K277</f>
        <v>7243</v>
      </c>
      <c r="M277" s="42" t="n">
        <v>4031</v>
      </c>
      <c r="N277" s="43" t="n">
        <f aca="false">L277-M277</f>
        <v>3212</v>
      </c>
    </row>
    <row r="278" customFormat="false" ht="15" hidden="false" customHeight="false" outlineLevel="0" collapsed="false">
      <c r="A278" s="40" t="n">
        <v>45778</v>
      </c>
      <c r="B278" s="41" t="n">
        <v>2025</v>
      </c>
      <c r="C278" s="41" t="n">
        <v>5</v>
      </c>
      <c r="D278" s="41" t="s">
        <v>50</v>
      </c>
      <c r="E278" s="41" t="s">
        <v>45</v>
      </c>
      <c r="F278" s="41" t="s">
        <v>42</v>
      </c>
      <c r="G278" s="41" t="s">
        <v>38</v>
      </c>
      <c r="H278" s="42" t="n">
        <v>59</v>
      </c>
      <c r="I278" s="42" t="n">
        <v>92</v>
      </c>
      <c r="J278" s="42" t="n">
        <v>6044</v>
      </c>
      <c r="K278" s="42" t="n">
        <v>334</v>
      </c>
      <c r="L278" s="43" t="n">
        <f aca="false">J278-K278</f>
        <v>5710</v>
      </c>
      <c r="M278" s="42" t="n">
        <v>2701</v>
      </c>
      <c r="N278" s="43" t="n">
        <f aca="false">L278-M278</f>
        <v>3009</v>
      </c>
    </row>
    <row r="279" customFormat="false" ht="15" hidden="false" customHeight="false" outlineLevel="0" collapsed="false">
      <c r="A279" s="40" t="n">
        <v>45778</v>
      </c>
      <c r="B279" s="41" t="n">
        <v>2025</v>
      </c>
      <c r="C279" s="41" t="n">
        <v>5</v>
      </c>
      <c r="D279" s="41" t="s">
        <v>50</v>
      </c>
      <c r="E279" s="41" t="s">
        <v>45</v>
      </c>
      <c r="F279" s="41" t="s">
        <v>42</v>
      </c>
      <c r="G279" s="41" t="s">
        <v>39</v>
      </c>
      <c r="H279" s="42" t="n">
        <v>98</v>
      </c>
      <c r="I279" s="42" t="n">
        <v>123</v>
      </c>
      <c r="J279" s="42" t="n">
        <v>7537</v>
      </c>
      <c r="K279" s="42" t="n">
        <v>838</v>
      </c>
      <c r="L279" s="43" t="n">
        <f aca="false">J279-K279</f>
        <v>6699</v>
      </c>
      <c r="M279" s="42" t="n">
        <v>2823</v>
      </c>
      <c r="N279" s="43" t="n">
        <f aca="false">L279-M279</f>
        <v>3876</v>
      </c>
    </row>
    <row r="280" customFormat="false" ht="15" hidden="false" customHeight="false" outlineLevel="0" collapsed="false">
      <c r="A280" s="40" t="n">
        <v>45778</v>
      </c>
      <c r="B280" s="41" t="n">
        <v>2025</v>
      </c>
      <c r="C280" s="41" t="n">
        <v>5</v>
      </c>
      <c r="D280" s="41" t="s">
        <v>50</v>
      </c>
      <c r="E280" s="41" t="s">
        <v>45</v>
      </c>
      <c r="F280" s="41" t="s">
        <v>42</v>
      </c>
      <c r="G280" s="41" t="s">
        <v>40</v>
      </c>
      <c r="H280" s="42" t="n">
        <v>41</v>
      </c>
      <c r="I280" s="42" t="n">
        <v>57</v>
      </c>
      <c r="J280" s="42" t="n">
        <v>4812</v>
      </c>
      <c r="K280" s="42" t="n">
        <v>917</v>
      </c>
      <c r="L280" s="43" t="n">
        <f aca="false">J280-K280</f>
        <v>3895</v>
      </c>
      <c r="M280" s="42" t="n">
        <v>2165</v>
      </c>
      <c r="N280" s="43" t="n">
        <f aca="false">L280-M280</f>
        <v>1730</v>
      </c>
    </row>
    <row r="281" customFormat="false" ht="15" hidden="false" customHeight="false" outlineLevel="0" collapsed="false">
      <c r="A281" s="40" t="n">
        <v>45778</v>
      </c>
      <c r="B281" s="41" t="n">
        <v>2025</v>
      </c>
      <c r="C281" s="41" t="n">
        <v>5</v>
      </c>
      <c r="D281" s="41" t="s">
        <v>50</v>
      </c>
      <c r="E281" s="41" t="s">
        <v>45</v>
      </c>
      <c r="F281" s="41" t="s">
        <v>42</v>
      </c>
      <c r="G281" s="41" t="s">
        <v>41</v>
      </c>
      <c r="H281" s="42" t="n">
        <v>61</v>
      </c>
      <c r="I281" s="42" t="n">
        <v>87</v>
      </c>
      <c r="J281" s="42" t="n">
        <v>3403</v>
      </c>
      <c r="K281" s="42" t="n">
        <v>138</v>
      </c>
      <c r="L281" s="43" t="n">
        <f aca="false">J281-K281</f>
        <v>3265</v>
      </c>
      <c r="M281" s="42" t="n">
        <v>1649</v>
      </c>
      <c r="N281" s="43" t="n">
        <f aca="false">L281-M281</f>
        <v>1616</v>
      </c>
    </row>
    <row r="282" customFormat="false" ht="15" hidden="false" customHeight="false" outlineLevel="0" collapsed="false">
      <c r="A282" s="40" t="n">
        <v>45778</v>
      </c>
      <c r="B282" s="41" t="n">
        <v>2025</v>
      </c>
      <c r="C282" s="41" t="n">
        <v>5</v>
      </c>
      <c r="D282" s="41" t="s">
        <v>50</v>
      </c>
      <c r="E282" s="41" t="s">
        <v>45</v>
      </c>
      <c r="F282" s="41" t="s">
        <v>43</v>
      </c>
      <c r="G282" s="41" t="s">
        <v>37</v>
      </c>
      <c r="H282" s="42" t="n">
        <v>28</v>
      </c>
      <c r="I282" s="42" t="n">
        <v>34</v>
      </c>
      <c r="J282" s="42" t="n">
        <v>5557</v>
      </c>
      <c r="K282" s="42" t="n">
        <v>144</v>
      </c>
      <c r="L282" s="43" t="n">
        <f aca="false">J282-K282</f>
        <v>5413</v>
      </c>
      <c r="M282" s="42" t="n">
        <v>2835</v>
      </c>
      <c r="N282" s="43" t="n">
        <f aca="false">L282-M282</f>
        <v>2578</v>
      </c>
    </row>
    <row r="283" customFormat="false" ht="15" hidden="false" customHeight="false" outlineLevel="0" collapsed="false">
      <c r="A283" s="40" t="n">
        <v>45778</v>
      </c>
      <c r="B283" s="41" t="n">
        <v>2025</v>
      </c>
      <c r="C283" s="41" t="n">
        <v>5</v>
      </c>
      <c r="D283" s="41" t="s">
        <v>50</v>
      </c>
      <c r="E283" s="41" t="s">
        <v>45</v>
      </c>
      <c r="F283" s="41" t="s">
        <v>43</v>
      </c>
      <c r="G283" s="41" t="s">
        <v>38</v>
      </c>
      <c r="H283" s="42" t="n">
        <v>33</v>
      </c>
      <c r="I283" s="42" t="n">
        <v>51</v>
      </c>
      <c r="J283" s="42" t="n">
        <v>3905</v>
      </c>
      <c r="K283" s="42" t="n">
        <v>152</v>
      </c>
      <c r="L283" s="43" t="n">
        <f aca="false">J283-K283</f>
        <v>3753</v>
      </c>
      <c r="M283" s="42" t="n">
        <v>1711</v>
      </c>
      <c r="N283" s="43" t="n">
        <f aca="false">L283-M283</f>
        <v>2042</v>
      </c>
    </row>
    <row r="284" customFormat="false" ht="15" hidden="false" customHeight="false" outlineLevel="0" collapsed="false">
      <c r="A284" s="40" t="n">
        <v>45778</v>
      </c>
      <c r="B284" s="41" t="n">
        <v>2025</v>
      </c>
      <c r="C284" s="41" t="n">
        <v>5</v>
      </c>
      <c r="D284" s="41" t="s">
        <v>50</v>
      </c>
      <c r="E284" s="41" t="s">
        <v>45</v>
      </c>
      <c r="F284" s="41" t="s">
        <v>43</v>
      </c>
      <c r="G284" s="41" t="s">
        <v>39</v>
      </c>
      <c r="H284" s="42" t="n">
        <v>52</v>
      </c>
      <c r="I284" s="42" t="n">
        <v>80</v>
      </c>
      <c r="J284" s="42" t="n">
        <v>4586</v>
      </c>
      <c r="K284" s="42" t="n">
        <v>353</v>
      </c>
      <c r="L284" s="43" t="n">
        <f aca="false">J284-K284</f>
        <v>4233</v>
      </c>
      <c r="M284" s="42" t="n">
        <v>1648</v>
      </c>
      <c r="N284" s="43" t="n">
        <f aca="false">L284-M284</f>
        <v>2585</v>
      </c>
    </row>
    <row r="285" customFormat="false" ht="15" hidden="false" customHeight="false" outlineLevel="0" collapsed="false">
      <c r="A285" s="40" t="n">
        <v>45778</v>
      </c>
      <c r="B285" s="41" t="n">
        <v>2025</v>
      </c>
      <c r="C285" s="41" t="n">
        <v>5</v>
      </c>
      <c r="D285" s="41" t="s">
        <v>50</v>
      </c>
      <c r="E285" s="41" t="s">
        <v>45</v>
      </c>
      <c r="F285" s="41" t="s">
        <v>43</v>
      </c>
      <c r="G285" s="41" t="s">
        <v>40</v>
      </c>
      <c r="H285" s="42" t="n">
        <v>30</v>
      </c>
      <c r="I285" s="42" t="n">
        <v>41</v>
      </c>
      <c r="J285" s="42" t="n">
        <v>4091</v>
      </c>
      <c r="K285" s="42" t="n">
        <v>306</v>
      </c>
      <c r="L285" s="43" t="n">
        <f aca="false">J285-K285</f>
        <v>3785</v>
      </c>
      <c r="M285" s="42" t="n">
        <v>2032</v>
      </c>
      <c r="N285" s="43" t="n">
        <f aca="false">L285-M285</f>
        <v>1753</v>
      </c>
    </row>
    <row r="286" customFormat="false" ht="15" hidden="false" customHeight="false" outlineLevel="0" collapsed="false">
      <c r="A286" s="40" t="n">
        <v>45778</v>
      </c>
      <c r="B286" s="41" t="n">
        <v>2025</v>
      </c>
      <c r="C286" s="41" t="n">
        <v>5</v>
      </c>
      <c r="D286" s="41" t="s">
        <v>50</v>
      </c>
      <c r="E286" s="41" t="s">
        <v>45</v>
      </c>
      <c r="F286" s="41" t="s">
        <v>43</v>
      </c>
      <c r="G286" s="41" t="s">
        <v>41</v>
      </c>
      <c r="H286" s="42" t="n">
        <v>37</v>
      </c>
      <c r="I286" s="42" t="n">
        <v>43</v>
      </c>
      <c r="J286" s="42" t="n">
        <v>2363</v>
      </c>
      <c r="K286" s="42" t="n">
        <v>46</v>
      </c>
      <c r="L286" s="43" t="n">
        <f aca="false">J286-K286</f>
        <v>2317</v>
      </c>
      <c r="M286" s="42" t="n">
        <v>1129</v>
      </c>
      <c r="N286" s="43" t="n">
        <f aca="false">L286-M286</f>
        <v>1188</v>
      </c>
    </row>
    <row r="287" customFormat="false" ht="15" hidden="false" customHeight="false" outlineLevel="0" collapsed="false">
      <c r="A287" s="40" t="n">
        <v>45778</v>
      </c>
      <c r="B287" s="41" t="n">
        <v>2025</v>
      </c>
      <c r="C287" s="41" t="n">
        <v>5</v>
      </c>
      <c r="D287" s="41" t="s">
        <v>50</v>
      </c>
      <c r="E287" s="41" t="s">
        <v>46</v>
      </c>
      <c r="F287" s="41" t="s">
        <v>36</v>
      </c>
      <c r="G287" s="41" t="s">
        <v>37</v>
      </c>
      <c r="H287" s="42" t="n">
        <v>57</v>
      </c>
      <c r="I287" s="42" t="n">
        <v>87</v>
      </c>
      <c r="J287" s="42" t="n">
        <v>10703</v>
      </c>
      <c r="K287" s="42" t="n">
        <v>464</v>
      </c>
      <c r="L287" s="43" t="n">
        <f aca="false">J287-K287</f>
        <v>10239</v>
      </c>
      <c r="M287" s="42" t="n">
        <v>5350</v>
      </c>
      <c r="N287" s="43" t="n">
        <f aca="false">L287-M287</f>
        <v>4889</v>
      </c>
    </row>
    <row r="288" customFormat="false" ht="15" hidden="false" customHeight="false" outlineLevel="0" collapsed="false">
      <c r="A288" s="40" t="n">
        <v>45778</v>
      </c>
      <c r="B288" s="41" t="n">
        <v>2025</v>
      </c>
      <c r="C288" s="41" t="n">
        <v>5</v>
      </c>
      <c r="D288" s="41" t="s">
        <v>50</v>
      </c>
      <c r="E288" s="41" t="s">
        <v>46</v>
      </c>
      <c r="F288" s="41" t="s">
        <v>36</v>
      </c>
      <c r="G288" s="41" t="s">
        <v>38</v>
      </c>
      <c r="H288" s="42" t="n">
        <v>80</v>
      </c>
      <c r="I288" s="42" t="n">
        <v>108</v>
      </c>
      <c r="J288" s="42" t="n">
        <v>9013</v>
      </c>
      <c r="K288" s="42" t="n">
        <v>503</v>
      </c>
      <c r="L288" s="43" t="n">
        <f aca="false">J288-K288</f>
        <v>8510</v>
      </c>
      <c r="M288" s="42" t="n">
        <v>3835</v>
      </c>
      <c r="N288" s="43" t="n">
        <f aca="false">L288-M288</f>
        <v>4675</v>
      </c>
    </row>
    <row r="289" customFormat="false" ht="15" hidden="false" customHeight="false" outlineLevel="0" collapsed="false">
      <c r="A289" s="40" t="n">
        <v>45778</v>
      </c>
      <c r="B289" s="41" t="n">
        <v>2025</v>
      </c>
      <c r="C289" s="41" t="n">
        <v>5</v>
      </c>
      <c r="D289" s="41" t="s">
        <v>50</v>
      </c>
      <c r="E289" s="41" t="s">
        <v>46</v>
      </c>
      <c r="F289" s="41" t="s">
        <v>36</v>
      </c>
      <c r="G289" s="41" t="s">
        <v>39</v>
      </c>
      <c r="H289" s="42" t="n">
        <v>118</v>
      </c>
      <c r="I289" s="42" t="n">
        <v>170</v>
      </c>
      <c r="J289" s="42" t="n">
        <v>9876</v>
      </c>
      <c r="K289" s="42" t="n">
        <v>1171</v>
      </c>
      <c r="L289" s="43" t="n">
        <f aca="false">J289-K289</f>
        <v>8705</v>
      </c>
      <c r="M289" s="42" t="n">
        <v>3337</v>
      </c>
      <c r="N289" s="43" t="n">
        <f aca="false">L289-M289</f>
        <v>5368</v>
      </c>
    </row>
    <row r="290" customFormat="false" ht="15" hidden="false" customHeight="false" outlineLevel="0" collapsed="false">
      <c r="A290" s="40" t="n">
        <v>45778</v>
      </c>
      <c r="B290" s="41" t="n">
        <v>2025</v>
      </c>
      <c r="C290" s="41" t="n">
        <v>5</v>
      </c>
      <c r="D290" s="41" t="s">
        <v>50</v>
      </c>
      <c r="E290" s="41" t="s">
        <v>46</v>
      </c>
      <c r="F290" s="41" t="s">
        <v>36</v>
      </c>
      <c r="G290" s="41" t="s">
        <v>40</v>
      </c>
      <c r="H290" s="42" t="n">
        <v>66</v>
      </c>
      <c r="I290" s="42" t="n">
        <v>76</v>
      </c>
      <c r="J290" s="42" t="n">
        <v>8421</v>
      </c>
      <c r="K290" s="42" t="n">
        <v>914</v>
      </c>
      <c r="L290" s="43" t="n">
        <f aca="false">J290-K290</f>
        <v>7507</v>
      </c>
      <c r="M290" s="42" t="n">
        <v>4064</v>
      </c>
      <c r="N290" s="43" t="n">
        <f aca="false">L290-M290</f>
        <v>3443</v>
      </c>
    </row>
    <row r="291" customFormat="false" ht="15" hidden="false" customHeight="false" outlineLevel="0" collapsed="false">
      <c r="A291" s="40" t="n">
        <v>45778</v>
      </c>
      <c r="B291" s="41" t="n">
        <v>2025</v>
      </c>
      <c r="C291" s="41" t="n">
        <v>5</v>
      </c>
      <c r="D291" s="41" t="s">
        <v>50</v>
      </c>
      <c r="E291" s="41" t="s">
        <v>46</v>
      </c>
      <c r="F291" s="41" t="s">
        <v>36</v>
      </c>
      <c r="G291" s="41" t="s">
        <v>41</v>
      </c>
      <c r="H291" s="42" t="n">
        <v>89</v>
      </c>
      <c r="I291" s="42" t="n">
        <v>140</v>
      </c>
      <c r="J291" s="42" t="n">
        <v>5421</v>
      </c>
      <c r="K291" s="42" t="n">
        <v>179</v>
      </c>
      <c r="L291" s="43" t="n">
        <f aca="false">J291-K291</f>
        <v>5242</v>
      </c>
      <c r="M291" s="42" t="n">
        <v>2490</v>
      </c>
      <c r="N291" s="43" t="n">
        <f aca="false">L291-M291</f>
        <v>2752</v>
      </c>
    </row>
    <row r="292" customFormat="false" ht="15" hidden="false" customHeight="false" outlineLevel="0" collapsed="false">
      <c r="A292" s="40" t="n">
        <v>45778</v>
      </c>
      <c r="B292" s="41" t="n">
        <v>2025</v>
      </c>
      <c r="C292" s="41" t="n">
        <v>5</v>
      </c>
      <c r="D292" s="41" t="s">
        <v>50</v>
      </c>
      <c r="E292" s="41" t="s">
        <v>46</v>
      </c>
      <c r="F292" s="41" t="s">
        <v>42</v>
      </c>
      <c r="G292" s="41" t="s">
        <v>37</v>
      </c>
      <c r="H292" s="42" t="n">
        <v>45</v>
      </c>
      <c r="I292" s="42" t="n">
        <v>58</v>
      </c>
      <c r="J292" s="42" t="n">
        <v>7811</v>
      </c>
      <c r="K292" s="42" t="n">
        <v>378</v>
      </c>
      <c r="L292" s="43" t="n">
        <f aca="false">J292-K292</f>
        <v>7433</v>
      </c>
      <c r="M292" s="42" t="n">
        <v>4179</v>
      </c>
      <c r="N292" s="43" t="n">
        <f aca="false">L292-M292</f>
        <v>3254</v>
      </c>
    </row>
    <row r="293" customFormat="false" ht="15" hidden="false" customHeight="false" outlineLevel="0" collapsed="false">
      <c r="A293" s="40" t="n">
        <v>45778</v>
      </c>
      <c r="B293" s="41" t="n">
        <v>2025</v>
      </c>
      <c r="C293" s="41" t="n">
        <v>5</v>
      </c>
      <c r="D293" s="41" t="s">
        <v>50</v>
      </c>
      <c r="E293" s="41" t="s">
        <v>46</v>
      </c>
      <c r="F293" s="41" t="s">
        <v>42</v>
      </c>
      <c r="G293" s="41" t="s">
        <v>38</v>
      </c>
      <c r="H293" s="42" t="n">
        <v>62</v>
      </c>
      <c r="I293" s="42" t="n">
        <v>91</v>
      </c>
      <c r="J293" s="42" t="n">
        <v>6403</v>
      </c>
      <c r="K293" s="42" t="n">
        <v>461</v>
      </c>
      <c r="L293" s="43" t="n">
        <f aca="false">J293-K293</f>
        <v>5942</v>
      </c>
      <c r="M293" s="42" t="n">
        <v>2885</v>
      </c>
      <c r="N293" s="43" t="n">
        <f aca="false">L293-M293</f>
        <v>3057</v>
      </c>
    </row>
    <row r="294" customFormat="false" ht="15" hidden="false" customHeight="false" outlineLevel="0" collapsed="false">
      <c r="A294" s="40" t="n">
        <v>45778</v>
      </c>
      <c r="B294" s="41" t="n">
        <v>2025</v>
      </c>
      <c r="C294" s="41" t="n">
        <v>5</v>
      </c>
      <c r="D294" s="41" t="s">
        <v>50</v>
      </c>
      <c r="E294" s="41" t="s">
        <v>46</v>
      </c>
      <c r="F294" s="41" t="s">
        <v>42</v>
      </c>
      <c r="G294" s="41" t="s">
        <v>39</v>
      </c>
      <c r="H294" s="42" t="n">
        <v>94</v>
      </c>
      <c r="I294" s="42" t="n">
        <v>144</v>
      </c>
      <c r="J294" s="42" t="n">
        <v>7291</v>
      </c>
      <c r="K294" s="42" t="n">
        <v>1062</v>
      </c>
      <c r="L294" s="43" t="n">
        <f aca="false">J294-K294</f>
        <v>6229</v>
      </c>
      <c r="M294" s="42" t="n">
        <v>2637</v>
      </c>
      <c r="N294" s="43" t="n">
        <f aca="false">L294-M294</f>
        <v>3592</v>
      </c>
    </row>
    <row r="295" customFormat="false" ht="15" hidden="false" customHeight="false" outlineLevel="0" collapsed="false">
      <c r="A295" s="40" t="n">
        <v>45778</v>
      </c>
      <c r="B295" s="41" t="n">
        <v>2025</v>
      </c>
      <c r="C295" s="41" t="n">
        <v>5</v>
      </c>
      <c r="D295" s="41" t="s">
        <v>50</v>
      </c>
      <c r="E295" s="41" t="s">
        <v>46</v>
      </c>
      <c r="F295" s="41" t="s">
        <v>42</v>
      </c>
      <c r="G295" s="41" t="s">
        <v>40</v>
      </c>
      <c r="H295" s="42" t="n">
        <v>44</v>
      </c>
      <c r="I295" s="42" t="n">
        <v>65</v>
      </c>
      <c r="J295" s="42" t="n">
        <v>5202</v>
      </c>
      <c r="K295" s="42" t="n">
        <v>866</v>
      </c>
      <c r="L295" s="43" t="n">
        <f aca="false">J295-K295</f>
        <v>4336</v>
      </c>
      <c r="M295" s="42" t="n">
        <v>2434</v>
      </c>
      <c r="N295" s="43" t="n">
        <f aca="false">L295-M295</f>
        <v>1902</v>
      </c>
    </row>
    <row r="296" customFormat="false" ht="15" hidden="false" customHeight="false" outlineLevel="0" collapsed="false">
      <c r="A296" s="40" t="n">
        <v>45778</v>
      </c>
      <c r="B296" s="41" t="n">
        <v>2025</v>
      </c>
      <c r="C296" s="41" t="n">
        <v>5</v>
      </c>
      <c r="D296" s="41" t="s">
        <v>50</v>
      </c>
      <c r="E296" s="41" t="s">
        <v>46</v>
      </c>
      <c r="F296" s="41" t="s">
        <v>42</v>
      </c>
      <c r="G296" s="41" t="s">
        <v>41</v>
      </c>
      <c r="H296" s="42" t="n">
        <v>58</v>
      </c>
      <c r="I296" s="42" t="n">
        <v>83</v>
      </c>
      <c r="J296" s="42" t="n">
        <v>3245</v>
      </c>
      <c r="K296" s="42" t="n">
        <v>109</v>
      </c>
      <c r="L296" s="43" t="n">
        <f aca="false">J296-K296</f>
        <v>3136</v>
      </c>
      <c r="M296" s="42" t="n">
        <v>1609</v>
      </c>
      <c r="N296" s="43" t="n">
        <f aca="false">L296-M296</f>
        <v>1527</v>
      </c>
    </row>
    <row r="297" customFormat="false" ht="15" hidden="false" customHeight="false" outlineLevel="0" collapsed="false">
      <c r="A297" s="40" t="n">
        <v>45778</v>
      </c>
      <c r="B297" s="41" t="n">
        <v>2025</v>
      </c>
      <c r="C297" s="41" t="n">
        <v>5</v>
      </c>
      <c r="D297" s="41" t="s">
        <v>50</v>
      </c>
      <c r="E297" s="41" t="s">
        <v>46</v>
      </c>
      <c r="F297" s="41" t="s">
        <v>43</v>
      </c>
      <c r="G297" s="41" t="s">
        <v>37</v>
      </c>
      <c r="H297" s="42" t="n">
        <v>22</v>
      </c>
      <c r="I297" s="42" t="n">
        <v>26</v>
      </c>
      <c r="J297" s="42" t="n">
        <v>4370</v>
      </c>
      <c r="K297" s="42" t="n">
        <v>103</v>
      </c>
      <c r="L297" s="43" t="n">
        <f aca="false">J297-K297</f>
        <v>4267</v>
      </c>
      <c r="M297" s="42" t="n">
        <v>2320</v>
      </c>
      <c r="N297" s="43" t="n">
        <f aca="false">L297-M297</f>
        <v>1947</v>
      </c>
    </row>
    <row r="298" customFormat="false" ht="15" hidden="false" customHeight="false" outlineLevel="0" collapsed="false">
      <c r="A298" s="40" t="n">
        <v>45778</v>
      </c>
      <c r="B298" s="41" t="n">
        <v>2025</v>
      </c>
      <c r="C298" s="41" t="n">
        <v>5</v>
      </c>
      <c r="D298" s="41" t="s">
        <v>50</v>
      </c>
      <c r="E298" s="41" t="s">
        <v>46</v>
      </c>
      <c r="F298" s="41" t="s">
        <v>43</v>
      </c>
      <c r="G298" s="41" t="s">
        <v>38</v>
      </c>
      <c r="H298" s="42" t="n">
        <v>34</v>
      </c>
      <c r="I298" s="42" t="n">
        <v>41</v>
      </c>
      <c r="J298" s="42" t="n">
        <v>4062</v>
      </c>
      <c r="K298" s="42" t="n">
        <v>115</v>
      </c>
      <c r="L298" s="43" t="n">
        <f aca="false">J298-K298</f>
        <v>3947</v>
      </c>
      <c r="M298" s="42" t="n">
        <v>1727</v>
      </c>
      <c r="N298" s="43" t="n">
        <f aca="false">L298-M298</f>
        <v>2220</v>
      </c>
    </row>
    <row r="299" customFormat="false" ht="15" hidden="false" customHeight="false" outlineLevel="0" collapsed="false">
      <c r="A299" s="40" t="n">
        <v>45778</v>
      </c>
      <c r="B299" s="41" t="n">
        <v>2025</v>
      </c>
      <c r="C299" s="41" t="n">
        <v>5</v>
      </c>
      <c r="D299" s="41" t="s">
        <v>50</v>
      </c>
      <c r="E299" s="41" t="s">
        <v>46</v>
      </c>
      <c r="F299" s="41" t="s">
        <v>43</v>
      </c>
      <c r="G299" s="41" t="s">
        <v>39</v>
      </c>
      <c r="H299" s="42" t="n">
        <v>60</v>
      </c>
      <c r="I299" s="42" t="n">
        <v>86</v>
      </c>
      <c r="J299" s="42" t="n">
        <v>5328</v>
      </c>
      <c r="K299" s="42" t="n">
        <v>402</v>
      </c>
      <c r="L299" s="43" t="n">
        <f aca="false">J299-K299</f>
        <v>4926</v>
      </c>
      <c r="M299" s="42" t="n">
        <v>1948</v>
      </c>
      <c r="N299" s="43" t="n">
        <f aca="false">L299-M299</f>
        <v>2978</v>
      </c>
    </row>
    <row r="300" customFormat="false" ht="15" hidden="false" customHeight="false" outlineLevel="0" collapsed="false">
      <c r="A300" s="40" t="n">
        <v>45778</v>
      </c>
      <c r="B300" s="41" t="n">
        <v>2025</v>
      </c>
      <c r="C300" s="41" t="n">
        <v>5</v>
      </c>
      <c r="D300" s="41" t="s">
        <v>50</v>
      </c>
      <c r="E300" s="41" t="s">
        <v>46</v>
      </c>
      <c r="F300" s="41" t="s">
        <v>43</v>
      </c>
      <c r="G300" s="41" t="s">
        <v>40</v>
      </c>
      <c r="H300" s="42" t="n">
        <v>24</v>
      </c>
      <c r="I300" s="42" t="n">
        <v>34</v>
      </c>
      <c r="J300" s="42" t="n">
        <v>3198</v>
      </c>
      <c r="K300" s="42" t="n">
        <v>254</v>
      </c>
      <c r="L300" s="43" t="n">
        <f aca="false">J300-K300</f>
        <v>2944</v>
      </c>
      <c r="M300" s="42" t="n">
        <v>1650</v>
      </c>
      <c r="N300" s="43" t="n">
        <f aca="false">L300-M300</f>
        <v>1294</v>
      </c>
    </row>
    <row r="301" customFormat="false" ht="15" hidden="false" customHeight="false" outlineLevel="0" collapsed="false">
      <c r="A301" s="40" t="n">
        <v>45778</v>
      </c>
      <c r="B301" s="41" t="n">
        <v>2025</v>
      </c>
      <c r="C301" s="41" t="n">
        <v>5</v>
      </c>
      <c r="D301" s="41" t="s">
        <v>50</v>
      </c>
      <c r="E301" s="41" t="s">
        <v>46</v>
      </c>
      <c r="F301" s="41" t="s">
        <v>43</v>
      </c>
      <c r="G301" s="41" t="s">
        <v>41</v>
      </c>
      <c r="H301" s="42" t="n">
        <v>41</v>
      </c>
      <c r="I301" s="42" t="n">
        <v>64</v>
      </c>
      <c r="J301" s="42" t="n">
        <v>2644</v>
      </c>
      <c r="K301" s="42" t="n">
        <v>46</v>
      </c>
      <c r="L301" s="43" t="n">
        <f aca="false">J301-K301</f>
        <v>2598</v>
      </c>
      <c r="M301" s="42" t="n">
        <v>1275</v>
      </c>
      <c r="N301" s="43" t="n">
        <f aca="false">L301-M301</f>
        <v>1323</v>
      </c>
    </row>
    <row r="302" customFormat="false" ht="15" hidden="false" customHeight="false" outlineLevel="0" collapsed="false">
      <c r="A302" s="40" t="n">
        <v>45809</v>
      </c>
      <c r="B302" s="41" t="n">
        <v>2025</v>
      </c>
      <c r="C302" s="41" t="n">
        <v>6</v>
      </c>
      <c r="D302" s="41" t="s">
        <v>51</v>
      </c>
      <c r="E302" s="41" t="s">
        <v>35</v>
      </c>
      <c r="F302" s="41" t="s">
        <v>36</v>
      </c>
      <c r="G302" s="41" t="s">
        <v>37</v>
      </c>
      <c r="H302" s="42" t="n">
        <v>120</v>
      </c>
      <c r="I302" s="42" t="n">
        <v>189</v>
      </c>
      <c r="J302" s="42" t="n">
        <v>22672</v>
      </c>
      <c r="K302" s="42" t="n">
        <v>764</v>
      </c>
      <c r="L302" s="43" t="n">
        <f aca="false">J302-K302</f>
        <v>21908</v>
      </c>
      <c r="M302" s="42" t="n">
        <v>11406</v>
      </c>
      <c r="N302" s="43" t="n">
        <f aca="false">L302-M302</f>
        <v>10502</v>
      </c>
    </row>
    <row r="303" customFormat="false" ht="15" hidden="false" customHeight="false" outlineLevel="0" collapsed="false">
      <c r="A303" s="40" t="n">
        <v>45809</v>
      </c>
      <c r="B303" s="41" t="n">
        <v>2025</v>
      </c>
      <c r="C303" s="41" t="n">
        <v>6</v>
      </c>
      <c r="D303" s="41" t="s">
        <v>51</v>
      </c>
      <c r="E303" s="41" t="s">
        <v>35</v>
      </c>
      <c r="F303" s="41" t="s">
        <v>36</v>
      </c>
      <c r="G303" s="41" t="s">
        <v>38</v>
      </c>
      <c r="H303" s="42" t="n">
        <v>141</v>
      </c>
      <c r="I303" s="42" t="n">
        <v>164</v>
      </c>
      <c r="J303" s="42" t="n">
        <v>15844</v>
      </c>
      <c r="K303" s="42" t="n">
        <v>902</v>
      </c>
      <c r="L303" s="43" t="n">
        <f aca="false">J303-K303</f>
        <v>14942</v>
      </c>
      <c r="M303" s="42" t="n">
        <v>6850</v>
      </c>
      <c r="N303" s="43" t="n">
        <f aca="false">L303-M303</f>
        <v>8092</v>
      </c>
    </row>
    <row r="304" customFormat="false" ht="15" hidden="false" customHeight="false" outlineLevel="0" collapsed="false">
      <c r="A304" s="40" t="n">
        <v>45809</v>
      </c>
      <c r="B304" s="41" t="n">
        <v>2025</v>
      </c>
      <c r="C304" s="41" t="n">
        <v>6</v>
      </c>
      <c r="D304" s="41" t="s">
        <v>51</v>
      </c>
      <c r="E304" s="41" t="s">
        <v>35</v>
      </c>
      <c r="F304" s="41" t="s">
        <v>36</v>
      </c>
      <c r="G304" s="41" t="s">
        <v>39</v>
      </c>
      <c r="H304" s="42" t="n">
        <v>261</v>
      </c>
      <c r="I304" s="42" t="n">
        <v>397</v>
      </c>
      <c r="J304" s="42" t="n">
        <v>21956</v>
      </c>
      <c r="K304" s="42" t="n">
        <v>2311</v>
      </c>
      <c r="L304" s="43" t="n">
        <f aca="false">J304-K304</f>
        <v>19645</v>
      </c>
      <c r="M304" s="42" t="n">
        <v>7564</v>
      </c>
      <c r="N304" s="43" t="n">
        <f aca="false">L304-M304</f>
        <v>12081</v>
      </c>
    </row>
    <row r="305" customFormat="false" ht="15" hidden="false" customHeight="false" outlineLevel="0" collapsed="false">
      <c r="A305" s="40" t="n">
        <v>45809</v>
      </c>
      <c r="B305" s="41" t="n">
        <v>2025</v>
      </c>
      <c r="C305" s="41" t="n">
        <v>6</v>
      </c>
      <c r="D305" s="41" t="s">
        <v>51</v>
      </c>
      <c r="E305" s="41" t="s">
        <v>35</v>
      </c>
      <c r="F305" s="41" t="s">
        <v>36</v>
      </c>
      <c r="G305" s="41" t="s">
        <v>40</v>
      </c>
      <c r="H305" s="42" t="n">
        <v>106</v>
      </c>
      <c r="I305" s="42" t="n">
        <v>127</v>
      </c>
      <c r="J305" s="42" t="n">
        <v>13529</v>
      </c>
      <c r="K305" s="42" t="n">
        <v>1791</v>
      </c>
      <c r="L305" s="43" t="n">
        <f aca="false">J305-K305</f>
        <v>11738</v>
      </c>
      <c r="M305" s="42" t="n">
        <v>6342</v>
      </c>
      <c r="N305" s="43" t="n">
        <f aca="false">L305-M305</f>
        <v>5396</v>
      </c>
    </row>
    <row r="306" customFormat="false" ht="15" hidden="false" customHeight="false" outlineLevel="0" collapsed="false">
      <c r="A306" s="40" t="n">
        <v>45809</v>
      </c>
      <c r="B306" s="41" t="n">
        <v>2025</v>
      </c>
      <c r="C306" s="41" t="n">
        <v>6</v>
      </c>
      <c r="D306" s="41" t="s">
        <v>51</v>
      </c>
      <c r="E306" s="41" t="s">
        <v>35</v>
      </c>
      <c r="F306" s="41" t="s">
        <v>36</v>
      </c>
      <c r="G306" s="41" t="s">
        <v>41</v>
      </c>
      <c r="H306" s="42" t="n">
        <v>158</v>
      </c>
      <c r="I306" s="42" t="n">
        <v>212</v>
      </c>
      <c r="J306" s="42" t="n">
        <v>9643</v>
      </c>
      <c r="K306" s="42" t="n">
        <v>234</v>
      </c>
      <c r="L306" s="43" t="n">
        <f aca="false">J306-K306</f>
        <v>9409</v>
      </c>
      <c r="M306" s="42" t="n">
        <v>4450</v>
      </c>
      <c r="N306" s="43" t="n">
        <f aca="false">L306-M306</f>
        <v>4959</v>
      </c>
    </row>
    <row r="307" customFormat="false" ht="15" hidden="false" customHeight="false" outlineLevel="0" collapsed="false">
      <c r="A307" s="40" t="n">
        <v>45809</v>
      </c>
      <c r="B307" s="41" t="n">
        <v>2025</v>
      </c>
      <c r="C307" s="41" t="n">
        <v>6</v>
      </c>
      <c r="D307" s="41" t="s">
        <v>51</v>
      </c>
      <c r="E307" s="41" t="s">
        <v>35</v>
      </c>
      <c r="F307" s="41" t="s">
        <v>42</v>
      </c>
      <c r="G307" s="41" t="s">
        <v>37</v>
      </c>
      <c r="H307" s="42" t="n">
        <v>76</v>
      </c>
      <c r="I307" s="42" t="n">
        <v>112</v>
      </c>
      <c r="J307" s="42" t="n">
        <v>13272</v>
      </c>
      <c r="K307" s="42" t="n">
        <v>679</v>
      </c>
      <c r="L307" s="43" t="n">
        <f aca="false">J307-K307</f>
        <v>12593</v>
      </c>
      <c r="M307" s="42" t="n">
        <v>6837</v>
      </c>
      <c r="N307" s="43" t="n">
        <f aca="false">L307-M307</f>
        <v>5756</v>
      </c>
    </row>
    <row r="308" customFormat="false" ht="15" hidden="false" customHeight="false" outlineLevel="0" collapsed="false">
      <c r="A308" s="40" t="n">
        <v>45809</v>
      </c>
      <c r="B308" s="41" t="n">
        <v>2025</v>
      </c>
      <c r="C308" s="41" t="n">
        <v>6</v>
      </c>
      <c r="D308" s="41" t="s">
        <v>51</v>
      </c>
      <c r="E308" s="41" t="s">
        <v>35</v>
      </c>
      <c r="F308" s="41" t="s">
        <v>42</v>
      </c>
      <c r="G308" s="41" t="s">
        <v>38</v>
      </c>
      <c r="H308" s="42" t="n">
        <v>136</v>
      </c>
      <c r="I308" s="42" t="n">
        <v>187</v>
      </c>
      <c r="J308" s="42" t="n">
        <v>13972</v>
      </c>
      <c r="K308" s="42" t="n">
        <v>1076</v>
      </c>
      <c r="L308" s="43" t="n">
        <f aca="false">J308-K308</f>
        <v>12896</v>
      </c>
      <c r="M308" s="42" t="n">
        <v>6130</v>
      </c>
      <c r="N308" s="43" t="n">
        <f aca="false">L308-M308</f>
        <v>6766</v>
      </c>
    </row>
    <row r="309" customFormat="false" ht="15" hidden="false" customHeight="false" outlineLevel="0" collapsed="false">
      <c r="A309" s="40" t="n">
        <v>45809</v>
      </c>
      <c r="B309" s="41" t="n">
        <v>2025</v>
      </c>
      <c r="C309" s="41" t="n">
        <v>6</v>
      </c>
      <c r="D309" s="41" t="s">
        <v>51</v>
      </c>
      <c r="E309" s="41" t="s">
        <v>35</v>
      </c>
      <c r="F309" s="41" t="s">
        <v>42</v>
      </c>
      <c r="G309" s="41" t="s">
        <v>39</v>
      </c>
      <c r="H309" s="42" t="n">
        <v>165</v>
      </c>
      <c r="I309" s="42" t="n">
        <v>220</v>
      </c>
      <c r="J309" s="42" t="n">
        <v>12787</v>
      </c>
      <c r="K309" s="42" t="n">
        <v>1682</v>
      </c>
      <c r="L309" s="43" t="n">
        <f aca="false">J309-K309</f>
        <v>11105</v>
      </c>
      <c r="M309" s="42" t="n">
        <v>4677</v>
      </c>
      <c r="N309" s="43" t="n">
        <f aca="false">L309-M309</f>
        <v>6428</v>
      </c>
    </row>
    <row r="310" customFormat="false" ht="15" hidden="false" customHeight="false" outlineLevel="0" collapsed="false">
      <c r="A310" s="40" t="n">
        <v>45809</v>
      </c>
      <c r="B310" s="41" t="n">
        <v>2025</v>
      </c>
      <c r="C310" s="41" t="n">
        <v>6</v>
      </c>
      <c r="D310" s="41" t="s">
        <v>51</v>
      </c>
      <c r="E310" s="41" t="s">
        <v>35</v>
      </c>
      <c r="F310" s="41" t="s">
        <v>42</v>
      </c>
      <c r="G310" s="41" t="s">
        <v>40</v>
      </c>
      <c r="H310" s="42" t="n">
        <v>86</v>
      </c>
      <c r="I310" s="42" t="n">
        <v>126</v>
      </c>
      <c r="J310" s="42" t="n">
        <v>10144</v>
      </c>
      <c r="K310" s="42" t="n">
        <v>1668</v>
      </c>
      <c r="L310" s="43" t="n">
        <f aca="false">J310-K310</f>
        <v>8476</v>
      </c>
      <c r="M310" s="42" t="n">
        <v>4732</v>
      </c>
      <c r="N310" s="43" t="n">
        <f aca="false">L310-M310</f>
        <v>3744</v>
      </c>
    </row>
    <row r="311" customFormat="false" ht="15" hidden="false" customHeight="false" outlineLevel="0" collapsed="false">
      <c r="A311" s="40" t="n">
        <v>45809</v>
      </c>
      <c r="B311" s="41" t="n">
        <v>2025</v>
      </c>
      <c r="C311" s="41" t="n">
        <v>6</v>
      </c>
      <c r="D311" s="41" t="s">
        <v>51</v>
      </c>
      <c r="E311" s="41" t="s">
        <v>35</v>
      </c>
      <c r="F311" s="41" t="s">
        <v>42</v>
      </c>
      <c r="G311" s="41" t="s">
        <v>41</v>
      </c>
      <c r="H311" s="42" t="n">
        <v>139</v>
      </c>
      <c r="I311" s="42" t="n">
        <v>166</v>
      </c>
      <c r="J311" s="42" t="n">
        <v>7783</v>
      </c>
      <c r="K311" s="42" t="n">
        <v>356</v>
      </c>
      <c r="L311" s="43" t="n">
        <f aca="false">J311-K311</f>
        <v>7427</v>
      </c>
      <c r="M311" s="42" t="n">
        <v>3646</v>
      </c>
      <c r="N311" s="43" t="n">
        <f aca="false">L311-M311</f>
        <v>3781</v>
      </c>
    </row>
    <row r="312" customFormat="false" ht="15" hidden="false" customHeight="false" outlineLevel="0" collapsed="false">
      <c r="A312" s="40" t="n">
        <v>45809</v>
      </c>
      <c r="B312" s="41" t="n">
        <v>2025</v>
      </c>
      <c r="C312" s="41" t="n">
        <v>6</v>
      </c>
      <c r="D312" s="41" t="s">
        <v>51</v>
      </c>
      <c r="E312" s="41" t="s">
        <v>35</v>
      </c>
      <c r="F312" s="41" t="s">
        <v>43</v>
      </c>
      <c r="G312" s="41" t="s">
        <v>37</v>
      </c>
      <c r="H312" s="42" t="n">
        <v>42</v>
      </c>
      <c r="I312" s="42" t="n">
        <v>52</v>
      </c>
      <c r="J312" s="42" t="n">
        <v>8359</v>
      </c>
      <c r="K312" s="42" t="n">
        <v>259</v>
      </c>
      <c r="L312" s="43" t="n">
        <f aca="false">J312-K312</f>
        <v>8100</v>
      </c>
      <c r="M312" s="42" t="n">
        <v>4416</v>
      </c>
      <c r="N312" s="43" t="n">
        <f aca="false">L312-M312</f>
        <v>3684</v>
      </c>
    </row>
    <row r="313" customFormat="false" ht="15" hidden="false" customHeight="false" outlineLevel="0" collapsed="false">
      <c r="A313" s="40" t="n">
        <v>45809</v>
      </c>
      <c r="B313" s="41" t="n">
        <v>2025</v>
      </c>
      <c r="C313" s="41" t="n">
        <v>6</v>
      </c>
      <c r="D313" s="41" t="s">
        <v>51</v>
      </c>
      <c r="E313" s="41" t="s">
        <v>35</v>
      </c>
      <c r="F313" s="41" t="s">
        <v>43</v>
      </c>
      <c r="G313" s="41" t="s">
        <v>38</v>
      </c>
      <c r="H313" s="42" t="n">
        <v>62</v>
      </c>
      <c r="I313" s="42" t="n">
        <v>85</v>
      </c>
      <c r="J313" s="42" t="n">
        <v>7321</v>
      </c>
      <c r="K313" s="42" t="n">
        <v>255</v>
      </c>
      <c r="L313" s="43" t="n">
        <f aca="false">J313-K313</f>
        <v>7066</v>
      </c>
      <c r="M313" s="42" t="n">
        <v>3236</v>
      </c>
      <c r="N313" s="43" t="n">
        <f aca="false">L313-M313</f>
        <v>3830</v>
      </c>
    </row>
    <row r="314" customFormat="false" ht="15" hidden="false" customHeight="false" outlineLevel="0" collapsed="false">
      <c r="A314" s="40" t="n">
        <v>45809</v>
      </c>
      <c r="B314" s="41" t="n">
        <v>2025</v>
      </c>
      <c r="C314" s="41" t="n">
        <v>6</v>
      </c>
      <c r="D314" s="41" t="s">
        <v>51</v>
      </c>
      <c r="E314" s="41" t="s">
        <v>35</v>
      </c>
      <c r="F314" s="41" t="s">
        <v>43</v>
      </c>
      <c r="G314" s="41" t="s">
        <v>39</v>
      </c>
      <c r="H314" s="42" t="n">
        <v>104</v>
      </c>
      <c r="I314" s="42" t="n">
        <v>143</v>
      </c>
      <c r="J314" s="42" t="n">
        <v>9226</v>
      </c>
      <c r="K314" s="42" t="n">
        <v>606</v>
      </c>
      <c r="L314" s="43" t="n">
        <f aca="false">J314-K314</f>
        <v>8620</v>
      </c>
      <c r="M314" s="42" t="n">
        <v>3429</v>
      </c>
      <c r="N314" s="43" t="n">
        <f aca="false">L314-M314</f>
        <v>5191</v>
      </c>
    </row>
    <row r="315" customFormat="false" ht="15" hidden="false" customHeight="false" outlineLevel="0" collapsed="false">
      <c r="A315" s="40" t="n">
        <v>45809</v>
      </c>
      <c r="B315" s="41" t="n">
        <v>2025</v>
      </c>
      <c r="C315" s="41" t="n">
        <v>6</v>
      </c>
      <c r="D315" s="41" t="s">
        <v>51</v>
      </c>
      <c r="E315" s="41" t="s">
        <v>35</v>
      </c>
      <c r="F315" s="41" t="s">
        <v>43</v>
      </c>
      <c r="G315" s="41" t="s">
        <v>40</v>
      </c>
      <c r="H315" s="42" t="n">
        <v>50</v>
      </c>
      <c r="I315" s="42" t="n">
        <v>79</v>
      </c>
      <c r="J315" s="42" t="n">
        <v>6798</v>
      </c>
      <c r="K315" s="42" t="n">
        <v>522</v>
      </c>
      <c r="L315" s="43" t="n">
        <f aca="false">J315-K315</f>
        <v>6276</v>
      </c>
      <c r="M315" s="42" t="n">
        <v>3393</v>
      </c>
      <c r="N315" s="43" t="n">
        <f aca="false">L315-M315</f>
        <v>2883</v>
      </c>
    </row>
    <row r="316" customFormat="false" ht="15" hidden="false" customHeight="false" outlineLevel="0" collapsed="false">
      <c r="A316" s="40" t="n">
        <v>45809</v>
      </c>
      <c r="B316" s="41" t="n">
        <v>2025</v>
      </c>
      <c r="C316" s="41" t="n">
        <v>6</v>
      </c>
      <c r="D316" s="41" t="s">
        <v>51</v>
      </c>
      <c r="E316" s="41" t="s">
        <v>35</v>
      </c>
      <c r="F316" s="41" t="s">
        <v>43</v>
      </c>
      <c r="G316" s="41" t="s">
        <v>41</v>
      </c>
      <c r="H316" s="42" t="n">
        <v>79</v>
      </c>
      <c r="I316" s="42" t="n">
        <v>109</v>
      </c>
      <c r="J316" s="42" t="n">
        <v>5129</v>
      </c>
      <c r="K316" s="42" t="n">
        <v>91</v>
      </c>
      <c r="L316" s="43" t="n">
        <f aca="false">J316-K316</f>
        <v>5038</v>
      </c>
      <c r="M316" s="42" t="n">
        <v>2438</v>
      </c>
      <c r="N316" s="43" t="n">
        <f aca="false">L316-M316</f>
        <v>2600</v>
      </c>
    </row>
    <row r="317" customFormat="false" ht="15" hidden="false" customHeight="false" outlineLevel="0" collapsed="false">
      <c r="A317" s="40" t="n">
        <v>45809</v>
      </c>
      <c r="B317" s="41" t="n">
        <v>2025</v>
      </c>
      <c r="C317" s="41" t="n">
        <v>6</v>
      </c>
      <c r="D317" s="41" t="s">
        <v>51</v>
      </c>
      <c r="E317" s="41" t="s">
        <v>44</v>
      </c>
      <c r="F317" s="41" t="s">
        <v>36</v>
      </c>
      <c r="G317" s="41" t="s">
        <v>37</v>
      </c>
      <c r="H317" s="42" t="n">
        <v>75</v>
      </c>
      <c r="I317" s="42" t="n">
        <v>113</v>
      </c>
      <c r="J317" s="42" t="n">
        <v>14239</v>
      </c>
      <c r="K317" s="42" t="n">
        <v>614</v>
      </c>
      <c r="L317" s="43" t="n">
        <f aca="false">J317-K317</f>
        <v>13625</v>
      </c>
      <c r="M317" s="42" t="n">
        <v>7345</v>
      </c>
      <c r="N317" s="43" t="n">
        <f aca="false">L317-M317</f>
        <v>6280</v>
      </c>
    </row>
    <row r="318" customFormat="false" ht="15" hidden="false" customHeight="false" outlineLevel="0" collapsed="false">
      <c r="A318" s="40" t="n">
        <v>45809</v>
      </c>
      <c r="B318" s="41" t="n">
        <v>2025</v>
      </c>
      <c r="C318" s="41" t="n">
        <v>6</v>
      </c>
      <c r="D318" s="41" t="s">
        <v>51</v>
      </c>
      <c r="E318" s="41" t="s">
        <v>44</v>
      </c>
      <c r="F318" s="41" t="s">
        <v>36</v>
      </c>
      <c r="G318" s="41" t="s">
        <v>38</v>
      </c>
      <c r="H318" s="42" t="n">
        <v>131</v>
      </c>
      <c r="I318" s="42" t="n">
        <v>172</v>
      </c>
      <c r="J318" s="42" t="n">
        <v>14621</v>
      </c>
      <c r="K318" s="42" t="n">
        <v>702</v>
      </c>
      <c r="L318" s="43" t="n">
        <f aca="false">J318-K318</f>
        <v>13919</v>
      </c>
      <c r="M318" s="42" t="n">
        <v>6224</v>
      </c>
      <c r="N318" s="43" t="n">
        <f aca="false">L318-M318</f>
        <v>7695</v>
      </c>
    </row>
    <row r="319" customFormat="false" ht="15" hidden="false" customHeight="false" outlineLevel="0" collapsed="false">
      <c r="A319" s="40" t="n">
        <v>45809</v>
      </c>
      <c r="B319" s="41" t="n">
        <v>2025</v>
      </c>
      <c r="C319" s="41" t="n">
        <v>6</v>
      </c>
      <c r="D319" s="41" t="s">
        <v>51</v>
      </c>
      <c r="E319" s="41" t="s">
        <v>44</v>
      </c>
      <c r="F319" s="41" t="s">
        <v>36</v>
      </c>
      <c r="G319" s="41" t="s">
        <v>39</v>
      </c>
      <c r="H319" s="42" t="n">
        <v>222</v>
      </c>
      <c r="I319" s="42" t="n">
        <v>264</v>
      </c>
      <c r="J319" s="42" t="n">
        <v>18641</v>
      </c>
      <c r="K319" s="42" t="n">
        <v>2154</v>
      </c>
      <c r="L319" s="43" t="n">
        <f aca="false">J319-K319</f>
        <v>16487</v>
      </c>
      <c r="M319" s="42" t="n">
        <v>6247</v>
      </c>
      <c r="N319" s="43" t="n">
        <f aca="false">L319-M319</f>
        <v>10240</v>
      </c>
    </row>
    <row r="320" customFormat="false" ht="15" hidden="false" customHeight="false" outlineLevel="0" collapsed="false">
      <c r="A320" s="40" t="n">
        <v>45809</v>
      </c>
      <c r="B320" s="41" t="n">
        <v>2025</v>
      </c>
      <c r="C320" s="41" t="n">
        <v>6</v>
      </c>
      <c r="D320" s="41" t="s">
        <v>51</v>
      </c>
      <c r="E320" s="41" t="s">
        <v>44</v>
      </c>
      <c r="F320" s="41" t="s">
        <v>36</v>
      </c>
      <c r="G320" s="41" t="s">
        <v>40</v>
      </c>
      <c r="H320" s="42" t="n">
        <v>87</v>
      </c>
      <c r="I320" s="42" t="n">
        <v>110</v>
      </c>
      <c r="J320" s="42" t="n">
        <v>11103</v>
      </c>
      <c r="K320" s="42" t="n">
        <v>1546</v>
      </c>
      <c r="L320" s="43" t="n">
        <f aca="false">J320-K320</f>
        <v>9557</v>
      </c>
      <c r="M320" s="42" t="n">
        <v>5257</v>
      </c>
      <c r="N320" s="43" t="n">
        <f aca="false">L320-M320</f>
        <v>4300</v>
      </c>
    </row>
    <row r="321" customFormat="false" ht="15" hidden="false" customHeight="false" outlineLevel="0" collapsed="false">
      <c r="A321" s="40" t="n">
        <v>45809</v>
      </c>
      <c r="B321" s="41" t="n">
        <v>2025</v>
      </c>
      <c r="C321" s="41" t="n">
        <v>6</v>
      </c>
      <c r="D321" s="41" t="s">
        <v>51</v>
      </c>
      <c r="E321" s="41" t="s">
        <v>44</v>
      </c>
      <c r="F321" s="41" t="s">
        <v>36</v>
      </c>
      <c r="G321" s="41" t="s">
        <v>41</v>
      </c>
      <c r="H321" s="42" t="n">
        <v>128</v>
      </c>
      <c r="I321" s="42" t="n">
        <v>198</v>
      </c>
      <c r="J321" s="42" t="n">
        <v>7793</v>
      </c>
      <c r="K321" s="42" t="n">
        <v>209</v>
      </c>
      <c r="L321" s="43" t="n">
        <f aca="false">J321-K321</f>
        <v>7584</v>
      </c>
      <c r="M321" s="42" t="n">
        <v>3632</v>
      </c>
      <c r="N321" s="43" t="n">
        <f aca="false">L321-M321</f>
        <v>3952</v>
      </c>
    </row>
    <row r="322" customFormat="false" ht="15" hidden="false" customHeight="false" outlineLevel="0" collapsed="false">
      <c r="A322" s="40" t="n">
        <v>45809</v>
      </c>
      <c r="B322" s="41" t="n">
        <v>2025</v>
      </c>
      <c r="C322" s="41" t="n">
        <v>6</v>
      </c>
      <c r="D322" s="41" t="s">
        <v>51</v>
      </c>
      <c r="E322" s="41" t="s">
        <v>44</v>
      </c>
      <c r="F322" s="41" t="s">
        <v>42</v>
      </c>
      <c r="G322" s="41" t="s">
        <v>37</v>
      </c>
      <c r="H322" s="42" t="n">
        <v>65</v>
      </c>
      <c r="I322" s="42" t="n">
        <v>97</v>
      </c>
      <c r="J322" s="42" t="n">
        <v>11321</v>
      </c>
      <c r="K322" s="42" t="n">
        <v>673</v>
      </c>
      <c r="L322" s="43" t="n">
        <f aca="false">J322-K322</f>
        <v>10648</v>
      </c>
      <c r="M322" s="42" t="n">
        <v>5895</v>
      </c>
      <c r="N322" s="43" t="n">
        <f aca="false">L322-M322</f>
        <v>4753</v>
      </c>
    </row>
    <row r="323" customFormat="false" ht="15" hidden="false" customHeight="false" outlineLevel="0" collapsed="false">
      <c r="A323" s="40" t="n">
        <v>45809</v>
      </c>
      <c r="B323" s="41" t="n">
        <v>2025</v>
      </c>
      <c r="C323" s="41" t="n">
        <v>6</v>
      </c>
      <c r="D323" s="41" t="s">
        <v>51</v>
      </c>
      <c r="E323" s="41" t="s">
        <v>44</v>
      </c>
      <c r="F323" s="41" t="s">
        <v>42</v>
      </c>
      <c r="G323" s="41" t="s">
        <v>38</v>
      </c>
      <c r="H323" s="42" t="n">
        <v>91</v>
      </c>
      <c r="I323" s="42" t="n">
        <v>118</v>
      </c>
      <c r="J323" s="42" t="n">
        <v>9403</v>
      </c>
      <c r="K323" s="42" t="n">
        <v>547</v>
      </c>
      <c r="L323" s="43" t="n">
        <f aca="false">J323-K323</f>
        <v>8856</v>
      </c>
      <c r="M323" s="42" t="n">
        <v>4266</v>
      </c>
      <c r="N323" s="43" t="n">
        <f aca="false">L323-M323</f>
        <v>4590</v>
      </c>
    </row>
    <row r="324" customFormat="false" ht="15" hidden="false" customHeight="false" outlineLevel="0" collapsed="false">
      <c r="A324" s="40" t="n">
        <v>45809</v>
      </c>
      <c r="B324" s="41" t="n">
        <v>2025</v>
      </c>
      <c r="C324" s="41" t="n">
        <v>6</v>
      </c>
      <c r="D324" s="41" t="s">
        <v>51</v>
      </c>
      <c r="E324" s="41" t="s">
        <v>44</v>
      </c>
      <c r="F324" s="41" t="s">
        <v>42</v>
      </c>
      <c r="G324" s="41" t="s">
        <v>39</v>
      </c>
      <c r="H324" s="42" t="n">
        <v>158</v>
      </c>
      <c r="I324" s="42" t="n">
        <v>234</v>
      </c>
      <c r="J324" s="42" t="n">
        <v>12221</v>
      </c>
      <c r="K324" s="42" t="n">
        <v>1432</v>
      </c>
      <c r="L324" s="43" t="n">
        <f aca="false">J324-K324</f>
        <v>10789</v>
      </c>
      <c r="M324" s="42" t="n">
        <v>4454</v>
      </c>
      <c r="N324" s="43" t="n">
        <f aca="false">L324-M324</f>
        <v>6335</v>
      </c>
    </row>
    <row r="325" customFormat="false" ht="15" hidden="false" customHeight="false" outlineLevel="0" collapsed="false">
      <c r="A325" s="40" t="n">
        <v>45809</v>
      </c>
      <c r="B325" s="41" t="n">
        <v>2025</v>
      </c>
      <c r="C325" s="41" t="n">
        <v>6</v>
      </c>
      <c r="D325" s="41" t="s">
        <v>51</v>
      </c>
      <c r="E325" s="41" t="s">
        <v>44</v>
      </c>
      <c r="F325" s="41" t="s">
        <v>42</v>
      </c>
      <c r="G325" s="41" t="s">
        <v>40</v>
      </c>
      <c r="H325" s="42" t="n">
        <v>77</v>
      </c>
      <c r="I325" s="42" t="n">
        <v>109</v>
      </c>
      <c r="J325" s="42" t="n">
        <v>9061</v>
      </c>
      <c r="K325" s="42" t="n">
        <v>1248</v>
      </c>
      <c r="L325" s="43" t="n">
        <f aca="false">J325-K325</f>
        <v>7813</v>
      </c>
      <c r="M325" s="42" t="n">
        <v>4428</v>
      </c>
      <c r="N325" s="43" t="n">
        <f aca="false">L325-M325</f>
        <v>3385</v>
      </c>
    </row>
    <row r="326" customFormat="false" ht="15" hidden="false" customHeight="false" outlineLevel="0" collapsed="false">
      <c r="A326" s="40" t="n">
        <v>45809</v>
      </c>
      <c r="B326" s="41" t="n">
        <v>2025</v>
      </c>
      <c r="C326" s="41" t="n">
        <v>6</v>
      </c>
      <c r="D326" s="41" t="s">
        <v>51</v>
      </c>
      <c r="E326" s="41" t="s">
        <v>44</v>
      </c>
      <c r="F326" s="41" t="s">
        <v>42</v>
      </c>
      <c r="G326" s="41" t="s">
        <v>41</v>
      </c>
      <c r="H326" s="42" t="n">
        <v>111</v>
      </c>
      <c r="I326" s="42" t="n">
        <v>140</v>
      </c>
      <c r="J326" s="42" t="n">
        <v>6216</v>
      </c>
      <c r="K326" s="42" t="n">
        <v>221</v>
      </c>
      <c r="L326" s="43" t="n">
        <f aca="false">J326-K326</f>
        <v>5995</v>
      </c>
      <c r="M326" s="42" t="n">
        <v>2967</v>
      </c>
      <c r="N326" s="43" t="n">
        <f aca="false">L326-M326</f>
        <v>3028</v>
      </c>
    </row>
    <row r="327" customFormat="false" ht="15" hidden="false" customHeight="false" outlineLevel="0" collapsed="false">
      <c r="A327" s="40" t="n">
        <v>45809</v>
      </c>
      <c r="B327" s="41" t="n">
        <v>2025</v>
      </c>
      <c r="C327" s="41" t="n">
        <v>6</v>
      </c>
      <c r="D327" s="41" t="s">
        <v>51</v>
      </c>
      <c r="E327" s="41" t="s">
        <v>44</v>
      </c>
      <c r="F327" s="41" t="s">
        <v>43</v>
      </c>
      <c r="G327" s="41" t="s">
        <v>37</v>
      </c>
      <c r="H327" s="42" t="n">
        <v>41</v>
      </c>
      <c r="I327" s="42" t="n">
        <v>63</v>
      </c>
      <c r="J327" s="42" t="n">
        <v>8154</v>
      </c>
      <c r="K327" s="42" t="n">
        <v>197</v>
      </c>
      <c r="L327" s="43" t="n">
        <f aca="false">J327-K327</f>
        <v>7957</v>
      </c>
      <c r="M327" s="42" t="n">
        <v>4130</v>
      </c>
      <c r="N327" s="43" t="n">
        <f aca="false">L327-M327</f>
        <v>3827</v>
      </c>
    </row>
    <row r="328" customFormat="false" ht="15" hidden="false" customHeight="false" outlineLevel="0" collapsed="false">
      <c r="A328" s="40" t="n">
        <v>45809</v>
      </c>
      <c r="B328" s="41" t="n">
        <v>2025</v>
      </c>
      <c r="C328" s="41" t="n">
        <v>6</v>
      </c>
      <c r="D328" s="41" t="s">
        <v>51</v>
      </c>
      <c r="E328" s="41" t="s">
        <v>44</v>
      </c>
      <c r="F328" s="41" t="s">
        <v>43</v>
      </c>
      <c r="G328" s="41" t="s">
        <v>38</v>
      </c>
      <c r="H328" s="42" t="n">
        <v>53</v>
      </c>
      <c r="I328" s="42" t="n">
        <v>69</v>
      </c>
      <c r="J328" s="42" t="n">
        <v>6274</v>
      </c>
      <c r="K328" s="42" t="n">
        <v>222</v>
      </c>
      <c r="L328" s="43" t="n">
        <f aca="false">J328-K328</f>
        <v>6052</v>
      </c>
      <c r="M328" s="42" t="n">
        <v>2668</v>
      </c>
      <c r="N328" s="43" t="n">
        <f aca="false">L328-M328</f>
        <v>3384</v>
      </c>
    </row>
    <row r="329" customFormat="false" ht="15" hidden="false" customHeight="false" outlineLevel="0" collapsed="false">
      <c r="A329" s="40" t="n">
        <v>45809</v>
      </c>
      <c r="B329" s="41" t="n">
        <v>2025</v>
      </c>
      <c r="C329" s="41" t="n">
        <v>6</v>
      </c>
      <c r="D329" s="41" t="s">
        <v>51</v>
      </c>
      <c r="E329" s="41" t="s">
        <v>44</v>
      </c>
      <c r="F329" s="41" t="s">
        <v>43</v>
      </c>
      <c r="G329" s="41" t="s">
        <v>39</v>
      </c>
      <c r="H329" s="42" t="n">
        <v>86</v>
      </c>
      <c r="I329" s="42" t="n">
        <v>106</v>
      </c>
      <c r="J329" s="42" t="n">
        <v>7650</v>
      </c>
      <c r="K329" s="42" t="n">
        <v>637</v>
      </c>
      <c r="L329" s="43" t="n">
        <f aca="false">J329-K329</f>
        <v>7013</v>
      </c>
      <c r="M329" s="42" t="n">
        <v>2772</v>
      </c>
      <c r="N329" s="43" t="n">
        <f aca="false">L329-M329</f>
        <v>4241</v>
      </c>
    </row>
    <row r="330" customFormat="false" ht="15" hidden="false" customHeight="false" outlineLevel="0" collapsed="false">
      <c r="A330" s="40" t="n">
        <v>45809</v>
      </c>
      <c r="B330" s="41" t="n">
        <v>2025</v>
      </c>
      <c r="C330" s="41" t="n">
        <v>6</v>
      </c>
      <c r="D330" s="41" t="s">
        <v>51</v>
      </c>
      <c r="E330" s="41" t="s">
        <v>44</v>
      </c>
      <c r="F330" s="41" t="s">
        <v>43</v>
      </c>
      <c r="G330" s="41" t="s">
        <v>40</v>
      </c>
      <c r="H330" s="42" t="n">
        <v>38</v>
      </c>
      <c r="I330" s="42" t="n">
        <v>60</v>
      </c>
      <c r="J330" s="42" t="n">
        <v>5141</v>
      </c>
      <c r="K330" s="42" t="n">
        <v>363</v>
      </c>
      <c r="L330" s="43" t="n">
        <f aca="false">J330-K330</f>
        <v>4778</v>
      </c>
      <c r="M330" s="42" t="n">
        <v>2610</v>
      </c>
      <c r="N330" s="43" t="n">
        <f aca="false">L330-M330</f>
        <v>2168</v>
      </c>
    </row>
    <row r="331" customFormat="false" ht="15" hidden="false" customHeight="false" outlineLevel="0" collapsed="false">
      <c r="A331" s="40" t="n">
        <v>45809</v>
      </c>
      <c r="B331" s="41" t="n">
        <v>2025</v>
      </c>
      <c r="C331" s="41" t="n">
        <v>6</v>
      </c>
      <c r="D331" s="41" t="s">
        <v>51</v>
      </c>
      <c r="E331" s="41" t="s">
        <v>44</v>
      </c>
      <c r="F331" s="41" t="s">
        <v>43</v>
      </c>
      <c r="G331" s="41" t="s">
        <v>41</v>
      </c>
      <c r="H331" s="42" t="n">
        <v>68</v>
      </c>
      <c r="I331" s="42" t="n">
        <v>103</v>
      </c>
      <c r="J331" s="42" t="n">
        <v>4380</v>
      </c>
      <c r="K331" s="42" t="n">
        <v>101</v>
      </c>
      <c r="L331" s="43" t="n">
        <f aca="false">J331-K331</f>
        <v>4279</v>
      </c>
      <c r="M331" s="42" t="n">
        <v>2046</v>
      </c>
      <c r="N331" s="43" t="n">
        <f aca="false">L331-M331</f>
        <v>2233</v>
      </c>
    </row>
    <row r="332" customFormat="false" ht="15" hidden="false" customHeight="false" outlineLevel="0" collapsed="false">
      <c r="A332" s="40" t="n">
        <v>45809</v>
      </c>
      <c r="B332" s="41" t="n">
        <v>2025</v>
      </c>
      <c r="C332" s="41" t="n">
        <v>6</v>
      </c>
      <c r="D332" s="41" t="s">
        <v>51</v>
      </c>
      <c r="E332" s="41" t="s">
        <v>45</v>
      </c>
      <c r="F332" s="41" t="s">
        <v>36</v>
      </c>
      <c r="G332" s="41" t="s">
        <v>37</v>
      </c>
      <c r="H332" s="42" t="n">
        <v>58</v>
      </c>
      <c r="I332" s="42" t="n">
        <v>83</v>
      </c>
      <c r="J332" s="42" t="n">
        <v>10933</v>
      </c>
      <c r="K332" s="42" t="n">
        <v>369</v>
      </c>
      <c r="L332" s="43" t="n">
        <f aca="false">J332-K332</f>
        <v>10564</v>
      </c>
      <c r="M332" s="42" t="n">
        <v>5501</v>
      </c>
      <c r="N332" s="43" t="n">
        <f aca="false">L332-M332</f>
        <v>5063</v>
      </c>
    </row>
    <row r="333" customFormat="false" ht="15" hidden="false" customHeight="false" outlineLevel="0" collapsed="false">
      <c r="A333" s="40" t="n">
        <v>45809</v>
      </c>
      <c r="B333" s="41" t="n">
        <v>2025</v>
      </c>
      <c r="C333" s="41" t="n">
        <v>6</v>
      </c>
      <c r="D333" s="41" t="s">
        <v>51</v>
      </c>
      <c r="E333" s="41" t="s">
        <v>45</v>
      </c>
      <c r="F333" s="41" t="s">
        <v>36</v>
      </c>
      <c r="G333" s="41" t="s">
        <v>38</v>
      </c>
      <c r="H333" s="42" t="n">
        <v>90</v>
      </c>
      <c r="I333" s="42" t="n">
        <v>105</v>
      </c>
      <c r="J333" s="42" t="n">
        <v>10129</v>
      </c>
      <c r="K333" s="42" t="n">
        <v>486</v>
      </c>
      <c r="L333" s="43" t="n">
        <f aca="false">J333-K333</f>
        <v>9643</v>
      </c>
      <c r="M333" s="42" t="n">
        <v>4415</v>
      </c>
      <c r="N333" s="43" t="n">
        <f aca="false">L333-M333</f>
        <v>5228</v>
      </c>
    </row>
    <row r="334" customFormat="false" ht="15" hidden="false" customHeight="false" outlineLevel="0" collapsed="false">
      <c r="A334" s="40" t="n">
        <v>45809</v>
      </c>
      <c r="B334" s="41" t="n">
        <v>2025</v>
      </c>
      <c r="C334" s="41" t="n">
        <v>6</v>
      </c>
      <c r="D334" s="41" t="s">
        <v>51</v>
      </c>
      <c r="E334" s="41" t="s">
        <v>45</v>
      </c>
      <c r="F334" s="41" t="s">
        <v>36</v>
      </c>
      <c r="G334" s="41" t="s">
        <v>39</v>
      </c>
      <c r="H334" s="42" t="n">
        <v>156</v>
      </c>
      <c r="I334" s="42" t="n">
        <v>215</v>
      </c>
      <c r="J334" s="42" t="n">
        <v>13122</v>
      </c>
      <c r="K334" s="42" t="n">
        <v>1382</v>
      </c>
      <c r="L334" s="43" t="n">
        <f aca="false">J334-K334</f>
        <v>11740</v>
      </c>
      <c r="M334" s="42" t="n">
        <v>4569</v>
      </c>
      <c r="N334" s="43" t="n">
        <f aca="false">L334-M334</f>
        <v>7171</v>
      </c>
    </row>
    <row r="335" customFormat="false" ht="15" hidden="false" customHeight="false" outlineLevel="0" collapsed="false">
      <c r="A335" s="40" t="n">
        <v>45809</v>
      </c>
      <c r="B335" s="41" t="n">
        <v>2025</v>
      </c>
      <c r="C335" s="41" t="n">
        <v>6</v>
      </c>
      <c r="D335" s="41" t="s">
        <v>51</v>
      </c>
      <c r="E335" s="41" t="s">
        <v>45</v>
      </c>
      <c r="F335" s="41" t="s">
        <v>36</v>
      </c>
      <c r="G335" s="41" t="s">
        <v>40</v>
      </c>
      <c r="H335" s="42" t="n">
        <v>63</v>
      </c>
      <c r="I335" s="42" t="n">
        <v>90</v>
      </c>
      <c r="J335" s="42" t="n">
        <v>8063</v>
      </c>
      <c r="K335" s="42" t="n">
        <v>931</v>
      </c>
      <c r="L335" s="43" t="n">
        <f aca="false">J335-K335</f>
        <v>7132</v>
      </c>
      <c r="M335" s="42" t="n">
        <v>3980</v>
      </c>
      <c r="N335" s="43" t="n">
        <f aca="false">L335-M335</f>
        <v>3152</v>
      </c>
    </row>
    <row r="336" customFormat="false" ht="15" hidden="false" customHeight="false" outlineLevel="0" collapsed="false">
      <c r="A336" s="40" t="n">
        <v>45809</v>
      </c>
      <c r="B336" s="41" t="n">
        <v>2025</v>
      </c>
      <c r="C336" s="41" t="n">
        <v>6</v>
      </c>
      <c r="D336" s="41" t="s">
        <v>51</v>
      </c>
      <c r="E336" s="41" t="s">
        <v>45</v>
      </c>
      <c r="F336" s="41" t="s">
        <v>36</v>
      </c>
      <c r="G336" s="41" t="s">
        <v>41</v>
      </c>
      <c r="H336" s="42" t="n">
        <v>109</v>
      </c>
      <c r="I336" s="42" t="n">
        <v>146</v>
      </c>
      <c r="J336" s="42" t="n">
        <v>6657</v>
      </c>
      <c r="K336" s="42" t="n">
        <v>206</v>
      </c>
      <c r="L336" s="43" t="n">
        <f aca="false">J336-K336</f>
        <v>6451</v>
      </c>
      <c r="M336" s="42" t="n">
        <v>3143</v>
      </c>
      <c r="N336" s="43" t="n">
        <f aca="false">L336-M336</f>
        <v>3308</v>
      </c>
    </row>
    <row r="337" customFormat="false" ht="15" hidden="false" customHeight="false" outlineLevel="0" collapsed="false">
      <c r="A337" s="40" t="n">
        <v>45809</v>
      </c>
      <c r="B337" s="41" t="n">
        <v>2025</v>
      </c>
      <c r="C337" s="41" t="n">
        <v>6</v>
      </c>
      <c r="D337" s="41" t="s">
        <v>51</v>
      </c>
      <c r="E337" s="41" t="s">
        <v>45</v>
      </c>
      <c r="F337" s="41" t="s">
        <v>42</v>
      </c>
      <c r="G337" s="41" t="s">
        <v>37</v>
      </c>
      <c r="H337" s="42" t="n">
        <v>47</v>
      </c>
      <c r="I337" s="42" t="n">
        <v>59</v>
      </c>
      <c r="J337" s="42" t="n">
        <v>8129</v>
      </c>
      <c r="K337" s="42" t="n">
        <v>478</v>
      </c>
      <c r="L337" s="43" t="n">
        <f aca="false">J337-K337</f>
        <v>7651</v>
      </c>
      <c r="M337" s="42" t="n">
        <v>4295</v>
      </c>
      <c r="N337" s="43" t="n">
        <f aca="false">L337-M337</f>
        <v>3356</v>
      </c>
    </row>
    <row r="338" customFormat="false" ht="15" hidden="false" customHeight="false" outlineLevel="0" collapsed="false">
      <c r="A338" s="40" t="n">
        <v>45809</v>
      </c>
      <c r="B338" s="41" t="n">
        <v>2025</v>
      </c>
      <c r="C338" s="41" t="n">
        <v>6</v>
      </c>
      <c r="D338" s="41" t="s">
        <v>51</v>
      </c>
      <c r="E338" s="41" t="s">
        <v>45</v>
      </c>
      <c r="F338" s="41" t="s">
        <v>42</v>
      </c>
      <c r="G338" s="41" t="s">
        <v>38</v>
      </c>
      <c r="H338" s="42" t="n">
        <v>76</v>
      </c>
      <c r="I338" s="42" t="n">
        <v>111</v>
      </c>
      <c r="J338" s="42" t="n">
        <v>7832</v>
      </c>
      <c r="K338" s="42" t="n">
        <v>603</v>
      </c>
      <c r="L338" s="43" t="n">
        <f aca="false">J338-K338</f>
        <v>7229</v>
      </c>
      <c r="M338" s="42" t="n">
        <v>3449</v>
      </c>
      <c r="N338" s="43" t="n">
        <f aca="false">L338-M338</f>
        <v>3780</v>
      </c>
    </row>
    <row r="339" customFormat="false" ht="15" hidden="false" customHeight="false" outlineLevel="0" collapsed="false">
      <c r="A339" s="40" t="n">
        <v>45809</v>
      </c>
      <c r="B339" s="41" t="n">
        <v>2025</v>
      </c>
      <c r="C339" s="41" t="n">
        <v>6</v>
      </c>
      <c r="D339" s="41" t="s">
        <v>51</v>
      </c>
      <c r="E339" s="41" t="s">
        <v>45</v>
      </c>
      <c r="F339" s="41" t="s">
        <v>42</v>
      </c>
      <c r="G339" s="41" t="s">
        <v>39</v>
      </c>
      <c r="H339" s="42" t="n">
        <v>116</v>
      </c>
      <c r="I339" s="42" t="n">
        <v>157</v>
      </c>
      <c r="J339" s="42" t="n">
        <v>9002</v>
      </c>
      <c r="K339" s="42" t="n">
        <v>1124</v>
      </c>
      <c r="L339" s="43" t="n">
        <f aca="false">J339-K339</f>
        <v>7878</v>
      </c>
      <c r="M339" s="42" t="n">
        <v>3290</v>
      </c>
      <c r="N339" s="43" t="n">
        <f aca="false">L339-M339</f>
        <v>4588</v>
      </c>
    </row>
    <row r="340" customFormat="false" ht="15" hidden="false" customHeight="false" outlineLevel="0" collapsed="false">
      <c r="A340" s="40" t="n">
        <v>45809</v>
      </c>
      <c r="B340" s="41" t="n">
        <v>2025</v>
      </c>
      <c r="C340" s="41" t="n">
        <v>6</v>
      </c>
      <c r="D340" s="41" t="s">
        <v>51</v>
      </c>
      <c r="E340" s="41" t="s">
        <v>45</v>
      </c>
      <c r="F340" s="41" t="s">
        <v>42</v>
      </c>
      <c r="G340" s="41" t="s">
        <v>40</v>
      </c>
      <c r="H340" s="42" t="n">
        <v>47</v>
      </c>
      <c r="I340" s="42" t="n">
        <v>63</v>
      </c>
      <c r="J340" s="42" t="n">
        <v>5533</v>
      </c>
      <c r="K340" s="42" t="n">
        <v>998</v>
      </c>
      <c r="L340" s="43" t="n">
        <f aca="false">J340-K340</f>
        <v>4535</v>
      </c>
      <c r="M340" s="42" t="n">
        <v>2609</v>
      </c>
      <c r="N340" s="43" t="n">
        <f aca="false">L340-M340</f>
        <v>1926</v>
      </c>
    </row>
    <row r="341" customFormat="false" ht="15" hidden="false" customHeight="false" outlineLevel="0" collapsed="false">
      <c r="A341" s="40" t="n">
        <v>45809</v>
      </c>
      <c r="B341" s="41" t="n">
        <v>2025</v>
      </c>
      <c r="C341" s="41" t="n">
        <v>6</v>
      </c>
      <c r="D341" s="41" t="s">
        <v>51</v>
      </c>
      <c r="E341" s="41" t="s">
        <v>45</v>
      </c>
      <c r="F341" s="41" t="s">
        <v>42</v>
      </c>
      <c r="G341" s="41" t="s">
        <v>41</v>
      </c>
      <c r="H341" s="42" t="n">
        <v>77</v>
      </c>
      <c r="I341" s="42" t="n">
        <v>97</v>
      </c>
      <c r="J341" s="42" t="n">
        <v>4307</v>
      </c>
      <c r="K341" s="42" t="n">
        <v>169</v>
      </c>
      <c r="L341" s="43" t="n">
        <f aca="false">J341-K341</f>
        <v>4138</v>
      </c>
      <c r="M341" s="42" t="n">
        <v>2067</v>
      </c>
      <c r="N341" s="43" t="n">
        <f aca="false">L341-M341</f>
        <v>2071</v>
      </c>
    </row>
    <row r="342" customFormat="false" ht="15" hidden="false" customHeight="false" outlineLevel="0" collapsed="false">
      <c r="A342" s="40" t="n">
        <v>45809</v>
      </c>
      <c r="B342" s="41" t="n">
        <v>2025</v>
      </c>
      <c r="C342" s="41" t="n">
        <v>6</v>
      </c>
      <c r="D342" s="41" t="s">
        <v>51</v>
      </c>
      <c r="E342" s="41" t="s">
        <v>45</v>
      </c>
      <c r="F342" s="41" t="s">
        <v>43</v>
      </c>
      <c r="G342" s="41" t="s">
        <v>37</v>
      </c>
      <c r="H342" s="42" t="n">
        <v>29</v>
      </c>
      <c r="I342" s="42" t="n">
        <v>39</v>
      </c>
      <c r="J342" s="42" t="n">
        <v>5910</v>
      </c>
      <c r="K342" s="42" t="n">
        <v>177</v>
      </c>
      <c r="L342" s="43" t="n">
        <f aca="false">J342-K342</f>
        <v>5733</v>
      </c>
      <c r="M342" s="42" t="n">
        <v>3117</v>
      </c>
      <c r="N342" s="43" t="n">
        <f aca="false">L342-M342</f>
        <v>2616</v>
      </c>
    </row>
    <row r="343" customFormat="false" ht="15" hidden="false" customHeight="false" outlineLevel="0" collapsed="false">
      <c r="A343" s="40" t="n">
        <v>45809</v>
      </c>
      <c r="B343" s="41" t="n">
        <v>2025</v>
      </c>
      <c r="C343" s="41" t="n">
        <v>6</v>
      </c>
      <c r="D343" s="41" t="s">
        <v>51</v>
      </c>
      <c r="E343" s="41" t="s">
        <v>45</v>
      </c>
      <c r="F343" s="41" t="s">
        <v>43</v>
      </c>
      <c r="G343" s="41" t="s">
        <v>38</v>
      </c>
      <c r="H343" s="42" t="n">
        <v>38</v>
      </c>
      <c r="I343" s="42" t="n">
        <v>55</v>
      </c>
      <c r="J343" s="42" t="n">
        <v>4557</v>
      </c>
      <c r="K343" s="42" t="n">
        <v>177</v>
      </c>
      <c r="L343" s="43" t="n">
        <f aca="false">J343-K343</f>
        <v>4380</v>
      </c>
      <c r="M343" s="42" t="n">
        <v>1958</v>
      </c>
      <c r="N343" s="43" t="n">
        <f aca="false">L343-M343</f>
        <v>2422</v>
      </c>
    </row>
    <row r="344" customFormat="false" ht="15" hidden="false" customHeight="false" outlineLevel="0" collapsed="false">
      <c r="A344" s="40" t="n">
        <v>45809</v>
      </c>
      <c r="B344" s="41" t="n">
        <v>2025</v>
      </c>
      <c r="C344" s="41" t="n">
        <v>6</v>
      </c>
      <c r="D344" s="41" t="s">
        <v>51</v>
      </c>
      <c r="E344" s="41" t="s">
        <v>45</v>
      </c>
      <c r="F344" s="41" t="s">
        <v>43</v>
      </c>
      <c r="G344" s="41" t="s">
        <v>39</v>
      </c>
      <c r="H344" s="42" t="n">
        <v>67</v>
      </c>
      <c r="I344" s="42" t="n">
        <v>106</v>
      </c>
      <c r="J344" s="42" t="n">
        <v>5936</v>
      </c>
      <c r="K344" s="42" t="n">
        <v>339</v>
      </c>
      <c r="L344" s="43" t="n">
        <f aca="false">J344-K344</f>
        <v>5597</v>
      </c>
      <c r="M344" s="42" t="n">
        <v>2189</v>
      </c>
      <c r="N344" s="43" t="n">
        <f aca="false">L344-M344</f>
        <v>3408</v>
      </c>
    </row>
    <row r="345" customFormat="false" ht="15" hidden="false" customHeight="false" outlineLevel="0" collapsed="false">
      <c r="A345" s="40" t="n">
        <v>45809</v>
      </c>
      <c r="B345" s="41" t="n">
        <v>2025</v>
      </c>
      <c r="C345" s="41" t="n">
        <v>6</v>
      </c>
      <c r="D345" s="41" t="s">
        <v>51</v>
      </c>
      <c r="E345" s="41" t="s">
        <v>45</v>
      </c>
      <c r="F345" s="41" t="s">
        <v>43</v>
      </c>
      <c r="G345" s="41" t="s">
        <v>40</v>
      </c>
      <c r="H345" s="42" t="n">
        <v>29</v>
      </c>
      <c r="I345" s="42" t="n">
        <v>44</v>
      </c>
      <c r="J345" s="42" t="n">
        <v>3879</v>
      </c>
      <c r="K345" s="42" t="n">
        <v>383</v>
      </c>
      <c r="L345" s="43" t="n">
        <f aca="false">J345-K345</f>
        <v>3496</v>
      </c>
      <c r="M345" s="42" t="n">
        <v>1925</v>
      </c>
      <c r="N345" s="43" t="n">
        <f aca="false">L345-M345</f>
        <v>1571</v>
      </c>
    </row>
    <row r="346" customFormat="false" ht="15" hidden="false" customHeight="false" outlineLevel="0" collapsed="false">
      <c r="A346" s="40" t="n">
        <v>45809</v>
      </c>
      <c r="B346" s="41" t="n">
        <v>2025</v>
      </c>
      <c r="C346" s="41" t="n">
        <v>6</v>
      </c>
      <c r="D346" s="41" t="s">
        <v>51</v>
      </c>
      <c r="E346" s="41" t="s">
        <v>45</v>
      </c>
      <c r="F346" s="41" t="s">
        <v>43</v>
      </c>
      <c r="G346" s="41" t="s">
        <v>41</v>
      </c>
      <c r="H346" s="42" t="n">
        <v>39</v>
      </c>
      <c r="I346" s="42" t="n">
        <v>55</v>
      </c>
      <c r="J346" s="42" t="n">
        <v>2538</v>
      </c>
      <c r="K346" s="42" t="n">
        <v>54</v>
      </c>
      <c r="L346" s="43" t="n">
        <f aca="false">J346-K346</f>
        <v>2484</v>
      </c>
      <c r="M346" s="42" t="n">
        <v>1208</v>
      </c>
      <c r="N346" s="43" t="n">
        <f aca="false">L346-M346</f>
        <v>1276</v>
      </c>
    </row>
    <row r="347" customFormat="false" ht="15" hidden="false" customHeight="false" outlineLevel="0" collapsed="false">
      <c r="A347" s="40" t="n">
        <v>45809</v>
      </c>
      <c r="B347" s="41" t="n">
        <v>2025</v>
      </c>
      <c r="C347" s="41" t="n">
        <v>6</v>
      </c>
      <c r="D347" s="41" t="s">
        <v>51</v>
      </c>
      <c r="E347" s="41" t="s">
        <v>46</v>
      </c>
      <c r="F347" s="41" t="s">
        <v>36</v>
      </c>
      <c r="G347" s="41" t="s">
        <v>37</v>
      </c>
      <c r="H347" s="42" t="n">
        <v>60</v>
      </c>
      <c r="I347" s="42" t="n">
        <v>86</v>
      </c>
      <c r="J347" s="42" t="n">
        <v>11391</v>
      </c>
      <c r="K347" s="42" t="n">
        <v>516</v>
      </c>
      <c r="L347" s="43" t="n">
        <f aca="false">J347-K347</f>
        <v>10875</v>
      </c>
      <c r="M347" s="42" t="n">
        <v>5771</v>
      </c>
      <c r="N347" s="43" t="n">
        <f aca="false">L347-M347</f>
        <v>5104</v>
      </c>
    </row>
    <row r="348" customFormat="false" ht="15" hidden="false" customHeight="false" outlineLevel="0" collapsed="false">
      <c r="A348" s="40" t="n">
        <v>45809</v>
      </c>
      <c r="B348" s="41" t="n">
        <v>2025</v>
      </c>
      <c r="C348" s="41" t="n">
        <v>6</v>
      </c>
      <c r="D348" s="41" t="s">
        <v>51</v>
      </c>
      <c r="E348" s="41" t="s">
        <v>46</v>
      </c>
      <c r="F348" s="41" t="s">
        <v>36</v>
      </c>
      <c r="G348" s="41" t="s">
        <v>38</v>
      </c>
      <c r="H348" s="42" t="n">
        <v>86</v>
      </c>
      <c r="I348" s="42" t="n">
        <v>136</v>
      </c>
      <c r="J348" s="42" t="n">
        <v>9684</v>
      </c>
      <c r="K348" s="42" t="n">
        <v>428</v>
      </c>
      <c r="L348" s="43" t="n">
        <f aca="false">J348-K348</f>
        <v>9256</v>
      </c>
      <c r="M348" s="42" t="n">
        <v>4211</v>
      </c>
      <c r="N348" s="43" t="n">
        <f aca="false">L348-M348</f>
        <v>5045</v>
      </c>
    </row>
    <row r="349" customFormat="false" ht="15" hidden="false" customHeight="false" outlineLevel="0" collapsed="false">
      <c r="A349" s="40" t="n">
        <v>45809</v>
      </c>
      <c r="B349" s="41" t="n">
        <v>2025</v>
      </c>
      <c r="C349" s="41" t="n">
        <v>6</v>
      </c>
      <c r="D349" s="41" t="s">
        <v>51</v>
      </c>
      <c r="E349" s="41" t="s">
        <v>46</v>
      </c>
      <c r="F349" s="41" t="s">
        <v>36</v>
      </c>
      <c r="G349" s="41" t="s">
        <v>39</v>
      </c>
      <c r="H349" s="42" t="n">
        <v>137</v>
      </c>
      <c r="I349" s="42" t="n">
        <v>205</v>
      </c>
      <c r="J349" s="42" t="n">
        <v>11469</v>
      </c>
      <c r="K349" s="42" t="n">
        <v>974</v>
      </c>
      <c r="L349" s="43" t="n">
        <f aca="false">J349-K349</f>
        <v>10495</v>
      </c>
      <c r="M349" s="42" t="n">
        <v>4212</v>
      </c>
      <c r="N349" s="43" t="n">
        <f aca="false">L349-M349</f>
        <v>6283</v>
      </c>
    </row>
    <row r="350" customFormat="false" ht="15" hidden="false" customHeight="false" outlineLevel="0" collapsed="false">
      <c r="A350" s="40" t="n">
        <v>45809</v>
      </c>
      <c r="B350" s="41" t="n">
        <v>2025</v>
      </c>
      <c r="C350" s="41" t="n">
        <v>6</v>
      </c>
      <c r="D350" s="41" t="s">
        <v>51</v>
      </c>
      <c r="E350" s="41" t="s">
        <v>46</v>
      </c>
      <c r="F350" s="41" t="s">
        <v>36</v>
      </c>
      <c r="G350" s="41" t="s">
        <v>40</v>
      </c>
      <c r="H350" s="42" t="n">
        <v>64</v>
      </c>
      <c r="I350" s="42" t="n">
        <v>75</v>
      </c>
      <c r="J350" s="42" t="n">
        <v>8170</v>
      </c>
      <c r="K350" s="42" t="n">
        <v>892</v>
      </c>
      <c r="L350" s="43" t="n">
        <f aca="false">J350-K350</f>
        <v>7278</v>
      </c>
      <c r="M350" s="42" t="n">
        <v>3979</v>
      </c>
      <c r="N350" s="43" t="n">
        <f aca="false">L350-M350</f>
        <v>3299</v>
      </c>
    </row>
    <row r="351" customFormat="false" ht="15" hidden="false" customHeight="false" outlineLevel="0" collapsed="false">
      <c r="A351" s="40" t="n">
        <v>45809</v>
      </c>
      <c r="B351" s="41" t="n">
        <v>2025</v>
      </c>
      <c r="C351" s="41" t="n">
        <v>6</v>
      </c>
      <c r="D351" s="41" t="s">
        <v>51</v>
      </c>
      <c r="E351" s="41" t="s">
        <v>46</v>
      </c>
      <c r="F351" s="41" t="s">
        <v>36</v>
      </c>
      <c r="G351" s="41" t="s">
        <v>41</v>
      </c>
      <c r="H351" s="42" t="n">
        <v>80</v>
      </c>
      <c r="I351" s="42" t="n">
        <v>107</v>
      </c>
      <c r="J351" s="42" t="n">
        <v>4903</v>
      </c>
      <c r="K351" s="42" t="n">
        <v>142</v>
      </c>
      <c r="L351" s="43" t="n">
        <f aca="false">J351-K351</f>
        <v>4761</v>
      </c>
      <c r="M351" s="42" t="n">
        <v>2312</v>
      </c>
      <c r="N351" s="43" t="n">
        <f aca="false">L351-M351</f>
        <v>2449</v>
      </c>
    </row>
    <row r="352" customFormat="false" ht="15" hidden="false" customHeight="false" outlineLevel="0" collapsed="false">
      <c r="A352" s="40" t="n">
        <v>45809</v>
      </c>
      <c r="B352" s="41" t="n">
        <v>2025</v>
      </c>
      <c r="C352" s="41" t="n">
        <v>6</v>
      </c>
      <c r="D352" s="41" t="s">
        <v>51</v>
      </c>
      <c r="E352" s="41" t="s">
        <v>46</v>
      </c>
      <c r="F352" s="41" t="s">
        <v>42</v>
      </c>
      <c r="G352" s="41" t="s">
        <v>37</v>
      </c>
      <c r="H352" s="42" t="n">
        <v>44</v>
      </c>
      <c r="I352" s="42" t="n">
        <v>56</v>
      </c>
      <c r="J352" s="42" t="n">
        <v>7570</v>
      </c>
      <c r="K352" s="42" t="n">
        <v>364</v>
      </c>
      <c r="L352" s="43" t="n">
        <f aca="false">J352-K352</f>
        <v>7206</v>
      </c>
      <c r="M352" s="42" t="n">
        <v>4012</v>
      </c>
      <c r="N352" s="43" t="n">
        <f aca="false">L352-M352</f>
        <v>3194</v>
      </c>
    </row>
    <row r="353" customFormat="false" ht="15" hidden="false" customHeight="false" outlineLevel="0" collapsed="false">
      <c r="A353" s="40" t="n">
        <v>45809</v>
      </c>
      <c r="B353" s="41" t="n">
        <v>2025</v>
      </c>
      <c r="C353" s="41" t="n">
        <v>6</v>
      </c>
      <c r="D353" s="41" t="s">
        <v>51</v>
      </c>
      <c r="E353" s="41" t="s">
        <v>46</v>
      </c>
      <c r="F353" s="41" t="s">
        <v>42</v>
      </c>
      <c r="G353" s="41" t="s">
        <v>38</v>
      </c>
      <c r="H353" s="42" t="n">
        <v>75</v>
      </c>
      <c r="I353" s="42" t="n">
        <v>104</v>
      </c>
      <c r="J353" s="42" t="n">
        <v>7761</v>
      </c>
      <c r="K353" s="42" t="n">
        <v>465</v>
      </c>
      <c r="L353" s="43" t="n">
        <f aca="false">J353-K353</f>
        <v>7296</v>
      </c>
      <c r="M353" s="42" t="n">
        <v>3506</v>
      </c>
      <c r="N353" s="43" t="n">
        <f aca="false">L353-M353</f>
        <v>3790</v>
      </c>
    </row>
    <row r="354" customFormat="false" ht="15" hidden="false" customHeight="false" outlineLevel="0" collapsed="false">
      <c r="A354" s="40" t="n">
        <v>45809</v>
      </c>
      <c r="B354" s="41" t="n">
        <v>2025</v>
      </c>
      <c r="C354" s="41" t="n">
        <v>6</v>
      </c>
      <c r="D354" s="41" t="s">
        <v>51</v>
      </c>
      <c r="E354" s="41" t="s">
        <v>46</v>
      </c>
      <c r="F354" s="41" t="s">
        <v>42</v>
      </c>
      <c r="G354" s="41" t="s">
        <v>39</v>
      </c>
      <c r="H354" s="42" t="n">
        <v>103</v>
      </c>
      <c r="I354" s="42" t="n">
        <v>128</v>
      </c>
      <c r="J354" s="42" t="n">
        <v>7977</v>
      </c>
      <c r="K354" s="42" t="n">
        <v>917</v>
      </c>
      <c r="L354" s="43" t="n">
        <f aca="false">J354-K354</f>
        <v>7060</v>
      </c>
      <c r="M354" s="42" t="n">
        <v>2974</v>
      </c>
      <c r="N354" s="43" t="n">
        <f aca="false">L354-M354</f>
        <v>4086</v>
      </c>
    </row>
    <row r="355" customFormat="false" ht="15" hidden="false" customHeight="false" outlineLevel="0" collapsed="false">
      <c r="A355" s="40" t="n">
        <v>45809</v>
      </c>
      <c r="B355" s="41" t="n">
        <v>2025</v>
      </c>
      <c r="C355" s="41" t="n">
        <v>6</v>
      </c>
      <c r="D355" s="41" t="s">
        <v>51</v>
      </c>
      <c r="E355" s="41" t="s">
        <v>46</v>
      </c>
      <c r="F355" s="41" t="s">
        <v>42</v>
      </c>
      <c r="G355" s="41" t="s">
        <v>40</v>
      </c>
      <c r="H355" s="42" t="n">
        <v>55</v>
      </c>
      <c r="I355" s="42" t="n">
        <v>79</v>
      </c>
      <c r="J355" s="42" t="n">
        <v>6436</v>
      </c>
      <c r="K355" s="42" t="n">
        <v>1030</v>
      </c>
      <c r="L355" s="43" t="n">
        <f aca="false">J355-K355</f>
        <v>5406</v>
      </c>
      <c r="M355" s="42" t="n">
        <v>3082</v>
      </c>
      <c r="N355" s="43" t="n">
        <f aca="false">L355-M355</f>
        <v>2324</v>
      </c>
    </row>
    <row r="356" customFormat="false" ht="15" hidden="false" customHeight="false" outlineLevel="0" collapsed="false">
      <c r="A356" s="40" t="n">
        <v>45809</v>
      </c>
      <c r="B356" s="41" t="n">
        <v>2025</v>
      </c>
      <c r="C356" s="41" t="n">
        <v>6</v>
      </c>
      <c r="D356" s="41" t="s">
        <v>51</v>
      </c>
      <c r="E356" s="41" t="s">
        <v>46</v>
      </c>
      <c r="F356" s="41" t="s">
        <v>42</v>
      </c>
      <c r="G356" s="41" t="s">
        <v>41</v>
      </c>
      <c r="H356" s="42" t="n">
        <v>65</v>
      </c>
      <c r="I356" s="42" t="n">
        <v>103</v>
      </c>
      <c r="J356" s="42" t="n">
        <v>3646</v>
      </c>
      <c r="K356" s="42" t="n">
        <v>139</v>
      </c>
      <c r="L356" s="43" t="n">
        <f aca="false">J356-K356</f>
        <v>3507</v>
      </c>
      <c r="M356" s="42" t="n">
        <v>1771</v>
      </c>
      <c r="N356" s="43" t="n">
        <f aca="false">L356-M356</f>
        <v>1736</v>
      </c>
    </row>
    <row r="357" customFormat="false" ht="15" hidden="false" customHeight="false" outlineLevel="0" collapsed="false">
      <c r="A357" s="40" t="n">
        <v>45809</v>
      </c>
      <c r="B357" s="41" t="n">
        <v>2025</v>
      </c>
      <c r="C357" s="41" t="n">
        <v>6</v>
      </c>
      <c r="D357" s="41" t="s">
        <v>51</v>
      </c>
      <c r="E357" s="41" t="s">
        <v>46</v>
      </c>
      <c r="F357" s="41" t="s">
        <v>43</v>
      </c>
      <c r="G357" s="41" t="s">
        <v>37</v>
      </c>
      <c r="H357" s="42" t="n">
        <v>30</v>
      </c>
      <c r="I357" s="42" t="n">
        <v>46</v>
      </c>
      <c r="J357" s="42" t="n">
        <v>5914</v>
      </c>
      <c r="K357" s="42" t="n">
        <v>163</v>
      </c>
      <c r="L357" s="43" t="n">
        <f aca="false">J357-K357</f>
        <v>5751</v>
      </c>
      <c r="M357" s="42" t="n">
        <v>3010</v>
      </c>
      <c r="N357" s="43" t="n">
        <f aca="false">L357-M357</f>
        <v>2741</v>
      </c>
    </row>
    <row r="358" customFormat="false" ht="15" hidden="false" customHeight="false" outlineLevel="0" collapsed="false">
      <c r="A358" s="40" t="n">
        <v>45809</v>
      </c>
      <c r="B358" s="41" t="n">
        <v>2025</v>
      </c>
      <c r="C358" s="41" t="n">
        <v>6</v>
      </c>
      <c r="D358" s="41" t="s">
        <v>51</v>
      </c>
      <c r="E358" s="41" t="s">
        <v>46</v>
      </c>
      <c r="F358" s="41" t="s">
        <v>43</v>
      </c>
      <c r="G358" s="41" t="s">
        <v>38</v>
      </c>
      <c r="H358" s="42" t="n">
        <v>41</v>
      </c>
      <c r="I358" s="42" t="n">
        <v>49</v>
      </c>
      <c r="J358" s="42" t="n">
        <v>4815</v>
      </c>
      <c r="K358" s="42" t="n">
        <v>191</v>
      </c>
      <c r="L358" s="43" t="n">
        <f aca="false">J358-K358</f>
        <v>4624</v>
      </c>
      <c r="M358" s="42" t="n">
        <v>2063</v>
      </c>
      <c r="N358" s="43" t="n">
        <f aca="false">L358-M358</f>
        <v>2561</v>
      </c>
    </row>
    <row r="359" customFormat="false" ht="15" hidden="false" customHeight="false" outlineLevel="0" collapsed="false">
      <c r="A359" s="40" t="n">
        <v>45809</v>
      </c>
      <c r="B359" s="41" t="n">
        <v>2025</v>
      </c>
      <c r="C359" s="41" t="n">
        <v>6</v>
      </c>
      <c r="D359" s="41" t="s">
        <v>51</v>
      </c>
      <c r="E359" s="41" t="s">
        <v>46</v>
      </c>
      <c r="F359" s="41" t="s">
        <v>43</v>
      </c>
      <c r="G359" s="41" t="s">
        <v>39</v>
      </c>
      <c r="H359" s="42" t="n">
        <v>70</v>
      </c>
      <c r="I359" s="42" t="n">
        <v>89</v>
      </c>
      <c r="J359" s="42" t="n">
        <v>6211</v>
      </c>
      <c r="K359" s="42" t="n">
        <v>413</v>
      </c>
      <c r="L359" s="43" t="n">
        <f aca="false">J359-K359</f>
        <v>5798</v>
      </c>
      <c r="M359" s="42" t="n">
        <v>2228</v>
      </c>
      <c r="N359" s="43" t="n">
        <f aca="false">L359-M359</f>
        <v>3570</v>
      </c>
    </row>
    <row r="360" customFormat="false" ht="15" hidden="false" customHeight="false" outlineLevel="0" collapsed="false">
      <c r="A360" s="40" t="n">
        <v>45809</v>
      </c>
      <c r="B360" s="41" t="n">
        <v>2025</v>
      </c>
      <c r="C360" s="41" t="n">
        <v>6</v>
      </c>
      <c r="D360" s="41" t="s">
        <v>51</v>
      </c>
      <c r="E360" s="41" t="s">
        <v>46</v>
      </c>
      <c r="F360" s="41" t="s">
        <v>43</v>
      </c>
      <c r="G360" s="41" t="s">
        <v>40</v>
      </c>
      <c r="H360" s="42" t="n">
        <v>29</v>
      </c>
      <c r="I360" s="42" t="n">
        <v>36</v>
      </c>
      <c r="J360" s="42" t="n">
        <v>3988</v>
      </c>
      <c r="K360" s="42" t="n">
        <v>268</v>
      </c>
      <c r="L360" s="43" t="n">
        <f aca="false">J360-K360</f>
        <v>3720</v>
      </c>
      <c r="M360" s="42" t="n">
        <v>2073</v>
      </c>
      <c r="N360" s="43" t="n">
        <f aca="false">L360-M360</f>
        <v>1647</v>
      </c>
    </row>
    <row r="361" customFormat="false" ht="15" hidden="false" customHeight="false" outlineLevel="0" collapsed="false">
      <c r="A361" s="40" t="n">
        <v>45809</v>
      </c>
      <c r="B361" s="41" t="n">
        <v>2025</v>
      </c>
      <c r="C361" s="41" t="n">
        <v>6</v>
      </c>
      <c r="D361" s="41" t="s">
        <v>51</v>
      </c>
      <c r="E361" s="41" t="s">
        <v>46</v>
      </c>
      <c r="F361" s="41" t="s">
        <v>43</v>
      </c>
      <c r="G361" s="41" t="s">
        <v>41</v>
      </c>
      <c r="H361" s="42" t="n">
        <v>39</v>
      </c>
      <c r="I361" s="42" t="n">
        <v>49</v>
      </c>
      <c r="J361" s="42" t="n">
        <v>2548</v>
      </c>
      <c r="K361" s="42" t="n">
        <v>49</v>
      </c>
      <c r="L361" s="43" t="n">
        <f aca="false">J361-K361</f>
        <v>2499</v>
      </c>
      <c r="M361" s="42" t="n">
        <v>1198</v>
      </c>
      <c r="N361" s="43" t="n">
        <f aca="false">L361-M361</f>
        <v>1301</v>
      </c>
    </row>
    <row r="362" customFormat="false" ht="15" hidden="false" customHeight="false" outlineLevel="0" collapsed="false">
      <c r="A362" s="40" t="n">
        <v>45839</v>
      </c>
      <c r="B362" s="41" t="n">
        <v>2025</v>
      </c>
      <c r="C362" s="41" t="n">
        <v>7</v>
      </c>
      <c r="D362" s="41" t="s">
        <v>52</v>
      </c>
      <c r="E362" s="41" t="s">
        <v>35</v>
      </c>
      <c r="F362" s="41" t="s">
        <v>36</v>
      </c>
      <c r="G362" s="41" t="s">
        <v>37</v>
      </c>
      <c r="H362" s="42" t="n">
        <v>109</v>
      </c>
      <c r="I362" s="42" t="n">
        <v>157</v>
      </c>
      <c r="J362" s="42" t="n">
        <v>20511</v>
      </c>
      <c r="K362" s="42" t="n">
        <v>873</v>
      </c>
      <c r="L362" s="43" t="n">
        <f aca="false">J362-K362</f>
        <v>19638</v>
      </c>
      <c r="M362" s="42" t="n">
        <v>10322</v>
      </c>
      <c r="N362" s="43" t="n">
        <f aca="false">L362-M362</f>
        <v>9316</v>
      </c>
    </row>
    <row r="363" customFormat="false" ht="15" hidden="false" customHeight="false" outlineLevel="0" collapsed="false">
      <c r="A363" s="40" t="n">
        <v>45839</v>
      </c>
      <c r="B363" s="41" t="n">
        <v>2025</v>
      </c>
      <c r="C363" s="41" t="n">
        <v>7</v>
      </c>
      <c r="D363" s="41" t="s">
        <v>52</v>
      </c>
      <c r="E363" s="41" t="s">
        <v>35</v>
      </c>
      <c r="F363" s="41" t="s">
        <v>36</v>
      </c>
      <c r="G363" s="41" t="s">
        <v>38</v>
      </c>
      <c r="H363" s="42" t="n">
        <v>183</v>
      </c>
      <c r="I363" s="42" t="n">
        <v>281</v>
      </c>
      <c r="J363" s="42" t="n">
        <v>20512</v>
      </c>
      <c r="K363" s="42" t="n">
        <v>844</v>
      </c>
      <c r="L363" s="43" t="n">
        <f aca="false">J363-K363</f>
        <v>19668</v>
      </c>
      <c r="M363" s="42" t="n">
        <v>9025</v>
      </c>
      <c r="N363" s="43" t="n">
        <f aca="false">L363-M363</f>
        <v>10643</v>
      </c>
    </row>
    <row r="364" customFormat="false" ht="15" hidden="false" customHeight="false" outlineLevel="0" collapsed="false">
      <c r="A364" s="40" t="n">
        <v>45839</v>
      </c>
      <c r="B364" s="41" t="n">
        <v>2025</v>
      </c>
      <c r="C364" s="41" t="n">
        <v>7</v>
      </c>
      <c r="D364" s="41" t="s">
        <v>52</v>
      </c>
      <c r="E364" s="41" t="s">
        <v>35</v>
      </c>
      <c r="F364" s="41" t="s">
        <v>36</v>
      </c>
      <c r="G364" s="41" t="s">
        <v>39</v>
      </c>
      <c r="H364" s="42" t="n">
        <v>289</v>
      </c>
      <c r="I364" s="42" t="n">
        <v>434</v>
      </c>
      <c r="J364" s="42" t="n">
        <v>24279</v>
      </c>
      <c r="K364" s="42" t="n">
        <v>2079</v>
      </c>
      <c r="L364" s="43" t="n">
        <f aca="false">J364-K364</f>
        <v>22200</v>
      </c>
      <c r="M364" s="42" t="n">
        <v>8830</v>
      </c>
      <c r="N364" s="43" t="n">
        <f aca="false">L364-M364</f>
        <v>13370</v>
      </c>
    </row>
    <row r="365" customFormat="false" ht="15" hidden="false" customHeight="false" outlineLevel="0" collapsed="false">
      <c r="A365" s="40" t="n">
        <v>45839</v>
      </c>
      <c r="B365" s="41" t="n">
        <v>2025</v>
      </c>
      <c r="C365" s="41" t="n">
        <v>7</v>
      </c>
      <c r="D365" s="41" t="s">
        <v>52</v>
      </c>
      <c r="E365" s="41" t="s">
        <v>35</v>
      </c>
      <c r="F365" s="41" t="s">
        <v>36</v>
      </c>
      <c r="G365" s="41" t="s">
        <v>40</v>
      </c>
      <c r="H365" s="42" t="n">
        <v>127</v>
      </c>
      <c r="I365" s="42" t="n">
        <v>147</v>
      </c>
      <c r="J365" s="42" t="n">
        <v>16283</v>
      </c>
      <c r="K365" s="42" t="n">
        <v>1572</v>
      </c>
      <c r="L365" s="43" t="n">
        <f aca="false">J365-K365</f>
        <v>14711</v>
      </c>
      <c r="M365" s="42" t="n">
        <v>8310</v>
      </c>
      <c r="N365" s="43" t="n">
        <f aca="false">L365-M365</f>
        <v>6401</v>
      </c>
    </row>
    <row r="366" customFormat="false" ht="15" hidden="false" customHeight="false" outlineLevel="0" collapsed="false">
      <c r="A366" s="40" t="n">
        <v>45839</v>
      </c>
      <c r="B366" s="41" t="n">
        <v>2025</v>
      </c>
      <c r="C366" s="41" t="n">
        <v>7</v>
      </c>
      <c r="D366" s="41" t="s">
        <v>52</v>
      </c>
      <c r="E366" s="41" t="s">
        <v>35</v>
      </c>
      <c r="F366" s="41" t="s">
        <v>36</v>
      </c>
      <c r="G366" s="41" t="s">
        <v>41</v>
      </c>
      <c r="H366" s="42" t="n">
        <v>179</v>
      </c>
      <c r="I366" s="42" t="n">
        <v>226</v>
      </c>
      <c r="J366" s="42" t="n">
        <v>10922</v>
      </c>
      <c r="K366" s="42" t="n">
        <v>275</v>
      </c>
      <c r="L366" s="43" t="n">
        <f aca="false">J366-K366</f>
        <v>10647</v>
      </c>
      <c r="M366" s="42" t="n">
        <v>5001</v>
      </c>
      <c r="N366" s="43" t="n">
        <f aca="false">L366-M366</f>
        <v>5646</v>
      </c>
    </row>
    <row r="367" customFormat="false" ht="15" hidden="false" customHeight="false" outlineLevel="0" collapsed="false">
      <c r="A367" s="40" t="n">
        <v>45839</v>
      </c>
      <c r="B367" s="41" t="n">
        <v>2025</v>
      </c>
      <c r="C367" s="41" t="n">
        <v>7</v>
      </c>
      <c r="D367" s="41" t="s">
        <v>52</v>
      </c>
      <c r="E367" s="41" t="s">
        <v>35</v>
      </c>
      <c r="F367" s="41" t="s">
        <v>42</v>
      </c>
      <c r="G367" s="41" t="s">
        <v>37</v>
      </c>
      <c r="H367" s="42" t="n">
        <v>77</v>
      </c>
      <c r="I367" s="42" t="n">
        <v>115</v>
      </c>
      <c r="J367" s="42" t="n">
        <v>13474</v>
      </c>
      <c r="K367" s="42" t="n">
        <v>683</v>
      </c>
      <c r="L367" s="43" t="n">
        <f aca="false">J367-K367</f>
        <v>12791</v>
      </c>
      <c r="M367" s="42" t="n">
        <v>6874</v>
      </c>
      <c r="N367" s="43" t="n">
        <f aca="false">L367-M367</f>
        <v>5917</v>
      </c>
    </row>
    <row r="368" customFormat="false" ht="15" hidden="false" customHeight="false" outlineLevel="0" collapsed="false">
      <c r="A368" s="40" t="n">
        <v>45839</v>
      </c>
      <c r="B368" s="41" t="n">
        <v>2025</v>
      </c>
      <c r="C368" s="41" t="n">
        <v>7</v>
      </c>
      <c r="D368" s="41" t="s">
        <v>52</v>
      </c>
      <c r="E368" s="41" t="s">
        <v>35</v>
      </c>
      <c r="F368" s="41" t="s">
        <v>42</v>
      </c>
      <c r="G368" s="41" t="s">
        <v>38</v>
      </c>
      <c r="H368" s="42" t="n">
        <v>138</v>
      </c>
      <c r="I368" s="42" t="n">
        <v>208</v>
      </c>
      <c r="J368" s="42" t="n">
        <v>14182</v>
      </c>
      <c r="K368" s="42" t="n">
        <v>830</v>
      </c>
      <c r="L368" s="43" t="n">
        <f aca="false">J368-K368</f>
        <v>13352</v>
      </c>
      <c r="M368" s="42" t="n">
        <v>6450</v>
      </c>
      <c r="N368" s="43" t="n">
        <f aca="false">L368-M368</f>
        <v>6902</v>
      </c>
    </row>
    <row r="369" customFormat="false" ht="15" hidden="false" customHeight="false" outlineLevel="0" collapsed="false">
      <c r="A369" s="40" t="n">
        <v>45839</v>
      </c>
      <c r="B369" s="41" t="n">
        <v>2025</v>
      </c>
      <c r="C369" s="41" t="n">
        <v>7</v>
      </c>
      <c r="D369" s="41" t="s">
        <v>52</v>
      </c>
      <c r="E369" s="41" t="s">
        <v>35</v>
      </c>
      <c r="F369" s="41" t="s">
        <v>42</v>
      </c>
      <c r="G369" s="41" t="s">
        <v>39</v>
      </c>
      <c r="H369" s="42" t="n">
        <v>202</v>
      </c>
      <c r="I369" s="42" t="n">
        <v>303</v>
      </c>
      <c r="J369" s="42" t="n">
        <v>15627</v>
      </c>
      <c r="K369" s="42" t="n">
        <v>2252</v>
      </c>
      <c r="L369" s="43" t="n">
        <f aca="false">J369-K369</f>
        <v>13375</v>
      </c>
      <c r="M369" s="42" t="n">
        <v>5674</v>
      </c>
      <c r="N369" s="43" t="n">
        <f aca="false">L369-M369</f>
        <v>7701</v>
      </c>
    </row>
    <row r="370" customFormat="false" ht="15" hidden="false" customHeight="false" outlineLevel="0" collapsed="false">
      <c r="A370" s="40" t="n">
        <v>45839</v>
      </c>
      <c r="B370" s="41" t="n">
        <v>2025</v>
      </c>
      <c r="C370" s="41" t="n">
        <v>7</v>
      </c>
      <c r="D370" s="41" t="s">
        <v>52</v>
      </c>
      <c r="E370" s="41" t="s">
        <v>35</v>
      </c>
      <c r="F370" s="41" t="s">
        <v>42</v>
      </c>
      <c r="G370" s="41" t="s">
        <v>40</v>
      </c>
      <c r="H370" s="42" t="n">
        <v>100</v>
      </c>
      <c r="I370" s="42" t="n">
        <v>153</v>
      </c>
      <c r="J370" s="42" t="n">
        <v>11801</v>
      </c>
      <c r="K370" s="42" t="n">
        <v>1680</v>
      </c>
      <c r="L370" s="43" t="n">
        <f aca="false">J370-K370</f>
        <v>10121</v>
      </c>
      <c r="M370" s="42" t="n">
        <v>5815</v>
      </c>
      <c r="N370" s="43" t="n">
        <f aca="false">L370-M370</f>
        <v>4306</v>
      </c>
    </row>
    <row r="371" customFormat="false" ht="15" hidden="false" customHeight="false" outlineLevel="0" collapsed="false">
      <c r="A371" s="40" t="n">
        <v>45839</v>
      </c>
      <c r="B371" s="41" t="n">
        <v>2025</v>
      </c>
      <c r="C371" s="41" t="n">
        <v>7</v>
      </c>
      <c r="D371" s="41" t="s">
        <v>52</v>
      </c>
      <c r="E371" s="41" t="s">
        <v>35</v>
      </c>
      <c r="F371" s="41" t="s">
        <v>42</v>
      </c>
      <c r="G371" s="41" t="s">
        <v>41</v>
      </c>
      <c r="H371" s="42" t="n">
        <v>131</v>
      </c>
      <c r="I371" s="42" t="n">
        <v>194</v>
      </c>
      <c r="J371" s="42" t="n">
        <v>7343</v>
      </c>
      <c r="K371" s="42" t="n">
        <v>290</v>
      </c>
      <c r="L371" s="43" t="n">
        <f aca="false">J371-K371</f>
        <v>7053</v>
      </c>
      <c r="M371" s="42" t="n">
        <v>3613</v>
      </c>
      <c r="N371" s="43" t="n">
        <f aca="false">L371-M371</f>
        <v>3440</v>
      </c>
    </row>
    <row r="372" customFormat="false" ht="15" hidden="false" customHeight="false" outlineLevel="0" collapsed="false">
      <c r="A372" s="40" t="n">
        <v>45839</v>
      </c>
      <c r="B372" s="41" t="n">
        <v>2025</v>
      </c>
      <c r="C372" s="41" t="n">
        <v>7</v>
      </c>
      <c r="D372" s="41" t="s">
        <v>52</v>
      </c>
      <c r="E372" s="41" t="s">
        <v>35</v>
      </c>
      <c r="F372" s="41" t="s">
        <v>43</v>
      </c>
      <c r="G372" s="41" t="s">
        <v>37</v>
      </c>
      <c r="H372" s="42" t="n">
        <v>51</v>
      </c>
      <c r="I372" s="42" t="n">
        <v>65</v>
      </c>
      <c r="J372" s="42" t="n">
        <v>10164</v>
      </c>
      <c r="K372" s="42" t="n">
        <v>254</v>
      </c>
      <c r="L372" s="43" t="n">
        <f aca="false">J372-K372</f>
        <v>9910</v>
      </c>
      <c r="M372" s="42" t="n">
        <v>5139</v>
      </c>
      <c r="N372" s="43" t="n">
        <f aca="false">L372-M372</f>
        <v>4771</v>
      </c>
    </row>
    <row r="373" customFormat="false" ht="15" hidden="false" customHeight="false" outlineLevel="0" collapsed="false">
      <c r="A373" s="40" t="n">
        <v>45839</v>
      </c>
      <c r="B373" s="41" t="n">
        <v>2025</v>
      </c>
      <c r="C373" s="41" t="n">
        <v>7</v>
      </c>
      <c r="D373" s="41" t="s">
        <v>52</v>
      </c>
      <c r="E373" s="41" t="s">
        <v>35</v>
      </c>
      <c r="F373" s="41" t="s">
        <v>43</v>
      </c>
      <c r="G373" s="41" t="s">
        <v>38</v>
      </c>
      <c r="H373" s="42" t="n">
        <v>74</v>
      </c>
      <c r="I373" s="42" t="n">
        <v>87</v>
      </c>
      <c r="J373" s="42" t="n">
        <v>8742</v>
      </c>
      <c r="K373" s="42" t="n">
        <v>302</v>
      </c>
      <c r="L373" s="43" t="n">
        <f aca="false">J373-K373</f>
        <v>8440</v>
      </c>
      <c r="M373" s="42" t="n">
        <v>3717</v>
      </c>
      <c r="N373" s="43" t="n">
        <f aca="false">L373-M373</f>
        <v>4723</v>
      </c>
    </row>
    <row r="374" customFormat="false" ht="15" hidden="false" customHeight="false" outlineLevel="0" collapsed="false">
      <c r="A374" s="40" t="n">
        <v>45839</v>
      </c>
      <c r="B374" s="41" t="n">
        <v>2025</v>
      </c>
      <c r="C374" s="41" t="n">
        <v>7</v>
      </c>
      <c r="D374" s="41" t="s">
        <v>52</v>
      </c>
      <c r="E374" s="41" t="s">
        <v>35</v>
      </c>
      <c r="F374" s="41" t="s">
        <v>43</v>
      </c>
      <c r="G374" s="41" t="s">
        <v>39</v>
      </c>
      <c r="H374" s="42" t="n">
        <v>117</v>
      </c>
      <c r="I374" s="42" t="n">
        <v>161</v>
      </c>
      <c r="J374" s="42" t="n">
        <v>10402</v>
      </c>
      <c r="K374" s="42" t="n">
        <v>740</v>
      </c>
      <c r="L374" s="43" t="n">
        <f aca="false">J374-K374</f>
        <v>9662</v>
      </c>
      <c r="M374" s="42" t="n">
        <v>3850</v>
      </c>
      <c r="N374" s="43" t="n">
        <f aca="false">L374-M374</f>
        <v>5812</v>
      </c>
    </row>
    <row r="375" customFormat="false" ht="15" hidden="false" customHeight="false" outlineLevel="0" collapsed="false">
      <c r="A375" s="40" t="n">
        <v>45839</v>
      </c>
      <c r="B375" s="41" t="n">
        <v>2025</v>
      </c>
      <c r="C375" s="41" t="n">
        <v>7</v>
      </c>
      <c r="D375" s="41" t="s">
        <v>52</v>
      </c>
      <c r="E375" s="41" t="s">
        <v>35</v>
      </c>
      <c r="F375" s="41" t="s">
        <v>43</v>
      </c>
      <c r="G375" s="41" t="s">
        <v>40</v>
      </c>
      <c r="H375" s="42" t="n">
        <v>48</v>
      </c>
      <c r="I375" s="42" t="n">
        <v>73</v>
      </c>
      <c r="J375" s="42" t="n">
        <v>6470</v>
      </c>
      <c r="K375" s="42" t="n">
        <v>537</v>
      </c>
      <c r="L375" s="43" t="n">
        <f aca="false">J375-K375</f>
        <v>5933</v>
      </c>
      <c r="M375" s="42" t="n">
        <v>3276</v>
      </c>
      <c r="N375" s="43" t="n">
        <f aca="false">L375-M375</f>
        <v>2657</v>
      </c>
    </row>
    <row r="376" customFormat="false" ht="15" hidden="false" customHeight="false" outlineLevel="0" collapsed="false">
      <c r="A376" s="40" t="n">
        <v>45839</v>
      </c>
      <c r="B376" s="41" t="n">
        <v>2025</v>
      </c>
      <c r="C376" s="41" t="n">
        <v>7</v>
      </c>
      <c r="D376" s="41" t="s">
        <v>52</v>
      </c>
      <c r="E376" s="41" t="s">
        <v>35</v>
      </c>
      <c r="F376" s="41" t="s">
        <v>43</v>
      </c>
      <c r="G376" s="41" t="s">
        <v>41</v>
      </c>
      <c r="H376" s="42" t="n">
        <v>81</v>
      </c>
      <c r="I376" s="42" t="n">
        <v>124</v>
      </c>
      <c r="J376" s="42" t="n">
        <v>5237</v>
      </c>
      <c r="K376" s="42" t="n">
        <v>104</v>
      </c>
      <c r="L376" s="43" t="n">
        <f aca="false">J376-K376</f>
        <v>5133</v>
      </c>
      <c r="M376" s="42" t="n">
        <v>2451</v>
      </c>
      <c r="N376" s="43" t="n">
        <f aca="false">L376-M376</f>
        <v>2682</v>
      </c>
    </row>
    <row r="377" customFormat="false" ht="15" hidden="false" customHeight="false" outlineLevel="0" collapsed="false">
      <c r="A377" s="40" t="n">
        <v>45839</v>
      </c>
      <c r="B377" s="41" t="n">
        <v>2025</v>
      </c>
      <c r="C377" s="41" t="n">
        <v>7</v>
      </c>
      <c r="D377" s="41" t="s">
        <v>52</v>
      </c>
      <c r="E377" s="41" t="s">
        <v>44</v>
      </c>
      <c r="F377" s="41" t="s">
        <v>36</v>
      </c>
      <c r="G377" s="41" t="s">
        <v>37</v>
      </c>
      <c r="H377" s="42" t="n">
        <v>99</v>
      </c>
      <c r="I377" s="42" t="n">
        <v>117</v>
      </c>
      <c r="J377" s="42" t="n">
        <v>18765</v>
      </c>
      <c r="K377" s="42" t="n">
        <v>792</v>
      </c>
      <c r="L377" s="43" t="n">
        <f aca="false">J377-K377</f>
        <v>17973</v>
      </c>
      <c r="M377" s="42" t="n">
        <v>9603</v>
      </c>
      <c r="N377" s="43" t="n">
        <f aca="false">L377-M377</f>
        <v>8370</v>
      </c>
    </row>
    <row r="378" customFormat="false" ht="15" hidden="false" customHeight="false" outlineLevel="0" collapsed="false">
      <c r="A378" s="40" t="n">
        <v>45839</v>
      </c>
      <c r="B378" s="41" t="n">
        <v>2025</v>
      </c>
      <c r="C378" s="41" t="n">
        <v>7</v>
      </c>
      <c r="D378" s="41" t="s">
        <v>52</v>
      </c>
      <c r="E378" s="41" t="s">
        <v>44</v>
      </c>
      <c r="F378" s="41" t="s">
        <v>36</v>
      </c>
      <c r="G378" s="41" t="s">
        <v>38</v>
      </c>
      <c r="H378" s="42" t="n">
        <v>113</v>
      </c>
      <c r="I378" s="42" t="n">
        <v>161</v>
      </c>
      <c r="J378" s="42" t="n">
        <v>12623</v>
      </c>
      <c r="K378" s="42" t="n">
        <v>677</v>
      </c>
      <c r="L378" s="43" t="n">
        <f aca="false">J378-K378</f>
        <v>11946</v>
      </c>
      <c r="M378" s="42" t="n">
        <v>5515</v>
      </c>
      <c r="N378" s="43" t="n">
        <f aca="false">L378-M378</f>
        <v>6431</v>
      </c>
    </row>
    <row r="379" customFormat="false" ht="15" hidden="false" customHeight="false" outlineLevel="0" collapsed="false">
      <c r="A379" s="40" t="n">
        <v>45839</v>
      </c>
      <c r="B379" s="41" t="n">
        <v>2025</v>
      </c>
      <c r="C379" s="41" t="n">
        <v>7</v>
      </c>
      <c r="D379" s="41" t="s">
        <v>52</v>
      </c>
      <c r="E379" s="41" t="s">
        <v>44</v>
      </c>
      <c r="F379" s="41" t="s">
        <v>36</v>
      </c>
      <c r="G379" s="41" t="s">
        <v>39</v>
      </c>
      <c r="H379" s="42" t="n">
        <v>196</v>
      </c>
      <c r="I379" s="42" t="n">
        <v>312</v>
      </c>
      <c r="J379" s="42" t="n">
        <v>16492</v>
      </c>
      <c r="K379" s="42" t="n">
        <v>1656</v>
      </c>
      <c r="L379" s="43" t="n">
        <f aca="false">J379-K379</f>
        <v>14836</v>
      </c>
      <c r="M379" s="42" t="n">
        <v>5780</v>
      </c>
      <c r="N379" s="43" t="n">
        <f aca="false">L379-M379</f>
        <v>9056</v>
      </c>
    </row>
    <row r="380" customFormat="false" ht="15" hidden="false" customHeight="false" outlineLevel="0" collapsed="false">
      <c r="A380" s="40" t="n">
        <v>45839</v>
      </c>
      <c r="B380" s="41" t="n">
        <v>2025</v>
      </c>
      <c r="C380" s="41" t="n">
        <v>7</v>
      </c>
      <c r="D380" s="41" t="s">
        <v>52</v>
      </c>
      <c r="E380" s="41" t="s">
        <v>44</v>
      </c>
      <c r="F380" s="41" t="s">
        <v>36</v>
      </c>
      <c r="G380" s="41" t="s">
        <v>40</v>
      </c>
      <c r="H380" s="42" t="n">
        <v>108</v>
      </c>
      <c r="I380" s="42" t="n">
        <v>126</v>
      </c>
      <c r="J380" s="42" t="n">
        <v>13853</v>
      </c>
      <c r="K380" s="42" t="n">
        <v>1807</v>
      </c>
      <c r="L380" s="43" t="n">
        <f aca="false">J380-K380</f>
        <v>12046</v>
      </c>
      <c r="M380" s="42" t="n">
        <v>6675</v>
      </c>
      <c r="N380" s="43" t="n">
        <f aca="false">L380-M380</f>
        <v>5371</v>
      </c>
    </row>
    <row r="381" customFormat="false" ht="15" hidden="false" customHeight="false" outlineLevel="0" collapsed="false">
      <c r="A381" s="40" t="n">
        <v>45839</v>
      </c>
      <c r="B381" s="41" t="n">
        <v>2025</v>
      </c>
      <c r="C381" s="41" t="n">
        <v>7</v>
      </c>
      <c r="D381" s="41" t="s">
        <v>52</v>
      </c>
      <c r="E381" s="41" t="s">
        <v>44</v>
      </c>
      <c r="F381" s="41" t="s">
        <v>36</v>
      </c>
      <c r="G381" s="41" t="s">
        <v>41</v>
      </c>
      <c r="H381" s="42" t="n">
        <v>130</v>
      </c>
      <c r="I381" s="42" t="n">
        <v>200</v>
      </c>
      <c r="J381" s="42" t="n">
        <v>7935</v>
      </c>
      <c r="K381" s="42" t="n">
        <v>225</v>
      </c>
      <c r="L381" s="43" t="n">
        <f aca="false">J381-K381</f>
        <v>7710</v>
      </c>
      <c r="M381" s="42" t="n">
        <v>3695</v>
      </c>
      <c r="N381" s="43" t="n">
        <f aca="false">L381-M381</f>
        <v>4015</v>
      </c>
    </row>
    <row r="382" customFormat="false" ht="15" hidden="false" customHeight="false" outlineLevel="0" collapsed="false">
      <c r="A382" s="40" t="n">
        <v>45839</v>
      </c>
      <c r="B382" s="41" t="n">
        <v>2025</v>
      </c>
      <c r="C382" s="41" t="n">
        <v>7</v>
      </c>
      <c r="D382" s="41" t="s">
        <v>52</v>
      </c>
      <c r="E382" s="41" t="s">
        <v>44</v>
      </c>
      <c r="F382" s="41" t="s">
        <v>42</v>
      </c>
      <c r="G382" s="41" t="s">
        <v>37</v>
      </c>
      <c r="H382" s="42" t="n">
        <v>67</v>
      </c>
      <c r="I382" s="42" t="n">
        <v>100</v>
      </c>
      <c r="J382" s="42" t="n">
        <v>11645</v>
      </c>
      <c r="K382" s="42" t="n">
        <v>556</v>
      </c>
      <c r="L382" s="43" t="n">
        <f aca="false">J382-K382</f>
        <v>11089</v>
      </c>
      <c r="M382" s="42" t="n">
        <v>6062</v>
      </c>
      <c r="N382" s="43" t="n">
        <f aca="false">L382-M382</f>
        <v>5027</v>
      </c>
    </row>
    <row r="383" customFormat="false" ht="15" hidden="false" customHeight="false" outlineLevel="0" collapsed="false">
      <c r="A383" s="40" t="n">
        <v>45839</v>
      </c>
      <c r="B383" s="41" t="n">
        <v>2025</v>
      </c>
      <c r="C383" s="41" t="n">
        <v>7</v>
      </c>
      <c r="D383" s="41" t="s">
        <v>52</v>
      </c>
      <c r="E383" s="41" t="s">
        <v>44</v>
      </c>
      <c r="F383" s="41" t="s">
        <v>42</v>
      </c>
      <c r="G383" s="41" t="s">
        <v>38</v>
      </c>
      <c r="H383" s="42" t="n">
        <v>96</v>
      </c>
      <c r="I383" s="42" t="n">
        <v>134</v>
      </c>
      <c r="J383" s="42" t="n">
        <v>9897</v>
      </c>
      <c r="K383" s="42" t="n">
        <v>755</v>
      </c>
      <c r="L383" s="43" t="n">
        <f aca="false">J383-K383</f>
        <v>9142</v>
      </c>
      <c r="M383" s="42" t="n">
        <v>4261</v>
      </c>
      <c r="N383" s="43" t="n">
        <f aca="false">L383-M383</f>
        <v>4881</v>
      </c>
    </row>
    <row r="384" customFormat="false" ht="15" hidden="false" customHeight="false" outlineLevel="0" collapsed="false">
      <c r="A384" s="40" t="n">
        <v>45839</v>
      </c>
      <c r="B384" s="41" t="n">
        <v>2025</v>
      </c>
      <c r="C384" s="41" t="n">
        <v>7</v>
      </c>
      <c r="D384" s="41" t="s">
        <v>52</v>
      </c>
      <c r="E384" s="41" t="s">
        <v>44</v>
      </c>
      <c r="F384" s="41" t="s">
        <v>42</v>
      </c>
      <c r="G384" s="41" t="s">
        <v>39</v>
      </c>
      <c r="H384" s="42" t="n">
        <v>170</v>
      </c>
      <c r="I384" s="42" t="n">
        <v>226</v>
      </c>
      <c r="J384" s="42" t="n">
        <v>13149</v>
      </c>
      <c r="K384" s="42" t="n">
        <v>1778</v>
      </c>
      <c r="L384" s="43" t="n">
        <f aca="false">J384-K384</f>
        <v>11371</v>
      </c>
      <c r="M384" s="42" t="n">
        <v>4648</v>
      </c>
      <c r="N384" s="43" t="n">
        <f aca="false">L384-M384</f>
        <v>6723</v>
      </c>
    </row>
    <row r="385" customFormat="false" ht="15" hidden="false" customHeight="false" outlineLevel="0" collapsed="false">
      <c r="A385" s="40" t="n">
        <v>45839</v>
      </c>
      <c r="B385" s="41" t="n">
        <v>2025</v>
      </c>
      <c r="C385" s="41" t="n">
        <v>7</v>
      </c>
      <c r="D385" s="41" t="s">
        <v>52</v>
      </c>
      <c r="E385" s="41" t="s">
        <v>44</v>
      </c>
      <c r="F385" s="41" t="s">
        <v>42</v>
      </c>
      <c r="G385" s="41" t="s">
        <v>40</v>
      </c>
      <c r="H385" s="42" t="n">
        <v>74</v>
      </c>
      <c r="I385" s="42" t="n">
        <v>118</v>
      </c>
      <c r="J385" s="42" t="n">
        <v>8687</v>
      </c>
      <c r="K385" s="42" t="n">
        <v>1494</v>
      </c>
      <c r="L385" s="43" t="n">
        <f aca="false">J385-K385</f>
        <v>7193</v>
      </c>
      <c r="M385" s="42" t="n">
        <v>4157</v>
      </c>
      <c r="N385" s="43" t="n">
        <f aca="false">L385-M385</f>
        <v>3036</v>
      </c>
    </row>
    <row r="386" customFormat="false" ht="15" hidden="false" customHeight="false" outlineLevel="0" collapsed="false">
      <c r="A386" s="40" t="n">
        <v>45839</v>
      </c>
      <c r="B386" s="41" t="n">
        <v>2025</v>
      </c>
      <c r="C386" s="41" t="n">
        <v>7</v>
      </c>
      <c r="D386" s="41" t="s">
        <v>52</v>
      </c>
      <c r="E386" s="41" t="s">
        <v>44</v>
      </c>
      <c r="F386" s="41" t="s">
        <v>42</v>
      </c>
      <c r="G386" s="41" t="s">
        <v>41</v>
      </c>
      <c r="H386" s="42" t="n">
        <v>98</v>
      </c>
      <c r="I386" s="42" t="n">
        <v>127</v>
      </c>
      <c r="J386" s="42" t="n">
        <v>5507</v>
      </c>
      <c r="K386" s="42" t="n">
        <v>205</v>
      </c>
      <c r="L386" s="43" t="n">
        <f aca="false">J386-K386</f>
        <v>5302</v>
      </c>
      <c r="M386" s="42" t="n">
        <v>2669</v>
      </c>
      <c r="N386" s="43" t="n">
        <f aca="false">L386-M386</f>
        <v>2633</v>
      </c>
    </row>
    <row r="387" customFormat="false" ht="15" hidden="false" customHeight="false" outlineLevel="0" collapsed="false">
      <c r="A387" s="40" t="n">
        <v>45839</v>
      </c>
      <c r="B387" s="41" t="n">
        <v>2025</v>
      </c>
      <c r="C387" s="41" t="n">
        <v>7</v>
      </c>
      <c r="D387" s="41" t="s">
        <v>52</v>
      </c>
      <c r="E387" s="41" t="s">
        <v>44</v>
      </c>
      <c r="F387" s="41" t="s">
        <v>43</v>
      </c>
      <c r="G387" s="41" t="s">
        <v>37</v>
      </c>
      <c r="H387" s="42" t="n">
        <v>41</v>
      </c>
      <c r="I387" s="42" t="n">
        <v>62</v>
      </c>
      <c r="J387" s="42" t="n">
        <v>8249</v>
      </c>
      <c r="K387" s="42" t="n">
        <v>188</v>
      </c>
      <c r="L387" s="43" t="n">
        <f aca="false">J387-K387</f>
        <v>8061</v>
      </c>
      <c r="M387" s="42" t="n">
        <v>4329</v>
      </c>
      <c r="N387" s="43" t="n">
        <f aca="false">L387-M387</f>
        <v>3732</v>
      </c>
    </row>
    <row r="388" customFormat="false" ht="15" hidden="false" customHeight="false" outlineLevel="0" collapsed="false">
      <c r="A388" s="40" t="n">
        <v>45839</v>
      </c>
      <c r="B388" s="41" t="n">
        <v>2025</v>
      </c>
      <c r="C388" s="41" t="n">
        <v>7</v>
      </c>
      <c r="D388" s="41" t="s">
        <v>52</v>
      </c>
      <c r="E388" s="41" t="s">
        <v>44</v>
      </c>
      <c r="F388" s="41" t="s">
        <v>43</v>
      </c>
      <c r="G388" s="41" t="s">
        <v>38</v>
      </c>
      <c r="H388" s="42" t="n">
        <v>65</v>
      </c>
      <c r="I388" s="42" t="n">
        <v>91</v>
      </c>
      <c r="J388" s="42" t="n">
        <v>7706</v>
      </c>
      <c r="K388" s="42" t="n">
        <v>221</v>
      </c>
      <c r="L388" s="43" t="n">
        <f aca="false">J388-K388</f>
        <v>7485</v>
      </c>
      <c r="M388" s="42" t="n">
        <v>3328</v>
      </c>
      <c r="N388" s="43" t="n">
        <f aca="false">L388-M388</f>
        <v>4157</v>
      </c>
    </row>
    <row r="389" customFormat="false" ht="15" hidden="false" customHeight="false" outlineLevel="0" collapsed="false">
      <c r="A389" s="40" t="n">
        <v>45839</v>
      </c>
      <c r="B389" s="41" t="n">
        <v>2025</v>
      </c>
      <c r="C389" s="41" t="n">
        <v>7</v>
      </c>
      <c r="D389" s="41" t="s">
        <v>52</v>
      </c>
      <c r="E389" s="41" t="s">
        <v>44</v>
      </c>
      <c r="F389" s="41" t="s">
        <v>43</v>
      </c>
      <c r="G389" s="41" t="s">
        <v>39</v>
      </c>
      <c r="H389" s="42" t="n">
        <v>80</v>
      </c>
      <c r="I389" s="42" t="n">
        <v>99</v>
      </c>
      <c r="J389" s="42" t="n">
        <v>7136</v>
      </c>
      <c r="K389" s="42" t="n">
        <v>584</v>
      </c>
      <c r="L389" s="43" t="n">
        <f aca="false">J389-K389</f>
        <v>6552</v>
      </c>
      <c r="M389" s="42" t="n">
        <v>2572</v>
      </c>
      <c r="N389" s="43" t="n">
        <f aca="false">L389-M389</f>
        <v>3980</v>
      </c>
    </row>
    <row r="390" customFormat="false" ht="15" hidden="false" customHeight="false" outlineLevel="0" collapsed="false">
      <c r="A390" s="40" t="n">
        <v>45839</v>
      </c>
      <c r="B390" s="41" t="n">
        <v>2025</v>
      </c>
      <c r="C390" s="41" t="n">
        <v>7</v>
      </c>
      <c r="D390" s="41" t="s">
        <v>52</v>
      </c>
      <c r="E390" s="41" t="s">
        <v>44</v>
      </c>
      <c r="F390" s="41" t="s">
        <v>43</v>
      </c>
      <c r="G390" s="41" t="s">
        <v>40</v>
      </c>
      <c r="H390" s="42" t="n">
        <v>46</v>
      </c>
      <c r="I390" s="42" t="n">
        <v>69</v>
      </c>
      <c r="J390" s="42" t="n">
        <v>6226</v>
      </c>
      <c r="K390" s="42" t="n">
        <v>609</v>
      </c>
      <c r="L390" s="43" t="n">
        <f aca="false">J390-K390</f>
        <v>5617</v>
      </c>
      <c r="M390" s="42" t="n">
        <v>3110</v>
      </c>
      <c r="N390" s="43" t="n">
        <f aca="false">L390-M390</f>
        <v>2507</v>
      </c>
    </row>
    <row r="391" customFormat="false" ht="15" hidden="false" customHeight="false" outlineLevel="0" collapsed="false">
      <c r="A391" s="40" t="n">
        <v>45839</v>
      </c>
      <c r="B391" s="41" t="n">
        <v>2025</v>
      </c>
      <c r="C391" s="41" t="n">
        <v>7</v>
      </c>
      <c r="D391" s="41" t="s">
        <v>52</v>
      </c>
      <c r="E391" s="41" t="s">
        <v>44</v>
      </c>
      <c r="F391" s="41" t="s">
        <v>43</v>
      </c>
      <c r="G391" s="41" t="s">
        <v>41</v>
      </c>
      <c r="H391" s="42" t="n">
        <v>63</v>
      </c>
      <c r="I391" s="42" t="n">
        <v>90</v>
      </c>
      <c r="J391" s="42" t="n">
        <v>4104</v>
      </c>
      <c r="K391" s="42" t="n">
        <v>93</v>
      </c>
      <c r="L391" s="43" t="n">
        <f aca="false">J391-K391</f>
        <v>4011</v>
      </c>
      <c r="M391" s="42" t="n">
        <v>1937</v>
      </c>
      <c r="N391" s="43" t="n">
        <f aca="false">L391-M391</f>
        <v>2074</v>
      </c>
    </row>
    <row r="392" customFormat="false" ht="15" hidden="false" customHeight="false" outlineLevel="0" collapsed="false">
      <c r="A392" s="40" t="n">
        <v>45839</v>
      </c>
      <c r="B392" s="41" t="n">
        <v>2025</v>
      </c>
      <c r="C392" s="41" t="n">
        <v>7</v>
      </c>
      <c r="D392" s="41" t="s">
        <v>52</v>
      </c>
      <c r="E392" s="41" t="s">
        <v>45</v>
      </c>
      <c r="F392" s="41" t="s">
        <v>36</v>
      </c>
      <c r="G392" s="41" t="s">
        <v>37</v>
      </c>
      <c r="H392" s="42" t="n">
        <v>68</v>
      </c>
      <c r="I392" s="42" t="n">
        <v>85</v>
      </c>
      <c r="J392" s="42" t="n">
        <v>12936</v>
      </c>
      <c r="K392" s="42" t="n">
        <v>552</v>
      </c>
      <c r="L392" s="43" t="n">
        <f aca="false">J392-K392</f>
        <v>12384</v>
      </c>
      <c r="M392" s="42" t="n">
        <v>6547</v>
      </c>
      <c r="N392" s="43" t="n">
        <f aca="false">L392-M392</f>
        <v>5837</v>
      </c>
    </row>
    <row r="393" customFormat="false" ht="15" hidden="false" customHeight="false" outlineLevel="0" collapsed="false">
      <c r="A393" s="40" t="n">
        <v>45839</v>
      </c>
      <c r="B393" s="41" t="n">
        <v>2025</v>
      </c>
      <c r="C393" s="41" t="n">
        <v>7</v>
      </c>
      <c r="D393" s="41" t="s">
        <v>52</v>
      </c>
      <c r="E393" s="41" t="s">
        <v>45</v>
      </c>
      <c r="F393" s="41" t="s">
        <v>36</v>
      </c>
      <c r="G393" s="41" t="s">
        <v>38</v>
      </c>
      <c r="H393" s="42" t="n">
        <v>103</v>
      </c>
      <c r="I393" s="42" t="n">
        <v>123</v>
      </c>
      <c r="J393" s="42" t="n">
        <v>11565</v>
      </c>
      <c r="K393" s="42" t="n">
        <v>505</v>
      </c>
      <c r="L393" s="43" t="n">
        <f aca="false">J393-K393</f>
        <v>11060</v>
      </c>
      <c r="M393" s="42" t="n">
        <v>4839</v>
      </c>
      <c r="N393" s="43" t="n">
        <f aca="false">L393-M393</f>
        <v>6221</v>
      </c>
    </row>
    <row r="394" customFormat="false" ht="15" hidden="false" customHeight="false" outlineLevel="0" collapsed="false">
      <c r="A394" s="40" t="n">
        <v>45839</v>
      </c>
      <c r="B394" s="41" t="n">
        <v>2025</v>
      </c>
      <c r="C394" s="41" t="n">
        <v>7</v>
      </c>
      <c r="D394" s="41" t="s">
        <v>52</v>
      </c>
      <c r="E394" s="41" t="s">
        <v>45</v>
      </c>
      <c r="F394" s="41" t="s">
        <v>36</v>
      </c>
      <c r="G394" s="41" t="s">
        <v>39</v>
      </c>
      <c r="H394" s="42" t="n">
        <v>164</v>
      </c>
      <c r="I394" s="42" t="n">
        <v>256</v>
      </c>
      <c r="J394" s="42" t="n">
        <v>13811</v>
      </c>
      <c r="K394" s="42" t="n">
        <v>1467</v>
      </c>
      <c r="L394" s="43" t="n">
        <f aca="false">J394-K394</f>
        <v>12344</v>
      </c>
      <c r="M394" s="42" t="n">
        <v>4776</v>
      </c>
      <c r="N394" s="43" t="n">
        <f aca="false">L394-M394</f>
        <v>7568</v>
      </c>
    </row>
    <row r="395" customFormat="false" ht="15" hidden="false" customHeight="false" outlineLevel="0" collapsed="false">
      <c r="A395" s="40" t="n">
        <v>45839</v>
      </c>
      <c r="B395" s="41" t="n">
        <v>2025</v>
      </c>
      <c r="C395" s="41" t="n">
        <v>7</v>
      </c>
      <c r="D395" s="41" t="s">
        <v>52</v>
      </c>
      <c r="E395" s="41" t="s">
        <v>45</v>
      </c>
      <c r="F395" s="41" t="s">
        <v>36</v>
      </c>
      <c r="G395" s="41" t="s">
        <v>40</v>
      </c>
      <c r="H395" s="42" t="n">
        <v>79</v>
      </c>
      <c r="I395" s="42" t="n">
        <v>119</v>
      </c>
      <c r="J395" s="42" t="n">
        <v>10068</v>
      </c>
      <c r="K395" s="42" t="n">
        <v>1238</v>
      </c>
      <c r="L395" s="43" t="n">
        <f aca="false">J395-K395</f>
        <v>8830</v>
      </c>
      <c r="M395" s="42" t="n">
        <v>4786</v>
      </c>
      <c r="N395" s="43" t="n">
        <f aca="false">L395-M395</f>
        <v>4044</v>
      </c>
    </row>
    <row r="396" customFormat="false" ht="15" hidden="false" customHeight="false" outlineLevel="0" collapsed="false">
      <c r="A396" s="40" t="n">
        <v>45839</v>
      </c>
      <c r="B396" s="41" t="n">
        <v>2025</v>
      </c>
      <c r="C396" s="41" t="n">
        <v>7</v>
      </c>
      <c r="D396" s="41" t="s">
        <v>52</v>
      </c>
      <c r="E396" s="41" t="s">
        <v>45</v>
      </c>
      <c r="F396" s="41" t="s">
        <v>36</v>
      </c>
      <c r="G396" s="41" t="s">
        <v>41</v>
      </c>
      <c r="H396" s="42" t="n">
        <v>95</v>
      </c>
      <c r="I396" s="42" t="n">
        <v>127</v>
      </c>
      <c r="J396" s="42" t="n">
        <v>5815</v>
      </c>
      <c r="K396" s="42" t="n">
        <v>162</v>
      </c>
      <c r="L396" s="43" t="n">
        <f aca="false">J396-K396</f>
        <v>5653</v>
      </c>
      <c r="M396" s="42" t="n">
        <v>2702</v>
      </c>
      <c r="N396" s="43" t="n">
        <f aca="false">L396-M396</f>
        <v>2951</v>
      </c>
    </row>
    <row r="397" customFormat="false" ht="15" hidden="false" customHeight="false" outlineLevel="0" collapsed="false">
      <c r="A397" s="40" t="n">
        <v>45839</v>
      </c>
      <c r="B397" s="41" t="n">
        <v>2025</v>
      </c>
      <c r="C397" s="41" t="n">
        <v>7</v>
      </c>
      <c r="D397" s="41" t="s">
        <v>52</v>
      </c>
      <c r="E397" s="41" t="s">
        <v>45</v>
      </c>
      <c r="F397" s="41" t="s">
        <v>42</v>
      </c>
      <c r="G397" s="41" t="s">
        <v>37</v>
      </c>
      <c r="H397" s="42" t="n">
        <v>51</v>
      </c>
      <c r="I397" s="42" t="n">
        <v>80</v>
      </c>
      <c r="J397" s="42" t="n">
        <v>8905</v>
      </c>
      <c r="K397" s="42" t="n">
        <v>395</v>
      </c>
      <c r="L397" s="43" t="n">
        <f aca="false">J397-K397</f>
        <v>8510</v>
      </c>
      <c r="M397" s="42" t="n">
        <v>4689</v>
      </c>
      <c r="N397" s="43" t="n">
        <f aca="false">L397-M397</f>
        <v>3821</v>
      </c>
    </row>
    <row r="398" customFormat="false" ht="15" hidden="false" customHeight="false" outlineLevel="0" collapsed="false">
      <c r="A398" s="40" t="n">
        <v>45839</v>
      </c>
      <c r="B398" s="41" t="n">
        <v>2025</v>
      </c>
      <c r="C398" s="41" t="n">
        <v>7</v>
      </c>
      <c r="D398" s="41" t="s">
        <v>52</v>
      </c>
      <c r="E398" s="41" t="s">
        <v>45</v>
      </c>
      <c r="F398" s="41" t="s">
        <v>42</v>
      </c>
      <c r="G398" s="41" t="s">
        <v>38</v>
      </c>
      <c r="H398" s="42" t="n">
        <v>63</v>
      </c>
      <c r="I398" s="42" t="n">
        <v>76</v>
      </c>
      <c r="J398" s="42" t="n">
        <v>6528</v>
      </c>
      <c r="K398" s="42" t="n">
        <v>495</v>
      </c>
      <c r="L398" s="43" t="n">
        <f aca="false">J398-K398</f>
        <v>6033</v>
      </c>
      <c r="M398" s="42" t="n">
        <v>2860</v>
      </c>
      <c r="N398" s="43" t="n">
        <f aca="false">L398-M398</f>
        <v>3173</v>
      </c>
    </row>
    <row r="399" customFormat="false" ht="15" hidden="false" customHeight="false" outlineLevel="0" collapsed="false">
      <c r="A399" s="40" t="n">
        <v>45839</v>
      </c>
      <c r="B399" s="41" t="n">
        <v>2025</v>
      </c>
      <c r="C399" s="41" t="n">
        <v>7</v>
      </c>
      <c r="D399" s="41" t="s">
        <v>52</v>
      </c>
      <c r="E399" s="41" t="s">
        <v>45</v>
      </c>
      <c r="F399" s="41" t="s">
        <v>42</v>
      </c>
      <c r="G399" s="41" t="s">
        <v>39</v>
      </c>
      <c r="H399" s="42" t="n">
        <v>129</v>
      </c>
      <c r="I399" s="42" t="n">
        <v>174</v>
      </c>
      <c r="J399" s="42" t="n">
        <v>9967</v>
      </c>
      <c r="K399" s="42" t="n">
        <v>1084</v>
      </c>
      <c r="L399" s="43" t="n">
        <f aca="false">J399-K399</f>
        <v>8883</v>
      </c>
      <c r="M399" s="42" t="n">
        <v>3656</v>
      </c>
      <c r="N399" s="43" t="n">
        <f aca="false">L399-M399</f>
        <v>5227</v>
      </c>
    </row>
    <row r="400" customFormat="false" ht="15" hidden="false" customHeight="false" outlineLevel="0" collapsed="false">
      <c r="A400" s="40" t="n">
        <v>45839</v>
      </c>
      <c r="B400" s="41" t="n">
        <v>2025</v>
      </c>
      <c r="C400" s="41" t="n">
        <v>7</v>
      </c>
      <c r="D400" s="41" t="s">
        <v>52</v>
      </c>
      <c r="E400" s="41" t="s">
        <v>45</v>
      </c>
      <c r="F400" s="41" t="s">
        <v>42</v>
      </c>
      <c r="G400" s="41" t="s">
        <v>40</v>
      </c>
      <c r="H400" s="42" t="n">
        <v>56</v>
      </c>
      <c r="I400" s="42" t="n">
        <v>88</v>
      </c>
      <c r="J400" s="42" t="n">
        <v>6589</v>
      </c>
      <c r="K400" s="42" t="n">
        <v>1273</v>
      </c>
      <c r="L400" s="43" t="n">
        <f aca="false">J400-K400</f>
        <v>5316</v>
      </c>
      <c r="M400" s="42" t="n">
        <v>3015</v>
      </c>
      <c r="N400" s="43" t="n">
        <f aca="false">L400-M400</f>
        <v>2301</v>
      </c>
    </row>
    <row r="401" customFormat="false" ht="15" hidden="false" customHeight="false" outlineLevel="0" collapsed="false">
      <c r="A401" s="40" t="n">
        <v>45839</v>
      </c>
      <c r="B401" s="41" t="n">
        <v>2025</v>
      </c>
      <c r="C401" s="41" t="n">
        <v>7</v>
      </c>
      <c r="D401" s="41" t="s">
        <v>52</v>
      </c>
      <c r="E401" s="41" t="s">
        <v>45</v>
      </c>
      <c r="F401" s="41" t="s">
        <v>42</v>
      </c>
      <c r="G401" s="41" t="s">
        <v>41</v>
      </c>
      <c r="H401" s="42" t="n">
        <v>74</v>
      </c>
      <c r="I401" s="42" t="n">
        <v>88</v>
      </c>
      <c r="J401" s="42" t="n">
        <v>4177</v>
      </c>
      <c r="K401" s="42" t="n">
        <v>179</v>
      </c>
      <c r="L401" s="43" t="n">
        <f aca="false">J401-K401</f>
        <v>3998</v>
      </c>
      <c r="M401" s="42" t="n">
        <v>1968</v>
      </c>
      <c r="N401" s="43" t="n">
        <f aca="false">L401-M401</f>
        <v>2030</v>
      </c>
    </row>
    <row r="402" customFormat="false" ht="15" hidden="false" customHeight="false" outlineLevel="0" collapsed="false">
      <c r="A402" s="40" t="n">
        <v>45839</v>
      </c>
      <c r="B402" s="41" t="n">
        <v>2025</v>
      </c>
      <c r="C402" s="41" t="n">
        <v>7</v>
      </c>
      <c r="D402" s="41" t="s">
        <v>52</v>
      </c>
      <c r="E402" s="41" t="s">
        <v>45</v>
      </c>
      <c r="F402" s="41" t="s">
        <v>43</v>
      </c>
      <c r="G402" s="41" t="s">
        <v>37</v>
      </c>
      <c r="H402" s="42" t="n">
        <v>27</v>
      </c>
      <c r="I402" s="42" t="n">
        <v>31</v>
      </c>
      <c r="J402" s="42" t="n">
        <v>5314</v>
      </c>
      <c r="K402" s="42" t="n">
        <v>119</v>
      </c>
      <c r="L402" s="43" t="n">
        <f aca="false">J402-K402</f>
        <v>5195</v>
      </c>
      <c r="M402" s="42" t="n">
        <v>2784</v>
      </c>
      <c r="N402" s="43" t="n">
        <f aca="false">L402-M402</f>
        <v>2411</v>
      </c>
    </row>
    <row r="403" customFormat="false" ht="15" hidden="false" customHeight="false" outlineLevel="0" collapsed="false">
      <c r="A403" s="40" t="n">
        <v>45839</v>
      </c>
      <c r="B403" s="41" t="n">
        <v>2025</v>
      </c>
      <c r="C403" s="41" t="n">
        <v>7</v>
      </c>
      <c r="D403" s="41" t="s">
        <v>52</v>
      </c>
      <c r="E403" s="41" t="s">
        <v>45</v>
      </c>
      <c r="F403" s="41" t="s">
        <v>43</v>
      </c>
      <c r="G403" s="41" t="s">
        <v>38</v>
      </c>
      <c r="H403" s="42" t="n">
        <v>39</v>
      </c>
      <c r="I403" s="42" t="n">
        <v>62</v>
      </c>
      <c r="J403" s="42" t="n">
        <v>4606</v>
      </c>
      <c r="K403" s="42" t="n">
        <v>135</v>
      </c>
      <c r="L403" s="43" t="n">
        <f aca="false">J403-K403</f>
        <v>4471</v>
      </c>
      <c r="M403" s="42" t="n">
        <v>2057</v>
      </c>
      <c r="N403" s="43" t="n">
        <f aca="false">L403-M403</f>
        <v>2414</v>
      </c>
    </row>
    <row r="404" customFormat="false" ht="15" hidden="false" customHeight="false" outlineLevel="0" collapsed="false">
      <c r="A404" s="40" t="n">
        <v>45839</v>
      </c>
      <c r="B404" s="41" t="n">
        <v>2025</v>
      </c>
      <c r="C404" s="41" t="n">
        <v>7</v>
      </c>
      <c r="D404" s="41" t="s">
        <v>52</v>
      </c>
      <c r="E404" s="41" t="s">
        <v>45</v>
      </c>
      <c r="F404" s="41" t="s">
        <v>43</v>
      </c>
      <c r="G404" s="41" t="s">
        <v>39</v>
      </c>
      <c r="H404" s="42" t="n">
        <v>62</v>
      </c>
      <c r="I404" s="42" t="n">
        <v>72</v>
      </c>
      <c r="J404" s="42" t="n">
        <v>5496</v>
      </c>
      <c r="K404" s="42" t="n">
        <v>419</v>
      </c>
      <c r="L404" s="43" t="n">
        <f aca="false">J404-K404</f>
        <v>5077</v>
      </c>
      <c r="M404" s="42" t="n">
        <v>1950</v>
      </c>
      <c r="N404" s="43" t="n">
        <f aca="false">L404-M404</f>
        <v>3127</v>
      </c>
    </row>
    <row r="405" customFormat="false" ht="15" hidden="false" customHeight="false" outlineLevel="0" collapsed="false">
      <c r="A405" s="40" t="n">
        <v>45839</v>
      </c>
      <c r="B405" s="41" t="n">
        <v>2025</v>
      </c>
      <c r="C405" s="41" t="n">
        <v>7</v>
      </c>
      <c r="D405" s="41" t="s">
        <v>52</v>
      </c>
      <c r="E405" s="41" t="s">
        <v>45</v>
      </c>
      <c r="F405" s="41" t="s">
        <v>43</v>
      </c>
      <c r="G405" s="41" t="s">
        <v>40</v>
      </c>
      <c r="H405" s="42" t="n">
        <v>35</v>
      </c>
      <c r="I405" s="42" t="n">
        <v>43</v>
      </c>
      <c r="J405" s="42" t="n">
        <v>4705</v>
      </c>
      <c r="K405" s="42" t="n">
        <v>324</v>
      </c>
      <c r="L405" s="43" t="n">
        <f aca="false">J405-K405</f>
        <v>4381</v>
      </c>
      <c r="M405" s="42" t="n">
        <v>2449</v>
      </c>
      <c r="N405" s="43" t="n">
        <f aca="false">L405-M405</f>
        <v>1932</v>
      </c>
    </row>
    <row r="406" customFormat="false" ht="15" hidden="false" customHeight="false" outlineLevel="0" collapsed="false">
      <c r="A406" s="40" t="n">
        <v>45839</v>
      </c>
      <c r="B406" s="41" t="n">
        <v>2025</v>
      </c>
      <c r="C406" s="41" t="n">
        <v>7</v>
      </c>
      <c r="D406" s="41" t="s">
        <v>52</v>
      </c>
      <c r="E406" s="41" t="s">
        <v>45</v>
      </c>
      <c r="F406" s="41" t="s">
        <v>43</v>
      </c>
      <c r="G406" s="41" t="s">
        <v>41</v>
      </c>
      <c r="H406" s="42" t="n">
        <v>48</v>
      </c>
      <c r="I406" s="42" t="n">
        <v>74</v>
      </c>
      <c r="J406" s="42" t="n">
        <v>3120</v>
      </c>
      <c r="K406" s="42" t="n">
        <v>72</v>
      </c>
      <c r="L406" s="43" t="n">
        <f aca="false">J406-K406</f>
        <v>3048</v>
      </c>
      <c r="M406" s="42" t="n">
        <v>1427</v>
      </c>
      <c r="N406" s="43" t="n">
        <f aca="false">L406-M406</f>
        <v>1621</v>
      </c>
    </row>
    <row r="407" customFormat="false" ht="15" hidden="false" customHeight="false" outlineLevel="0" collapsed="false">
      <c r="A407" s="40" t="n">
        <v>45839</v>
      </c>
      <c r="B407" s="41" t="n">
        <v>2025</v>
      </c>
      <c r="C407" s="41" t="n">
        <v>7</v>
      </c>
      <c r="D407" s="41" t="s">
        <v>52</v>
      </c>
      <c r="E407" s="41" t="s">
        <v>46</v>
      </c>
      <c r="F407" s="41" t="s">
        <v>36</v>
      </c>
      <c r="G407" s="41" t="s">
        <v>37</v>
      </c>
      <c r="H407" s="42" t="n">
        <v>64</v>
      </c>
      <c r="I407" s="42" t="n">
        <v>94</v>
      </c>
      <c r="J407" s="42" t="n">
        <v>12117</v>
      </c>
      <c r="K407" s="42" t="n">
        <v>477</v>
      </c>
      <c r="L407" s="43" t="n">
        <f aca="false">J407-K407</f>
        <v>11640</v>
      </c>
      <c r="M407" s="42" t="n">
        <v>6329</v>
      </c>
      <c r="N407" s="43" t="n">
        <f aca="false">L407-M407</f>
        <v>5311</v>
      </c>
    </row>
    <row r="408" customFormat="false" ht="15" hidden="false" customHeight="false" outlineLevel="0" collapsed="false">
      <c r="A408" s="40" t="n">
        <v>45839</v>
      </c>
      <c r="B408" s="41" t="n">
        <v>2025</v>
      </c>
      <c r="C408" s="41" t="n">
        <v>7</v>
      </c>
      <c r="D408" s="41" t="s">
        <v>52</v>
      </c>
      <c r="E408" s="41" t="s">
        <v>46</v>
      </c>
      <c r="F408" s="41" t="s">
        <v>36</v>
      </c>
      <c r="G408" s="41" t="s">
        <v>38</v>
      </c>
      <c r="H408" s="42" t="n">
        <v>85</v>
      </c>
      <c r="I408" s="42" t="n">
        <v>135</v>
      </c>
      <c r="J408" s="42" t="n">
        <v>9529</v>
      </c>
      <c r="K408" s="42" t="n">
        <v>518</v>
      </c>
      <c r="L408" s="43" t="n">
        <f aca="false">J408-K408</f>
        <v>9011</v>
      </c>
      <c r="M408" s="42" t="n">
        <v>3936</v>
      </c>
      <c r="N408" s="43" t="n">
        <f aca="false">L408-M408</f>
        <v>5075</v>
      </c>
    </row>
    <row r="409" customFormat="false" ht="15" hidden="false" customHeight="false" outlineLevel="0" collapsed="false">
      <c r="A409" s="40" t="n">
        <v>45839</v>
      </c>
      <c r="B409" s="41" t="n">
        <v>2025</v>
      </c>
      <c r="C409" s="41" t="n">
        <v>7</v>
      </c>
      <c r="D409" s="41" t="s">
        <v>52</v>
      </c>
      <c r="E409" s="41" t="s">
        <v>46</v>
      </c>
      <c r="F409" s="41" t="s">
        <v>36</v>
      </c>
      <c r="G409" s="41" t="s">
        <v>39</v>
      </c>
      <c r="H409" s="42" t="n">
        <v>125</v>
      </c>
      <c r="I409" s="42" t="n">
        <v>180</v>
      </c>
      <c r="J409" s="42" t="n">
        <v>10528</v>
      </c>
      <c r="K409" s="42" t="n">
        <v>1186</v>
      </c>
      <c r="L409" s="43" t="n">
        <f aca="false">J409-K409</f>
        <v>9342</v>
      </c>
      <c r="M409" s="42" t="n">
        <v>3551</v>
      </c>
      <c r="N409" s="43" t="n">
        <f aca="false">L409-M409</f>
        <v>5791</v>
      </c>
    </row>
    <row r="410" customFormat="false" ht="15" hidden="false" customHeight="false" outlineLevel="0" collapsed="false">
      <c r="A410" s="40" t="n">
        <v>45839</v>
      </c>
      <c r="B410" s="41" t="n">
        <v>2025</v>
      </c>
      <c r="C410" s="41" t="n">
        <v>7</v>
      </c>
      <c r="D410" s="41" t="s">
        <v>52</v>
      </c>
      <c r="E410" s="41" t="s">
        <v>46</v>
      </c>
      <c r="F410" s="41" t="s">
        <v>36</v>
      </c>
      <c r="G410" s="41" t="s">
        <v>40</v>
      </c>
      <c r="H410" s="42" t="n">
        <v>65</v>
      </c>
      <c r="I410" s="42" t="n">
        <v>96</v>
      </c>
      <c r="J410" s="42" t="n">
        <v>8308</v>
      </c>
      <c r="K410" s="42" t="n">
        <v>864</v>
      </c>
      <c r="L410" s="43" t="n">
        <f aca="false">J410-K410</f>
        <v>7444</v>
      </c>
      <c r="M410" s="42" t="n">
        <v>4183</v>
      </c>
      <c r="N410" s="43" t="n">
        <f aca="false">L410-M410</f>
        <v>3261</v>
      </c>
    </row>
    <row r="411" customFormat="false" ht="15" hidden="false" customHeight="false" outlineLevel="0" collapsed="false">
      <c r="A411" s="40" t="n">
        <v>45839</v>
      </c>
      <c r="B411" s="41" t="n">
        <v>2025</v>
      </c>
      <c r="C411" s="41" t="n">
        <v>7</v>
      </c>
      <c r="D411" s="41" t="s">
        <v>52</v>
      </c>
      <c r="E411" s="41" t="s">
        <v>46</v>
      </c>
      <c r="F411" s="41" t="s">
        <v>36</v>
      </c>
      <c r="G411" s="41" t="s">
        <v>41</v>
      </c>
      <c r="H411" s="42" t="n">
        <v>96</v>
      </c>
      <c r="I411" s="42" t="n">
        <v>113</v>
      </c>
      <c r="J411" s="42" t="n">
        <v>5826</v>
      </c>
      <c r="K411" s="42" t="n">
        <v>166</v>
      </c>
      <c r="L411" s="43" t="n">
        <f aca="false">J411-K411</f>
        <v>5660</v>
      </c>
      <c r="M411" s="42" t="n">
        <v>2729</v>
      </c>
      <c r="N411" s="43" t="n">
        <f aca="false">L411-M411</f>
        <v>2931</v>
      </c>
    </row>
    <row r="412" customFormat="false" ht="15" hidden="false" customHeight="false" outlineLevel="0" collapsed="false">
      <c r="A412" s="40" t="n">
        <v>45839</v>
      </c>
      <c r="B412" s="41" t="n">
        <v>2025</v>
      </c>
      <c r="C412" s="41" t="n">
        <v>7</v>
      </c>
      <c r="D412" s="41" t="s">
        <v>52</v>
      </c>
      <c r="E412" s="41" t="s">
        <v>46</v>
      </c>
      <c r="F412" s="41" t="s">
        <v>42</v>
      </c>
      <c r="G412" s="41" t="s">
        <v>37</v>
      </c>
      <c r="H412" s="42" t="n">
        <v>46</v>
      </c>
      <c r="I412" s="42" t="n">
        <v>67</v>
      </c>
      <c r="J412" s="42" t="n">
        <v>7997</v>
      </c>
      <c r="K412" s="42" t="n">
        <v>370</v>
      </c>
      <c r="L412" s="43" t="n">
        <f aca="false">J412-K412</f>
        <v>7627</v>
      </c>
      <c r="M412" s="42" t="n">
        <v>4260</v>
      </c>
      <c r="N412" s="43" t="n">
        <f aca="false">L412-M412</f>
        <v>3367</v>
      </c>
    </row>
    <row r="413" customFormat="false" ht="15" hidden="false" customHeight="false" outlineLevel="0" collapsed="false">
      <c r="A413" s="40" t="n">
        <v>45839</v>
      </c>
      <c r="B413" s="41" t="n">
        <v>2025</v>
      </c>
      <c r="C413" s="41" t="n">
        <v>7</v>
      </c>
      <c r="D413" s="41" t="s">
        <v>52</v>
      </c>
      <c r="E413" s="41" t="s">
        <v>46</v>
      </c>
      <c r="F413" s="41" t="s">
        <v>42</v>
      </c>
      <c r="G413" s="41" t="s">
        <v>38</v>
      </c>
      <c r="H413" s="42" t="n">
        <v>66</v>
      </c>
      <c r="I413" s="42" t="n">
        <v>95</v>
      </c>
      <c r="J413" s="42" t="n">
        <v>6847</v>
      </c>
      <c r="K413" s="42" t="n">
        <v>486</v>
      </c>
      <c r="L413" s="43" t="n">
        <f aca="false">J413-K413</f>
        <v>6361</v>
      </c>
      <c r="M413" s="42" t="n">
        <v>2987</v>
      </c>
      <c r="N413" s="43" t="n">
        <f aca="false">L413-M413</f>
        <v>3374</v>
      </c>
    </row>
    <row r="414" customFormat="false" ht="15" hidden="false" customHeight="false" outlineLevel="0" collapsed="false">
      <c r="A414" s="40" t="n">
        <v>45839</v>
      </c>
      <c r="B414" s="41" t="n">
        <v>2025</v>
      </c>
      <c r="C414" s="41" t="n">
        <v>7</v>
      </c>
      <c r="D414" s="41" t="s">
        <v>52</v>
      </c>
      <c r="E414" s="41" t="s">
        <v>46</v>
      </c>
      <c r="F414" s="41" t="s">
        <v>42</v>
      </c>
      <c r="G414" s="41" t="s">
        <v>39</v>
      </c>
      <c r="H414" s="42" t="n">
        <v>106</v>
      </c>
      <c r="I414" s="42" t="n">
        <v>159</v>
      </c>
      <c r="J414" s="42" t="n">
        <v>8204</v>
      </c>
      <c r="K414" s="42" t="n">
        <v>1305</v>
      </c>
      <c r="L414" s="43" t="n">
        <f aca="false">J414-K414</f>
        <v>6899</v>
      </c>
      <c r="M414" s="42" t="n">
        <v>2908</v>
      </c>
      <c r="N414" s="43" t="n">
        <f aca="false">L414-M414</f>
        <v>3991</v>
      </c>
    </row>
    <row r="415" customFormat="false" ht="15" hidden="false" customHeight="false" outlineLevel="0" collapsed="false">
      <c r="A415" s="40" t="n">
        <v>45839</v>
      </c>
      <c r="B415" s="41" t="n">
        <v>2025</v>
      </c>
      <c r="C415" s="41" t="n">
        <v>7</v>
      </c>
      <c r="D415" s="41" t="s">
        <v>52</v>
      </c>
      <c r="E415" s="41" t="s">
        <v>46</v>
      </c>
      <c r="F415" s="41" t="s">
        <v>42</v>
      </c>
      <c r="G415" s="41" t="s">
        <v>40</v>
      </c>
      <c r="H415" s="42" t="n">
        <v>53</v>
      </c>
      <c r="I415" s="42" t="n">
        <v>68</v>
      </c>
      <c r="J415" s="42" t="n">
        <v>6217</v>
      </c>
      <c r="K415" s="42" t="n">
        <v>830</v>
      </c>
      <c r="L415" s="43" t="n">
        <f aca="false">J415-K415</f>
        <v>5387</v>
      </c>
      <c r="M415" s="42" t="n">
        <v>3147</v>
      </c>
      <c r="N415" s="43" t="n">
        <f aca="false">L415-M415</f>
        <v>2240</v>
      </c>
    </row>
    <row r="416" customFormat="false" ht="15" hidden="false" customHeight="false" outlineLevel="0" collapsed="false">
      <c r="A416" s="40" t="n">
        <v>45839</v>
      </c>
      <c r="B416" s="41" t="n">
        <v>2025</v>
      </c>
      <c r="C416" s="41" t="n">
        <v>7</v>
      </c>
      <c r="D416" s="41" t="s">
        <v>52</v>
      </c>
      <c r="E416" s="41" t="s">
        <v>46</v>
      </c>
      <c r="F416" s="41" t="s">
        <v>42</v>
      </c>
      <c r="G416" s="41" t="s">
        <v>41</v>
      </c>
      <c r="H416" s="42" t="n">
        <v>77</v>
      </c>
      <c r="I416" s="42" t="n">
        <v>117</v>
      </c>
      <c r="J416" s="42" t="n">
        <v>4300</v>
      </c>
      <c r="K416" s="42" t="n">
        <v>162</v>
      </c>
      <c r="L416" s="43" t="n">
        <f aca="false">J416-K416</f>
        <v>4138</v>
      </c>
      <c r="M416" s="42" t="n">
        <v>2085</v>
      </c>
      <c r="N416" s="43" t="n">
        <f aca="false">L416-M416</f>
        <v>2053</v>
      </c>
    </row>
    <row r="417" customFormat="false" ht="15" hidden="false" customHeight="false" outlineLevel="0" collapsed="false">
      <c r="A417" s="40" t="n">
        <v>45839</v>
      </c>
      <c r="B417" s="41" t="n">
        <v>2025</v>
      </c>
      <c r="C417" s="41" t="n">
        <v>7</v>
      </c>
      <c r="D417" s="41" t="s">
        <v>52</v>
      </c>
      <c r="E417" s="41" t="s">
        <v>46</v>
      </c>
      <c r="F417" s="41" t="s">
        <v>43</v>
      </c>
      <c r="G417" s="41" t="s">
        <v>37</v>
      </c>
      <c r="H417" s="42" t="n">
        <v>32</v>
      </c>
      <c r="I417" s="42" t="n">
        <v>49</v>
      </c>
      <c r="J417" s="42" t="n">
        <v>6342</v>
      </c>
      <c r="K417" s="42" t="n">
        <v>185</v>
      </c>
      <c r="L417" s="43" t="n">
        <f aca="false">J417-K417</f>
        <v>6157</v>
      </c>
      <c r="M417" s="42" t="n">
        <v>3226</v>
      </c>
      <c r="N417" s="43" t="n">
        <f aca="false">L417-M417</f>
        <v>2931</v>
      </c>
    </row>
    <row r="418" customFormat="false" ht="15" hidden="false" customHeight="false" outlineLevel="0" collapsed="false">
      <c r="A418" s="40" t="n">
        <v>45839</v>
      </c>
      <c r="B418" s="41" t="n">
        <v>2025</v>
      </c>
      <c r="C418" s="41" t="n">
        <v>7</v>
      </c>
      <c r="D418" s="41" t="s">
        <v>52</v>
      </c>
      <c r="E418" s="41" t="s">
        <v>46</v>
      </c>
      <c r="F418" s="41" t="s">
        <v>43</v>
      </c>
      <c r="G418" s="41" t="s">
        <v>38</v>
      </c>
      <c r="H418" s="42" t="n">
        <v>40</v>
      </c>
      <c r="I418" s="42" t="n">
        <v>62</v>
      </c>
      <c r="J418" s="42" t="n">
        <v>4797</v>
      </c>
      <c r="K418" s="42" t="n">
        <v>160</v>
      </c>
      <c r="L418" s="43" t="n">
        <f aca="false">J418-K418</f>
        <v>4637</v>
      </c>
      <c r="M418" s="42" t="n">
        <v>2110</v>
      </c>
      <c r="N418" s="43" t="n">
        <f aca="false">L418-M418</f>
        <v>2527</v>
      </c>
    </row>
    <row r="419" customFormat="false" ht="15" hidden="false" customHeight="false" outlineLevel="0" collapsed="false">
      <c r="A419" s="40" t="n">
        <v>45839</v>
      </c>
      <c r="B419" s="41" t="n">
        <v>2025</v>
      </c>
      <c r="C419" s="41" t="n">
        <v>7</v>
      </c>
      <c r="D419" s="41" t="s">
        <v>52</v>
      </c>
      <c r="E419" s="41" t="s">
        <v>46</v>
      </c>
      <c r="F419" s="41" t="s">
        <v>43</v>
      </c>
      <c r="G419" s="41" t="s">
        <v>39</v>
      </c>
      <c r="H419" s="42" t="n">
        <v>67</v>
      </c>
      <c r="I419" s="42" t="n">
        <v>104</v>
      </c>
      <c r="J419" s="42" t="n">
        <v>5993</v>
      </c>
      <c r="K419" s="42" t="n">
        <v>471</v>
      </c>
      <c r="L419" s="43" t="n">
        <f aca="false">J419-K419</f>
        <v>5522</v>
      </c>
      <c r="M419" s="42" t="n">
        <v>2126</v>
      </c>
      <c r="N419" s="43" t="n">
        <f aca="false">L419-M419</f>
        <v>3396</v>
      </c>
    </row>
    <row r="420" customFormat="false" ht="15" hidden="false" customHeight="false" outlineLevel="0" collapsed="false">
      <c r="A420" s="40" t="n">
        <v>45839</v>
      </c>
      <c r="B420" s="41" t="n">
        <v>2025</v>
      </c>
      <c r="C420" s="41" t="n">
        <v>7</v>
      </c>
      <c r="D420" s="41" t="s">
        <v>52</v>
      </c>
      <c r="E420" s="41" t="s">
        <v>46</v>
      </c>
      <c r="F420" s="41" t="s">
        <v>43</v>
      </c>
      <c r="G420" s="41" t="s">
        <v>40</v>
      </c>
      <c r="H420" s="42" t="n">
        <v>27</v>
      </c>
      <c r="I420" s="42" t="n">
        <v>34</v>
      </c>
      <c r="J420" s="42" t="n">
        <v>3610</v>
      </c>
      <c r="K420" s="42" t="n">
        <v>294</v>
      </c>
      <c r="L420" s="43" t="n">
        <f aca="false">J420-K420</f>
        <v>3316</v>
      </c>
      <c r="M420" s="42" t="n">
        <v>1833</v>
      </c>
      <c r="N420" s="43" t="n">
        <f aca="false">L420-M420</f>
        <v>1483</v>
      </c>
    </row>
    <row r="421" customFormat="false" ht="15" hidden="false" customHeight="false" outlineLevel="0" collapsed="false">
      <c r="A421" s="40" t="n">
        <v>45839</v>
      </c>
      <c r="B421" s="41" t="n">
        <v>2025</v>
      </c>
      <c r="C421" s="41" t="n">
        <v>7</v>
      </c>
      <c r="D421" s="41" t="s">
        <v>52</v>
      </c>
      <c r="E421" s="41" t="s">
        <v>46</v>
      </c>
      <c r="F421" s="41" t="s">
        <v>43</v>
      </c>
      <c r="G421" s="41" t="s">
        <v>41</v>
      </c>
      <c r="H421" s="42" t="n">
        <v>47</v>
      </c>
      <c r="I421" s="42" t="n">
        <v>73</v>
      </c>
      <c r="J421" s="42" t="n">
        <v>3044</v>
      </c>
      <c r="K421" s="42" t="n">
        <v>52</v>
      </c>
      <c r="L421" s="43" t="n">
        <f aca="false">J421-K421</f>
        <v>2992</v>
      </c>
      <c r="M421" s="42" t="n">
        <v>1465</v>
      </c>
      <c r="N421" s="43" t="n">
        <f aca="false">L421-M421</f>
        <v>1527</v>
      </c>
    </row>
    <row r="422" customFormat="false" ht="15" hidden="false" customHeight="false" outlineLevel="0" collapsed="false">
      <c r="A422" s="40" t="n">
        <v>45870</v>
      </c>
      <c r="B422" s="41" t="n">
        <v>2025</v>
      </c>
      <c r="C422" s="41" t="n">
        <v>8</v>
      </c>
      <c r="D422" s="41" t="s">
        <v>53</v>
      </c>
      <c r="E422" s="41" t="s">
        <v>35</v>
      </c>
      <c r="F422" s="41" t="s">
        <v>36</v>
      </c>
      <c r="G422" s="41" t="s">
        <v>37</v>
      </c>
      <c r="H422" s="42" t="n">
        <v>110</v>
      </c>
      <c r="I422" s="42" t="n">
        <v>169</v>
      </c>
      <c r="J422" s="42" t="n">
        <v>20749</v>
      </c>
      <c r="K422" s="42" t="n">
        <v>854</v>
      </c>
      <c r="L422" s="43" t="n">
        <f aca="false">J422-K422</f>
        <v>19895</v>
      </c>
      <c r="M422" s="42" t="n">
        <v>10401</v>
      </c>
      <c r="N422" s="43" t="n">
        <f aca="false">L422-M422</f>
        <v>9494</v>
      </c>
    </row>
    <row r="423" customFormat="false" ht="15" hidden="false" customHeight="false" outlineLevel="0" collapsed="false">
      <c r="A423" s="40" t="n">
        <v>45870</v>
      </c>
      <c r="B423" s="41" t="n">
        <v>2025</v>
      </c>
      <c r="C423" s="41" t="n">
        <v>8</v>
      </c>
      <c r="D423" s="41" t="s">
        <v>53</v>
      </c>
      <c r="E423" s="41" t="s">
        <v>35</v>
      </c>
      <c r="F423" s="41" t="s">
        <v>36</v>
      </c>
      <c r="G423" s="41" t="s">
        <v>38</v>
      </c>
      <c r="H423" s="42" t="n">
        <v>164</v>
      </c>
      <c r="I423" s="42" t="n">
        <v>248</v>
      </c>
      <c r="J423" s="42" t="n">
        <v>18340</v>
      </c>
      <c r="K423" s="42" t="n">
        <v>985</v>
      </c>
      <c r="L423" s="43" t="n">
        <f aca="false">J423-K423</f>
        <v>17355</v>
      </c>
      <c r="M423" s="42" t="n">
        <v>8004</v>
      </c>
      <c r="N423" s="43" t="n">
        <f aca="false">L423-M423</f>
        <v>9351</v>
      </c>
    </row>
    <row r="424" customFormat="false" ht="15" hidden="false" customHeight="false" outlineLevel="0" collapsed="false">
      <c r="A424" s="40" t="n">
        <v>45870</v>
      </c>
      <c r="B424" s="41" t="n">
        <v>2025</v>
      </c>
      <c r="C424" s="41" t="n">
        <v>8</v>
      </c>
      <c r="D424" s="41" t="s">
        <v>53</v>
      </c>
      <c r="E424" s="41" t="s">
        <v>35</v>
      </c>
      <c r="F424" s="41" t="s">
        <v>36</v>
      </c>
      <c r="G424" s="41" t="s">
        <v>39</v>
      </c>
      <c r="H424" s="42" t="n">
        <v>227</v>
      </c>
      <c r="I424" s="42" t="n">
        <v>270</v>
      </c>
      <c r="J424" s="42" t="n">
        <v>19026</v>
      </c>
      <c r="K424" s="42" t="n">
        <v>1943</v>
      </c>
      <c r="L424" s="43" t="n">
        <f aca="false">J424-K424</f>
        <v>17083</v>
      </c>
      <c r="M424" s="42" t="n">
        <v>6781</v>
      </c>
      <c r="N424" s="43" t="n">
        <f aca="false">L424-M424</f>
        <v>10302</v>
      </c>
    </row>
    <row r="425" customFormat="false" ht="15" hidden="false" customHeight="false" outlineLevel="0" collapsed="false">
      <c r="A425" s="40" t="n">
        <v>45870</v>
      </c>
      <c r="B425" s="41" t="n">
        <v>2025</v>
      </c>
      <c r="C425" s="41" t="n">
        <v>8</v>
      </c>
      <c r="D425" s="41" t="s">
        <v>53</v>
      </c>
      <c r="E425" s="41" t="s">
        <v>35</v>
      </c>
      <c r="F425" s="41" t="s">
        <v>36</v>
      </c>
      <c r="G425" s="41" t="s">
        <v>40</v>
      </c>
      <c r="H425" s="42" t="n">
        <v>102</v>
      </c>
      <c r="I425" s="42" t="n">
        <v>152</v>
      </c>
      <c r="J425" s="42" t="n">
        <v>13112</v>
      </c>
      <c r="K425" s="42" t="n">
        <v>1845</v>
      </c>
      <c r="L425" s="43" t="n">
        <f aca="false">J425-K425</f>
        <v>11267</v>
      </c>
      <c r="M425" s="42" t="n">
        <v>6098</v>
      </c>
      <c r="N425" s="43" t="n">
        <f aca="false">L425-M425</f>
        <v>5169</v>
      </c>
    </row>
    <row r="426" customFormat="false" ht="15" hidden="false" customHeight="false" outlineLevel="0" collapsed="false">
      <c r="A426" s="40" t="n">
        <v>45870</v>
      </c>
      <c r="B426" s="41" t="n">
        <v>2025</v>
      </c>
      <c r="C426" s="41" t="n">
        <v>8</v>
      </c>
      <c r="D426" s="41" t="s">
        <v>53</v>
      </c>
      <c r="E426" s="41" t="s">
        <v>35</v>
      </c>
      <c r="F426" s="41" t="s">
        <v>36</v>
      </c>
      <c r="G426" s="41" t="s">
        <v>41</v>
      </c>
      <c r="H426" s="42" t="n">
        <v>161</v>
      </c>
      <c r="I426" s="42" t="n">
        <v>234</v>
      </c>
      <c r="J426" s="42" t="n">
        <v>9827</v>
      </c>
      <c r="K426" s="42" t="n">
        <v>291</v>
      </c>
      <c r="L426" s="43" t="n">
        <f aca="false">J426-K426</f>
        <v>9536</v>
      </c>
      <c r="M426" s="42" t="n">
        <v>4497</v>
      </c>
      <c r="N426" s="43" t="n">
        <f aca="false">L426-M426</f>
        <v>5039</v>
      </c>
    </row>
    <row r="427" customFormat="false" ht="15" hidden="false" customHeight="false" outlineLevel="0" collapsed="false">
      <c r="A427" s="40" t="n">
        <v>45870</v>
      </c>
      <c r="B427" s="41" t="n">
        <v>2025</v>
      </c>
      <c r="C427" s="41" t="n">
        <v>8</v>
      </c>
      <c r="D427" s="41" t="s">
        <v>53</v>
      </c>
      <c r="E427" s="41" t="s">
        <v>35</v>
      </c>
      <c r="F427" s="41" t="s">
        <v>42</v>
      </c>
      <c r="G427" s="41" t="s">
        <v>37</v>
      </c>
      <c r="H427" s="42" t="n">
        <v>71</v>
      </c>
      <c r="I427" s="42" t="n">
        <v>106</v>
      </c>
      <c r="J427" s="42" t="n">
        <v>12364</v>
      </c>
      <c r="K427" s="42" t="n">
        <v>746</v>
      </c>
      <c r="L427" s="43" t="n">
        <f aca="false">J427-K427</f>
        <v>11618</v>
      </c>
      <c r="M427" s="42" t="n">
        <v>6361</v>
      </c>
      <c r="N427" s="43" t="n">
        <f aca="false">L427-M427</f>
        <v>5257</v>
      </c>
    </row>
    <row r="428" customFormat="false" ht="15" hidden="false" customHeight="false" outlineLevel="0" collapsed="false">
      <c r="A428" s="40" t="n">
        <v>45870</v>
      </c>
      <c r="B428" s="41" t="n">
        <v>2025</v>
      </c>
      <c r="C428" s="41" t="n">
        <v>8</v>
      </c>
      <c r="D428" s="41" t="s">
        <v>53</v>
      </c>
      <c r="E428" s="41" t="s">
        <v>35</v>
      </c>
      <c r="F428" s="41" t="s">
        <v>42</v>
      </c>
      <c r="G428" s="41" t="s">
        <v>38</v>
      </c>
      <c r="H428" s="42" t="n">
        <v>100</v>
      </c>
      <c r="I428" s="42" t="n">
        <v>151</v>
      </c>
      <c r="J428" s="42" t="n">
        <v>10275</v>
      </c>
      <c r="K428" s="42" t="n">
        <v>769</v>
      </c>
      <c r="L428" s="43" t="n">
        <f aca="false">J428-K428</f>
        <v>9506</v>
      </c>
      <c r="M428" s="42" t="n">
        <v>4415</v>
      </c>
      <c r="N428" s="43" t="n">
        <f aca="false">L428-M428</f>
        <v>5091</v>
      </c>
    </row>
    <row r="429" customFormat="false" ht="15" hidden="false" customHeight="false" outlineLevel="0" collapsed="false">
      <c r="A429" s="40" t="n">
        <v>45870</v>
      </c>
      <c r="B429" s="41" t="n">
        <v>2025</v>
      </c>
      <c r="C429" s="41" t="n">
        <v>8</v>
      </c>
      <c r="D429" s="41" t="s">
        <v>53</v>
      </c>
      <c r="E429" s="41" t="s">
        <v>35</v>
      </c>
      <c r="F429" s="41" t="s">
        <v>42</v>
      </c>
      <c r="G429" s="41" t="s">
        <v>39</v>
      </c>
      <c r="H429" s="42" t="n">
        <v>183</v>
      </c>
      <c r="I429" s="42" t="n">
        <v>284</v>
      </c>
      <c r="J429" s="42" t="n">
        <v>14137</v>
      </c>
      <c r="K429" s="42" t="n">
        <v>2202</v>
      </c>
      <c r="L429" s="43" t="n">
        <f aca="false">J429-K429</f>
        <v>11935</v>
      </c>
      <c r="M429" s="42" t="n">
        <v>4952</v>
      </c>
      <c r="N429" s="43" t="n">
        <f aca="false">L429-M429</f>
        <v>6983</v>
      </c>
    </row>
    <row r="430" customFormat="false" ht="15" hidden="false" customHeight="false" outlineLevel="0" collapsed="false">
      <c r="A430" s="40" t="n">
        <v>45870</v>
      </c>
      <c r="B430" s="41" t="n">
        <v>2025</v>
      </c>
      <c r="C430" s="41" t="n">
        <v>8</v>
      </c>
      <c r="D430" s="41" t="s">
        <v>53</v>
      </c>
      <c r="E430" s="41" t="s">
        <v>35</v>
      </c>
      <c r="F430" s="41" t="s">
        <v>42</v>
      </c>
      <c r="G430" s="41" t="s">
        <v>40</v>
      </c>
      <c r="H430" s="42" t="n">
        <v>84</v>
      </c>
      <c r="I430" s="42" t="n">
        <v>119</v>
      </c>
      <c r="J430" s="42" t="n">
        <v>9891</v>
      </c>
      <c r="K430" s="42" t="n">
        <v>1403</v>
      </c>
      <c r="L430" s="43" t="n">
        <f aca="false">J430-K430</f>
        <v>8488</v>
      </c>
      <c r="M430" s="42" t="n">
        <v>4732</v>
      </c>
      <c r="N430" s="43" t="n">
        <f aca="false">L430-M430</f>
        <v>3756</v>
      </c>
    </row>
    <row r="431" customFormat="false" ht="15" hidden="false" customHeight="false" outlineLevel="0" collapsed="false">
      <c r="A431" s="40" t="n">
        <v>45870</v>
      </c>
      <c r="B431" s="41" t="n">
        <v>2025</v>
      </c>
      <c r="C431" s="41" t="n">
        <v>8</v>
      </c>
      <c r="D431" s="41" t="s">
        <v>53</v>
      </c>
      <c r="E431" s="41" t="s">
        <v>35</v>
      </c>
      <c r="F431" s="41" t="s">
        <v>42</v>
      </c>
      <c r="G431" s="41" t="s">
        <v>41</v>
      </c>
      <c r="H431" s="42" t="n">
        <v>108</v>
      </c>
      <c r="I431" s="42" t="n">
        <v>158</v>
      </c>
      <c r="J431" s="42" t="n">
        <v>6044</v>
      </c>
      <c r="K431" s="42" t="n">
        <v>231</v>
      </c>
      <c r="L431" s="43" t="n">
        <f aca="false">J431-K431</f>
        <v>5813</v>
      </c>
      <c r="M431" s="42" t="n">
        <v>2922</v>
      </c>
      <c r="N431" s="43" t="n">
        <f aca="false">L431-M431</f>
        <v>2891</v>
      </c>
    </row>
    <row r="432" customFormat="false" ht="15" hidden="false" customHeight="false" outlineLevel="0" collapsed="false">
      <c r="A432" s="40" t="n">
        <v>45870</v>
      </c>
      <c r="B432" s="41" t="n">
        <v>2025</v>
      </c>
      <c r="C432" s="41" t="n">
        <v>8</v>
      </c>
      <c r="D432" s="41" t="s">
        <v>53</v>
      </c>
      <c r="E432" s="41" t="s">
        <v>35</v>
      </c>
      <c r="F432" s="41" t="s">
        <v>43</v>
      </c>
      <c r="G432" s="41" t="s">
        <v>37</v>
      </c>
      <c r="H432" s="42" t="n">
        <v>44</v>
      </c>
      <c r="I432" s="42" t="n">
        <v>61</v>
      </c>
      <c r="J432" s="42" t="n">
        <v>8878</v>
      </c>
      <c r="K432" s="42" t="n">
        <v>214</v>
      </c>
      <c r="L432" s="43" t="n">
        <f aca="false">J432-K432</f>
        <v>8664</v>
      </c>
      <c r="M432" s="42" t="n">
        <v>4466</v>
      </c>
      <c r="N432" s="43" t="n">
        <f aca="false">L432-M432</f>
        <v>4198</v>
      </c>
    </row>
    <row r="433" customFormat="false" ht="15" hidden="false" customHeight="false" outlineLevel="0" collapsed="false">
      <c r="A433" s="40" t="n">
        <v>45870</v>
      </c>
      <c r="B433" s="41" t="n">
        <v>2025</v>
      </c>
      <c r="C433" s="41" t="n">
        <v>8</v>
      </c>
      <c r="D433" s="41" t="s">
        <v>53</v>
      </c>
      <c r="E433" s="41" t="s">
        <v>35</v>
      </c>
      <c r="F433" s="41" t="s">
        <v>43</v>
      </c>
      <c r="G433" s="41" t="s">
        <v>38</v>
      </c>
      <c r="H433" s="42" t="n">
        <v>77</v>
      </c>
      <c r="I433" s="42" t="n">
        <v>102</v>
      </c>
      <c r="J433" s="42" t="n">
        <v>9098</v>
      </c>
      <c r="K433" s="42" t="n">
        <v>268</v>
      </c>
      <c r="L433" s="43" t="n">
        <f aca="false">J433-K433</f>
        <v>8830</v>
      </c>
      <c r="M433" s="42" t="n">
        <v>4005</v>
      </c>
      <c r="N433" s="43" t="n">
        <f aca="false">L433-M433</f>
        <v>4825</v>
      </c>
    </row>
    <row r="434" customFormat="false" ht="15" hidden="false" customHeight="false" outlineLevel="0" collapsed="false">
      <c r="A434" s="40" t="n">
        <v>45870</v>
      </c>
      <c r="B434" s="41" t="n">
        <v>2025</v>
      </c>
      <c r="C434" s="41" t="n">
        <v>8</v>
      </c>
      <c r="D434" s="41" t="s">
        <v>53</v>
      </c>
      <c r="E434" s="41" t="s">
        <v>35</v>
      </c>
      <c r="F434" s="41" t="s">
        <v>43</v>
      </c>
      <c r="G434" s="41" t="s">
        <v>39</v>
      </c>
      <c r="H434" s="42" t="n">
        <v>115</v>
      </c>
      <c r="I434" s="42" t="n">
        <v>140</v>
      </c>
      <c r="J434" s="42" t="n">
        <v>10272</v>
      </c>
      <c r="K434" s="42" t="n">
        <v>747</v>
      </c>
      <c r="L434" s="43" t="n">
        <f aca="false">J434-K434</f>
        <v>9525</v>
      </c>
      <c r="M434" s="42" t="n">
        <v>3680</v>
      </c>
      <c r="N434" s="43" t="n">
        <f aca="false">L434-M434</f>
        <v>5845</v>
      </c>
    </row>
    <row r="435" customFormat="false" ht="15" hidden="false" customHeight="false" outlineLevel="0" collapsed="false">
      <c r="A435" s="40" t="n">
        <v>45870</v>
      </c>
      <c r="B435" s="41" t="n">
        <v>2025</v>
      </c>
      <c r="C435" s="41" t="n">
        <v>8</v>
      </c>
      <c r="D435" s="41" t="s">
        <v>53</v>
      </c>
      <c r="E435" s="41" t="s">
        <v>35</v>
      </c>
      <c r="F435" s="41" t="s">
        <v>43</v>
      </c>
      <c r="G435" s="41" t="s">
        <v>40</v>
      </c>
      <c r="H435" s="42" t="n">
        <v>51</v>
      </c>
      <c r="I435" s="42" t="n">
        <v>59</v>
      </c>
      <c r="J435" s="42" t="n">
        <v>6882</v>
      </c>
      <c r="K435" s="42" t="n">
        <v>470</v>
      </c>
      <c r="L435" s="43" t="n">
        <f aca="false">J435-K435</f>
        <v>6412</v>
      </c>
      <c r="M435" s="42" t="n">
        <v>3630</v>
      </c>
      <c r="N435" s="43" t="n">
        <f aca="false">L435-M435</f>
        <v>2782</v>
      </c>
    </row>
    <row r="436" customFormat="false" ht="15" hidden="false" customHeight="false" outlineLevel="0" collapsed="false">
      <c r="A436" s="40" t="n">
        <v>45870</v>
      </c>
      <c r="B436" s="41" t="n">
        <v>2025</v>
      </c>
      <c r="C436" s="41" t="n">
        <v>8</v>
      </c>
      <c r="D436" s="41" t="s">
        <v>53</v>
      </c>
      <c r="E436" s="41" t="s">
        <v>35</v>
      </c>
      <c r="F436" s="41" t="s">
        <v>43</v>
      </c>
      <c r="G436" s="41" t="s">
        <v>41</v>
      </c>
      <c r="H436" s="42" t="n">
        <v>78</v>
      </c>
      <c r="I436" s="42" t="n">
        <v>107</v>
      </c>
      <c r="J436" s="42" t="n">
        <v>5031</v>
      </c>
      <c r="K436" s="42" t="n">
        <v>108</v>
      </c>
      <c r="L436" s="43" t="n">
        <f aca="false">J436-K436</f>
        <v>4923</v>
      </c>
      <c r="M436" s="42" t="n">
        <v>2329</v>
      </c>
      <c r="N436" s="43" t="n">
        <f aca="false">L436-M436</f>
        <v>2594</v>
      </c>
    </row>
    <row r="437" customFormat="false" ht="15" hidden="false" customHeight="false" outlineLevel="0" collapsed="false">
      <c r="A437" s="40" t="n">
        <v>45870</v>
      </c>
      <c r="B437" s="41" t="n">
        <v>2025</v>
      </c>
      <c r="C437" s="41" t="n">
        <v>8</v>
      </c>
      <c r="D437" s="41" t="s">
        <v>53</v>
      </c>
      <c r="E437" s="41" t="s">
        <v>44</v>
      </c>
      <c r="F437" s="41" t="s">
        <v>36</v>
      </c>
      <c r="G437" s="41" t="s">
        <v>37</v>
      </c>
      <c r="H437" s="42" t="n">
        <v>86</v>
      </c>
      <c r="I437" s="42" t="n">
        <v>115</v>
      </c>
      <c r="J437" s="42" t="n">
        <v>16339</v>
      </c>
      <c r="K437" s="42" t="n">
        <v>770</v>
      </c>
      <c r="L437" s="43" t="n">
        <f aca="false">J437-K437</f>
        <v>15569</v>
      </c>
      <c r="M437" s="42" t="n">
        <v>8384</v>
      </c>
      <c r="N437" s="43" t="n">
        <f aca="false">L437-M437</f>
        <v>7185</v>
      </c>
    </row>
    <row r="438" customFormat="false" ht="15" hidden="false" customHeight="false" outlineLevel="0" collapsed="false">
      <c r="A438" s="40" t="n">
        <v>45870</v>
      </c>
      <c r="B438" s="41" t="n">
        <v>2025</v>
      </c>
      <c r="C438" s="41" t="n">
        <v>8</v>
      </c>
      <c r="D438" s="41" t="s">
        <v>53</v>
      </c>
      <c r="E438" s="41" t="s">
        <v>44</v>
      </c>
      <c r="F438" s="41" t="s">
        <v>36</v>
      </c>
      <c r="G438" s="41" t="s">
        <v>38</v>
      </c>
      <c r="H438" s="42" t="n">
        <v>129</v>
      </c>
      <c r="I438" s="42" t="n">
        <v>204</v>
      </c>
      <c r="J438" s="42" t="n">
        <v>14444</v>
      </c>
      <c r="K438" s="42" t="n">
        <v>651</v>
      </c>
      <c r="L438" s="43" t="n">
        <f aca="false">J438-K438</f>
        <v>13793</v>
      </c>
      <c r="M438" s="42" t="n">
        <v>6035</v>
      </c>
      <c r="N438" s="43" t="n">
        <f aca="false">L438-M438</f>
        <v>7758</v>
      </c>
    </row>
    <row r="439" customFormat="false" ht="15" hidden="false" customHeight="false" outlineLevel="0" collapsed="false">
      <c r="A439" s="40" t="n">
        <v>45870</v>
      </c>
      <c r="B439" s="41" t="n">
        <v>2025</v>
      </c>
      <c r="C439" s="41" t="n">
        <v>8</v>
      </c>
      <c r="D439" s="41" t="s">
        <v>53</v>
      </c>
      <c r="E439" s="41" t="s">
        <v>44</v>
      </c>
      <c r="F439" s="41" t="s">
        <v>36</v>
      </c>
      <c r="G439" s="41" t="s">
        <v>39</v>
      </c>
      <c r="H439" s="42" t="n">
        <v>172</v>
      </c>
      <c r="I439" s="42" t="n">
        <v>212</v>
      </c>
      <c r="J439" s="42" t="n">
        <v>14464</v>
      </c>
      <c r="K439" s="42" t="n">
        <v>1206</v>
      </c>
      <c r="L439" s="43" t="n">
        <f aca="false">J439-K439</f>
        <v>13258</v>
      </c>
      <c r="M439" s="42" t="n">
        <v>5032</v>
      </c>
      <c r="N439" s="43" t="n">
        <f aca="false">L439-M439</f>
        <v>8226</v>
      </c>
    </row>
    <row r="440" customFormat="false" ht="15" hidden="false" customHeight="false" outlineLevel="0" collapsed="false">
      <c r="A440" s="40" t="n">
        <v>45870</v>
      </c>
      <c r="B440" s="41" t="n">
        <v>2025</v>
      </c>
      <c r="C440" s="41" t="n">
        <v>8</v>
      </c>
      <c r="D440" s="41" t="s">
        <v>53</v>
      </c>
      <c r="E440" s="41" t="s">
        <v>44</v>
      </c>
      <c r="F440" s="41" t="s">
        <v>36</v>
      </c>
      <c r="G440" s="41" t="s">
        <v>40</v>
      </c>
      <c r="H440" s="42" t="n">
        <v>90</v>
      </c>
      <c r="I440" s="42" t="n">
        <v>139</v>
      </c>
      <c r="J440" s="42" t="n">
        <v>11548</v>
      </c>
      <c r="K440" s="42" t="n">
        <v>1363</v>
      </c>
      <c r="L440" s="43" t="n">
        <f aca="false">J440-K440</f>
        <v>10185</v>
      </c>
      <c r="M440" s="42" t="n">
        <v>5752</v>
      </c>
      <c r="N440" s="43" t="n">
        <f aca="false">L440-M440</f>
        <v>4433</v>
      </c>
    </row>
    <row r="441" customFormat="false" ht="15" hidden="false" customHeight="false" outlineLevel="0" collapsed="false">
      <c r="A441" s="40" t="n">
        <v>45870</v>
      </c>
      <c r="B441" s="41" t="n">
        <v>2025</v>
      </c>
      <c r="C441" s="41" t="n">
        <v>8</v>
      </c>
      <c r="D441" s="41" t="s">
        <v>53</v>
      </c>
      <c r="E441" s="41" t="s">
        <v>44</v>
      </c>
      <c r="F441" s="41" t="s">
        <v>36</v>
      </c>
      <c r="G441" s="41" t="s">
        <v>41</v>
      </c>
      <c r="H441" s="42" t="n">
        <v>138</v>
      </c>
      <c r="I441" s="42" t="n">
        <v>163</v>
      </c>
      <c r="J441" s="42" t="n">
        <v>8447</v>
      </c>
      <c r="K441" s="42" t="n">
        <v>263</v>
      </c>
      <c r="L441" s="43" t="n">
        <f aca="false">J441-K441</f>
        <v>8184</v>
      </c>
      <c r="M441" s="42" t="n">
        <v>3904</v>
      </c>
      <c r="N441" s="43" t="n">
        <f aca="false">L441-M441</f>
        <v>4280</v>
      </c>
    </row>
    <row r="442" customFormat="false" ht="15" hidden="false" customHeight="false" outlineLevel="0" collapsed="false">
      <c r="A442" s="40" t="n">
        <v>45870</v>
      </c>
      <c r="B442" s="41" t="n">
        <v>2025</v>
      </c>
      <c r="C442" s="41" t="n">
        <v>8</v>
      </c>
      <c r="D442" s="41" t="s">
        <v>53</v>
      </c>
      <c r="E442" s="41" t="s">
        <v>44</v>
      </c>
      <c r="F442" s="41" t="s">
        <v>42</v>
      </c>
      <c r="G442" s="41" t="s">
        <v>37</v>
      </c>
      <c r="H442" s="42" t="n">
        <v>54</v>
      </c>
      <c r="I442" s="42" t="n">
        <v>85</v>
      </c>
      <c r="J442" s="42" t="n">
        <v>9420</v>
      </c>
      <c r="K442" s="42" t="n">
        <v>459</v>
      </c>
      <c r="L442" s="43" t="n">
        <f aca="false">J442-K442</f>
        <v>8961</v>
      </c>
      <c r="M442" s="42" t="n">
        <v>4937</v>
      </c>
      <c r="N442" s="43" t="n">
        <f aca="false">L442-M442</f>
        <v>4024</v>
      </c>
    </row>
    <row r="443" customFormat="false" ht="15" hidden="false" customHeight="false" outlineLevel="0" collapsed="false">
      <c r="A443" s="40" t="n">
        <v>45870</v>
      </c>
      <c r="B443" s="41" t="n">
        <v>2025</v>
      </c>
      <c r="C443" s="41" t="n">
        <v>8</v>
      </c>
      <c r="D443" s="41" t="s">
        <v>53</v>
      </c>
      <c r="E443" s="41" t="s">
        <v>44</v>
      </c>
      <c r="F443" s="41" t="s">
        <v>42</v>
      </c>
      <c r="G443" s="41" t="s">
        <v>38</v>
      </c>
      <c r="H443" s="42" t="n">
        <v>93</v>
      </c>
      <c r="I443" s="42" t="n">
        <v>147</v>
      </c>
      <c r="J443" s="42" t="n">
        <v>9588</v>
      </c>
      <c r="K443" s="42" t="n">
        <v>691</v>
      </c>
      <c r="L443" s="43" t="n">
        <f aca="false">J443-K443</f>
        <v>8897</v>
      </c>
      <c r="M443" s="42" t="n">
        <v>4172</v>
      </c>
      <c r="N443" s="43" t="n">
        <f aca="false">L443-M443</f>
        <v>4725</v>
      </c>
    </row>
    <row r="444" customFormat="false" ht="15" hidden="false" customHeight="false" outlineLevel="0" collapsed="false">
      <c r="A444" s="40" t="n">
        <v>45870</v>
      </c>
      <c r="B444" s="41" t="n">
        <v>2025</v>
      </c>
      <c r="C444" s="41" t="n">
        <v>8</v>
      </c>
      <c r="D444" s="41" t="s">
        <v>53</v>
      </c>
      <c r="E444" s="41" t="s">
        <v>44</v>
      </c>
      <c r="F444" s="41" t="s">
        <v>42</v>
      </c>
      <c r="G444" s="41" t="s">
        <v>39</v>
      </c>
      <c r="H444" s="42" t="n">
        <v>140</v>
      </c>
      <c r="I444" s="42" t="n">
        <v>171</v>
      </c>
      <c r="J444" s="42" t="n">
        <v>10823</v>
      </c>
      <c r="K444" s="42" t="n">
        <v>1733</v>
      </c>
      <c r="L444" s="43" t="n">
        <f aca="false">J444-K444</f>
        <v>9090</v>
      </c>
      <c r="M444" s="42" t="n">
        <v>3878</v>
      </c>
      <c r="N444" s="43" t="n">
        <f aca="false">L444-M444</f>
        <v>5212</v>
      </c>
    </row>
    <row r="445" customFormat="false" ht="15" hidden="false" customHeight="false" outlineLevel="0" collapsed="false">
      <c r="A445" s="40" t="n">
        <v>45870</v>
      </c>
      <c r="B445" s="41" t="n">
        <v>2025</v>
      </c>
      <c r="C445" s="41" t="n">
        <v>8</v>
      </c>
      <c r="D445" s="41" t="s">
        <v>53</v>
      </c>
      <c r="E445" s="41" t="s">
        <v>44</v>
      </c>
      <c r="F445" s="41" t="s">
        <v>42</v>
      </c>
      <c r="G445" s="41" t="s">
        <v>40</v>
      </c>
      <c r="H445" s="42" t="n">
        <v>62</v>
      </c>
      <c r="I445" s="42" t="n">
        <v>72</v>
      </c>
      <c r="J445" s="42" t="n">
        <v>7291</v>
      </c>
      <c r="K445" s="42" t="n">
        <v>1066</v>
      </c>
      <c r="L445" s="43" t="n">
        <f aca="false">J445-K445</f>
        <v>6225</v>
      </c>
      <c r="M445" s="42" t="n">
        <v>3504</v>
      </c>
      <c r="N445" s="43" t="n">
        <f aca="false">L445-M445</f>
        <v>2721</v>
      </c>
    </row>
    <row r="446" customFormat="false" ht="15" hidden="false" customHeight="false" outlineLevel="0" collapsed="false">
      <c r="A446" s="40" t="n">
        <v>45870</v>
      </c>
      <c r="B446" s="41" t="n">
        <v>2025</v>
      </c>
      <c r="C446" s="41" t="n">
        <v>8</v>
      </c>
      <c r="D446" s="41" t="s">
        <v>53</v>
      </c>
      <c r="E446" s="41" t="s">
        <v>44</v>
      </c>
      <c r="F446" s="41" t="s">
        <v>42</v>
      </c>
      <c r="G446" s="41" t="s">
        <v>41</v>
      </c>
      <c r="H446" s="42" t="n">
        <v>105</v>
      </c>
      <c r="I446" s="42" t="n">
        <v>163</v>
      </c>
      <c r="J446" s="42" t="n">
        <v>5866</v>
      </c>
      <c r="K446" s="42" t="n">
        <v>270</v>
      </c>
      <c r="L446" s="43" t="n">
        <f aca="false">J446-K446</f>
        <v>5596</v>
      </c>
      <c r="M446" s="42" t="n">
        <v>2726</v>
      </c>
      <c r="N446" s="43" t="n">
        <f aca="false">L446-M446</f>
        <v>2870</v>
      </c>
    </row>
    <row r="447" customFormat="false" ht="15" hidden="false" customHeight="false" outlineLevel="0" collapsed="false">
      <c r="A447" s="40" t="n">
        <v>45870</v>
      </c>
      <c r="B447" s="41" t="n">
        <v>2025</v>
      </c>
      <c r="C447" s="41" t="n">
        <v>8</v>
      </c>
      <c r="D447" s="41" t="s">
        <v>53</v>
      </c>
      <c r="E447" s="41" t="s">
        <v>44</v>
      </c>
      <c r="F447" s="41" t="s">
        <v>43</v>
      </c>
      <c r="G447" s="41" t="s">
        <v>37</v>
      </c>
      <c r="H447" s="42" t="n">
        <v>39</v>
      </c>
      <c r="I447" s="42" t="n">
        <v>57</v>
      </c>
      <c r="J447" s="42" t="n">
        <v>7829</v>
      </c>
      <c r="K447" s="42" t="n">
        <v>232</v>
      </c>
      <c r="L447" s="43" t="n">
        <f aca="false">J447-K447</f>
        <v>7597</v>
      </c>
      <c r="M447" s="42" t="n">
        <v>4144</v>
      </c>
      <c r="N447" s="43" t="n">
        <f aca="false">L447-M447</f>
        <v>3453</v>
      </c>
    </row>
    <row r="448" customFormat="false" ht="15" hidden="false" customHeight="false" outlineLevel="0" collapsed="false">
      <c r="A448" s="40" t="n">
        <v>45870</v>
      </c>
      <c r="B448" s="41" t="n">
        <v>2025</v>
      </c>
      <c r="C448" s="41" t="n">
        <v>8</v>
      </c>
      <c r="D448" s="41" t="s">
        <v>53</v>
      </c>
      <c r="E448" s="41" t="s">
        <v>44</v>
      </c>
      <c r="F448" s="41" t="s">
        <v>43</v>
      </c>
      <c r="G448" s="41" t="s">
        <v>38</v>
      </c>
      <c r="H448" s="42" t="n">
        <v>47</v>
      </c>
      <c r="I448" s="42" t="n">
        <v>57</v>
      </c>
      <c r="J448" s="42" t="n">
        <v>5553</v>
      </c>
      <c r="K448" s="42" t="n">
        <v>214</v>
      </c>
      <c r="L448" s="43" t="n">
        <f aca="false">J448-K448</f>
        <v>5339</v>
      </c>
      <c r="M448" s="42" t="n">
        <v>2466</v>
      </c>
      <c r="N448" s="43" t="n">
        <f aca="false">L448-M448</f>
        <v>2873</v>
      </c>
    </row>
    <row r="449" customFormat="false" ht="15" hidden="false" customHeight="false" outlineLevel="0" collapsed="false">
      <c r="A449" s="40" t="n">
        <v>45870</v>
      </c>
      <c r="B449" s="41" t="n">
        <v>2025</v>
      </c>
      <c r="C449" s="41" t="n">
        <v>8</v>
      </c>
      <c r="D449" s="41" t="s">
        <v>53</v>
      </c>
      <c r="E449" s="41" t="s">
        <v>44</v>
      </c>
      <c r="F449" s="41" t="s">
        <v>43</v>
      </c>
      <c r="G449" s="41" t="s">
        <v>39</v>
      </c>
      <c r="H449" s="42" t="n">
        <v>89</v>
      </c>
      <c r="I449" s="42" t="n">
        <v>114</v>
      </c>
      <c r="J449" s="42" t="n">
        <v>7924</v>
      </c>
      <c r="K449" s="42" t="n">
        <v>575</v>
      </c>
      <c r="L449" s="43" t="n">
        <f aca="false">J449-K449</f>
        <v>7349</v>
      </c>
      <c r="M449" s="42" t="n">
        <v>2910</v>
      </c>
      <c r="N449" s="43" t="n">
        <f aca="false">L449-M449</f>
        <v>4439</v>
      </c>
    </row>
    <row r="450" customFormat="false" ht="15" hidden="false" customHeight="false" outlineLevel="0" collapsed="false">
      <c r="A450" s="40" t="n">
        <v>45870</v>
      </c>
      <c r="B450" s="41" t="n">
        <v>2025</v>
      </c>
      <c r="C450" s="41" t="n">
        <v>8</v>
      </c>
      <c r="D450" s="41" t="s">
        <v>53</v>
      </c>
      <c r="E450" s="41" t="s">
        <v>44</v>
      </c>
      <c r="F450" s="41" t="s">
        <v>43</v>
      </c>
      <c r="G450" s="41" t="s">
        <v>40</v>
      </c>
      <c r="H450" s="42" t="n">
        <v>36</v>
      </c>
      <c r="I450" s="42" t="n">
        <v>47</v>
      </c>
      <c r="J450" s="42" t="n">
        <v>4835</v>
      </c>
      <c r="K450" s="42" t="n">
        <v>367</v>
      </c>
      <c r="L450" s="43" t="n">
        <f aca="false">J450-K450</f>
        <v>4468</v>
      </c>
      <c r="M450" s="42" t="n">
        <v>2402</v>
      </c>
      <c r="N450" s="43" t="n">
        <f aca="false">L450-M450</f>
        <v>2066</v>
      </c>
    </row>
    <row r="451" customFormat="false" ht="15" hidden="false" customHeight="false" outlineLevel="0" collapsed="false">
      <c r="A451" s="40" t="n">
        <v>45870</v>
      </c>
      <c r="B451" s="41" t="n">
        <v>2025</v>
      </c>
      <c r="C451" s="41" t="n">
        <v>8</v>
      </c>
      <c r="D451" s="41" t="s">
        <v>53</v>
      </c>
      <c r="E451" s="41" t="s">
        <v>44</v>
      </c>
      <c r="F451" s="41" t="s">
        <v>43</v>
      </c>
      <c r="G451" s="41" t="s">
        <v>41</v>
      </c>
      <c r="H451" s="42" t="n">
        <v>56</v>
      </c>
      <c r="I451" s="42" t="n">
        <v>69</v>
      </c>
      <c r="J451" s="42" t="n">
        <v>3605</v>
      </c>
      <c r="K451" s="42" t="n">
        <v>68</v>
      </c>
      <c r="L451" s="43" t="n">
        <f aca="false">J451-K451</f>
        <v>3537</v>
      </c>
      <c r="M451" s="42" t="n">
        <v>1661</v>
      </c>
      <c r="N451" s="43" t="n">
        <f aca="false">L451-M451</f>
        <v>1876</v>
      </c>
    </row>
    <row r="452" customFormat="false" ht="15" hidden="false" customHeight="false" outlineLevel="0" collapsed="false">
      <c r="A452" s="40" t="n">
        <v>45870</v>
      </c>
      <c r="B452" s="41" t="n">
        <v>2025</v>
      </c>
      <c r="C452" s="41" t="n">
        <v>8</v>
      </c>
      <c r="D452" s="41" t="s">
        <v>53</v>
      </c>
      <c r="E452" s="41" t="s">
        <v>45</v>
      </c>
      <c r="F452" s="41" t="s">
        <v>36</v>
      </c>
      <c r="G452" s="41" t="s">
        <v>37</v>
      </c>
      <c r="H452" s="42" t="n">
        <v>62</v>
      </c>
      <c r="I452" s="42" t="n">
        <v>72</v>
      </c>
      <c r="J452" s="42" t="n">
        <v>11784</v>
      </c>
      <c r="K452" s="42" t="n">
        <v>512</v>
      </c>
      <c r="L452" s="43" t="n">
        <f aca="false">J452-K452</f>
        <v>11272</v>
      </c>
      <c r="M452" s="42" t="n">
        <v>5865</v>
      </c>
      <c r="N452" s="43" t="n">
        <f aca="false">L452-M452</f>
        <v>5407</v>
      </c>
    </row>
    <row r="453" customFormat="false" ht="15" hidden="false" customHeight="false" outlineLevel="0" collapsed="false">
      <c r="A453" s="40" t="n">
        <v>45870</v>
      </c>
      <c r="B453" s="41" t="n">
        <v>2025</v>
      </c>
      <c r="C453" s="41" t="n">
        <v>8</v>
      </c>
      <c r="D453" s="41" t="s">
        <v>53</v>
      </c>
      <c r="E453" s="41" t="s">
        <v>45</v>
      </c>
      <c r="F453" s="41" t="s">
        <v>36</v>
      </c>
      <c r="G453" s="41" t="s">
        <v>38</v>
      </c>
      <c r="H453" s="42" t="n">
        <v>76</v>
      </c>
      <c r="I453" s="42" t="n">
        <v>119</v>
      </c>
      <c r="J453" s="42" t="n">
        <v>8546</v>
      </c>
      <c r="K453" s="42" t="n">
        <v>380</v>
      </c>
      <c r="L453" s="43" t="n">
        <f aca="false">J453-K453</f>
        <v>8166</v>
      </c>
      <c r="M453" s="42" t="n">
        <v>3771</v>
      </c>
      <c r="N453" s="43" t="n">
        <f aca="false">L453-M453</f>
        <v>4395</v>
      </c>
    </row>
    <row r="454" customFormat="false" ht="15" hidden="false" customHeight="false" outlineLevel="0" collapsed="false">
      <c r="A454" s="40" t="n">
        <v>45870</v>
      </c>
      <c r="B454" s="41" t="n">
        <v>2025</v>
      </c>
      <c r="C454" s="41" t="n">
        <v>8</v>
      </c>
      <c r="D454" s="41" t="s">
        <v>53</v>
      </c>
      <c r="E454" s="41" t="s">
        <v>45</v>
      </c>
      <c r="F454" s="41" t="s">
        <v>36</v>
      </c>
      <c r="G454" s="41" t="s">
        <v>39</v>
      </c>
      <c r="H454" s="42" t="n">
        <v>153</v>
      </c>
      <c r="I454" s="42" t="n">
        <v>237</v>
      </c>
      <c r="J454" s="42" t="n">
        <v>12894</v>
      </c>
      <c r="K454" s="42" t="n">
        <v>1104</v>
      </c>
      <c r="L454" s="43" t="n">
        <f aca="false">J454-K454</f>
        <v>11790</v>
      </c>
      <c r="M454" s="42" t="n">
        <v>4584</v>
      </c>
      <c r="N454" s="43" t="n">
        <f aca="false">L454-M454</f>
        <v>7206</v>
      </c>
    </row>
    <row r="455" customFormat="false" ht="15" hidden="false" customHeight="false" outlineLevel="0" collapsed="false">
      <c r="A455" s="40" t="n">
        <v>45870</v>
      </c>
      <c r="B455" s="41" t="n">
        <v>2025</v>
      </c>
      <c r="C455" s="41" t="n">
        <v>8</v>
      </c>
      <c r="D455" s="41" t="s">
        <v>53</v>
      </c>
      <c r="E455" s="41" t="s">
        <v>45</v>
      </c>
      <c r="F455" s="41" t="s">
        <v>36</v>
      </c>
      <c r="G455" s="41" t="s">
        <v>40</v>
      </c>
      <c r="H455" s="42" t="n">
        <v>58</v>
      </c>
      <c r="I455" s="42" t="n">
        <v>91</v>
      </c>
      <c r="J455" s="42" t="n">
        <v>7469</v>
      </c>
      <c r="K455" s="42" t="n">
        <v>1019</v>
      </c>
      <c r="L455" s="43" t="n">
        <f aca="false">J455-K455</f>
        <v>6450</v>
      </c>
      <c r="M455" s="42" t="n">
        <v>3575</v>
      </c>
      <c r="N455" s="43" t="n">
        <f aca="false">L455-M455</f>
        <v>2875</v>
      </c>
    </row>
    <row r="456" customFormat="false" ht="15" hidden="false" customHeight="false" outlineLevel="0" collapsed="false">
      <c r="A456" s="40" t="n">
        <v>45870</v>
      </c>
      <c r="B456" s="41" t="n">
        <v>2025</v>
      </c>
      <c r="C456" s="41" t="n">
        <v>8</v>
      </c>
      <c r="D456" s="41" t="s">
        <v>53</v>
      </c>
      <c r="E456" s="41" t="s">
        <v>45</v>
      </c>
      <c r="F456" s="41" t="s">
        <v>36</v>
      </c>
      <c r="G456" s="41" t="s">
        <v>41</v>
      </c>
      <c r="H456" s="42" t="n">
        <v>91</v>
      </c>
      <c r="I456" s="42" t="n">
        <v>119</v>
      </c>
      <c r="J456" s="42" t="n">
        <v>5538</v>
      </c>
      <c r="K456" s="42" t="n">
        <v>188</v>
      </c>
      <c r="L456" s="43" t="n">
        <f aca="false">J456-K456</f>
        <v>5350</v>
      </c>
      <c r="M456" s="42" t="n">
        <v>2565</v>
      </c>
      <c r="N456" s="43" t="n">
        <f aca="false">L456-M456</f>
        <v>2785</v>
      </c>
    </row>
    <row r="457" customFormat="false" ht="15" hidden="false" customHeight="false" outlineLevel="0" collapsed="false">
      <c r="A457" s="40" t="n">
        <v>45870</v>
      </c>
      <c r="B457" s="41" t="n">
        <v>2025</v>
      </c>
      <c r="C457" s="41" t="n">
        <v>8</v>
      </c>
      <c r="D457" s="41" t="s">
        <v>53</v>
      </c>
      <c r="E457" s="41" t="s">
        <v>45</v>
      </c>
      <c r="F457" s="41" t="s">
        <v>42</v>
      </c>
      <c r="G457" s="41" t="s">
        <v>37</v>
      </c>
      <c r="H457" s="42" t="n">
        <v>47</v>
      </c>
      <c r="I457" s="42" t="n">
        <v>57</v>
      </c>
      <c r="J457" s="42" t="n">
        <v>8089</v>
      </c>
      <c r="K457" s="42" t="n">
        <v>388</v>
      </c>
      <c r="L457" s="43" t="n">
        <f aca="false">J457-K457</f>
        <v>7701</v>
      </c>
      <c r="M457" s="42" t="n">
        <v>4114</v>
      </c>
      <c r="N457" s="43" t="n">
        <f aca="false">L457-M457</f>
        <v>3587</v>
      </c>
    </row>
    <row r="458" customFormat="false" ht="15" hidden="false" customHeight="false" outlineLevel="0" collapsed="false">
      <c r="A458" s="40" t="n">
        <v>45870</v>
      </c>
      <c r="B458" s="41" t="n">
        <v>2025</v>
      </c>
      <c r="C458" s="41" t="n">
        <v>8</v>
      </c>
      <c r="D458" s="41" t="s">
        <v>53</v>
      </c>
      <c r="E458" s="41" t="s">
        <v>45</v>
      </c>
      <c r="F458" s="41" t="s">
        <v>42</v>
      </c>
      <c r="G458" s="41" t="s">
        <v>38</v>
      </c>
      <c r="H458" s="42" t="n">
        <v>70</v>
      </c>
      <c r="I458" s="42" t="n">
        <v>98</v>
      </c>
      <c r="J458" s="42" t="n">
        <v>7242</v>
      </c>
      <c r="K458" s="42" t="n">
        <v>419</v>
      </c>
      <c r="L458" s="43" t="n">
        <f aca="false">J458-K458</f>
        <v>6823</v>
      </c>
      <c r="M458" s="42" t="n">
        <v>3292</v>
      </c>
      <c r="N458" s="43" t="n">
        <f aca="false">L458-M458</f>
        <v>3531</v>
      </c>
    </row>
    <row r="459" customFormat="false" ht="15" hidden="false" customHeight="false" outlineLevel="0" collapsed="false">
      <c r="A459" s="40" t="n">
        <v>45870</v>
      </c>
      <c r="B459" s="41" t="n">
        <v>2025</v>
      </c>
      <c r="C459" s="41" t="n">
        <v>8</v>
      </c>
      <c r="D459" s="41" t="s">
        <v>53</v>
      </c>
      <c r="E459" s="41" t="s">
        <v>45</v>
      </c>
      <c r="F459" s="41" t="s">
        <v>42</v>
      </c>
      <c r="G459" s="41" t="s">
        <v>39</v>
      </c>
      <c r="H459" s="42" t="n">
        <v>98</v>
      </c>
      <c r="I459" s="42" t="n">
        <v>131</v>
      </c>
      <c r="J459" s="42" t="n">
        <v>7602</v>
      </c>
      <c r="K459" s="42" t="n">
        <v>885</v>
      </c>
      <c r="L459" s="43" t="n">
        <f aca="false">J459-K459</f>
        <v>6717</v>
      </c>
      <c r="M459" s="42" t="n">
        <v>2745</v>
      </c>
      <c r="N459" s="43" t="n">
        <f aca="false">L459-M459</f>
        <v>3972</v>
      </c>
    </row>
    <row r="460" customFormat="false" ht="15" hidden="false" customHeight="false" outlineLevel="0" collapsed="false">
      <c r="A460" s="40" t="n">
        <v>45870</v>
      </c>
      <c r="B460" s="41" t="n">
        <v>2025</v>
      </c>
      <c r="C460" s="41" t="n">
        <v>8</v>
      </c>
      <c r="D460" s="41" t="s">
        <v>53</v>
      </c>
      <c r="E460" s="41" t="s">
        <v>45</v>
      </c>
      <c r="F460" s="41" t="s">
        <v>42</v>
      </c>
      <c r="G460" s="41" t="s">
        <v>40</v>
      </c>
      <c r="H460" s="42" t="n">
        <v>54</v>
      </c>
      <c r="I460" s="42" t="n">
        <v>70</v>
      </c>
      <c r="J460" s="42" t="n">
        <v>6414</v>
      </c>
      <c r="K460" s="42" t="n">
        <v>901</v>
      </c>
      <c r="L460" s="43" t="n">
        <f aca="false">J460-K460</f>
        <v>5513</v>
      </c>
      <c r="M460" s="42" t="n">
        <v>3130</v>
      </c>
      <c r="N460" s="43" t="n">
        <f aca="false">L460-M460</f>
        <v>2383</v>
      </c>
    </row>
    <row r="461" customFormat="false" ht="15" hidden="false" customHeight="false" outlineLevel="0" collapsed="false">
      <c r="A461" s="40" t="n">
        <v>45870</v>
      </c>
      <c r="B461" s="41" t="n">
        <v>2025</v>
      </c>
      <c r="C461" s="41" t="n">
        <v>8</v>
      </c>
      <c r="D461" s="41" t="s">
        <v>53</v>
      </c>
      <c r="E461" s="41" t="s">
        <v>45</v>
      </c>
      <c r="F461" s="41" t="s">
        <v>42</v>
      </c>
      <c r="G461" s="41" t="s">
        <v>41</v>
      </c>
      <c r="H461" s="42" t="n">
        <v>66</v>
      </c>
      <c r="I461" s="42" t="n">
        <v>103</v>
      </c>
      <c r="J461" s="42" t="n">
        <v>3706</v>
      </c>
      <c r="K461" s="42" t="n">
        <v>127</v>
      </c>
      <c r="L461" s="43" t="n">
        <f aca="false">J461-K461</f>
        <v>3579</v>
      </c>
      <c r="M461" s="42" t="n">
        <v>1844</v>
      </c>
      <c r="N461" s="43" t="n">
        <f aca="false">L461-M461</f>
        <v>1735</v>
      </c>
    </row>
    <row r="462" customFormat="false" ht="15" hidden="false" customHeight="false" outlineLevel="0" collapsed="false">
      <c r="A462" s="40" t="n">
        <v>45870</v>
      </c>
      <c r="B462" s="41" t="n">
        <v>2025</v>
      </c>
      <c r="C462" s="41" t="n">
        <v>8</v>
      </c>
      <c r="D462" s="41" t="s">
        <v>53</v>
      </c>
      <c r="E462" s="41" t="s">
        <v>45</v>
      </c>
      <c r="F462" s="41" t="s">
        <v>43</v>
      </c>
      <c r="G462" s="41" t="s">
        <v>37</v>
      </c>
      <c r="H462" s="42" t="n">
        <v>23</v>
      </c>
      <c r="I462" s="42" t="n">
        <v>36</v>
      </c>
      <c r="J462" s="42" t="n">
        <v>4703</v>
      </c>
      <c r="K462" s="42" t="n">
        <v>141</v>
      </c>
      <c r="L462" s="43" t="n">
        <f aca="false">J462-K462</f>
        <v>4562</v>
      </c>
      <c r="M462" s="42" t="n">
        <v>2376</v>
      </c>
      <c r="N462" s="43" t="n">
        <f aca="false">L462-M462</f>
        <v>2186</v>
      </c>
    </row>
    <row r="463" customFormat="false" ht="15" hidden="false" customHeight="false" outlineLevel="0" collapsed="false">
      <c r="A463" s="40" t="n">
        <v>45870</v>
      </c>
      <c r="B463" s="41" t="n">
        <v>2025</v>
      </c>
      <c r="C463" s="41" t="n">
        <v>8</v>
      </c>
      <c r="D463" s="41" t="s">
        <v>53</v>
      </c>
      <c r="E463" s="41" t="s">
        <v>45</v>
      </c>
      <c r="F463" s="41" t="s">
        <v>43</v>
      </c>
      <c r="G463" s="41" t="s">
        <v>38</v>
      </c>
      <c r="H463" s="42" t="n">
        <v>39</v>
      </c>
      <c r="I463" s="42" t="n">
        <v>50</v>
      </c>
      <c r="J463" s="42" t="n">
        <v>4668</v>
      </c>
      <c r="K463" s="42" t="n">
        <v>148</v>
      </c>
      <c r="L463" s="43" t="n">
        <f aca="false">J463-K463</f>
        <v>4520</v>
      </c>
      <c r="M463" s="42" t="n">
        <v>1998</v>
      </c>
      <c r="N463" s="43" t="n">
        <f aca="false">L463-M463</f>
        <v>2522</v>
      </c>
    </row>
    <row r="464" customFormat="false" ht="15" hidden="false" customHeight="false" outlineLevel="0" collapsed="false">
      <c r="A464" s="40" t="n">
        <v>45870</v>
      </c>
      <c r="B464" s="41" t="n">
        <v>2025</v>
      </c>
      <c r="C464" s="41" t="n">
        <v>8</v>
      </c>
      <c r="D464" s="41" t="s">
        <v>53</v>
      </c>
      <c r="E464" s="41" t="s">
        <v>45</v>
      </c>
      <c r="F464" s="41" t="s">
        <v>43</v>
      </c>
      <c r="G464" s="41" t="s">
        <v>39</v>
      </c>
      <c r="H464" s="42" t="n">
        <v>60</v>
      </c>
      <c r="I464" s="42" t="n">
        <v>96</v>
      </c>
      <c r="J464" s="42" t="n">
        <v>5380</v>
      </c>
      <c r="K464" s="42" t="n">
        <v>452</v>
      </c>
      <c r="L464" s="43" t="n">
        <f aca="false">J464-K464</f>
        <v>4928</v>
      </c>
      <c r="M464" s="42" t="n">
        <v>1971</v>
      </c>
      <c r="N464" s="43" t="n">
        <f aca="false">L464-M464</f>
        <v>2957</v>
      </c>
    </row>
    <row r="465" customFormat="false" ht="15" hidden="false" customHeight="false" outlineLevel="0" collapsed="false">
      <c r="A465" s="40" t="n">
        <v>45870</v>
      </c>
      <c r="B465" s="41" t="n">
        <v>2025</v>
      </c>
      <c r="C465" s="41" t="n">
        <v>8</v>
      </c>
      <c r="D465" s="41" t="s">
        <v>53</v>
      </c>
      <c r="E465" s="41" t="s">
        <v>45</v>
      </c>
      <c r="F465" s="41" t="s">
        <v>43</v>
      </c>
      <c r="G465" s="41" t="s">
        <v>40</v>
      </c>
      <c r="H465" s="42" t="n">
        <v>26</v>
      </c>
      <c r="I465" s="42" t="n">
        <v>33</v>
      </c>
      <c r="J465" s="42" t="n">
        <v>3573</v>
      </c>
      <c r="K465" s="42" t="n">
        <v>348</v>
      </c>
      <c r="L465" s="43" t="n">
        <f aca="false">J465-K465</f>
        <v>3225</v>
      </c>
      <c r="M465" s="42" t="n">
        <v>1727</v>
      </c>
      <c r="N465" s="43" t="n">
        <f aca="false">L465-M465</f>
        <v>1498</v>
      </c>
    </row>
    <row r="466" customFormat="false" ht="15" hidden="false" customHeight="false" outlineLevel="0" collapsed="false">
      <c r="A466" s="40" t="n">
        <v>45870</v>
      </c>
      <c r="B466" s="41" t="n">
        <v>2025</v>
      </c>
      <c r="C466" s="41" t="n">
        <v>8</v>
      </c>
      <c r="D466" s="41" t="s">
        <v>53</v>
      </c>
      <c r="E466" s="41" t="s">
        <v>45</v>
      </c>
      <c r="F466" s="41" t="s">
        <v>43</v>
      </c>
      <c r="G466" s="41" t="s">
        <v>41</v>
      </c>
      <c r="H466" s="42" t="n">
        <v>44</v>
      </c>
      <c r="I466" s="42" t="n">
        <v>56</v>
      </c>
      <c r="J466" s="42" t="n">
        <v>2855</v>
      </c>
      <c r="K466" s="42" t="n">
        <v>71</v>
      </c>
      <c r="L466" s="43" t="n">
        <f aca="false">J466-K466</f>
        <v>2784</v>
      </c>
      <c r="M466" s="42" t="n">
        <v>1297</v>
      </c>
      <c r="N466" s="43" t="n">
        <f aca="false">L466-M466</f>
        <v>1487</v>
      </c>
    </row>
    <row r="467" customFormat="false" ht="15" hidden="false" customHeight="false" outlineLevel="0" collapsed="false">
      <c r="A467" s="40" t="n">
        <v>45870</v>
      </c>
      <c r="B467" s="41" t="n">
        <v>2025</v>
      </c>
      <c r="C467" s="41" t="n">
        <v>8</v>
      </c>
      <c r="D467" s="41" t="s">
        <v>53</v>
      </c>
      <c r="E467" s="41" t="s">
        <v>46</v>
      </c>
      <c r="F467" s="41" t="s">
        <v>36</v>
      </c>
      <c r="G467" s="41" t="s">
        <v>37</v>
      </c>
      <c r="H467" s="42" t="n">
        <v>61</v>
      </c>
      <c r="I467" s="42" t="n">
        <v>80</v>
      </c>
      <c r="J467" s="42" t="n">
        <v>11581</v>
      </c>
      <c r="K467" s="42" t="n">
        <v>397</v>
      </c>
      <c r="L467" s="43" t="n">
        <f aca="false">J467-K467</f>
        <v>11184</v>
      </c>
      <c r="M467" s="42" t="n">
        <v>5751</v>
      </c>
      <c r="N467" s="43" t="n">
        <f aca="false">L467-M467</f>
        <v>5433</v>
      </c>
    </row>
    <row r="468" customFormat="false" ht="15" hidden="false" customHeight="false" outlineLevel="0" collapsed="false">
      <c r="A468" s="40" t="n">
        <v>45870</v>
      </c>
      <c r="B468" s="41" t="n">
        <v>2025</v>
      </c>
      <c r="C468" s="41" t="n">
        <v>8</v>
      </c>
      <c r="D468" s="41" t="s">
        <v>53</v>
      </c>
      <c r="E468" s="41" t="s">
        <v>46</v>
      </c>
      <c r="F468" s="41" t="s">
        <v>36</v>
      </c>
      <c r="G468" s="41" t="s">
        <v>38</v>
      </c>
      <c r="H468" s="42" t="n">
        <v>91</v>
      </c>
      <c r="I468" s="42" t="n">
        <v>126</v>
      </c>
      <c r="J468" s="42" t="n">
        <v>10199</v>
      </c>
      <c r="K468" s="42" t="n">
        <v>446</v>
      </c>
      <c r="L468" s="43" t="n">
        <f aca="false">J468-K468</f>
        <v>9753</v>
      </c>
      <c r="M468" s="42" t="n">
        <v>4372</v>
      </c>
      <c r="N468" s="43" t="n">
        <f aca="false">L468-M468</f>
        <v>5381</v>
      </c>
    </row>
    <row r="469" customFormat="false" ht="15" hidden="false" customHeight="false" outlineLevel="0" collapsed="false">
      <c r="A469" s="40" t="n">
        <v>45870</v>
      </c>
      <c r="B469" s="41" t="n">
        <v>2025</v>
      </c>
      <c r="C469" s="41" t="n">
        <v>8</v>
      </c>
      <c r="D469" s="41" t="s">
        <v>53</v>
      </c>
      <c r="E469" s="41" t="s">
        <v>46</v>
      </c>
      <c r="F469" s="41" t="s">
        <v>36</v>
      </c>
      <c r="G469" s="41" t="s">
        <v>39</v>
      </c>
      <c r="H469" s="42" t="n">
        <v>147</v>
      </c>
      <c r="I469" s="42" t="n">
        <v>183</v>
      </c>
      <c r="J469" s="42" t="n">
        <v>12390</v>
      </c>
      <c r="K469" s="42" t="n">
        <v>1274</v>
      </c>
      <c r="L469" s="43" t="n">
        <f aca="false">J469-K469</f>
        <v>11116</v>
      </c>
      <c r="M469" s="42" t="n">
        <v>4241</v>
      </c>
      <c r="N469" s="43" t="n">
        <f aca="false">L469-M469</f>
        <v>6875</v>
      </c>
    </row>
    <row r="470" customFormat="false" ht="15" hidden="false" customHeight="false" outlineLevel="0" collapsed="false">
      <c r="A470" s="40" t="n">
        <v>45870</v>
      </c>
      <c r="B470" s="41" t="n">
        <v>2025</v>
      </c>
      <c r="C470" s="41" t="n">
        <v>8</v>
      </c>
      <c r="D470" s="41" t="s">
        <v>53</v>
      </c>
      <c r="E470" s="41" t="s">
        <v>46</v>
      </c>
      <c r="F470" s="41" t="s">
        <v>36</v>
      </c>
      <c r="G470" s="41" t="s">
        <v>40</v>
      </c>
      <c r="H470" s="42" t="n">
        <v>57</v>
      </c>
      <c r="I470" s="42" t="n">
        <v>85</v>
      </c>
      <c r="J470" s="42" t="n">
        <v>7282</v>
      </c>
      <c r="K470" s="42" t="n">
        <v>948</v>
      </c>
      <c r="L470" s="43" t="n">
        <f aca="false">J470-K470</f>
        <v>6334</v>
      </c>
      <c r="M470" s="42" t="n">
        <v>3420</v>
      </c>
      <c r="N470" s="43" t="n">
        <f aca="false">L470-M470</f>
        <v>2914</v>
      </c>
    </row>
    <row r="471" customFormat="false" ht="15" hidden="false" customHeight="false" outlineLevel="0" collapsed="false">
      <c r="A471" s="40" t="n">
        <v>45870</v>
      </c>
      <c r="B471" s="41" t="n">
        <v>2025</v>
      </c>
      <c r="C471" s="41" t="n">
        <v>8</v>
      </c>
      <c r="D471" s="41" t="s">
        <v>53</v>
      </c>
      <c r="E471" s="41" t="s">
        <v>46</v>
      </c>
      <c r="F471" s="41" t="s">
        <v>36</v>
      </c>
      <c r="G471" s="41" t="s">
        <v>41</v>
      </c>
      <c r="H471" s="42" t="n">
        <v>77</v>
      </c>
      <c r="I471" s="42" t="n">
        <v>92</v>
      </c>
      <c r="J471" s="42" t="n">
        <v>4704</v>
      </c>
      <c r="K471" s="42" t="n">
        <v>147</v>
      </c>
      <c r="L471" s="43" t="n">
        <f aca="false">J471-K471</f>
        <v>4557</v>
      </c>
      <c r="M471" s="42" t="n">
        <v>2187</v>
      </c>
      <c r="N471" s="43" t="n">
        <f aca="false">L471-M471</f>
        <v>2370</v>
      </c>
    </row>
    <row r="472" customFormat="false" ht="15" hidden="false" customHeight="false" outlineLevel="0" collapsed="false">
      <c r="A472" s="40" t="n">
        <v>45870</v>
      </c>
      <c r="B472" s="41" t="n">
        <v>2025</v>
      </c>
      <c r="C472" s="41" t="n">
        <v>8</v>
      </c>
      <c r="D472" s="41" t="s">
        <v>53</v>
      </c>
      <c r="E472" s="41" t="s">
        <v>46</v>
      </c>
      <c r="F472" s="41" t="s">
        <v>42</v>
      </c>
      <c r="G472" s="41" t="s">
        <v>37</v>
      </c>
      <c r="H472" s="42" t="n">
        <v>40</v>
      </c>
      <c r="I472" s="42" t="n">
        <v>50</v>
      </c>
      <c r="J472" s="42" t="n">
        <v>6949</v>
      </c>
      <c r="K472" s="42" t="n">
        <v>392</v>
      </c>
      <c r="L472" s="43" t="n">
        <f aca="false">J472-K472</f>
        <v>6557</v>
      </c>
      <c r="M472" s="42" t="n">
        <v>3643</v>
      </c>
      <c r="N472" s="43" t="n">
        <f aca="false">L472-M472</f>
        <v>2914</v>
      </c>
    </row>
    <row r="473" customFormat="false" ht="15" hidden="false" customHeight="false" outlineLevel="0" collapsed="false">
      <c r="A473" s="40" t="n">
        <v>45870</v>
      </c>
      <c r="B473" s="41" t="n">
        <v>2025</v>
      </c>
      <c r="C473" s="41" t="n">
        <v>8</v>
      </c>
      <c r="D473" s="41" t="s">
        <v>53</v>
      </c>
      <c r="E473" s="41" t="s">
        <v>46</v>
      </c>
      <c r="F473" s="41" t="s">
        <v>42</v>
      </c>
      <c r="G473" s="41" t="s">
        <v>38</v>
      </c>
      <c r="H473" s="42" t="n">
        <v>68</v>
      </c>
      <c r="I473" s="42" t="n">
        <v>96</v>
      </c>
      <c r="J473" s="42" t="n">
        <v>7058</v>
      </c>
      <c r="K473" s="42" t="n">
        <v>420</v>
      </c>
      <c r="L473" s="43" t="n">
        <f aca="false">J473-K473</f>
        <v>6638</v>
      </c>
      <c r="M473" s="42" t="n">
        <v>3051</v>
      </c>
      <c r="N473" s="43" t="n">
        <f aca="false">L473-M473</f>
        <v>3587</v>
      </c>
    </row>
    <row r="474" customFormat="false" ht="15" hidden="false" customHeight="false" outlineLevel="0" collapsed="false">
      <c r="A474" s="40" t="n">
        <v>45870</v>
      </c>
      <c r="B474" s="41" t="n">
        <v>2025</v>
      </c>
      <c r="C474" s="41" t="n">
        <v>8</v>
      </c>
      <c r="D474" s="41" t="s">
        <v>53</v>
      </c>
      <c r="E474" s="41" t="s">
        <v>46</v>
      </c>
      <c r="F474" s="41" t="s">
        <v>42</v>
      </c>
      <c r="G474" s="41" t="s">
        <v>39</v>
      </c>
      <c r="H474" s="42" t="n">
        <v>107</v>
      </c>
      <c r="I474" s="42" t="n">
        <v>143</v>
      </c>
      <c r="J474" s="42" t="n">
        <v>8231</v>
      </c>
      <c r="K474" s="42" t="n">
        <v>1210</v>
      </c>
      <c r="L474" s="43" t="n">
        <f aca="false">J474-K474</f>
        <v>7021</v>
      </c>
      <c r="M474" s="42" t="n">
        <v>2832</v>
      </c>
      <c r="N474" s="43" t="n">
        <f aca="false">L474-M474</f>
        <v>4189</v>
      </c>
    </row>
    <row r="475" customFormat="false" ht="15" hidden="false" customHeight="false" outlineLevel="0" collapsed="false">
      <c r="A475" s="40" t="n">
        <v>45870</v>
      </c>
      <c r="B475" s="41" t="n">
        <v>2025</v>
      </c>
      <c r="C475" s="41" t="n">
        <v>8</v>
      </c>
      <c r="D475" s="41" t="s">
        <v>53</v>
      </c>
      <c r="E475" s="41" t="s">
        <v>46</v>
      </c>
      <c r="F475" s="41" t="s">
        <v>42</v>
      </c>
      <c r="G475" s="41" t="s">
        <v>40</v>
      </c>
      <c r="H475" s="42" t="n">
        <v>51</v>
      </c>
      <c r="I475" s="42" t="n">
        <v>66</v>
      </c>
      <c r="J475" s="42" t="n">
        <v>6048</v>
      </c>
      <c r="K475" s="42" t="n">
        <v>1114</v>
      </c>
      <c r="L475" s="43" t="n">
        <f aca="false">J475-K475</f>
        <v>4934</v>
      </c>
      <c r="M475" s="42" t="n">
        <v>2864</v>
      </c>
      <c r="N475" s="43" t="n">
        <f aca="false">L475-M475</f>
        <v>2070</v>
      </c>
    </row>
    <row r="476" customFormat="false" ht="15" hidden="false" customHeight="false" outlineLevel="0" collapsed="false">
      <c r="A476" s="40" t="n">
        <v>45870</v>
      </c>
      <c r="B476" s="41" t="n">
        <v>2025</v>
      </c>
      <c r="C476" s="41" t="n">
        <v>8</v>
      </c>
      <c r="D476" s="41" t="s">
        <v>53</v>
      </c>
      <c r="E476" s="41" t="s">
        <v>46</v>
      </c>
      <c r="F476" s="41" t="s">
        <v>42</v>
      </c>
      <c r="G476" s="41" t="s">
        <v>41</v>
      </c>
      <c r="H476" s="42" t="n">
        <v>66</v>
      </c>
      <c r="I476" s="42" t="n">
        <v>76</v>
      </c>
      <c r="J476" s="42" t="n">
        <v>3702</v>
      </c>
      <c r="K476" s="42" t="n">
        <v>175</v>
      </c>
      <c r="L476" s="43" t="n">
        <f aca="false">J476-K476</f>
        <v>3527</v>
      </c>
      <c r="M476" s="42" t="n">
        <v>1764</v>
      </c>
      <c r="N476" s="43" t="n">
        <f aca="false">L476-M476</f>
        <v>1763</v>
      </c>
    </row>
    <row r="477" customFormat="false" ht="15" hidden="false" customHeight="false" outlineLevel="0" collapsed="false">
      <c r="A477" s="40" t="n">
        <v>45870</v>
      </c>
      <c r="B477" s="41" t="n">
        <v>2025</v>
      </c>
      <c r="C477" s="41" t="n">
        <v>8</v>
      </c>
      <c r="D477" s="41" t="s">
        <v>53</v>
      </c>
      <c r="E477" s="41" t="s">
        <v>46</v>
      </c>
      <c r="F477" s="41" t="s">
        <v>43</v>
      </c>
      <c r="G477" s="41" t="s">
        <v>37</v>
      </c>
      <c r="H477" s="42" t="n">
        <v>28</v>
      </c>
      <c r="I477" s="42" t="n">
        <v>36</v>
      </c>
      <c r="J477" s="42" t="n">
        <v>5632</v>
      </c>
      <c r="K477" s="42" t="n">
        <v>138</v>
      </c>
      <c r="L477" s="43" t="n">
        <f aca="false">J477-K477</f>
        <v>5494</v>
      </c>
      <c r="M477" s="42" t="n">
        <v>2970</v>
      </c>
      <c r="N477" s="43" t="n">
        <f aca="false">L477-M477</f>
        <v>2524</v>
      </c>
    </row>
    <row r="478" customFormat="false" ht="15" hidden="false" customHeight="false" outlineLevel="0" collapsed="false">
      <c r="A478" s="40" t="n">
        <v>45870</v>
      </c>
      <c r="B478" s="41" t="n">
        <v>2025</v>
      </c>
      <c r="C478" s="41" t="n">
        <v>8</v>
      </c>
      <c r="D478" s="41" t="s">
        <v>53</v>
      </c>
      <c r="E478" s="41" t="s">
        <v>46</v>
      </c>
      <c r="F478" s="41" t="s">
        <v>43</v>
      </c>
      <c r="G478" s="41" t="s">
        <v>38</v>
      </c>
      <c r="H478" s="42" t="n">
        <v>36</v>
      </c>
      <c r="I478" s="42" t="n">
        <v>44</v>
      </c>
      <c r="J478" s="42" t="n">
        <v>4297</v>
      </c>
      <c r="K478" s="42" t="n">
        <v>143</v>
      </c>
      <c r="L478" s="43" t="n">
        <f aca="false">J478-K478</f>
        <v>4154</v>
      </c>
      <c r="M478" s="42" t="n">
        <v>1880</v>
      </c>
      <c r="N478" s="43" t="n">
        <f aca="false">L478-M478</f>
        <v>2274</v>
      </c>
    </row>
    <row r="479" customFormat="false" ht="15" hidden="false" customHeight="false" outlineLevel="0" collapsed="false">
      <c r="A479" s="40" t="n">
        <v>45870</v>
      </c>
      <c r="B479" s="41" t="n">
        <v>2025</v>
      </c>
      <c r="C479" s="41" t="n">
        <v>8</v>
      </c>
      <c r="D479" s="41" t="s">
        <v>53</v>
      </c>
      <c r="E479" s="41" t="s">
        <v>46</v>
      </c>
      <c r="F479" s="41" t="s">
        <v>43</v>
      </c>
      <c r="G479" s="41" t="s">
        <v>39</v>
      </c>
      <c r="H479" s="42" t="n">
        <v>51</v>
      </c>
      <c r="I479" s="42" t="n">
        <v>71</v>
      </c>
      <c r="J479" s="42" t="n">
        <v>4576</v>
      </c>
      <c r="K479" s="42" t="n">
        <v>313</v>
      </c>
      <c r="L479" s="43" t="n">
        <f aca="false">J479-K479</f>
        <v>4263</v>
      </c>
      <c r="M479" s="42" t="n">
        <v>1664</v>
      </c>
      <c r="N479" s="43" t="n">
        <f aca="false">L479-M479</f>
        <v>2599</v>
      </c>
    </row>
    <row r="480" customFormat="false" ht="15" hidden="false" customHeight="false" outlineLevel="0" collapsed="false">
      <c r="A480" s="40" t="n">
        <v>45870</v>
      </c>
      <c r="B480" s="41" t="n">
        <v>2025</v>
      </c>
      <c r="C480" s="41" t="n">
        <v>8</v>
      </c>
      <c r="D480" s="41" t="s">
        <v>53</v>
      </c>
      <c r="E480" s="41" t="s">
        <v>46</v>
      </c>
      <c r="F480" s="41" t="s">
        <v>43</v>
      </c>
      <c r="G480" s="41" t="s">
        <v>40</v>
      </c>
      <c r="H480" s="42" t="n">
        <v>25</v>
      </c>
      <c r="I480" s="42" t="n">
        <v>37</v>
      </c>
      <c r="J480" s="42" t="n">
        <v>3419</v>
      </c>
      <c r="K480" s="42" t="n">
        <v>324</v>
      </c>
      <c r="L480" s="43" t="n">
        <f aca="false">J480-K480</f>
        <v>3095</v>
      </c>
      <c r="M480" s="42" t="n">
        <v>1740</v>
      </c>
      <c r="N480" s="43" t="n">
        <f aca="false">L480-M480</f>
        <v>1355</v>
      </c>
    </row>
    <row r="481" customFormat="false" ht="15" hidden="false" customHeight="false" outlineLevel="0" collapsed="false">
      <c r="A481" s="40" t="n">
        <v>45870</v>
      </c>
      <c r="B481" s="41" t="n">
        <v>2025</v>
      </c>
      <c r="C481" s="41" t="n">
        <v>8</v>
      </c>
      <c r="D481" s="41" t="s">
        <v>53</v>
      </c>
      <c r="E481" s="41" t="s">
        <v>46</v>
      </c>
      <c r="F481" s="41" t="s">
        <v>43</v>
      </c>
      <c r="G481" s="41" t="s">
        <v>41</v>
      </c>
      <c r="H481" s="42" t="n">
        <v>37</v>
      </c>
      <c r="I481" s="42" t="n">
        <v>54</v>
      </c>
      <c r="J481" s="42" t="n">
        <v>2422</v>
      </c>
      <c r="K481" s="42" t="n">
        <v>48</v>
      </c>
      <c r="L481" s="43" t="n">
        <f aca="false">J481-K481</f>
        <v>2374</v>
      </c>
      <c r="M481" s="42" t="n">
        <v>1157</v>
      </c>
      <c r="N481" s="43" t="n">
        <f aca="false">L481-M481</f>
        <v>1217</v>
      </c>
    </row>
    <row r="482" customFormat="false" ht="15" hidden="false" customHeight="false" outlineLevel="0" collapsed="false">
      <c r="A482" s="40" t="n">
        <v>45901</v>
      </c>
      <c r="B482" s="41" t="n">
        <v>2025</v>
      </c>
      <c r="C482" s="41" t="n">
        <v>9</v>
      </c>
      <c r="D482" s="41" t="s">
        <v>54</v>
      </c>
      <c r="E482" s="41" t="s">
        <v>35</v>
      </c>
      <c r="F482" s="41" t="s">
        <v>36</v>
      </c>
      <c r="G482" s="41" t="s">
        <v>37</v>
      </c>
      <c r="H482" s="42" t="n">
        <v>70</v>
      </c>
      <c r="I482" s="42" t="n">
        <v>108</v>
      </c>
      <c r="J482" s="42" t="n">
        <v>13229</v>
      </c>
      <c r="K482" s="42" t="n">
        <v>625</v>
      </c>
      <c r="L482" s="43" t="n">
        <f aca="false">J482-K482</f>
        <v>12604</v>
      </c>
      <c r="M482" s="42" t="n">
        <v>6678</v>
      </c>
      <c r="N482" s="43" t="n">
        <f aca="false">L482-M482</f>
        <v>5926</v>
      </c>
    </row>
    <row r="483" customFormat="false" ht="15" hidden="false" customHeight="false" outlineLevel="0" collapsed="false">
      <c r="A483" s="40" t="n">
        <v>45901</v>
      </c>
      <c r="B483" s="41" t="n">
        <v>2025</v>
      </c>
      <c r="C483" s="41" t="n">
        <v>9</v>
      </c>
      <c r="D483" s="41" t="s">
        <v>54</v>
      </c>
      <c r="E483" s="41" t="s">
        <v>35</v>
      </c>
      <c r="F483" s="41" t="s">
        <v>36</v>
      </c>
      <c r="G483" s="41" t="s">
        <v>38</v>
      </c>
      <c r="H483" s="42" t="n">
        <v>118</v>
      </c>
      <c r="I483" s="42" t="n">
        <v>164</v>
      </c>
      <c r="J483" s="42" t="n">
        <v>13246</v>
      </c>
      <c r="K483" s="42" t="n">
        <v>672</v>
      </c>
      <c r="L483" s="43" t="n">
        <f aca="false">J483-K483</f>
        <v>12574</v>
      </c>
      <c r="M483" s="42" t="n">
        <v>5495</v>
      </c>
      <c r="N483" s="43" t="n">
        <f aca="false">L483-M483</f>
        <v>7079</v>
      </c>
    </row>
    <row r="484" customFormat="false" ht="15" hidden="false" customHeight="false" outlineLevel="0" collapsed="false">
      <c r="A484" s="40" t="n">
        <v>45901</v>
      </c>
      <c r="B484" s="41" t="n">
        <v>2025</v>
      </c>
      <c r="C484" s="41" t="n">
        <v>9</v>
      </c>
      <c r="D484" s="41" t="s">
        <v>54</v>
      </c>
      <c r="E484" s="41" t="s">
        <v>35</v>
      </c>
      <c r="F484" s="41" t="s">
        <v>36</v>
      </c>
      <c r="G484" s="41" t="s">
        <v>39</v>
      </c>
      <c r="H484" s="42" t="n">
        <v>212</v>
      </c>
      <c r="I484" s="42" t="n">
        <v>265</v>
      </c>
      <c r="J484" s="42" t="n">
        <v>17767</v>
      </c>
      <c r="K484" s="42" t="n">
        <v>1551</v>
      </c>
      <c r="L484" s="43" t="n">
        <f aca="false">J484-K484</f>
        <v>16216</v>
      </c>
      <c r="M484" s="42" t="n">
        <v>6173</v>
      </c>
      <c r="N484" s="43" t="n">
        <f aca="false">L484-M484</f>
        <v>10043</v>
      </c>
    </row>
    <row r="485" customFormat="false" ht="15" hidden="false" customHeight="false" outlineLevel="0" collapsed="false">
      <c r="A485" s="40" t="n">
        <v>45901</v>
      </c>
      <c r="B485" s="41" t="n">
        <v>2025</v>
      </c>
      <c r="C485" s="41" t="n">
        <v>9</v>
      </c>
      <c r="D485" s="41" t="s">
        <v>54</v>
      </c>
      <c r="E485" s="41" t="s">
        <v>35</v>
      </c>
      <c r="F485" s="41" t="s">
        <v>36</v>
      </c>
      <c r="G485" s="41" t="s">
        <v>40</v>
      </c>
      <c r="H485" s="42" t="n">
        <v>82</v>
      </c>
      <c r="I485" s="42" t="n">
        <v>124</v>
      </c>
      <c r="J485" s="42" t="n">
        <v>10521</v>
      </c>
      <c r="K485" s="42" t="n">
        <v>1025</v>
      </c>
      <c r="L485" s="43" t="n">
        <f aca="false">J485-K485</f>
        <v>9496</v>
      </c>
      <c r="M485" s="42" t="n">
        <v>5096</v>
      </c>
      <c r="N485" s="43" t="n">
        <f aca="false">L485-M485</f>
        <v>4400</v>
      </c>
    </row>
    <row r="486" customFormat="false" ht="15" hidden="false" customHeight="false" outlineLevel="0" collapsed="false">
      <c r="A486" s="40" t="n">
        <v>45901</v>
      </c>
      <c r="B486" s="41" t="n">
        <v>2025</v>
      </c>
      <c r="C486" s="41" t="n">
        <v>9</v>
      </c>
      <c r="D486" s="41" t="s">
        <v>54</v>
      </c>
      <c r="E486" s="41" t="s">
        <v>35</v>
      </c>
      <c r="F486" s="41" t="s">
        <v>36</v>
      </c>
      <c r="G486" s="41" t="s">
        <v>41</v>
      </c>
      <c r="H486" s="42" t="n">
        <v>131</v>
      </c>
      <c r="I486" s="42" t="n">
        <v>162</v>
      </c>
      <c r="J486" s="42" t="n">
        <v>7961</v>
      </c>
      <c r="K486" s="42" t="n">
        <v>193</v>
      </c>
      <c r="L486" s="43" t="n">
        <f aca="false">J486-K486</f>
        <v>7768</v>
      </c>
      <c r="M486" s="42" t="n">
        <v>3751</v>
      </c>
      <c r="N486" s="43" t="n">
        <f aca="false">L486-M486</f>
        <v>4017</v>
      </c>
    </row>
    <row r="487" customFormat="false" ht="15" hidden="false" customHeight="false" outlineLevel="0" collapsed="false">
      <c r="A487" s="40" t="n">
        <v>45901</v>
      </c>
      <c r="B487" s="41" t="n">
        <v>2025</v>
      </c>
      <c r="C487" s="41" t="n">
        <v>9</v>
      </c>
      <c r="D487" s="41" t="s">
        <v>54</v>
      </c>
      <c r="E487" s="41" t="s">
        <v>35</v>
      </c>
      <c r="F487" s="41" t="s">
        <v>42</v>
      </c>
      <c r="G487" s="41" t="s">
        <v>37</v>
      </c>
      <c r="H487" s="42" t="n">
        <v>62</v>
      </c>
      <c r="I487" s="42" t="n">
        <v>86</v>
      </c>
      <c r="J487" s="42" t="n">
        <v>10716</v>
      </c>
      <c r="K487" s="42" t="n">
        <v>626</v>
      </c>
      <c r="L487" s="43" t="n">
        <f aca="false">J487-K487</f>
        <v>10090</v>
      </c>
      <c r="M487" s="42" t="n">
        <v>5406</v>
      </c>
      <c r="N487" s="43" t="n">
        <f aca="false">L487-M487</f>
        <v>4684</v>
      </c>
    </row>
    <row r="488" customFormat="false" ht="15" hidden="false" customHeight="false" outlineLevel="0" collapsed="false">
      <c r="A488" s="40" t="n">
        <v>45901</v>
      </c>
      <c r="B488" s="41" t="n">
        <v>2025</v>
      </c>
      <c r="C488" s="41" t="n">
        <v>9</v>
      </c>
      <c r="D488" s="41" t="s">
        <v>54</v>
      </c>
      <c r="E488" s="41" t="s">
        <v>35</v>
      </c>
      <c r="F488" s="41" t="s">
        <v>42</v>
      </c>
      <c r="G488" s="41" t="s">
        <v>38</v>
      </c>
      <c r="H488" s="42" t="n">
        <v>98</v>
      </c>
      <c r="I488" s="42" t="n">
        <v>144</v>
      </c>
      <c r="J488" s="42" t="n">
        <v>10130</v>
      </c>
      <c r="K488" s="42" t="n">
        <v>559</v>
      </c>
      <c r="L488" s="43" t="n">
        <f aca="false">J488-K488</f>
        <v>9571</v>
      </c>
      <c r="M488" s="42" t="n">
        <v>4415</v>
      </c>
      <c r="N488" s="43" t="n">
        <f aca="false">L488-M488</f>
        <v>5156</v>
      </c>
    </row>
    <row r="489" customFormat="false" ht="15" hidden="false" customHeight="false" outlineLevel="0" collapsed="false">
      <c r="A489" s="40" t="n">
        <v>45901</v>
      </c>
      <c r="B489" s="41" t="n">
        <v>2025</v>
      </c>
      <c r="C489" s="41" t="n">
        <v>9</v>
      </c>
      <c r="D489" s="41" t="s">
        <v>54</v>
      </c>
      <c r="E489" s="41" t="s">
        <v>35</v>
      </c>
      <c r="F489" s="41" t="s">
        <v>42</v>
      </c>
      <c r="G489" s="41" t="s">
        <v>39</v>
      </c>
      <c r="H489" s="42" t="n">
        <v>141</v>
      </c>
      <c r="I489" s="42" t="n">
        <v>194</v>
      </c>
      <c r="J489" s="42" t="n">
        <v>10909</v>
      </c>
      <c r="K489" s="42" t="n">
        <v>1343</v>
      </c>
      <c r="L489" s="43" t="n">
        <f aca="false">J489-K489</f>
        <v>9566</v>
      </c>
      <c r="M489" s="42" t="n">
        <v>3874</v>
      </c>
      <c r="N489" s="43" t="n">
        <f aca="false">L489-M489</f>
        <v>5692</v>
      </c>
    </row>
    <row r="490" customFormat="false" ht="15" hidden="false" customHeight="false" outlineLevel="0" collapsed="false">
      <c r="A490" s="40" t="n">
        <v>45901</v>
      </c>
      <c r="B490" s="41" t="n">
        <v>2025</v>
      </c>
      <c r="C490" s="41" t="n">
        <v>9</v>
      </c>
      <c r="D490" s="41" t="s">
        <v>54</v>
      </c>
      <c r="E490" s="41" t="s">
        <v>35</v>
      </c>
      <c r="F490" s="41" t="s">
        <v>42</v>
      </c>
      <c r="G490" s="41" t="s">
        <v>40</v>
      </c>
      <c r="H490" s="42" t="n">
        <v>65</v>
      </c>
      <c r="I490" s="42" t="n">
        <v>79</v>
      </c>
      <c r="J490" s="42" t="n">
        <v>7661</v>
      </c>
      <c r="K490" s="42" t="n">
        <v>1287</v>
      </c>
      <c r="L490" s="43" t="n">
        <f aca="false">J490-K490</f>
        <v>6374</v>
      </c>
      <c r="M490" s="42" t="n">
        <v>3699</v>
      </c>
      <c r="N490" s="43" t="n">
        <f aca="false">L490-M490</f>
        <v>2675</v>
      </c>
    </row>
    <row r="491" customFormat="false" ht="15" hidden="false" customHeight="false" outlineLevel="0" collapsed="false">
      <c r="A491" s="40" t="n">
        <v>45901</v>
      </c>
      <c r="B491" s="41" t="n">
        <v>2025</v>
      </c>
      <c r="C491" s="41" t="n">
        <v>9</v>
      </c>
      <c r="D491" s="41" t="s">
        <v>54</v>
      </c>
      <c r="E491" s="41" t="s">
        <v>35</v>
      </c>
      <c r="F491" s="41" t="s">
        <v>42</v>
      </c>
      <c r="G491" s="41" t="s">
        <v>41</v>
      </c>
      <c r="H491" s="42" t="n">
        <v>84</v>
      </c>
      <c r="I491" s="42" t="n">
        <v>118</v>
      </c>
      <c r="J491" s="42" t="n">
        <v>4728</v>
      </c>
      <c r="K491" s="42" t="n">
        <v>210</v>
      </c>
      <c r="L491" s="43" t="n">
        <f aca="false">J491-K491</f>
        <v>4518</v>
      </c>
      <c r="M491" s="42" t="n">
        <v>2217</v>
      </c>
      <c r="N491" s="43" t="n">
        <f aca="false">L491-M491</f>
        <v>2301</v>
      </c>
    </row>
    <row r="492" customFormat="false" ht="15" hidden="false" customHeight="false" outlineLevel="0" collapsed="false">
      <c r="A492" s="40" t="n">
        <v>45901</v>
      </c>
      <c r="B492" s="41" t="n">
        <v>2025</v>
      </c>
      <c r="C492" s="41" t="n">
        <v>9</v>
      </c>
      <c r="D492" s="41" t="s">
        <v>54</v>
      </c>
      <c r="E492" s="41" t="s">
        <v>35</v>
      </c>
      <c r="F492" s="41" t="s">
        <v>43</v>
      </c>
      <c r="G492" s="41" t="s">
        <v>37</v>
      </c>
      <c r="H492" s="42" t="n">
        <v>39</v>
      </c>
      <c r="I492" s="42" t="n">
        <v>61</v>
      </c>
      <c r="J492" s="42" t="n">
        <v>7872</v>
      </c>
      <c r="K492" s="42" t="n">
        <v>211</v>
      </c>
      <c r="L492" s="43" t="n">
        <f aca="false">J492-K492</f>
        <v>7661</v>
      </c>
      <c r="M492" s="42" t="n">
        <v>4041</v>
      </c>
      <c r="N492" s="43" t="n">
        <f aca="false">L492-M492</f>
        <v>3620</v>
      </c>
    </row>
    <row r="493" customFormat="false" ht="15" hidden="false" customHeight="false" outlineLevel="0" collapsed="false">
      <c r="A493" s="40" t="n">
        <v>45901</v>
      </c>
      <c r="B493" s="41" t="n">
        <v>2025</v>
      </c>
      <c r="C493" s="41" t="n">
        <v>9</v>
      </c>
      <c r="D493" s="41" t="s">
        <v>54</v>
      </c>
      <c r="E493" s="41" t="s">
        <v>35</v>
      </c>
      <c r="F493" s="41" t="s">
        <v>43</v>
      </c>
      <c r="G493" s="41" t="s">
        <v>38</v>
      </c>
      <c r="H493" s="42" t="n">
        <v>58</v>
      </c>
      <c r="I493" s="42" t="n">
        <v>80</v>
      </c>
      <c r="J493" s="42" t="n">
        <v>6912</v>
      </c>
      <c r="K493" s="42" t="n">
        <v>232</v>
      </c>
      <c r="L493" s="43" t="n">
        <f aca="false">J493-K493</f>
        <v>6680</v>
      </c>
      <c r="M493" s="42" t="n">
        <v>3086</v>
      </c>
      <c r="N493" s="43" t="n">
        <f aca="false">L493-M493</f>
        <v>3594</v>
      </c>
    </row>
    <row r="494" customFormat="false" ht="15" hidden="false" customHeight="false" outlineLevel="0" collapsed="false">
      <c r="A494" s="40" t="n">
        <v>45901</v>
      </c>
      <c r="B494" s="41" t="n">
        <v>2025</v>
      </c>
      <c r="C494" s="41" t="n">
        <v>9</v>
      </c>
      <c r="D494" s="41" t="s">
        <v>54</v>
      </c>
      <c r="E494" s="41" t="s">
        <v>35</v>
      </c>
      <c r="F494" s="41" t="s">
        <v>43</v>
      </c>
      <c r="G494" s="41" t="s">
        <v>39</v>
      </c>
      <c r="H494" s="42" t="n">
        <v>91</v>
      </c>
      <c r="I494" s="42" t="n">
        <v>119</v>
      </c>
      <c r="J494" s="42" t="n">
        <v>8096</v>
      </c>
      <c r="K494" s="42" t="n">
        <v>508</v>
      </c>
      <c r="L494" s="43" t="n">
        <f aca="false">J494-K494</f>
        <v>7588</v>
      </c>
      <c r="M494" s="42" t="n">
        <v>2930</v>
      </c>
      <c r="N494" s="43" t="n">
        <f aca="false">L494-M494</f>
        <v>4658</v>
      </c>
    </row>
    <row r="495" customFormat="false" ht="15" hidden="false" customHeight="false" outlineLevel="0" collapsed="false">
      <c r="A495" s="40" t="n">
        <v>45901</v>
      </c>
      <c r="B495" s="41" t="n">
        <v>2025</v>
      </c>
      <c r="C495" s="41" t="n">
        <v>9</v>
      </c>
      <c r="D495" s="41" t="s">
        <v>54</v>
      </c>
      <c r="E495" s="41" t="s">
        <v>35</v>
      </c>
      <c r="F495" s="41" t="s">
        <v>43</v>
      </c>
      <c r="G495" s="41" t="s">
        <v>40</v>
      </c>
      <c r="H495" s="42" t="n">
        <v>39</v>
      </c>
      <c r="I495" s="42" t="n">
        <v>62</v>
      </c>
      <c r="J495" s="42" t="n">
        <v>5312</v>
      </c>
      <c r="K495" s="42" t="n">
        <v>501</v>
      </c>
      <c r="L495" s="43" t="n">
        <f aca="false">J495-K495</f>
        <v>4811</v>
      </c>
      <c r="M495" s="42" t="n">
        <v>2712</v>
      </c>
      <c r="N495" s="43" t="n">
        <f aca="false">L495-M495</f>
        <v>2099</v>
      </c>
    </row>
    <row r="496" customFormat="false" ht="15" hidden="false" customHeight="false" outlineLevel="0" collapsed="false">
      <c r="A496" s="40" t="n">
        <v>45901</v>
      </c>
      <c r="B496" s="41" t="n">
        <v>2025</v>
      </c>
      <c r="C496" s="41" t="n">
        <v>9</v>
      </c>
      <c r="D496" s="41" t="s">
        <v>54</v>
      </c>
      <c r="E496" s="41" t="s">
        <v>35</v>
      </c>
      <c r="F496" s="41" t="s">
        <v>43</v>
      </c>
      <c r="G496" s="41" t="s">
        <v>41</v>
      </c>
      <c r="H496" s="42" t="n">
        <v>61</v>
      </c>
      <c r="I496" s="42" t="n">
        <v>93</v>
      </c>
      <c r="J496" s="42" t="n">
        <v>3925</v>
      </c>
      <c r="K496" s="42" t="n">
        <v>68</v>
      </c>
      <c r="L496" s="43" t="n">
        <f aca="false">J496-K496</f>
        <v>3857</v>
      </c>
      <c r="M496" s="42" t="n">
        <v>1853</v>
      </c>
      <c r="N496" s="43" t="n">
        <f aca="false">L496-M496</f>
        <v>2004</v>
      </c>
    </row>
    <row r="497" customFormat="false" ht="15" hidden="false" customHeight="false" outlineLevel="0" collapsed="false">
      <c r="A497" s="40" t="n">
        <v>45901</v>
      </c>
      <c r="B497" s="41" t="n">
        <v>2025</v>
      </c>
      <c r="C497" s="41" t="n">
        <v>9</v>
      </c>
      <c r="D497" s="41" t="s">
        <v>54</v>
      </c>
      <c r="E497" s="41" t="s">
        <v>44</v>
      </c>
      <c r="F497" s="41" t="s">
        <v>36</v>
      </c>
      <c r="G497" s="41" t="s">
        <v>37</v>
      </c>
      <c r="H497" s="42" t="n">
        <v>71</v>
      </c>
      <c r="I497" s="42" t="n">
        <v>112</v>
      </c>
      <c r="J497" s="42" t="n">
        <v>13512</v>
      </c>
      <c r="K497" s="42" t="n">
        <v>486</v>
      </c>
      <c r="L497" s="43" t="n">
        <f aca="false">J497-K497</f>
        <v>13026</v>
      </c>
      <c r="M497" s="42" t="n">
        <v>6872</v>
      </c>
      <c r="N497" s="43" t="n">
        <f aca="false">L497-M497</f>
        <v>6154</v>
      </c>
    </row>
    <row r="498" customFormat="false" ht="15" hidden="false" customHeight="false" outlineLevel="0" collapsed="false">
      <c r="A498" s="40" t="n">
        <v>45901</v>
      </c>
      <c r="B498" s="41" t="n">
        <v>2025</v>
      </c>
      <c r="C498" s="41" t="n">
        <v>9</v>
      </c>
      <c r="D498" s="41" t="s">
        <v>54</v>
      </c>
      <c r="E498" s="41" t="s">
        <v>44</v>
      </c>
      <c r="F498" s="41" t="s">
        <v>36</v>
      </c>
      <c r="G498" s="41" t="s">
        <v>38</v>
      </c>
      <c r="H498" s="42" t="n">
        <v>97</v>
      </c>
      <c r="I498" s="42" t="n">
        <v>127</v>
      </c>
      <c r="J498" s="42" t="n">
        <v>10869</v>
      </c>
      <c r="K498" s="42" t="n">
        <v>550</v>
      </c>
      <c r="L498" s="43" t="n">
        <f aca="false">J498-K498</f>
        <v>10319</v>
      </c>
      <c r="M498" s="42" t="n">
        <v>4524</v>
      </c>
      <c r="N498" s="43" t="n">
        <f aca="false">L498-M498</f>
        <v>5795</v>
      </c>
    </row>
    <row r="499" customFormat="false" ht="15" hidden="false" customHeight="false" outlineLevel="0" collapsed="false">
      <c r="A499" s="40" t="n">
        <v>45901</v>
      </c>
      <c r="B499" s="41" t="n">
        <v>2025</v>
      </c>
      <c r="C499" s="41" t="n">
        <v>9</v>
      </c>
      <c r="D499" s="41" t="s">
        <v>54</v>
      </c>
      <c r="E499" s="41" t="s">
        <v>44</v>
      </c>
      <c r="F499" s="41" t="s">
        <v>36</v>
      </c>
      <c r="G499" s="41" t="s">
        <v>39</v>
      </c>
      <c r="H499" s="42" t="n">
        <v>146</v>
      </c>
      <c r="I499" s="42" t="n">
        <v>201</v>
      </c>
      <c r="J499" s="42" t="n">
        <v>12242</v>
      </c>
      <c r="K499" s="42" t="n">
        <v>990</v>
      </c>
      <c r="L499" s="43" t="n">
        <f aca="false">J499-K499</f>
        <v>11252</v>
      </c>
      <c r="M499" s="42" t="n">
        <v>4293</v>
      </c>
      <c r="N499" s="43" t="n">
        <f aca="false">L499-M499</f>
        <v>6959</v>
      </c>
    </row>
    <row r="500" customFormat="false" ht="15" hidden="false" customHeight="false" outlineLevel="0" collapsed="false">
      <c r="A500" s="40" t="n">
        <v>45901</v>
      </c>
      <c r="B500" s="41" t="n">
        <v>2025</v>
      </c>
      <c r="C500" s="41" t="n">
        <v>9</v>
      </c>
      <c r="D500" s="41" t="s">
        <v>54</v>
      </c>
      <c r="E500" s="41" t="s">
        <v>44</v>
      </c>
      <c r="F500" s="41" t="s">
        <v>36</v>
      </c>
      <c r="G500" s="41" t="s">
        <v>40</v>
      </c>
      <c r="H500" s="42" t="n">
        <v>79</v>
      </c>
      <c r="I500" s="42" t="n">
        <v>118</v>
      </c>
      <c r="J500" s="42" t="n">
        <v>10164</v>
      </c>
      <c r="K500" s="42" t="n">
        <v>1433</v>
      </c>
      <c r="L500" s="43" t="n">
        <f aca="false">J500-K500</f>
        <v>8731</v>
      </c>
      <c r="M500" s="42" t="n">
        <v>4841</v>
      </c>
      <c r="N500" s="43" t="n">
        <f aca="false">L500-M500</f>
        <v>3890</v>
      </c>
    </row>
    <row r="501" customFormat="false" ht="15" hidden="false" customHeight="false" outlineLevel="0" collapsed="false">
      <c r="A501" s="40" t="n">
        <v>45901</v>
      </c>
      <c r="B501" s="41" t="n">
        <v>2025</v>
      </c>
      <c r="C501" s="41" t="n">
        <v>9</v>
      </c>
      <c r="D501" s="41" t="s">
        <v>54</v>
      </c>
      <c r="E501" s="41" t="s">
        <v>44</v>
      </c>
      <c r="F501" s="41" t="s">
        <v>36</v>
      </c>
      <c r="G501" s="41" t="s">
        <v>41</v>
      </c>
      <c r="H501" s="42" t="n">
        <v>107</v>
      </c>
      <c r="I501" s="42" t="n">
        <v>166</v>
      </c>
      <c r="J501" s="42" t="n">
        <v>6507</v>
      </c>
      <c r="K501" s="42" t="n">
        <v>225</v>
      </c>
      <c r="L501" s="43" t="n">
        <f aca="false">J501-K501</f>
        <v>6282</v>
      </c>
      <c r="M501" s="42" t="n">
        <v>2931</v>
      </c>
      <c r="N501" s="43" t="n">
        <f aca="false">L501-M501</f>
        <v>3351</v>
      </c>
    </row>
    <row r="502" customFormat="false" ht="15" hidden="false" customHeight="false" outlineLevel="0" collapsed="false">
      <c r="A502" s="40" t="n">
        <v>45901</v>
      </c>
      <c r="B502" s="41" t="n">
        <v>2025</v>
      </c>
      <c r="C502" s="41" t="n">
        <v>9</v>
      </c>
      <c r="D502" s="41" t="s">
        <v>54</v>
      </c>
      <c r="E502" s="41" t="s">
        <v>44</v>
      </c>
      <c r="F502" s="41" t="s">
        <v>42</v>
      </c>
      <c r="G502" s="41" t="s">
        <v>37</v>
      </c>
      <c r="H502" s="42" t="n">
        <v>50</v>
      </c>
      <c r="I502" s="42" t="n">
        <v>63</v>
      </c>
      <c r="J502" s="42" t="n">
        <v>8662</v>
      </c>
      <c r="K502" s="42" t="n">
        <v>501</v>
      </c>
      <c r="L502" s="43" t="n">
        <f aca="false">J502-K502</f>
        <v>8161</v>
      </c>
      <c r="M502" s="42" t="n">
        <v>4418</v>
      </c>
      <c r="N502" s="43" t="n">
        <f aca="false">L502-M502</f>
        <v>3743</v>
      </c>
    </row>
    <row r="503" customFormat="false" ht="15" hidden="false" customHeight="false" outlineLevel="0" collapsed="false">
      <c r="A503" s="40" t="n">
        <v>45901</v>
      </c>
      <c r="B503" s="41" t="n">
        <v>2025</v>
      </c>
      <c r="C503" s="41" t="n">
        <v>9</v>
      </c>
      <c r="D503" s="41" t="s">
        <v>54</v>
      </c>
      <c r="E503" s="41" t="s">
        <v>44</v>
      </c>
      <c r="F503" s="41" t="s">
        <v>42</v>
      </c>
      <c r="G503" s="41" t="s">
        <v>38</v>
      </c>
      <c r="H503" s="42" t="n">
        <v>72</v>
      </c>
      <c r="I503" s="42" t="n">
        <v>113</v>
      </c>
      <c r="J503" s="42" t="n">
        <v>7377</v>
      </c>
      <c r="K503" s="42" t="n">
        <v>522</v>
      </c>
      <c r="L503" s="43" t="n">
        <f aca="false">J503-K503</f>
        <v>6855</v>
      </c>
      <c r="M503" s="42" t="n">
        <v>3187</v>
      </c>
      <c r="N503" s="43" t="n">
        <f aca="false">L503-M503</f>
        <v>3668</v>
      </c>
    </row>
    <row r="504" customFormat="false" ht="15" hidden="false" customHeight="false" outlineLevel="0" collapsed="false">
      <c r="A504" s="40" t="n">
        <v>45901</v>
      </c>
      <c r="B504" s="41" t="n">
        <v>2025</v>
      </c>
      <c r="C504" s="41" t="n">
        <v>9</v>
      </c>
      <c r="D504" s="41" t="s">
        <v>54</v>
      </c>
      <c r="E504" s="41" t="s">
        <v>44</v>
      </c>
      <c r="F504" s="41" t="s">
        <v>42</v>
      </c>
      <c r="G504" s="41" t="s">
        <v>39</v>
      </c>
      <c r="H504" s="42" t="n">
        <v>113</v>
      </c>
      <c r="I504" s="42" t="n">
        <v>152</v>
      </c>
      <c r="J504" s="42" t="n">
        <v>8728</v>
      </c>
      <c r="K504" s="42" t="n">
        <v>1391</v>
      </c>
      <c r="L504" s="43" t="n">
        <f aca="false">J504-K504</f>
        <v>7337</v>
      </c>
      <c r="M504" s="42" t="n">
        <v>3002</v>
      </c>
      <c r="N504" s="43" t="n">
        <f aca="false">L504-M504</f>
        <v>4335</v>
      </c>
    </row>
    <row r="505" customFormat="false" ht="15" hidden="false" customHeight="false" outlineLevel="0" collapsed="false">
      <c r="A505" s="40" t="n">
        <v>45901</v>
      </c>
      <c r="B505" s="41" t="n">
        <v>2025</v>
      </c>
      <c r="C505" s="41" t="n">
        <v>9</v>
      </c>
      <c r="D505" s="41" t="s">
        <v>54</v>
      </c>
      <c r="E505" s="41" t="s">
        <v>44</v>
      </c>
      <c r="F505" s="41" t="s">
        <v>42</v>
      </c>
      <c r="G505" s="41" t="s">
        <v>40</v>
      </c>
      <c r="H505" s="42" t="n">
        <v>50</v>
      </c>
      <c r="I505" s="42" t="n">
        <v>72</v>
      </c>
      <c r="J505" s="42" t="n">
        <v>5908</v>
      </c>
      <c r="K505" s="42" t="n">
        <v>812</v>
      </c>
      <c r="L505" s="43" t="n">
        <f aca="false">J505-K505</f>
        <v>5096</v>
      </c>
      <c r="M505" s="42" t="n">
        <v>2911</v>
      </c>
      <c r="N505" s="43" t="n">
        <f aca="false">L505-M505</f>
        <v>2185</v>
      </c>
    </row>
    <row r="506" customFormat="false" ht="15" hidden="false" customHeight="false" outlineLevel="0" collapsed="false">
      <c r="A506" s="40" t="n">
        <v>45901</v>
      </c>
      <c r="B506" s="41" t="n">
        <v>2025</v>
      </c>
      <c r="C506" s="41" t="n">
        <v>9</v>
      </c>
      <c r="D506" s="41" t="s">
        <v>54</v>
      </c>
      <c r="E506" s="41" t="s">
        <v>44</v>
      </c>
      <c r="F506" s="41" t="s">
        <v>42</v>
      </c>
      <c r="G506" s="41" t="s">
        <v>41</v>
      </c>
      <c r="H506" s="42" t="n">
        <v>84</v>
      </c>
      <c r="I506" s="42" t="n">
        <v>116</v>
      </c>
      <c r="J506" s="42" t="n">
        <v>4698</v>
      </c>
      <c r="K506" s="42" t="n">
        <v>173</v>
      </c>
      <c r="L506" s="43" t="n">
        <f aca="false">J506-K506</f>
        <v>4525</v>
      </c>
      <c r="M506" s="42" t="n">
        <v>2262</v>
      </c>
      <c r="N506" s="43" t="n">
        <f aca="false">L506-M506</f>
        <v>2263</v>
      </c>
    </row>
    <row r="507" customFormat="false" ht="15" hidden="false" customHeight="false" outlineLevel="0" collapsed="false">
      <c r="A507" s="40" t="n">
        <v>45901</v>
      </c>
      <c r="B507" s="41" t="n">
        <v>2025</v>
      </c>
      <c r="C507" s="41" t="n">
        <v>9</v>
      </c>
      <c r="D507" s="41" t="s">
        <v>54</v>
      </c>
      <c r="E507" s="41" t="s">
        <v>44</v>
      </c>
      <c r="F507" s="41" t="s">
        <v>43</v>
      </c>
      <c r="G507" s="41" t="s">
        <v>37</v>
      </c>
      <c r="H507" s="42" t="n">
        <v>29</v>
      </c>
      <c r="I507" s="42" t="n">
        <v>35</v>
      </c>
      <c r="J507" s="42" t="n">
        <v>5782</v>
      </c>
      <c r="K507" s="42" t="n">
        <v>138</v>
      </c>
      <c r="L507" s="43" t="n">
        <f aca="false">J507-K507</f>
        <v>5644</v>
      </c>
      <c r="M507" s="42" t="n">
        <v>2926</v>
      </c>
      <c r="N507" s="43" t="n">
        <f aca="false">L507-M507</f>
        <v>2718</v>
      </c>
    </row>
    <row r="508" customFormat="false" ht="15" hidden="false" customHeight="false" outlineLevel="0" collapsed="false">
      <c r="A508" s="40" t="n">
        <v>45901</v>
      </c>
      <c r="B508" s="41" t="n">
        <v>2025</v>
      </c>
      <c r="C508" s="41" t="n">
        <v>9</v>
      </c>
      <c r="D508" s="41" t="s">
        <v>54</v>
      </c>
      <c r="E508" s="41" t="s">
        <v>44</v>
      </c>
      <c r="F508" s="41" t="s">
        <v>43</v>
      </c>
      <c r="G508" s="41" t="s">
        <v>38</v>
      </c>
      <c r="H508" s="42" t="n">
        <v>40</v>
      </c>
      <c r="I508" s="42" t="n">
        <v>53</v>
      </c>
      <c r="J508" s="42" t="n">
        <v>4722</v>
      </c>
      <c r="K508" s="42" t="n">
        <v>151</v>
      </c>
      <c r="L508" s="43" t="n">
        <f aca="false">J508-K508</f>
        <v>4571</v>
      </c>
      <c r="M508" s="42" t="n">
        <v>2025</v>
      </c>
      <c r="N508" s="43" t="n">
        <f aca="false">L508-M508</f>
        <v>2546</v>
      </c>
    </row>
    <row r="509" customFormat="false" ht="15" hidden="false" customHeight="false" outlineLevel="0" collapsed="false">
      <c r="A509" s="40" t="n">
        <v>45901</v>
      </c>
      <c r="B509" s="41" t="n">
        <v>2025</v>
      </c>
      <c r="C509" s="41" t="n">
        <v>9</v>
      </c>
      <c r="D509" s="41" t="s">
        <v>54</v>
      </c>
      <c r="E509" s="41" t="s">
        <v>44</v>
      </c>
      <c r="F509" s="41" t="s">
        <v>43</v>
      </c>
      <c r="G509" s="41" t="s">
        <v>39</v>
      </c>
      <c r="H509" s="42" t="n">
        <v>59</v>
      </c>
      <c r="I509" s="42" t="n">
        <v>82</v>
      </c>
      <c r="J509" s="42" t="n">
        <v>5278</v>
      </c>
      <c r="K509" s="42" t="n">
        <v>420</v>
      </c>
      <c r="L509" s="43" t="n">
        <f aca="false">J509-K509</f>
        <v>4858</v>
      </c>
      <c r="M509" s="42" t="n">
        <v>1907</v>
      </c>
      <c r="N509" s="43" t="n">
        <f aca="false">L509-M509</f>
        <v>2951</v>
      </c>
    </row>
    <row r="510" customFormat="false" ht="15" hidden="false" customHeight="false" outlineLevel="0" collapsed="false">
      <c r="A510" s="40" t="n">
        <v>45901</v>
      </c>
      <c r="B510" s="41" t="n">
        <v>2025</v>
      </c>
      <c r="C510" s="41" t="n">
        <v>9</v>
      </c>
      <c r="D510" s="41" t="s">
        <v>54</v>
      </c>
      <c r="E510" s="41" t="s">
        <v>44</v>
      </c>
      <c r="F510" s="41" t="s">
        <v>43</v>
      </c>
      <c r="G510" s="41" t="s">
        <v>40</v>
      </c>
      <c r="H510" s="42" t="n">
        <v>32</v>
      </c>
      <c r="I510" s="42" t="n">
        <v>46</v>
      </c>
      <c r="J510" s="42" t="n">
        <v>4380</v>
      </c>
      <c r="K510" s="42" t="n">
        <v>324</v>
      </c>
      <c r="L510" s="43" t="n">
        <f aca="false">J510-K510</f>
        <v>4056</v>
      </c>
      <c r="M510" s="42" t="n">
        <v>2259</v>
      </c>
      <c r="N510" s="43" t="n">
        <f aca="false">L510-M510</f>
        <v>1797</v>
      </c>
    </row>
    <row r="511" customFormat="false" ht="15" hidden="false" customHeight="false" outlineLevel="0" collapsed="false">
      <c r="A511" s="40" t="n">
        <v>45901</v>
      </c>
      <c r="B511" s="41" t="n">
        <v>2025</v>
      </c>
      <c r="C511" s="41" t="n">
        <v>9</v>
      </c>
      <c r="D511" s="41" t="s">
        <v>54</v>
      </c>
      <c r="E511" s="41" t="s">
        <v>44</v>
      </c>
      <c r="F511" s="41" t="s">
        <v>43</v>
      </c>
      <c r="G511" s="41" t="s">
        <v>41</v>
      </c>
      <c r="H511" s="42" t="n">
        <v>44</v>
      </c>
      <c r="I511" s="42" t="n">
        <v>61</v>
      </c>
      <c r="J511" s="42" t="n">
        <v>2833</v>
      </c>
      <c r="K511" s="42" t="n">
        <v>62</v>
      </c>
      <c r="L511" s="43" t="n">
        <f aca="false">J511-K511</f>
        <v>2771</v>
      </c>
      <c r="M511" s="42" t="n">
        <v>1327</v>
      </c>
      <c r="N511" s="43" t="n">
        <f aca="false">L511-M511</f>
        <v>1444</v>
      </c>
    </row>
    <row r="512" customFormat="false" ht="15" hidden="false" customHeight="false" outlineLevel="0" collapsed="false">
      <c r="A512" s="40" t="n">
        <v>45901</v>
      </c>
      <c r="B512" s="41" t="n">
        <v>2025</v>
      </c>
      <c r="C512" s="41" t="n">
        <v>9</v>
      </c>
      <c r="D512" s="41" t="s">
        <v>54</v>
      </c>
      <c r="E512" s="41" t="s">
        <v>45</v>
      </c>
      <c r="F512" s="41" t="s">
        <v>36</v>
      </c>
      <c r="G512" s="41" t="s">
        <v>37</v>
      </c>
      <c r="H512" s="42" t="n">
        <v>44</v>
      </c>
      <c r="I512" s="42" t="n">
        <v>55</v>
      </c>
      <c r="J512" s="42" t="n">
        <v>8401</v>
      </c>
      <c r="K512" s="42" t="n">
        <v>299</v>
      </c>
      <c r="L512" s="43" t="n">
        <f aca="false">J512-K512</f>
        <v>8102</v>
      </c>
      <c r="M512" s="42" t="n">
        <v>4297</v>
      </c>
      <c r="N512" s="43" t="n">
        <f aca="false">L512-M512</f>
        <v>3805</v>
      </c>
    </row>
    <row r="513" customFormat="false" ht="15" hidden="false" customHeight="false" outlineLevel="0" collapsed="false">
      <c r="A513" s="40" t="n">
        <v>45901</v>
      </c>
      <c r="B513" s="41" t="n">
        <v>2025</v>
      </c>
      <c r="C513" s="41" t="n">
        <v>9</v>
      </c>
      <c r="D513" s="41" t="s">
        <v>54</v>
      </c>
      <c r="E513" s="41" t="s">
        <v>45</v>
      </c>
      <c r="F513" s="41" t="s">
        <v>36</v>
      </c>
      <c r="G513" s="41" t="s">
        <v>38</v>
      </c>
      <c r="H513" s="42" t="n">
        <v>67</v>
      </c>
      <c r="I513" s="42" t="n">
        <v>95</v>
      </c>
      <c r="J513" s="42" t="n">
        <v>7509</v>
      </c>
      <c r="K513" s="42" t="n">
        <v>302</v>
      </c>
      <c r="L513" s="43" t="n">
        <f aca="false">J513-K513</f>
        <v>7207</v>
      </c>
      <c r="M513" s="42" t="n">
        <v>3214</v>
      </c>
      <c r="N513" s="43" t="n">
        <f aca="false">L513-M513</f>
        <v>3993</v>
      </c>
    </row>
    <row r="514" customFormat="false" ht="15" hidden="false" customHeight="false" outlineLevel="0" collapsed="false">
      <c r="A514" s="40" t="n">
        <v>45901</v>
      </c>
      <c r="B514" s="41" t="n">
        <v>2025</v>
      </c>
      <c r="C514" s="41" t="n">
        <v>9</v>
      </c>
      <c r="D514" s="41" t="s">
        <v>54</v>
      </c>
      <c r="E514" s="41" t="s">
        <v>45</v>
      </c>
      <c r="F514" s="41" t="s">
        <v>36</v>
      </c>
      <c r="G514" s="41" t="s">
        <v>39</v>
      </c>
      <c r="H514" s="42" t="n">
        <v>121</v>
      </c>
      <c r="I514" s="42" t="n">
        <v>152</v>
      </c>
      <c r="J514" s="42" t="n">
        <v>10178</v>
      </c>
      <c r="K514" s="42" t="n">
        <v>1041</v>
      </c>
      <c r="L514" s="43" t="n">
        <f aca="false">J514-K514</f>
        <v>9137</v>
      </c>
      <c r="M514" s="42" t="n">
        <v>3562</v>
      </c>
      <c r="N514" s="43" t="n">
        <f aca="false">L514-M514</f>
        <v>5575</v>
      </c>
    </row>
    <row r="515" customFormat="false" ht="15" hidden="false" customHeight="false" outlineLevel="0" collapsed="false">
      <c r="A515" s="40" t="n">
        <v>45901</v>
      </c>
      <c r="B515" s="41" t="n">
        <v>2025</v>
      </c>
      <c r="C515" s="41" t="n">
        <v>9</v>
      </c>
      <c r="D515" s="41" t="s">
        <v>54</v>
      </c>
      <c r="E515" s="41" t="s">
        <v>45</v>
      </c>
      <c r="F515" s="41" t="s">
        <v>36</v>
      </c>
      <c r="G515" s="41" t="s">
        <v>40</v>
      </c>
      <c r="H515" s="42" t="n">
        <v>49</v>
      </c>
      <c r="I515" s="42" t="n">
        <v>78</v>
      </c>
      <c r="J515" s="42" t="n">
        <v>6253</v>
      </c>
      <c r="K515" s="42" t="n">
        <v>689</v>
      </c>
      <c r="L515" s="43" t="n">
        <f aca="false">J515-K515</f>
        <v>5564</v>
      </c>
      <c r="M515" s="42" t="n">
        <v>3110</v>
      </c>
      <c r="N515" s="43" t="n">
        <f aca="false">L515-M515</f>
        <v>2454</v>
      </c>
    </row>
    <row r="516" customFormat="false" ht="15" hidden="false" customHeight="false" outlineLevel="0" collapsed="false">
      <c r="A516" s="40" t="n">
        <v>45901</v>
      </c>
      <c r="B516" s="41" t="n">
        <v>2025</v>
      </c>
      <c r="C516" s="41" t="n">
        <v>9</v>
      </c>
      <c r="D516" s="41" t="s">
        <v>54</v>
      </c>
      <c r="E516" s="41" t="s">
        <v>45</v>
      </c>
      <c r="F516" s="41" t="s">
        <v>36</v>
      </c>
      <c r="G516" s="41" t="s">
        <v>41</v>
      </c>
      <c r="H516" s="42" t="n">
        <v>66</v>
      </c>
      <c r="I516" s="42" t="n">
        <v>78</v>
      </c>
      <c r="J516" s="42" t="n">
        <v>4012</v>
      </c>
      <c r="K516" s="42" t="n">
        <v>138</v>
      </c>
      <c r="L516" s="43" t="n">
        <f aca="false">J516-K516</f>
        <v>3874</v>
      </c>
      <c r="M516" s="42" t="n">
        <v>1853</v>
      </c>
      <c r="N516" s="43" t="n">
        <f aca="false">L516-M516</f>
        <v>2021</v>
      </c>
    </row>
    <row r="517" customFormat="false" ht="15" hidden="false" customHeight="false" outlineLevel="0" collapsed="false">
      <c r="A517" s="40" t="n">
        <v>45901</v>
      </c>
      <c r="B517" s="41" t="n">
        <v>2025</v>
      </c>
      <c r="C517" s="41" t="n">
        <v>9</v>
      </c>
      <c r="D517" s="41" t="s">
        <v>54</v>
      </c>
      <c r="E517" s="41" t="s">
        <v>45</v>
      </c>
      <c r="F517" s="41" t="s">
        <v>42</v>
      </c>
      <c r="G517" s="41" t="s">
        <v>37</v>
      </c>
      <c r="H517" s="42" t="n">
        <v>31</v>
      </c>
      <c r="I517" s="42" t="n">
        <v>41</v>
      </c>
      <c r="J517" s="42" t="n">
        <v>5415</v>
      </c>
      <c r="K517" s="42" t="n">
        <v>285</v>
      </c>
      <c r="L517" s="43" t="n">
        <f aca="false">J517-K517</f>
        <v>5130</v>
      </c>
      <c r="M517" s="42" t="n">
        <v>2855</v>
      </c>
      <c r="N517" s="43" t="n">
        <f aca="false">L517-M517</f>
        <v>2275</v>
      </c>
    </row>
    <row r="518" customFormat="false" ht="15" hidden="false" customHeight="false" outlineLevel="0" collapsed="false">
      <c r="A518" s="40" t="n">
        <v>45901</v>
      </c>
      <c r="B518" s="41" t="n">
        <v>2025</v>
      </c>
      <c r="C518" s="41" t="n">
        <v>9</v>
      </c>
      <c r="D518" s="41" t="s">
        <v>54</v>
      </c>
      <c r="E518" s="41" t="s">
        <v>45</v>
      </c>
      <c r="F518" s="41" t="s">
        <v>42</v>
      </c>
      <c r="G518" s="41" t="s">
        <v>38</v>
      </c>
      <c r="H518" s="42" t="n">
        <v>47</v>
      </c>
      <c r="I518" s="42" t="n">
        <v>59</v>
      </c>
      <c r="J518" s="42" t="n">
        <v>4809</v>
      </c>
      <c r="K518" s="42" t="n">
        <v>384</v>
      </c>
      <c r="L518" s="43" t="n">
        <f aca="false">J518-K518</f>
        <v>4425</v>
      </c>
      <c r="M518" s="42" t="n">
        <v>2119</v>
      </c>
      <c r="N518" s="43" t="n">
        <f aca="false">L518-M518</f>
        <v>2306</v>
      </c>
    </row>
    <row r="519" customFormat="false" ht="15" hidden="false" customHeight="false" outlineLevel="0" collapsed="false">
      <c r="A519" s="40" t="n">
        <v>45901</v>
      </c>
      <c r="B519" s="41" t="n">
        <v>2025</v>
      </c>
      <c r="C519" s="41" t="n">
        <v>9</v>
      </c>
      <c r="D519" s="41" t="s">
        <v>54</v>
      </c>
      <c r="E519" s="41" t="s">
        <v>45</v>
      </c>
      <c r="F519" s="41" t="s">
        <v>42</v>
      </c>
      <c r="G519" s="41" t="s">
        <v>39</v>
      </c>
      <c r="H519" s="42" t="n">
        <v>75</v>
      </c>
      <c r="I519" s="42" t="n">
        <v>98</v>
      </c>
      <c r="J519" s="42" t="n">
        <v>5807</v>
      </c>
      <c r="K519" s="42" t="n">
        <v>738</v>
      </c>
      <c r="L519" s="43" t="n">
        <f aca="false">J519-K519</f>
        <v>5069</v>
      </c>
      <c r="M519" s="42" t="n">
        <v>2123</v>
      </c>
      <c r="N519" s="43" t="n">
        <f aca="false">L519-M519</f>
        <v>2946</v>
      </c>
    </row>
    <row r="520" customFormat="false" ht="15" hidden="false" customHeight="false" outlineLevel="0" collapsed="false">
      <c r="A520" s="40" t="n">
        <v>45901</v>
      </c>
      <c r="B520" s="41" t="n">
        <v>2025</v>
      </c>
      <c r="C520" s="41" t="n">
        <v>9</v>
      </c>
      <c r="D520" s="41" t="s">
        <v>54</v>
      </c>
      <c r="E520" s="41" t="s">
        <v>45</v>
      </c>
      <c r="F520" s="41" t="s">
        <v>42</v>
      </c>
      <c r="G520" s="41" t="s">
        <v>40</v>
      </c>
      <c r="H520" s="42" t="n">
        <v>41</v>
      </c>
      <c r="I520" s="42" t="n">
        <v>63</v>
      </c>
      <c r="J520" s="42" t="n">
        <v>4779</v>
      </c>
      <c r="K520" s="42" t="n">
        <v>874</v>
      </c>
      <c r="L520" s="43" t="n">
        <f aca="false">J520-K520</f>
        <v>3905</v>
      </c>
      <c r="M520" s="42" t="n">
        <v>2221</v>
      </c>
      <c r="N520" s="43" t="n">
        <f aca="false">L520-M520</f>
        <v>1684</v>
      </c>
    </row>
    <row r="521" customFormat="false" ht="15" hidden="false" customHeight="false" outlineLevel="0" collapsed="false">
      <c r="A521" s="40" t="n">
        <v>45901</v>
      </c>
      <c r="B521" s="41" t="n">
        <v>2025</v>
      </c>
      <c r="C521" s="41" t="n">
        <v>9</v>
      </c>
      <c r="D521" s="41" t="s">
        <v>54</v>
      </c>
      <c r="E521" s="41" t="s">
        <v>45</v>
      </c>
      <c r="F521" s="41" t="s">
        <v>42</v>
      </c>
      <c r="G521" s="41" t="s">
        <v>41</v>
      </c>
      <c r="H521" s="42" t="n">
        <v>59</v>
      </c>
      <c r="I521" s="42" t="n">
        <v>88</v>
      </c>
      <c r="J521" s="42" t="n">
        <v>3292</v>
      </c>
      <c r="K521" s="42" t="n">
        <v>147</v>
      </c>
      <c r="L521" s="43" t="n">
        <f aca="false">J521-K521</f>
        <v>3145</v>
      </c>
      <c r="M521" s="42" t="n">
        <v>1573</v>
      </c>
      <c r="N521" s="43" t="n">
        <f aca="false">L521-M521</f>
        <v>1572</v>
      </c>
    </row>
    <row r="522" customFormat="false" ht="15" hidden="false" customHeight="false" outlineLevel="0" collapsed="false">
      <c r="A522" s="40" t="n">
        <v>45901</v>
      </c>
      <c r="B522" s="41" t="n">
        <v>2025</v>
      </c>
      <c r="C522" s="41" t="n">
        <v>9</v>
      </c>
      <c r="D522" s="41" t="s">
        <v>54</v>
      </c>
      <c r="E522" s="41" t="s">
        <v>45</v>
      </c>
      <c r="F522" s="41" t="s">
        <v>43</v>
      </c>
      <c r="G522" s="41" t="s">
        <v>37</v>
      </c>
      <c r="H522" s="42" t="n">
        <v>23</v>
      </c>
      <c r="I522" s="42" t="n">
        <v>34</v>
      </c>
      <c r="J522" s="42" t="n">
        <v>4582</v>
      </c>
      <c r="K522" s="42" t="n">
        <v>150</v>
      </c>
      <c r="L522" s="43" t="n">
        <f aca="false">J522-K522</f>
        <v>4432</v>
      </c>
      <c r="M522" s="42" t="n">
        <v>2296</v>
      </c>
      <c r="N522" s="43" t="n">
        <f aca="false">L522-M522</f>
        <v>2136</v>
      </c>
    </row>
    <row r="523" customFormat="false" ht="15" hidden="false" customHeight="false" outlineLevel="0" collapsed="false">
      <c r="A523" s="40" t="n">
        <v>45901</v>
      </c>
      <c r="B523" s="41" t="n">
        <v>2025</v>
      </c>
      <c r="C523" s="41" t="n">
        <v>9</v>
      </c>
      <c r="D523" s="41" t="s">
        <v>54</v>
      </c>
      <c r="E523" s="41" t="s">
        <v>45</v>
      </c>
      <c r="F523" s="41" t="s">
        <v>43</v>
      </c>
      <c r="G523" s="41" t="s">
        <v>38</v>
      </c>
      <c r="H523" s="42" t="n">
        <v>35</v>
      </c>
      <c r="I523" s="42" t="n">
        <v>40</v>
      </c>
      <c r="J523" s="42" t="n">
        <v>4098</v>
      </c>
      <c r="K523" s="42" t="n">
        <v>159</v>
      </c>
      <c r="L523" s="43" t="n">
        <f aca="false">J523-K523</f>
        <v>3939</v>
      </c>
      <c r="M523" s="42" t="n">
        <v>1782</v>
      </c>
      <c r="N523" s="43" t="n">
        <f aca="false">L523-M523</f>
        <v>2157</v>
      </c>
    </row>
    <row r="524" customFormat="false" ht="15" hidden="false" customHeight="false" outlineLevel="0" collapsed="false">
      <c r="A524" s="40" t="n">
        <v>45901</v>
      </c>
      <c r="B524" s="41" t="n">
        <v>2025</v>
      </c>
      <c r="C524" s="41" t="n">
        <v>9</v>
      </c>
      <c r="D524" s="41" t="s">
        <v>54</v>
      </c>
      <c r="E524" s="41" t="s">
        <v>45</v>
      </c>
      <c r="F524" s="41" t="s">
        <v>43</v>
      </c>
      <c r="G524" s="41" t="s">
        <v>39</v>
      </c>
      <c r="H524" s="42" t="n">
        <v>50</v>
      </c>
      <c r="I524" s="42" t="n">
        <v>79</v>
      </c>
      <c r="J524" s="42" t="n">
        <v>4417</v>
      </c>
      <c r="K524" s="42" t="n">
        <v>318</v>
      </c>
      <c r="L524" s="43" t="n">
        <f aca="false">J524-K524</f>
        <v>4099</v>
      </c>
      <c r="M524" s="42" t="n">
        <v>1591</v>
      </c>
      <c r="N524" s="43" t="n">
        <f aca="false">L524-M524</f>
        <v>2508</v>
      </c>
    </row>
    <row r="525" customFormat="false" ht="15" hidden="false" customHeight="false" outlineLevel="0" collapsed="false">
      <c r="A525" s="40" t="n">
        <v>45901</v>
      </c>
      <c r="B525" s="41" t="n">
        <v>2025</v>
      </c>
      <c r="C525" s="41" t="n">
        <v>9</v>
      </c>
      <c r="D525" s="41" t="s">
        <v>54</v>
      </c>
      <c r="E525" s="41" t="s">
        <v>45</v>
      </c>
      <c r="F525" s="41" t="s">
        <v>43</v>
      </c>
      <c r="G525" s="41" t="s">
        <v>40</v>
      </c>
      <c r="H525" s="42" t="n">
        <v>25</v>
      </c>
      <c r="I525" s="42" t="n">
        <v>39</v>
      </c>
      <c r="J525" s="42" t="n">
        <v>3435</v>
      </c>
      <c r="K525" s="42" t="n">
        <v>301</v>
      </c>
      <c r="L525" s="43" t="n">
        <f aca="false">J525-K525</f>
        <v>3134</v>
      </c>
      <c r="M525" s="42" t="n">
        <v>1711</v>
      </c>
      <c r="N525" s="43" t="n">
        <f aca="false">L525-M525</f>
        <v>1423</v>
      </c>
    </row>
    <row r="526" customFormat="false" ht="15" hidden="false" customHeight="false" outlineLevel="0" collapsed="false">
      <c r="A526" s="40" t="n">
        <v>45901</v>
      </c>
      <c r="B526" s="41" t="n">
        <v>2025</v>
      </c>
      <c r="C526" s="41" t="n">
        <v>9</v>
      </c>
      <c r="D526" s="41" t="s">
        <v>54</v>
      </c>
      <c r="E526" s="41" t="s">
        <v>45</v>
      </c>
      <c r="F526" s="41" t="s">
        <v>43</v>
      </c>
      <c r="G526" s="41" t="s">
        <v>41</v>
      </c>
      <c r="H526" s="42" t="n">
        <v>32</v>
      </c>
      <c r="I526" s="42" t="n">
        <v>43</v>
      </c>
      <c r="J526" s="42" t="n">
        <v>2093</v>
      </c>
      <c r="K526" s="42" t="n">
        <v>48</v>
      </c>
      <c r="L526" s="43" t="n">
        <f aca="false">J526-K526</f>
        <v>2045</v>
      </c>
      <c r="M526" s="42" t="n">
        <v>970</v>
      </c>
      <c r="N526" s="43" t="n">
        <f aca="false">L526-M526</f>
        <v>1075</v>
      </c>
    </row>
    <row r="527" customFormat="false" ht="15" hidden="false" customHeight="false" outlineLevel="0" collapsed="false">
      <c r="A527" s="40" t="n">
        <v>45901</v>
      </c>
      <c r="B527" s="41" t="n">
        <v>2025</v>
      </c>
      <c r="C527" s="41" t="n">
        <v>9</v>
      </c>
      <c r="D527" s="41" t="s">
        <v>54</v>
      </c>
      <c r="E527" s="41" t="s">
        <v>46</v>
      </c>
      <c r="F527" s="41" t="s">
        <v>36</v>
      </c>
      <c r="G527" s="41" t="s">
        <v>37</v>
      </c>
      <c r="H527" s="42" t="n">
        <v>43</v>
      </c>
      <c r="I527" s="42" t="n">
        <v>60</v>
      </c>
      <c r="J527" s="42" t="n">
        <v>8170</v>
      </c>
      <c r="K527" s="42" t="n">
        <v>312</v>
      </c>
      <c r="L527" s="43" t="n">
        <f aca="false">J527-K527</f>
        <v>7858</v>
      </c>
      <c r="M527" s="42" t="n">
        <v>4121</v>
      </c>
      <c r="N527" s="43" t="n">
        <f aca="false">L527-M527</f>
        <v>3737</v>
      </c>
    </row>
    <row r="528" customFormat="false" ht="15" hidden="false" customHeight="false" outlineLevel="0" collapsed="false">
      <c r="A528" s="40" t="n">
        <v>45901</v>
      </c>
      <c r="B528" s="41" t="n">
        <v>2025</v>
      </c>
      <c r="C528" s="41" t="n">
        <v>9</v>
      </c>
      <c r="D528" s="41" t="s">
        <v>54</v>
      </c>
      <c r="E528" s="41" t="s">
        <v>46</v>
      </c>
      <c r="F528" s="41" t="s">
        <v>36</v>
      </c>
      <c r="G528" s="41" t="s">
        <v>38</v>
      </c>
      <c r="H528" s="42" t="n">
        <v>71</v>
      </c>
      <c r="I528" s="42" t="n">
        <v>109</v>
      </c>
      <c r="J528" s="42" t="n">
        <v>7967</v>
      </c>
      <c r="K528" s="42" t="n">
        <v>398</v>
      </c>
      <c r="L528" s="43" t="n">
        <f aca="false">J528-K528</f>
        <v>7569</v>
      </c>
      <c r="M528" s="42" t="n">
        <v>3395</v>
      </c>
      <c r="N528" s="43" t="n">
        <f aca="false">L528-M528</f>
        <v>4174</v>
      </c>
    </row>
    <row r="529" customFormat="false" ht="15" hidden="false" customHeight="false" outlineLevel="0" collapsed="false">
      <c r="A529" s="40" t="n">
        <v>45901</v>
      </c>
      <c r="B529" s="41" t="n">
        <v>2025</v>
      </c>
      <c r="C529" s="41" t="n">
        <v>9</v>
      </c>
      <c r="D529" s="41" t="s">
        <v>54</v>
      </c>
      <c r="E529" s="41" t="s">
        <v>46</v>
      </c>
      <c r="F529" s="41" t="s">
        <v>36</v>
      </c>
      <c r="G529" s="41" t="s">
        <v>39</v>
      </c>
      <c r="H529" s="42" t="n">
        <v>95</v>
      </c>
      <c r="I529" s="42" t="n">
        <v>122</v>
      </c>
      <c r="J529" s="42" t="n">
        <v>8003</v>
      </c>
      <c r="K529" s="42" t="n">
        <v>687</v>
      </c>
      <c r="L529" s="43" t="n">
        <f aca="false">J529-K529</f>
        <v>7316</v>
      </c>
      <c r="M529" s="42" t="n">
        <v>2866</v>
      </c>
      <c r="N529" s="43" t="n">
        <f aca="false">L529-M529</f>
        <v>4450</v>
      </c>
    </row>
    <row r="530" customFormat="false" ht="15" hidden="false" customHeight="false" outlineLevel="0" collapsed="false">
      <c r="A530" s="40" t="n">
        <v>45901</v>
      </c>
      <c r="B530" s="41" t="n">
        <v>2025</v>
      </c>
      <c r="C530" s="41" t="n">
        <v>9</v>
      </c>
      <c r="D530" s="41" t="s">
        <v>54</v>
      </c>
      <c r="E530" s="41" t="s">
        <v>46</v>
      </c>
      <c r="F530" s="41" t="s">
        <v>36</v>
      </c>
      <c r="G530" s="41" t="s">
        <v>40</v>
      </c>
      <c r="H530" s="42" t="n">
        <v>51</v>
      </c>
      <c r="I530" s="42" t="n">
        <v>61</v>
      </c>
      <c r="J530" s="42" t="n">
        <v>6466</v>
      </c>
      <c r="K530" s="42" t="n">
        <v>906</v>
      </c>
      <c r="L530" s="43" t="n">
        <f aca="false">J530-K530</f>
        <v>5560</v>
      </c>
      <c r="M530" s="42" t="n">
        <v>3025</v>
      </c>
      <c r="N530" s="43" t="n">
        <f aca="false">L530-M530</f>
        <v>2535</v>
      </c>
    </row>
    <row r="531" customFormat="false" ht="15" hidden="false" customHeight="false" outlineLevel="0" collapsed="false">
      <c r="A531" s="40" t="n">
        <v>45901</v>
      </c>
      <c r="B531" s="41" t="n">
        <v>2025</v>
      </c>
      <c r="C531" s="41" t="n">
        <v>9</v>
      </c>
      <c r="D531" s="41" t="s">
        <v>54</v>
      </c>
      <c r="E531" s="41" t="s">
        <v>46</v>
      </c>
      <c r="F531" s="41" t="s">
        <v>36</v>
      </c>
      <c r="G531" s="41" t="s">
        <v>41</v>
      </c>
      <c r="H531" s="42" t="n">
        <v>76</v>
      </c>
      <c r="I531" s="42" t="n">
        <v>116</v>
      </c>
      <c r="J531" s="42" t="n">
        <v>4619</v>
      </c>
      <c r="K531" s="42" t="n">
        <v>164</v>
      </c>
      <c r="L531" s="43" t="n">
        <f aca="false">J531-K531</f>
        <v>4455</v>
      </c>
      <c r="M531" s="42" t="n">
        <v>2101</v>
      </c>
      <c r="N531" s="43" t="n">
        <f aca="false">L531-M531</f>
        <v>2354</v>
      </c>
    </row>
    <row r="532" customFormat="false" ht="15" hidden="false" customHeight="false" outlineLevel="0" collapsed="false">
      <c r="A532" s="40" t="n">
        <v>45901</v>
      </c>
      <c r="B532" s="41" t="n">
        <v>2025</v>
      </c>
      <c r="C532" s="41" t="n">
        <v>9</v>
      </c>
      <c r="D532" s="41" t="s">
        <v>54</v>
      </c>
      <c r="E532" s="41" t="s">
        <v>46</v>
      </c>
      <c r="F532" s="41" t="s">
        <v>42</v>
      </c>
      <c r="G532" s="41" t="s">
        <v>37</v>
      </c>
      <c r="H532" s="42" t="n">
        <v>33</v>
      </c>
      <c r="I532" s="42" t="n">
        <v>51</v>
      </c>
      <c r="J532" s="42" t="n">
        <v>5742</v>
      </c>
      <c r="K532" s="42" t="n">
        <v>249</v>
      </c>
      <c r="L532" s="43" t="n">
        <f aca="false">J532-K532</f>
        <v>5493</v>
      </c>
      <c r="M532" s="42" t="n">
        <v>2933</v>
      </c>
      <c r="N532" s="43" t="n">
        <f aca="false">L532-M532</f>
        <v>2560</v>
      </c>
    </row>
    <row r="533" customFormat="false" ht="15" hidden="false" customHeight="false" outlineLevel="0" collapsed="false">
      <c r="A533" s="40" t="n">
        <v>45901</v>
      </c>
      <c r="B533" s="41" t="n">
        <v>2025</v>
      </c>
      <c r="C533" s="41" t="n">
        <v>9</v>
      </c>
      <c r="D533" s="41" t="s">
        <v>54</v>
      </c>
      <c r="E533" s="41" t="s">
        <v>46</v>
      </c>
      <c r="F533" s="41" t="s">
        <v>42</v>
      </c>
      <c r="G533" s="41" t="s">
        <v>38</v>
      </c>
      <c r="H533" s="42" t="n">
        <v>51</v>
      </c>
      <c r="I533" s="42" t="n">
        <v>70</v>
      </c>
      <c r="J533" s="42" t="n">
        <v>5223</v>
      </c>
      <c r="K533" s="42" t="n">
        <v>412</v>
      </c>
      <c r="L533" s="43" t="n">
        <f aca="false">J533-K533</f>
        <v>4811</v>
      </c>
      <c r="M533" s="42" t="n">
        <v>2308</v>
      </c>
      <c r="N533" s="43" t="n">
        <f aca="false">L533-M533</f>
        <v>2503</v>
      </c>
    </row>
    <row r="534" customFormat="false" ht="15" hidden="false" customHeight="false" outlineLevel="0" collapsed="false">
      <c r="A534" s="40" t="n">
        <v>45901</v>
      </c>
      <c r="B534" s="41" t="n">
        <v>2025</v>
      </c>
      <c r="C534" s="41" t="n">
        <v>9</v>
      </c>
      <c r="D534" s="41" t="s">
        <v>54</v>
      </c>
      <c r="E534" s="41" t="s">
        <v>46</v>
      </c>
      <c r="F534" s="41" t="s">
        <v>42</v>
      </c>
      <c r="G534" s="41" t="s">
        <v>39</v>
      </c>
      <c r="H534" s="42" t="n">
        <v>80</v>
      </c>
      <c r="I534" s="42" t="n">
        <v>128</v>
      </c>
      <c r="J534" s="42" t="n">
        <v>6173</v>
      </c>
      <c r="K534" s="42" t="n">
        <v>839</v>
      </c>
      <c r="L534" s="43" t="n">
        <f aca="false">J534-K534</f>
        <v>5334</v>
      </c>
      <c r="M534" s="42" t="n">
        <v>2213</v>
      </c>
      <c r="N534" s="43" t="n">
        <f aca="false">L534-M534</f>
        <v>3121</v>
      </c>
    </row>
    <row r="535" customFormat="false" ht="15" hidden="false" customHeight="false" outlineLevel="0" collapsed="false">
      <c r="A535" s="40" t="n">
        <v>45901</v>
      </c>
      <c r="B535" s="41" t="n">
        <v>2025</v>
      </c>
      <c r="C535" s="41" t="n">
        <v>9</v>
      </c>
      <c r="D535" s="41" t="s">
        <v>54</v>
      </c>
      <c r="E535" s="41" t="s">
        <v>46</v>
      </c>
      <c r="F535" s="41" t="s">
        <v>42</v>
      </c>
      <c r="G535" s="41" t="s">
        <v>40</v>
      </c>
      <c r="H535" s="42" t="n">
        <v>39</v>
      </c>
      <c r="I535" s="42" t="n">
        <v>52</v>
      </c>
      <c r="J535" s="42" t="n">
        <v>4625</v>
      </c>
      <c r="K535" s="42" t="n">
        <v>707</v>
      </c>
      <c r="L535" s="43" t="n">
        <f aca="false">J535-K535</f>
        <v>3918</v>
      </c>
      <c r="M535" s="42" t="n">
        <v>2238</v>
      </c>
      <c r="N535" s="43" t="n">
        <f aca="false">L535-M535</f>
        <v>1680</v>
      </c>
    </row>
    <row r="536" customFormat="false" ht="15" hidden="false" customHeight="false" outlineLevel="0" collapsed="false">
      <c r="A536" s="40" t="n">
        <v>45901</v>
      </c>
      <c r="B536" s="41" t="n">
        <v>2025</v>
      </c>
      <c r="C536" s="41" t="n">
        <v>9</v>
      </c>
      <c r="D536" s="41" t="s">
        <v>54</v>
      </c>
      <c r="E536" s="41" t="s">
        <v>46</v>
      </c>
      <c r="F536" s="41" t="s">
        <v>42</v>
      </c>
      <c r="G536" s="41" t="s">
        <v>41</v>
      </c>
      <c r="H536" s="42" t="n">
        <v>50</v>
      </c>
      <c r="I536" s="42" t="n">
        <v>79</v>
      </c>
      <c r="J536" s="42" t="n">
        <v>2809</v>
      </c>
      <c r="K536" s="42" t="n">
        <v>122</v>
      </c>
      <c r="L536" s="43" t="n">
        <f aca="false">J536-K536</f>
        <v>2687</v>
      </c>
      <c r="M536" s="42" t="n">
        <v>1348</v>
      </c>
      <c r="N536" s="43" t="n">
        <f aca="false">L536-M536</f>
        <v>1339</v>
      </c>
    </row>
    <row r="537" customFormat="false" ht="15" hidden="false" customHeight="false" outlineLevel="0" collapsed="false">
      <c r="A537" s="40" t="n">
        <v>45901</v>
      </c>
      <c r="B537" s="41" t="n">
        <v>2025</v>
      </c>
      <c r="C537" s="41" t="n">
        <v>9</v>
      </c>
      <c r="D537" s="41" t="s">
        <v>54</v>
      </c>
      <c r="E537" s="41" t="s">
        <v>46</v>
      </c>
      <c r="F537" s="41" t="s">
        <v>43</v>
      </c>
      <c r="G537" s="41" t="s">
        <v>37</v>
      </c>
      <c r="H537" s="42" t="n">
        <v>18</v>
      </c>
      <c r="I537" s="42" t="n">
        <v>24</v>
      </c>
      <c r="J537" s="42" t="n">
        <v>3578</v>
      </c>
      <c r="K537" s="42" t="n">
        <v>96</v>
      </c>
      <c r="L537" s="43" t="n">
        <f aca="false">J537-K537</f>
        <v>3482</v>
      </c>
      <c r="M537" s="42" t="n">
        <v>1852</v>
      </c>
      <c r="N537" s="43" t="n">
        <f aca="false">L537-M537</f>
        <v>1630</v>
      </c>
    </row>
    <row r="538" customFormat="false" ht="15" hidden="false" customHeight="false" outlineLevel="0" collapsed="false">
      <c r="A538" s="40" t="n">
        <v>45901</v>
      </c>
      <c r="B538" s="41" t="n">
        <v>2025</v>
      </c>
      <c r="C538" s="41" t="n">
        <v>9</v>
      </c>
      <c r="D538" s="41" t="s">
        <v>54</v>
      </c>
      <c r="E538" s="41" t="s">
        <v>46</v>
      </c>
      <c r="F538" s="41" t="s">
        <v>43</v>
      </c>
      <c r="G538" s="41" t="s">
        <v>38</v>
      </c>
      <c r="H538" s="42" t="n">
        <v>30</v>
      </c>
      <c r="I538" s="42" t="n">
        <v>46</v>
      </c>
      <c r="J538" s="42" t="n">
        <v>3600</v>
      </c>
      <c r="K538" s="42" t="n">
        <v>149</v>
      </c>
      <c r="L538" s="43" t="n">
        <f aca="false">J538-K538</f>
        <v>3451</v>
      </c>
      <c r="M538" s="42" t="n">
        <v>1552</v>
      </c>
      <c r="N538" s="43" t="n">
        <f aca="false">L538-M538</f>
        <v>1899</v>
      </c>
    </row>
    <row r="539" customFormat="false" ht="15" hidden="false" customHeight="false" outlineLevel="0" collapsed="false">
      <c r="A539" s="40" t="n">
        <v>45901</v>
      </c>
      <c r="B539" s="41" t="n">
        <v>2025</v>
      </c>
      <c r="C539" s="41" t="n">
        <v>9</v>
      </c>
      <c r="D539" s="41" t="s">
        <v>54</v>
      </c>
      <c r="E539" s="41" t="s">
        <v>46</v>
      </c>
      <c r="F539" s="41" t="s">
        <v>43</v>
      </c>
      <c r="G539" s="41" t="s">
        <v>39</v>
      </c>
      <c r="H539" s="42" t="n">
        <v>46</v>
      </c>
      <c r="I539" s="42" t="n">
        <v>66</v>
      </c>
      <c r="J539" s="42" t="n">
        <v>4128</v>
      </c>
      <c r="K539" s="42" t="n">
        <v>346</v>
      </c>
      <c r="L539" s="43" t="n">
        <f aca="false">J539-K539</f>
        <v>3782</v>
      </c>
      <c r="M539" s="42" t="n">
        <v>1461</v>
      </c>
      <c r="N539" s="43" t="n">
        <f aca="false">L539-M539</f>
        <v>2321</v>
      </c>
    </row>
    <row r="540" customFormat="false" ht="15" hidden="false" customHeight="false" outlineLevel="0" collapsed="false">
      <c r="A540" s="40" t="n">
        <v>45901</v>
      </c>
      <c r="B540" s="41" t="n">
        <v>2025</v>
      </c>
      <c r="C540" s="41" t="n">
        <v>9</v>
      </c>
      <c r="D540" s="41" t="s">
        <v>54</v>
      </c>
      <c r="E540" s="41" t="s">
        <v>46</v>
      </c>
      <c r="F540" s="41" t="s">
        <v>43</v>
      </c>
      <c r="G540" s="41" t="s">
        <v>40</v>
      </c>
      <c r="H540" s="42" t="n">
        <v>22</v>
      </c>
      <c r="I540" s="42" t="n">
        <v>33</v>
      </c>
      <c r="J540" s="42" t="n">
        <v>3049</v>
      </c>
      <c r="K540" s="42" t="n">
        <v>222</v>
      </c>
      <c r="L540" s="43" t="n">
        <f aca="false">J540-K540</f>
        <v>2827</v>
      </c>
      <c r="M540" s="42" t="n">
        <v>1537</v>
      </c>
      <c r="N540" s="43" t="n">
        <f aca="false">L540-M540</f>
        <v>1290</v>
      </c>
    </row>
    <row r="541" customFormat="false" ht="15" hidden="false" customHeight="false" outlineLevel="0" collapsed="false">
      <c r="A541" s="40" t="n">
        <v>45901</v>
      </c>
      <c r="B541" s="41" t="n">
        <v>2025</v>
      </c>
      <c r="C541" s="41" t="n">
        <v>9</v>
      </c>
      <c r="D541" s="41" t="s">
        <v>54</v>
      </c>
      <c r="E541" s="41" t="s">
        <v>46</v>
      </c>
      <c r="F541" s="41" t="s">
        <v>43</v>
      </c>
      <c r="G541" s="41" t="s">
        <v>41</v>
      </c>
      <c r="H541" s="42" t="n">
        <v>35</v>
      </c>
      <c r="I541" s="42" t="n">
        <v>53</v>
      </c>
      <c r="J541" s="42" t="n">
        <v>2285</v>
      </c>
      <c r="K541" s="42" t="n">
        <v>48</v>
      </c>
      <c r="L541" s="43" t="n">
        <f aca="false">J541-K541</f>
        <v>2237</v>
      </c>
      <c r="M541" s="42" t="n">
        <v>1049</v>
      </c>
      <c r="N541" s="43" t="n">
        <f aca="false">L541-M541</f>
        <v>1188</v>
      </c>
    </row>
    <row r="542" customFormat="false" ht="15" hidden="false" customHeight="false" outlineLevel="0" collapsed="false">
      <c r="A542" s="40" t="n">
        <v>45931</v>
      </c>
      <c r="B542" s="41" t="n">
        <v>2025</v>
      </c>
      <c r="C542" s="41" t="n">
        <v>10</v>
      </c>
      <c r="D542" s="41" t="s">
        <v>55</v>
      </c>
      <c r="E542" s="41" t="s">
        <v>35</v>
      </c>
      <c r="F542" s="41" t="s">
        <v>36</v>
      </c>
      <c r="G542" s="41" t="s">
        <v>37</v>
      </c>
      <c r="H542" s="42" t="n">
        <v>78</v>
      </c>
      <c r="I542" s="42" t="n">
        <v>114</v>
      </c>
      <c r="J542" s="42" t="n">
        <v>14697</v>
      </c>
      <c r="K542" s="42" t="n">
        <v>663</v>
      </c>
      <c r="L542" s="43" t="n">
        <f aca="false">J542-K542</f>
        <v>14034</v>
      </c>
      <c r="M542" s="42" t="n">
        <v>7657</v>
      </c>
      <c r="N542" s="43" t="n">
        <f aca="false">L542-M542</f>
        <v>6377</v>
      </c>
    </row>
    <row r="543" customFormat="false" ht="15" hidden="false" customHeight="false" outlineLevel="0" collapsed="false">
      <c r="A543" s="40" t="n">
        <v>45931</v>
      </c>
      <c r="B543" s="41" t="n">
        <v>2025</v>
      </c>
      <c r="C543" s="41" t="n">
        <v>10</v>
      </c>
      <c r="D543" s="41" t="s">
        <v>55</v>
      </c>
      <c r="E543" s="41" t="s">
        <v>35</v>
      </c>
      <c r="F543" s="41" t="s">
        <v>36</v>
      </c>
      <c r="G543" s="41" t="s">
        <v>38</v>
      </c>
      <c r="H543" s="42" t="n">
        <v>115</v>
      </c>
      <c r="I543" s="42" t="n">
        <v>154</v>
      </c>
      <c r="J543" s="42" t="n">
        <v>12839</v>
      </c>
      <c r="K543" s="42" t="n">
        <v>554</v>
      </c>
      <c r="L543" s="43" t="n">
        <f aca="false">J543-K543</f>
        <v>12285</v>
      </c>
      <c r="M543" s="42" t="n">
        <v>5459</v>
      </c>
      <c r="N543" s="43" t="n">
        <f aca="false">L543-M543</f>
        <v>6826</v>
      </c>
    </row>
    <row r="544" customFormat="false" ht="15" hidden="false" customHeight="false" outlineLevel="0" collapsed="false">
      <c r="A544" s="40" t="n">
        <v>45931</v>
      </c>
      <c r="B544" s="41" t="n">
        <v>2025</v>
      </c>
      <c r="C544" s="41" t="n">
        <v>10</v>
      </c>
      <c r="D544" s="41" t="s">
        <v>55</v>
      </c>
      <c r="E544" s="41" t="s">
        <v>35</v>
      </c>
      <c r="F544" s="41" t="s">
        <v>36</v>
      </c>
      <c r="G544" s="41" t="s">
        <v>39</v>
      </c>
      <c r="H544" s="42" t="n">
        <v>165</v>
      </c>
      <c r="I544" s="42" t="n">
        <v>227</v>
      </c>
      <c r="J544" s="42" t="n">
        <v>13831</v>
      </c>
      <c r="K544" s="42" t="n">
        <v>1211</v>
      </c>
      <c r="L544" s="43" t="n">
        <f aca="false">J544-K544</f>
        <v>12620</v>
      </c>
      <c r="M544" s="42" t="n">
        <v>4828</v>
      </c>
      <c r="N544" s="43" t="n">
        <f aca="false">L544-M544</f>
        <v>7792</v>
      </c>
    </row>
    <row r="545" customFormat="false" ht="15" hidden="false" customHeight="false" outlineLevel="0" collapsed="false">
      <c r="A545" s="40" t="n">
        <v>45931</v>
      </c>
      <c r="B545" s="41" t="n">
        <v>2025</v>
      </c>
      <c r="C545" s="41" t="n">
        <v>10</v>
      </c>
      <c r="D545" s="41" t="s">
        <v>55</v>
      </c>
      <c r="E545" s="41" t="s">
        <v>35</v>
      </c>
      <c r="F545" s="41" t="s">
        <v>36</v>
      </c>
      <c r="G545" s="41" t="s">
        <v>40</v>
      </c>
      <c r="H545" s="42" t="n">
        <v>80</v>
      </c>
      <c r="I545" s="42" t="n">
        <v>114</v>
      </c>
      <c r="J545" s="42" t="n">
        <v>10288</v>
      </c>
      <c r="K545" s="42" t="n">
        <v>1162</v>
      </c>
      <c r="L545" s="43" t="n">
        <f aca="false">J545-K545</f>
        <v>9126</v>
      </c>
      <c r="M545" s="42" t="n">
        <v>5168</v>
      </c>
      <c r="N545" s="43" t="n">
        <f aca="false">L545-M545</f>
        <v>3958</v>
      </c>
    </row>
    <row r="546" customFormat="false" ht="15" hidden="false" customHeight="false" outlineLevel="0" collapsed="false">
      <c r="A546" s="40" t="n">
        <v>45931</v>
      </c>
      <c r="B546" s="41" t="n">
        <v>2025</v>
      </c>
      <c r="C546" s="41" t="n">
        <v>10</v>
      </c>
      <c r="D546" s="41" t="s">
        <v>55</v>
      </c>
      <c r="E546" s="41" t="s">
        <v>35</v>
      </c>
      <c r="F546" s="41" t="s">
        <v>36</v>
      </c>
      <c r="G546" s="41" t="s">
        <v>41</v>
      </c>
      <c r="H546" s="42" t="n">
        <v>113</v>
      </c>
      <c r="I546" s="42" t="n">
        <v>132</v>
      </c>
      <c r="J546" s="42" t="n">
        <v>6871</v>
      </c>
      <c r="K546" s="42" t="n">
        <v>199</v>
      </c>
      <c r="L546" s="43" t="n">
        <f aca="false">J546-K546</f>
        <v>6672</v>
      </c>
      <c r="M546" s="42" t="n">
        <v>3258</v>
      </c>
      <c r="N546" s="43" t="n">
        <f aca="false">L546-M546</f>
        <v>3414</v>
      </c>
    </row>
    <row r="547" customFormat="false" ht="15" hidden="false" customHeight="false" outlineLevel="0" collapsed="false">
      <c r="A547" s="40" t="n">
        <v>45931</v>
      </c>
      <c r="B547" s="41" t="n">
        <v>2025</v>
      </c>
      <c r="C547" s="41" t="n">
        <v>10</v>
      </c>
      <c r="D547" s="41" t="s">
        <v>55</v>
      </c>
      <c r="E547" s="41" t="s">
        <v>35</v>
      </c>
      <c r="F547" s="41" t="s">
        <v>42</v>
      </c>
      <c r="G547" s="41" t="s">
        <v>37</v>
      </c>
      <c r="H547" s="42" t="n">
        <v>50</v>
      </c>
      <c r="I547" s="42" t="n">
        <v>73</v>
      </c>
      <c r="J547" s="42" t="n">
        <v>8709</v>
      </c>
      <c r="K547" s="42" t="n">
        <v>377</v>
      </c>
      <c r="L547" s="43" t="n">
        <f aca="false">J547-K547</f>
        <v>8332</v>
      </c>
      <c r="M547" s="42" t="n">
        <v>4519</v>
      </c>
      <c r="N547" s="43" t="n">
        <f aca="false">L547-M547</f>
        <v>3813</v>
      </c>
    </row>
    <row r="548" customFormat="false" ht="15" hidden="false" customHeight="false" outlineLevel="0" collapsed="false">
      <c r="A548" s="40" t="n">
        <v>45931</v>
      </c>
      <c r="B548" s="41" t="n">
        <v>2025</v>
      </c>
      <c r="C548" s="41" t="n">
        <v>10</v>
      </c>
      <c r="D548" s="41" t="s">
        <v>55</v>
      </c>
      <c r="E548" s="41" t="s">
        <v>35</v>
      </c>
      <c r="F548" s="41" t="s">
        <v>42</v>
      </c>
      <c r="G548" s="41" t="s">
        <v>38</v>
      </c>
      <c r="H548" s="42" t="n">
        <v>86</v>
      </c>
      <c r="I548" s="42" t="n">
        <v>122</v>
      </c>
      <c r="J548" s="42" t="n">
        <v>8828</v>
      </c>
      <c r="K548" s="42" t="n">
        <v>636</v>
      </c>
      <c r="L548" s="43" t="n">
        <f aca="false">J548-K548</f>
        <v>8192</v>
      </c>
      <c r="M548" s="42" t="n">
        <v>3796</v>
      </c>
      <c r="N548" s="43" t="n">
        <f aca="false">L548-M548</f>
        <v>4396</v>
      </c>
    </row>
    <row r="549" customFormat="false" ht="15" hidden="false" customHeight="false" outlineLevel="0" collapsed="false">
      <c r="A549" s="40" t="n">
        <v>45931</v>
      </c>
      <c r="B549" s="41" t="n">
        <v>2025</v>
      </c>
      <c r="C549" s="41" t="n">
        <v>10</v>
      </c>
      <c r="D549" s="41" t="s">
        <v>55</v>
      </c>
      <c r="E549" s="41" t="s">
        <v>35</v>
      </c>
      <c r="F549" s="41" t="s">
        <v>42</v>
      </c>
      <c r="G549" s="41" t="s">
        <v>39</v>
      </c>
      <c r="H549" s="42" t="n">
        <v>124</v>
      </c>
      <c r="I549" s="42" t="n">
        <v>173</v>
      </c>
      <c r="J549" s="42" t="n">
        <v>9585</v>
      </c>
      <c r="K549" s="42" t="n">
        <v>1173</v>
      </c>
      <c r="L549" s="43" t="n">
        <f aca="false">J549-K549</f>
        <v>8412</v>
      </c>
      <c r="M549" s="42" t="n">
        <v>3517</v>
      </c>
      <c r="N549" s="43" t="n">
        <f aca="false">L549-M549</f>
        <v>4895</v>
      </c>
    </row>
    <row r="550" customFormat="false" ht="15" hidden="false" customHeight="false" outlineLevel="0" collapsed="false">
      <c r="A550" s="40" t="n">
        <v>45931</v>
      </c>
      <c r="B550" s="41" t="n">
        <v>2025</v>
      </c>
      <c r="C550" s="41" t="n">
        <v>10</v>
      </c>
      <c r="D550" s="41" t="s">
        <v>55</v>
      </c>
      <c r="E550" s="41" t="s">
        <v>35</v>
      </c>
      <c r="F550" s="41" t="s">
        <v>42</v>
      </c>
      <c r="G550" s="41" t="s">
        <v>40</v>
      </c>
      <c r="H550" s="42" t="n">
        <v>59</v>
      </c>
      <c r="I550" s="42" t="n">
        <v>94</v>
      </c>
      <c r="J550" s="42" t="n">
        <v>6966</v>
      </c>
      <c r="K550" s="42" t="n">
        <v>1162</v>
      </c>
      <c r="L550" s="43" t="n">
        <f aca="false">J550-K550</f>
        <v>5804</v>
      </c>
      <c r="M550" s="42" t="n">
        <v>3279</v>
      </c>
      <c r="N550" s="43" t="n">
        <f aca="false">L550-M550</f>
        <v>2525</v>
      </c>
    </row>
    <row r="551" customFormat="false" ht="15" hidden="false" customHeight="false" outlineLevel="0" collapsed="false">
      <c r="A551" s="40" t="n">
        <v>45931</v>
      </c>
      <c r="B551" s="41" t="n">
        <v>2025</v>
      </c>
      <c r="C551" s="41" t="n">
        <v>10</v>
      </c>
      <c r="D551" s="41" t="s">
        <v>55</v>
      </c>
      <c r="E551" s="41" t="s">
        <v>35</v>
      </c>
      <c r="F551" s="41" t="s">
        <v>42</v>
      </c>
      <c r="G551" s="41" t="s">
        <v>41</v>
      </c>
      <c r="H551" s="42" t="n">
        <v>73</v>
      </c>
      <c r="I551" s="42" t="n">
        <v>89</v>
      </c>
      <c r="J551" s="42" t="n">
        <v>4116</v>
      </c>
      <c r="K551" s="42" t="n">
        <v>184</v>
      </c>
      <c r="L551" s="43" t="n">
        <f aca="false">J551-K551</f>
        <v>3932</v>
      </c>
      <c r="M551" s="42" t="n">
        <v>1923</v>
      </c>
      <c r="N551" s="43" t="n">
        <f aca="false">L551-M551</f>
        <v>2009</v>
      </c>
    </row>
    <row r="552" customFormat="false" ht="15" hidden="false" customHeight="false" outlineLevel="0" collapsed="false">
      <c r="A552" s="40" t="n">
        <v>45931</v>
      </c>
      <c r="B552" s="41" t="n">
        <v>2025</v>
      </c>
      <c r="C552" s="41" t="n">
        <v>10</v>
      </c>
      <c r="D552" s="41" t="s">
        <v>55</v>
      </c>
      <c r="E552" s="41" t="s">
        <v>35</v>
      </c>
      <c r="F552" s="41" t="s">
        <v>43</v>
      </c>
      <c r="G552" s="41" t="s">
        <v>37</v>
      </c>
      <c r="H552" s="42" t="n">
        <v>28</v>
      </c>
      <c r="I552" s="42" t="n">
        <v>34</v>
      </c>
      <c r="J552" s="42" t="n">
        <v>5621</v>
      </c>
      <c r="K552" s="42" t="n">
        <v>159</v>
      </c>
      <c r="L552" s="43" t="n">
        <f aca="false">J552-K552</f>
        <v>5462</v>
      </c>
      <c r="M552" s="42" t="n">
        <v>2951</v>
      </c>
      <c r="N552" s="43" t="n">
        <f aca="false">L552-M552</f>
        <v>2511</v>
      </c>
    </row>
    <row r="553" customFormat="false" ht="15" hidden="false" customHeight="false" outlineLevel="0" collapsed="false">
      <c r="A553" s="40" t="n">
        <v>45931</v>
      </c>
      <c r="B553" s="41" t="n">
        <v>2025</v>
      </c>
      <c r="C553" s="41" t="n">
        <v>10</v>
      </c>
      <c r="D553" s="41" t="s">
        <v>55</v>
      </c>
      <c r="E553" s="41" t="s">
        <v>35</v>
      </c>
      <c r="F553" s="41" t="s">
        <v>43</v>
      </c>
      <c r="G553" s="41" t="s">
        <v>38</v>
      </c>
      <c r="H553" s="42" t="n">
        <v>48</v>
      </c>
      <c r="I553" s="42" t="n">
        <v>73</v>
      </c>
      <c r="J553" s="42" t="n">
        <v>5714</v>
      </c>
      <c r="K553" s="42" t="n">
        <v>165</v>
      </c>
      <c r="L553" s="43" t="n">
        <f aca="false">J553-K553</f>
        <v>5549</v>
      </c>
      <c r="M553" s="42" t="n">
        <v>2424</v>
      </c>
      <c r="N553" s="43" t="n">
        <f aca="false">L553-M553</f>
        <v>3125</v>
      </c>
    </row>
    <row r="554" customFormat="false" ht="15" hidden="false" customHeight="false" outlineLevel="0" collapsed="false">
      <c r="A554" s="40" t="n">
        <v>45931</v>
      </c>
      <c r="B554" s="41" t="n">
        <v>2025</v>
      </c>
      <c r="C554" s="41" t="n">
        <v>10</v>
      </c>
      <c r="D554" s="41" t="s">
        <v>55</v>
      </c>
      <c r="E554" s="41" t="s">
        <v>35</v>
      </c>
      <c r="F554" s="41" t="s">
        <v>43</v>
      </c>
      <c r="G554" s="41" t="s">
        <v>39</v>
      </c>
      <c r="H554" s="42" t="n">
        <v>80</v>
      </c>
      <c r="I554" s="42" t="n">
        <v>104</v>
      </c>
      <c r="J554" s="42" t="n">
        <v>7093</v>
      </c>
      <c r="K554" s="42" t="n">
        <v>539</v>
      </c>
      <c r="L554" s="43" t="n">
        <f aca="false">J554-K554</f>
        <v>6554</v>
      </c>
      <c r="M554" s="42" t="n">
        <v>2534</v>
      </c>
      <c r="N554" s="43" t="n">
        <f aca="false">L554-M554</f>
        <v>4020</v>
      </c>
    </row>
    <row r="555" customFormat="false" ht="15" hidden="false" customHeight="false" outlineLevel="0" collapsed="false">
      <c r="A555" s="40" t="n">
        <v>45931</v>
      </c>
      <c r="B555" s="41" t="n">
        <v>2025</v>
      </c>
      <c r="C555" s="41" t="n">
        <v>10</v>
      </c>
      <c r="D555" s="41" t="s">
        <v>55</v>
      </c>
      <c r="E555" s="41" t="s">
        <v>35</v>
      </c>
      <c r="F555" s="41" t="s">
        <v>43</v>
      </c>
      <c r="G555" s="41" t="s">
        <v>40</v>
      </c>
      <c r="H555" s="42" t="n">
        <v>32</v>
      </c>
      <c r="I555" s="42" t="n">
        <v>41</v>
      </c>
      <c r="J555" s="42" t="n">
        <v>4308</v>
      </c>
      <c r="K555" s="42" t="n">
        <v>304</v>
      </c>
      <c r="L555" s="43" t="n">
        <f aca="false">J555-K555</f>
        <v>4004</v>
      </c>
      <c r="M555" s="42" t="n">
        <v>2256</v>
      </c>
      <c r="N555" s="43" t="n">
        <f aca="false">L555-M555</f>
        <v>1748</v>
      </c>
    </row>
    <row r="556" customFormat="false" ht="15" hidden="false" customHeight="false" outlineLevel="0" collapsed="false">
      <c r="A556" s="40" t="n">
        <v>45931</v>
      </c>
      <c r="B556" s="41" t="n">
        <v>2025</v>
      </c>
      <c r="C556" s="41" t="n">
        <v>10</v>
      </c>
      <c r="D556" s="41" t="s">
        <v>55</v>
      </c>
      <c r="E556" s="41" t="s">
        <v>35</v>
      </c>
      <c r="F556" s="41" t="s">
        <v>43</v>
      </c>
      <c r="G556" s="41" t="s">
        <v>41</v>
      </c>
      <c r="H556" s="42" t="n">
        <v>50</v>
      </c>
      <c r="I556" s="42" t="n">
        <v>65</v>
      </c>
      <c r="J556" s="42" t="n">
        <v>3238</v>
      </c>
      <c r="K556" s="42" t="n">
        <v>67</v>
      </c>
      <c r="L556" s="43" t="n">
        <f aca="false">J556-K556</f>
        <v>3171</v>
      </c>
      <c r="M556" s="42" t="n">
        <v>1512</v>
      </c>
      <c r="N556" s="43" t="n">
        <f aca="false">L556-M556</f>
        <v>1659</v>
      </c>
    </row>
    <row r="557" customFormat="false" ht="15" hidden="false" customHeight="false" outlineLevel="0" collapsed="false">
      <c r="A557" s="40" t="n">
        <v>45931</v>
      </c>
      <c r="B557" s="41" t="n">
        <v>2025</v>
      </c>
      <c r="C557" s="41" t="n">
        <v>10</v>
      </c>
      <c r="D557" s="41" t="s">
        <v>55</v>
      </c>
      <c r="E557" s="41" t="s">
        <v>44</v>
      </c>
      <c r="F557" s="41" t="s">
        <v>36</v>
      </c>
      <c r="G557" s="41" t="s">
        <v>37</v>
      </c>
      <c r="H557" s="42" t="n">
        <v>49</v>
      </c>
      <c r="I557" s="42" t="n">
        <v>76</v>
      </c>
      <c r="J557" s="42" t="n">
        <v>9200</v>
      </c>
      <c r="K557" s="42" t="n">
        <v>380</v>
      </c>
      <c r="L557" s="43" t="n">
        <f aca="false">J557-K557</f>
        <v>8820</v>
      </c>
      <c r="M557" s="42" t="n">
        <v>4803</v>
      </c>
      <c r="N557" s="43" t="n">
        <f aca="false">L557-M557</f>
        <v>4017</v>
      </c>
    </row>
    <row r="558" customFormat="false" ht="15" hidden="false" customHeight="false" outlineLevel="0" collapsed="false">
      <c r="A558" s="40" t="n">
        <v>45931</v>
      </c>
      <c r="B558" s="41" t="n">
        <v>2025</v>
      </c>
      <c r="C558" s="41" t="n">
        <v>10</v>
      </c>
      <c r="D558" s="41" t="s">
        <v>55</v>
      </c>
      <c r="E558" s="41" t="s">
        <v>44</v>
      </c>
      <c r="F558" s="41" t="s">
        <v>36</v>
      </c>
      <c r="G558" s="41" t="s">
        <v>38</v>
      </c>
      <c r="H558" s="42" t="n">
        <v>81</v>
      </c>
      <c r="I558" s="42" t="n">
        <v>116</v>
      </c>
      <c r="J558" s="42" t="n">
        <v>9041</v>
      </c>
      <c r="K558" s="42" t="n">
        <v>407</v>
      </c>
      <c r="L558" s="43" t="n">
        <f aca="false">J558-K558</f>
        <v>8634</v>
      </c>
      <c r="M558" s="42" t="n">
        <v>3779</v>
      </c>
      <c r="N558" s="43" t="n">
        <f aca="false">L558-M558</f>
        <v>4855</v>
      </c>
    </row>
    <row r="559" customFormat="false" ht="15" hidden="false" customHeight="false" outlineLevel="0" collapsed="false">
      <c r="A559" s="40" t="n">
        <v>45931</v>
      </c>
      <c r="B559" s="41" t="n">
        <v>2025</v>
      </c>
      <c r="C559" s="41" t="n">
        <v>10</v>
      </c>
      <c r="D559" s="41" t="s">
        <v>55</v>
      </c>
      <c r="E559" s="41" t="s">
        <v>44</v>
      </c>
      <c r="F559" s="41" t="s">
        <v>36</v>
      </c>
      <c r="G559" s="41" t="s">
        <v>39</v>
      </c>
      <c r="H559" s="42" t="n">
        <v>146</v>
      </c>
      <c r="I559" s="42" t="n">
        <v>224</v>
      </c>
      <c r="J559" s="42" t="n">
        <v>12269</v>
      </c>
      <c r="K559" s="42" t="n">
        <v>1136</v>
      </c>
      <c r="L559" s="43" t="n">
        <f aca="false">J559-K559</f>
        <v>11133</v>
      </c>
      <c r="M559" s="42" t="n">
        <v>4446</v>
      </c>
      <c r="N559" s="43" t="n">
        <f aca="false">L559-M559</f>
        <v>6687</v>
      </c>
    </row>
    <row r="560" customFormat="false" ht="15" hidden="false" customHeight="false" outlineLevel="0" collapsed="false">
      <c r="A560" s="40" t="n">
        <v>45931</v>
      </c>
      <c r="B560" s="41" t="n">
        <v>2025</v>
      </c>
      <c r="C560" s="41" t="n">
        <v>10</v>
      </c>
      <c r="D560" s="41" t="s">
        <v>55</v>
      </c>
      <c r="E560" s="41" t="s">
        <v>44</v>
      </c>
      <c r="F560" s="41" t="s">
        <v>36</v>
      </c>
      <c r="G560" s="41" t="s">
        <v>40</v>
      </c>
      <c r="H560" s="42" t="n">
        <v>67</v>
      </c>
      <c r="I560" s="42" t="n">
        <v>86</v>
      </c>
      <c r="J560" s="42" t="n">
        <v>8580</v>
      </c>
      <c r="K560" s="42" t="n">
        <v>1072</v>
      </c>
      <c r="L560" s="43" t="n">
        <f aca="false">J560-K560</f>
        <v>7508</v>
      </c>
      <c r="M560" s="42" t="n">
        <v>4243</v>
      </c>
      <c r="N560" s="43" t="n">
        <f aca="false">L560-M560</f>
        <v>3265</v>
      </c>
    </row>
    <row r="561" customFormat="false" ht="15" hidden="false" customHeight="false" outlineLevel="0" collapsed="false">
      <c r="A561" s="40" t="n">
        <v>45931</v>
      </c>
      <c r="B561" s="41" t="n">
        <v>2025</v>
      </c>
      <c r="C561" s="41" t="n">
        <v>10</v>
      </c>
      <c r="D561" s="41" t="s">
        <v>55</v>
      </c>
      <c r="E561" s="41" t="s">
        <v>44</v>
      </c>
      <c r="F561" s="41" t="s">
        <v>36</v>
      </c>
      <c r="G561" s="41" t="s">
        <v>41</v>
      </c>
      <c r="H561" s="42" t="n">
        <v>86</v>
      </c>
      <c r="I561" s="42" t="n">
        <v>136</v>
      </c>
      <c r="J561" s="42" t="n">
        <v>5249</v>
      </c>
      <c r="K561" s="42" t="n">
        <v>141</v>
      </c>
      <c r="L561" s="43" t="n">
        <f aca="false">J561-K561</f>
        <v>5108</v>
      </c>
      <c r="M561" s="42" t="n">
        <v>2435</v>
      </c>
      <c r="N561" s="43" t="n">
        <f aca="false">L561-M561</f>
        <v>2673</v>
      </c>
    </row>
    <row r="562" customFormat="false" ht="15" hidden="false" customHeight="false" outlineLevel="0" collapsed="false">
      <c r="A562" s="40" t="n">
        <v>45931</v>
      </c>
      <c r="B562" s="41" t="n">
        <v>2025</v>
      </c>
      <c r="C562" s="41" t="n">
        <v>10</v>
      </c>
      <c r="D562" s="41" t="s">
        <v>55</v>
      </c>
      <c r="E562" s="41" t="s">
        <v>44</v>
      </c>
      <c r="F562" s="41" t="s">
        <v>42</v>
      </c>
      <c r="G562" s="41" t="s">
        <v>37</v>
      </c>
      <c r="H562" s="42" t="n">
        <v>45</v>
      </c>
      <c r="I562" s="42" t="n">
        <v>56</v>
      </c>
      <c r="J562" s="42" t="n">
        <v>7759</v>
      </c>
      <c r="K562" s="42" t="n">
        <v>387</v>
      </c>
      <c r="L562" s="43" t="n">
        <f aca="false">J562-K562</f>
        <v>7372</v>
      </c>
      <c r="M562" s="42" t="n">
        <v>4137</v>
      </c>
      <c r="N562" s="43" t="n">
        <f aca="false">L562-M562</f>
        <v>3235</v>
      </c>
    </row>
    <row r="563" customFormat="false" ht="15" hidden="false" customHeight="false" outlineLevel="0" collapsed="false">
      <c r="A563" s="40" t="n">
        <v>45931</v>
      </c>
      <c r="B563" s="41" t="n">
        <v>2025</v>
      </c>
      <c r="C563" s="41" t="n">
        <v>10</v>
      </c>
      <c r="D563" s="41" t="s">
        <v>55</v>
      </c>
      <c r="E563" s="41" t="s">
        <v>44</v>
      </c>
      <c r="F563" s="41" t="s">
        <v>42</v>
      </c>
      <c r="G563" s="41" t="s">
        <v>38</v>
      </c>
      <c r="H563" s="42" t="n">
        <v>62</v>
      </c>
      <c r="I563" s="42" t="n">
        <v>93</v>
      </c>
      <c r="J563" s="42" t="n">
        <v>6370</v>
      </c>
      <c r="K563" s="42" t="n">
        <v>386</v>
      </c>
      <c r="L563" s="43" t="n">
        <f aca="false">J563-K563</f>
        <v>5984</v>
      </c>
      <c r="M563" s="42" t="n">
        <v>2769</v>
      </c>
      <c r="N563" s="43" t="n">
        <f aca="false">L563-M563</f>
        <v>3215</v>
      </c>
    </row>
    <row r="564" customFormat="false" ht="15" hidden="false" customHeight="false" outlineLevel="0" collapsed="false">
      <c r="A564" s="40" t="n">
        <v>45931</v>
      </c>
      <c r="B564" s="41" t="n">
        <v>2025</v>
      </c>
      <c r="C564" s="41" t="n">
        <v>10</v>
      </c>
      <c r="D564" s="41" t="s">
        <v>55</v>
      </c>
      <c r="E564" s="41" t="s">
        <v>44</v>
      </c>
      <c r="F564" s="41" t="s">
        <v>42</v>
      </c>
      <c r="G564" s="41" t="s">
        <v>39</v>
      </c>
      <c r="H564" s="42" t="n">
        <v>95</v>
      </c>
      <c r="I564" s="42" t="n">
        <v>117</v>
      </c>
      <c r="J564" s="42" t="n">
        <v>7314</v>
      </c>
      <c r="K564" s="42" t="n">
        <v>1174</v>
      </c>
      <c r="L564" s="43" t="n">
        <f aca="false">J564-K564</f>
        <v>6140</v>
      </c>
      <c r="M564" s="42" t="n">
        <v>2513</v>
      </c>
      <c r="N564" s="43" t="n">
        <f aca="false">L564-M564</f>
        <v>3627</v>
      </c>
    </row>
    <row r="565" customFormat="false" ht="15" hidden="false" customHeight="false" outlineLevel="0" collapsed="false">
      <c r="A565" s="40" t="n">
        <v>45931</v>
      </c>
      <c r="B565" s="41" t="n">
        <v>2025</v>
      </c>
      <c r="C565" s="41" t="n">
        <v>10</v>
      </c>
      <c r="D565" s="41" t="s">
        <v>55</v>
      </c>
      <c r="E565" s="41" t="s">
        <v>44</v>
      </c>
      <c r="F565" s="41" t="s">
        <v>42</v>
      </c>
      <c r="G565" s="41" t="s">
        <v>40</v>
      </c>
      <c r="H565" s="42" t="n">
        <v>47</v>
      </c>
      <c r="I565" s="42" t="n">
        <v>56</v>
      </c>
      <c r="J565" s="42" t="n">
        <v>5578</v>
      </c>
      <c r="K565" s="42" t="n">
        <v>916</v>
      </c>
      <c r="L565" s="43" t="n">
        <f aca="false">J565-K565</f>
        <v>4662</v>
      </c>
      <c r="M565" s="42" t="n">
        <v>2630</v>
      </c>
      <c r="N565" s="43" t="n">
        <f aca="false">L565-M565</f>
        <v>2032</v>
      </c>
    </row>
    <row r="566" customFormat="false" ht="15" hidden="false" customHeight="false" outlineLevel="0" collapsed="false">
      <c r="A566" s="40" t="n">
        <v>45931</v>
      </c>
      <c r="B566" s="41" t="n">
        <v>2025</v>
      </c>
      <c r="C566" s="41" t="n">
        <v>10</v>
      </c>
      <c r="D566" s="41" t="s">
        <v>55</v>
      </c>
      <c r="E566" s="41" t="s">
        <v>44</v>
      </c>
      <c r="F566" s="41" t="s">
        <v>42</v>
      </c>
      <c r="G566" s="41" t="s">
        <v>41</v>
      </c>
      <c r="H566" s="42" t="n">
        <v>63</v>
      </c>
      <c r="I566" s="42" t="n">
        <v>74</v>
      </c>
      <c r="J566" s="42" t="n">
        <v>3557</v>
      </c>
      <c r="K566" s="42" t="n">
        <v>122</v>
      </c>
      <c r="L566" s="43" t="n">
        <f aca="false">J566-K566</f>
        <v>3435</v>
      </c>
      <c r="M566" s="42" t="n">
        <v>1754</v>
      </c>
      <c r="N566" s="43" t="n">
        <f aca="false">L566-M566</f>
        <v>1681</v>
      </c>
    </row>
    <row r="567" customFormat="false" ht="15" hidden="false" customHeight="false" outlineLevel="0" collapsed="false">
      <c r="A567" s="40" t="n">
        <v>45931</v>
      </c>
      <c r="B567" s="41" t="n">
        <v>2025</v>
      </c>
      <c r="C567" s="41" t="n">
        <v>10</v>
      </c>
      <c r="D567" s="41" t="s">
        <v>55</v>
      </c>
      <c r="E567" s="41" t="s">
        <v>44</v>
      </c>
      <c r="F567" s="41" t="s">
        <v>43</v>
      </c>
      <c r="G567" s="41" t="s">
        <v>37</v>
      </c>
      <c r="H567" s="42" t="n">
        <v>24</v>
      </c>
      <c r="I567" s="42" t="n">
        <v>30</v>
      </c>
      <c r="J567" s="42" t="n">
        <v>4817</v>
      </c>
      <c r="K567" s="42" t="n">
        <v>118</v>
      </c>
      <c r="L567" s="43" t="n">
        <f aca="false">J567-K567</f>
        <v>4699</v>
      </c>
      <c r="M567" s="42" t="n">
        <v>2458</v>
      </c>
      <c r="N567" s="43" t="n">
        <f aca="false">L567-M567</f>
        <v>2241</v>
      </c>
    </row>
    <row r="568" customFormat="false" ht="15" hidden="false" customHeight="false" outlineLevel="0" collapsed="false">
      <c r="A568" s="40" t="n">
        <v>45931</v>
      </c>
      <c r="B568" s="41" t="n">
        <v>2025</v>
      </c>
      <c r="C568" s="41" t="n">
        <v>10</v>
      </c>
      <c r="D568" s="41" t="s">
        <v>55</v>
      </c>
      <c r="E568" s="41" t="s">
        <v>44</v>
      </c>
      <c r="F568" s="41" t="s">
        <v>43</v>
      </c>
      <c r="G568" s="41" t="s">
        <v>38</v>
      </c>
      <c r="H568" s="42" t="n">
        <v>34</v>
      </c>
      <c r="I568" s="42" t="n">
        <v>40</v>
      </c>
      <c r="J568" s="42" t="n">
        <v>4075</v>
      </c>
      <c r="K568" s="42" t="n">
        <v>152</v>
      </c>
      <c r="L568" s="43" t="n">
        <f aca="false">J568-K568</f>
        <v>3923</v>
      </c>
      <c r="M568" s="42" t="n">
        <v>1748</v>
      </c>
      <c r="N568" s="43" t="n">
        <f aca="false">L568-M568</f>
        <v>2175</v>
      </c>
    </row>
    <row r="569" customFormat="false" ht="15" hidden="false" customHeight="false" outlineLevel="0" collapsed="false">
      <c r="A569" s="40" t="n">
        <v>45931</v>
      </c>
      <c r="B569" s="41" t="n">
        <v>2025</v>
      </c>
      <c r="C569" s="41" t="n">
        <v>10</v>
      </c>
      <c r="D569" s="41" t="s">
        <v>55</v>
      </c>
      <c r="E569" s="41" t="s">
        <v>44</v>
      </c>
      <c r="F569" s="41" t="s">
        <v>43</v>
      </c>
      <c r="G569" s="41" t="s">
        <v>39</v>
      </c>
      <c r="H569" s="42" t="n">
        <v>53</v>
      </c>
      <c r="I569" s="42" t="n">
        <v>78</v>
      </c>
      <c r="J569" s="42" t="n">
        <v>4732</v>
      </c>
      <c r="K569" s="42" t="n">
        <v>277</v>
      </c>
      <c r="L569" s="43" t="n">
        <f aca="false">J569-K569</f>
        <v>4455</v>
      </c>
      <c r="M569" s="42" t="n">
        <v>1713</v>
      </c>
      <c r="N569" s="43" t="n">
        <f aca="false">L569-M569</f>
        <v>2742</v>
      </c>
    </row>
    <row r="570" customFormat="false" ht="15" hidden="false" customHeight="false" outlineLevel="0" collapsed="false">
      <c r="A570" s="40" t="n">
        <v>45931</v>
      </c>
      <c r="B570" s="41" t="n">
        <v>2025</v>
      </c>
      <c r="C570" s="41" t="n">
        <v>10</v>
      </c>
      <c r="D570" s="41" t="s">
        <v>55</v>
      </c>
      <c r="E570" s="41" t="s">
        <v>44</v>
      </c>
      <c r="F570" s="41" t="s">
        <v>43</v>
      </c>
      <c r="G570" s="41" t="s">
        <v>40</v>
      </c>
      <c r="H570" s="42" t="n">
        <v>30</v>
      </c>
      <c r="I570" s="42" t="n">
        <v>36</v>
      </c>
      <c r="J570" s="42" t="n">
        <v>4124</v>
      </c>
      <c r="K570" s="42" t="n">
        <v>339</v>
      </c>
      <c r="L570" s="43" t="n">
        <f aca="false">J570-K570</f>
        <v>3785</v>
      </c>
      <c r="M570" s="42" t="n">
        <v>2124</v>
      </c>
      <c r="N570" s="43" t="n">
        <f aca="false">L570-M570</f>
        <v>1661</v>
      </c>
    </row>
    <row r="571" customFormat="false" ht="15" hidden="false" customHeight="false" outlineLevel="0" collapsed="false">
      <c r="A571" s="40" t="n">
        <v>45931</v>
      </c>
      <c r="B571" s="41" t="n">
        <v>2025</v>
      </c>
      <c r="C571" s="41" t="n">
        <v>10</v>
      </c>
      <c r="D571" s="41" t="s">
        <v>55</v>
      </c>
      <c r="E571" s="41" t="s">
        <v>44</v>
      </c>
      <c r="F571" s="41" t="s">
        <v>43</v>
      </c>
      <c r="G571" s="41" t="s">
        <v>41</v>
      </c>
      <c r="H571" s="42" t="n">
        <v>42</v>
      </c>
      <c r="I571" s="42" t="n">
        <v>51</v>
      </c>
      <c r="J571" s="42" t="n">
        <v>2728</v>
      </c>
      <c r="K571" s="42" t="n">
        <v>54</v>
      </c>
      <c r="L571" s="43" t="n">
        <f aca="false">J571-K571</f>
        <v>2674</v>
      </c>
      <c r="M571" s="42" t="n">
        <v>1301</v>
      </c>
      <c r="N571" s="43" t="n">
        <f aca="false">L571-M571</f>
        <v>1373</v>
      </c>
    </row>
    <row r="572" customFormat="false" ht="15" hidden="false" customHeight="false" outlineLevel="0" collapsed="false">
      <c r="A572" s="40" t="n">
        <v>45931</v>
      </c>
      <c r="B572" s="41" t="n">
        <v>2025</v>
      </c>
      <c r="C572" s="41" t="n">
        <v>10</v>
      </c>
      <c r="D572" s="41" t="s">
        <v>55</v>
      </c>
      <c r="E572" s="41" t="s">
        <v>45</v>
      </c>
      <c r="F572" s="41" t="s">
        <v>36</v>
      </c>
      <c r="G572" s="41" t="s">
        <v>37</v>
      </c>
      <c r="H572" s="42" t="n">
        <v>40</v>
      </c>
      <c r="I572" s="42" t="n">
        <v>63</v>
      </c>
      <c r="J572" s="42" t="n">
        <v>7517</v>
      </c>
      <c r="K572" s="42" t="n">
        <v>266</v>
      </c>
      <c r="L572" s="43" t="n">
        <f aca="false">J572-K572</f>
        <v>7251</v>
      </c>
      <c r="M572" s="42" t="n">
        <v>3947</v>
      </c>
      <c r="N572" s="43" t="n">
        <f aca="false">L572-M572</f>
        <v>3304</v>
      </c>
    </row>
    <row r="573" customFormat="false" ht="15" hidden="false" customHeight="false" outlineLevel="0" collapsed="false">
      <c r="A573" s="40" t="n">
        <v>45931</v>
      </c>
      <c r="B573" s="41" t="n">
        <v>2025</v>
      </c>
      <c r="C573" s="41" t="n">
        <v>10</v>
      </c>
      <c r="D573" s="41" t="s">
        <v>55</v>
      </c>
      <c r="E573" s="41" t="s">
        <v>45</v>
      </c>
      <c r="F573" s="41" t="s">
        <v>36</v>
      </c>
      <c r="G573" s="41" t="s">
        <v>38</v>
      </c>
      <c r="H573" s="42" t="n">
        <v>61</v>
      </c>
      <c r="I573" s="42" t="n">
        <v>76</v>
      </c>
      <c r="J573" s="42" t="n">
        <v>6821</v>
      </c>
      <c r="K573" s="42" t="n">
        <v>335</v>
      </c>
      <c r="L573" s="43" t="n">
        <f aca="false">J573-K573</f>
        <v>6486</v>
      </c>
      <c r="M573" s="42" t="n">
        <v>2854</v>
      </c>
      <c r="N573" s="43" t="n">
        <f aca="false">L573-M573</f>
        <v>3632</v>
      </c>
    </row>
    <row r="574" customFormat="false" ht="15" hidden="false" customHeight="false" outlineLevel="0" collapsed="false">
      <c r="A574" s="40" t="n">
        <v>45931</v>
      </c>
      <c r="B574" s="41" t="n">
        <v>2025</v>
      </c>
      <c r="C574" s="41" t="n">
        <v>10</v>
      </c>
      <c r="D574" s="41" t="s">
        <v>55</v>
      </c>
      <c r="E574" s="41" t="s">
        <v>45</v>
      </c>
      <c r="F574" s="41" t="s">
        <v>36</v>
      </c>
      <c r="G574" s="41" t="s">
        <v>39</v>
      </c>
      <c r="H574" s="42" t="n">
        <v>102</v>
      </c>
      <c r="I574" s="42" t="n">
        <v>129</v>
      </c>
      <c r="J574" s="42" t="n">
        <v>8579</v>
      </c>
      <c r="K574" s="42" t="n">
        <v>995</v>
      </c>
      <c r="L574" s="43" t="n">
        <f aca="false">J574-K574</f>
        <v>7584</v>
      </c>
      <c r="M574" s="42" t="n">
        <v>2973</v>
      </c>
      <c r="N574" s="43" t="n">
        <f aca="false">L574-M574</f>
        <v>4611</v>
      </c>
    </row>
    <row r="575" customFormat="false" ht="15" hidden="false" customHeight="false" outlineLevel="0" collapsed="false">
      <c r="A575" s="40" t="n">
        <v>45931</v>
      </c>
      <c r="B575" s="41" t="n">
        <v>2025</v>
      </c>
      <c r="C575" s="41" t="n">
        <v>10</v>
      </c>
      <c r="D575" s="41" t="s">
        <v>55</v>
      </c>
      <c r="E575" s="41" t="s">
        <v>45</v>
      </c>
      <c r="F575" s="41" t="s">
        <v>36</v>
      </c>
      <c r="G575" s="41" t="s">
        <v>40</v>
      </c>
      <c r="H575" s="42" t="n">
        <v>44</v>
      </c>
      <c r="I575" s="42" t="n">
        <v>55</v>
      </c>
      <c r="J575" s="42" t="n">
        <v>5623</v>
      </c>
      <c r="K575" s="42" t="n">
        <v>704</v>
      </c>
      <c r="L575" s="43" t="n">
        <f aca="false">J575-K575</f>
        <v>4919</v>
      </c>
      <c r="M575" s="42" t="n">
        <v>2659</v>
      </c>
      <c r="N575" s="43" t="n">
        <f aca="false">L575-M575</f>
        <v>2260</v>
      </c>
    </row>
    <row r="576" customFormat="false" ht="15" hidden="false" customHeight="false" outlineLevel="0" collapsed="false">
      <c r="A576" s="40" t="n">
        <v>45931</v>
      </c>
      <c r="B576" s="41" t="n">
        <v>2025</v>
      </c>
      <c r="C576" s="41" t="n">
        <v>10</v>
      </c>
      <c r="D576" s="41" t="s">
        <v>55</v>
      </c>
      <c r="E576" s="41" t="s">
        <v>45</v>
      </c>
      <c r="F576" s="41" t="s">
        <v>36</v>
      </c>
      <c r="G576" s="41" t="s">
        <v>41</v>
      </c>
      <c r="H576" s="42" t="n">
        <v>70</v>
      </c>
      <c r="I576" s="42" t="n">
        <v>84</v>
      </c>
      <c r="J576" s="42" t="n">
        <v>4299</v>
      </c>
      <c r="K576" s="42" t="n">
        <v>130</v>
      </c>
      <c r="L576" s="43" t="n">
        <f aca="false">J576-K576</f>
        <v>4169</v>
      </c>
      <c r="M576" s="42" t="n">
        <v>2006</v>
      </c>
      <c r="N576" s="43" t="n">
        <f aca="false">L576-M576</f>
        <v>2163</v>
      </c>
    </row>
    <row r="577" customFormat="false" ht="15" hidden="false" customHeight="false" outlineLevel="0" collapsed="false">
      <c r="A577" s="40" t="n">
        <v>45931</v>
      </c>
      <c r="B577" s="41" t="n">
        <v>2025</v>
      </c>
      <c r="C577" s="41" t="n">
        <v>10</v>
      </c>
      <c r="D577" s="41" t="s">
        <v>55</v>
      </c>
      <c r="E577" s="41" t="s">
        <v>45</v>
      </c>
      <c r="F577" s="41" t="s">
        <v>42</v>
      </c>
      <c r="G577" s="41" t="s">
        <v>37</v>
      </c>
      <c r="H577" s="42" t="n">
        <v>29</v>
      </c>
      <c r="I577" s="42" t="n">
        <v>43</v>
      </c>
      <c r="J577" s="42" t="n">
        <v>5068</v>
      </c>
      <c r="K577" s="42" t="n">
        <v>261</v>
      </c>
      <c r="L577" s="43" t="n">
        <f aca="false">J577-K577</f>
        <v>4807</v>
      </c>
      <c r="M577" s="42" t="n">
        <v>2663</v>
      </c>
      <c r="N577" s="43" t="n">
        <f aca="false">L577-M577</f>
        <v>2144</v>
      </c>
    </row>
    <row r="578" customFormat="false" ht="15" hidden="false" customHeight="false" outlineLevel="0" collapsed="false">
      <c r="A578" s="40" t="n">
        <v>45931</v>
      </c>
      <c r="B578" s="41" t="n">
        <v>2025</v>
      </c>
      <c r="C578" s="41" t="n">
        <v>10</v>
      </c>
      <c r="D578" s="41" t="s">
        <v>55</v>
      </c>
      <c r="E578" s="41" t="s">
        <v>45</v>
      </c>
      <c r="F578" s="41" t="s">
        <v>42</v>
      </c>
      <c r="G578" s="41" t="s">
        <v>38</v>
      </c>
      <c r="H578" s="42" t="n">
        <v>47</v>
      </c>
      <c r="I578" s="42" t="n">
        <v>61</v>
      </c>
      <c r="J578" s="42" t="n">
        <v>4829</v>
      </c>
      <c r="K578" s="42" t="n">
        <v>312</v>
      </c>
      <c r="L578" s="43" t="n">
        <f aca="false">J578-K578</f>
        <v>4517</v>
      </c>
      <c r="M578" s="42" t="n">
        <v>2079</v>
      </c>
      <c r="N578" s="43" t="n">
        <f aca="false">L578-M578</f>
        <v>2438</v>
      </c>
    </row>
    <row r="579" customFormat="false" ht="15" hidden="false" customHeight="false" outlineLevel="0" collapsed="false">
      <c r="A579" s="40" t="n">
        <v>45931</v>
      </c>
      <c r="B579" s="41" t="n">
        <v>2025</v>
      </c>
      <c r="C579" s="41" t="n">
        <v>10</v>
      </c>
      <c r="D579" s="41" t="s">
        <v>55</v>
      </c>
      <c r="E579" s="41" t="s">
        <v>45</v>
      </c>
      <c r="F579" s="41" t="s">
        <v>42</v>
      </c>
      <c r="G579" s="41" t="s">
        <v>39</v>
      </c>
      <c r="H579" s="42" t="n">
        <v>66</v>
      </c>
      <c r="I579" s="42" t="n">
        <v>101</v>
      </c>
      <c r="J579" s="42" t="n">
        <v>5131</v>
      </c>
      <c r="K579" s="42" t="n">
        <v>643</v>
      </c>
      <c r="L579" s="43" t="n">
        <f aca="false">J579-K579</f>
        <v>4488</v>
      </c>
      <c r="M579" s="42" t="n">
        <v>1878</v>
      </c>
      <c r="N579" s="43" t="n">
        <f aca="false">L579-M579</f>
        <v>2610</v>
      </c>
    </row>
    <row r="580" customFormat="false" ht="15" hidden="false" customHeight="false" outlineLevel="0" collapsed="false">
      <c r="A580" s="40" t="n">
        <v>45931</v>
      </c>
      <c r="B580" s="41" t="n">
        <v>2025</v>
      </c>
      <c r="C580" s="41" t="n">
        <v>10</v>
      </c>
      <c r="D580" s="41" t="s">
        <v>55</v>
      </c>
      <c r="E580" s="41" t="s">
        <v>45</v>
      </c>
      <c r="F580" s="41" t="s">
        <v>42</v>
      </c>
      <c r="G580" s="41" t="s">
        <v>40</v>
      </c>
      <c r="H580" s="42" t="n">
        <v>31</v>
      </c>
      <c r="I580" s="42" t="n">
        <v>43</v>
      </c>
      <c r="J580" s="42" t="n">
        <v>3617</v>
      </c>
      <c r="K580" s="42" t="n">
        <v>554</v>
      </c>
      <c r="L580" s="43" t="n">
        <f aca="false">J580-K580</f>
        <v>3063</v>
      </c>
      <c r="M580" s="42" t="n">
        <v>1740</v>
      </c>
      <c r="N580" s="43" t="n">
        <f aca="false">L580-M580</f>
        <v>1323</v>
      </c>
    </row>
    <row r="581" customFormat="false" ht="15" hidden="false" customHeight="false" outlineLevel="0" collapsed="false">
      <c r="A581" s="40" t="n">
        <v>45931</v>
      </c>
      <c r="B581" s="41" t="n">
        <v>2025</v>
      </c>
      <c r="C581" s="41" t="n">
        <v>10</v>
      </c>
      <c r="D581" s="41" t="s">
        <v>55</v>
      </c>
      <c r="E581" s="41" t="s">
        <v>45</v>
      </c>
      <c r="F581" s="41" t="s">
        <v>42</v>
      </c>
      <c r="G581" s="41" t="s">
        <v>41</v>
      </c>
      <c r="H581" s="42" t="n">
        <v>46</v>
      </c>
      <c r="I581" s="42" t="n">
        <v>54</v>
      </c>
      <c r="J581" s="42" t="n">
        <v>2554</v>
      </c>
      <c r="K581" s="42" t="n">
        <v>96</v>
      </c>
      <c r="L581" s="43" t="n">
        <f aca="false">J581-K581</f>
        <v>2458</v>
      </c>
      <c r="M581" s="42" t="n">
        <v>1211</v>
      </c>
      <c r="N581" s="43" t="n">
        <f aca="false">L581-M581</f>
        <v>1247</v>
      </c>
    </row>
    <row r="582" customFormat="false" ht="15" hidden="false" customHeight="false" outlineLevel="0" collapsed="false">
      <c r="A582" s="40" t="n">
        <v>45931</v>
      </c>
      <c r="B582" s="41" t="n">
        <v>2025</v>
      </c>
      <c r="C582" s="41" t="n">
        <v>10</v>
      </c>
      <c r="D582" s="41" t="s">
        <v>55</v>
      </c>
      <c r="E582" s="41" t="s">
        <v>45</v>
      </c>
      <c r="F582" s="41" t="s">
        <v>43</v>
      </c>
      <c r="G582" s="41" t="s">
        <v>37</v>
      </c>
      <c r="H582" s="42" t="n">
        <v>17</v>
      </c>
      <c r="I582" s="42" t="n">
        <v>25</v>
      </c>
      <c r="J582" s="42" t="n">
        <v>3334</v>
      </c>
      <c r="K582" s="42" t="n">
        <v>85</v>
      </c>
      <c r="L582" s="43" t="n">
        <f aca="false">J582-K582</f>
        <v>3249</v>
      </c>
      <c r="M582" s="42" t="n">
        <v>1712</v>
      </c>
      <c r="N582" s="43" t="n">
        <f aca="false">L582-M582</f>
        <v>1537</v>
      </c>
    </row>
    <row r="583" customFormat="false" ht="15" hidden="false" customHeight="false" outlineLevel="0" collapsed="false">
      <c r="A583" s="40" t="n">
        <v>45931</v>
      </c>
      <c r="B583" s="41" t="n">
        <v>2025</v>
      </c>
      <c r="C583" s="41" t="n">
        <v>10</v>
      </c>
      <c r="D583" s="41" t="s">
        <v>55</v>
      </c>
      <c r="E583" s="41" t="s">
        <v>45</v>
      </c>
      <c r="F583" s="41" t="s">
        <v>43</v>
      </c>
      <c r="G583" s="41" t="s">
        <v>38</v>
      </c>
      <c r="H583" s="42" t="n">
        <v>31</v>
      </c>
      <c r="I583" s="42" t="n">
        <v>46</v>
      </c>
      <c r="J583" s="42" t="n">
        <v>3631</v>
      </c>
      <c r="K583" s="42" t="n">
        <v>147</v>
      </c>
      <c r="L583" s="43" t="n">
        <f aca="false">J583-K583</f>
        <v>3484</v>
      </c>
      <c r="M583" s="42" t="n">
        <v>1602</v>
      </c>
      <c r="N583" s="43" t="n">
        <f aca="false">L583-M583</f>
        <v>1882</v>
      </c>
    </row>
    <row r="584" customFormat="false" ht="15" hidden="false" customHeight="false" outlineLevel="0" collapsed="false">
      <c r="A584" s="40" t="n">
        <v>45931</v>
      </c>
      <c r="B584" s="41" t="n">
        <v>2025</v>
      </c>
      <c r="C584" s="41" t="n">
        <v>10</v>
      </c>
      <c r="D584" s="41" t="s">
        <v>55</v>
      </c>
      <c r="E584" s="41" t="s">
        <v>45</v>
      </c>
      <c r="F584" s="41" t="s">
        <v>43</v>
      </c>
      <c r="G584" s="41" t="s">
        <v>39</v>
      </c>
      <c r="H584" s="42" t="n">
        <v>39</v>
      </c>
      <c r="I584" s="42" t="n">
        <v>50</v>
      </c>
      <c r="J584" s="42" t="n">
        <v>3479</v>
      </c>
      <c r="K584" s="42" t="n">
        <v>198</v>
      </c>
      <c r="L584" s="43" t="n">
        <f aca="false">J584-K584</f>
        <v>3281</v>
      </c>
      <c r="M584" s="42" t="n">
        <v>1294</v>
      </c>
      <c r="N584" s="43" t="n">
        <f aca="false">L584-M584</f>
        <v>1987</v>
      </c>
    </row>
    <row r="585" customFormat="false" ht="15" hidden="false" customHeight="false" outlineLevel="0" collapsed="false">
      <c r="A585" s="40" t="n">
        <v>45931</v>
      </c>
      <c r="B585" s="41" t="n">
        <v>2025</v>
      </c>
      <c r="C585" s="41" t="n">
        <v>10</v>
      </c>
      <c r="D585" s="41" t="s">
        <v>55</v>
      </c>
      <c r="E585" s="41" t="s">
        <v>45</v>
      </c>
      <c r="F585" s="41" t="s">
        <v>43</v>
      </c>
      <c r="G585" s="41" t="s">
        <v>40</v>
      </c>
      <c r="H585" s="42" t="n">
        <v>22</v>
      </c>
      <c r="I585" s="42" t="n">
        <v>29</v>
      </c>
      <c r="J585" s="42" t="n">
        <v>2921</v>
      </c>
      <c r="K585" s="42" t="n">
        <v>237</v>
      </c>
      <c r="L585" s="43" t="n">
        <f aca="false">J585-K585</f>
        <v>2684</v>
      </c>
      <c r="M585" s="42" t="n">
        <v>1490</v>
      </c>
      <c r="N585" s="43" t="n">
        <f aca="false">L585-M585</f>
        <v>1194</v>
      </c>
    </row>
    <row r="586" customFormat="false" ht="15" hidden="false" customHeight="false" outlineLevel="0" collapsed="false">
      <c r="A586" s="40" t="n">
        <v>45931</v>
      </c>
      <c r="B586" s="41" t="n">
        <v>2025</v>
      </c>
      <c r="C586" s="41" t="n">
        <v>10</v>
      </c>
      <c r="D586" s="41" t="s">
        <v>55</v>
      </c>
      <c r="E586" s="41" t="s">
        <v>45</v>
      </c>
      <c r="F586" s="41" t="s">
        <v>43</v>
      </c>
      <c r="G586" s="41" t="s">
        <v>41</v>
      </c>
      <c r="H586" s="42" t="n">
        <v>30</v>
      </c>
      <c r="I586" s="42" t="n">
        <v>38</v>
      </c>
      <c r="J586" s="42" t="n">
        <v>1966</v>
      </c>
      <c r="K586" s="42" t="n">
        <v>47</v>
      </c>
      <c r="L586" s="43" t="n">
        <f aca="false">J586-K586</f>
        <v>1919</v>
      </c>
      <c r="M586" s="42" t="n">
        <v>913</v>
      </c>
      <c r="N586" s="43" t="n">
        <f aca="false">L586-M586</f>
        <v>1006</v>
      </c>
    </row>
    <row r="587" customFormat="false" ht="15" hidden="false" customHeight="false" outlineLevel="0" collapsed="false">
      <c r="A587" s="40" t="n">
        <v>45931</v>
      </c>
      <c r="B587" s="41" t="n">
        <v>2025</v>
      </c>
      <c r="C587" s="41" t="n">
        <v>10</v>
      </c>
      <c r="D587" s="41" t="s">
        <v>55</v>
      </c>
      <c r="E587" s="41" t="s">
        <v>46</v>
      </c>
      <c r="F587" s="41" t="s">
        <v>36</v>
      </c>
      <c r="G587" s="41" t="s">
        <v>37</v>
      </c>
      <c r="H587" s="42" t="n">
        <v>41</v>
      </c>
      <c r="I587" s="42" t="n">
        <v>51</v>
      </c>
      <c r="J587" s="42" t="n">
        <v>7663</v>
      </c>
      <c r="K587" s="42" t="n">
        <v>259</v>
      </c>
      <c r="L587" s="43" t="n">
        <f aca="false">J587-K587</f>
        <v>7404</v>
      </c>
      <c r="M587" s="42" t="n">
        <v>4021</v>
      </c>
      <c r="N587" s="43" t="n">
        <f aca="false">L587-M587</f>
        <v>3383</v>
      </c>
    </row>
    <row r="588" customFormat="false" ht="15" hidden="false" customHeight="false" outlineLevel="0" collapsed="false">
      <c r="A588" s="40" t="n">
        <v>45931</v>
      </c>
      <c r="B588" s="41" t="n">
        <v>2025</v>
      </c>
      <c r="C588" s="41" t="n">
        <v>10</v>
      </c>
      <c r="D588" s="41" t="s">
        <v>55</v>
      </c>
      <c r="E588" s="41" t="s">
        <v>46</v>
      </c>
      <c r="F588" s="41" t="s">
        <v>36</v>
      </c>
      <c r="G588" s="41" t="s">
        <v>38</v>
      </c>
      <c r="H588" s="42" t="n">
        <v>62</v>
      </c>
      <c r="I588" s="42" t="n">
        <v>91</v>
      </c>
      <c r="J588" s="42" t="n">
        <v>6896</v>
      </c>
      <c r="K588" s="42" t="n">
        <v>281</v>
      </c>
      <c r="L588" s="43" t="n">
        <f aca="false">J588-K588</f>
        <v>6615</v>
      </c>
      <c r="M588" s="42" t="n">
        <v>2894</v>
      </c>
      <c r="N588" s="43" t="n">
        <f aca="false">L588-M588</f>
        <v>3721</v>
      </c>
    </row>
    <row r="589" customFormat="false" ht="15" hidden="false" customHeight="false" outlineLevel="0" collapsed="false">
      <c r="A589" s="40" t="n">
        <v>45931</v>
      </c>
      <c r="B589" s="41" t="n">
        <v>2025</v>
      </c>
      <c r="C589" s="41" t="n">
        <v>10</v>
      </c>
      <c r="D589" s="41" t="s">
        <v>55</v>
      </c>
      <c r="E589" s="41" t="s">
        <v>46</v>
      </c>
      <c r="F589" s="41" t="s">
        <v>36</v>
      </c>
      <c r="G589" s="41" t="s">
        <v>39</v>
      </c>
      <c r="H589" s="42" t="n">
        <v>83</v>
      </c>
      <c r="I589" s="42" t="n">
        <v>103</v>
      </c>
      <c r="J589" s="42" t="n">
        <v>6975</v>
      </c>
      <c r="K589" s="42" t="n">
        <v>643</v>
      </c>
      <c r="L589" s="43" t="n">
        <f aca="false">J589-K589</f>
        <v>6332</v>
      </c>
      <c r="M589" s="42" t="n">
        <v>2452</v>
      </c>
      <c r="N589" s="43" t="n">
        <f aca="false">L589-M589</f>
        <v>3880</v>
      </c>
    </row>
    <row r="590" customFormat="false" ht="15" hidden="false" customHeight="false" outlineLevel="0" collapsed="false">
      <c r="A590" s="40" t="n">
        <v>45931</v>
      </c>
      <c r="B590" s="41" t="n">
        <v>2025</v>
      </c>
      <c r="C590" s="41" t="n">
        <v>10</v>
      </c>
      <c r="D590" s="41" t="s">
        <v>55</v>
      </c>
      <c r="E590" s="41" t="s">
        <v>46</v>
      </c>
      <c r="F590" s="41" t="s">
        <v>36</v>
      </c>
      <c r="G590" s="41" t="s">
        <v>40</v>
      </c>
      <c r="H590" s="42" t="n">
        <v>38</v>
      </c>
      <c r="I590" s="42" t="n">
        <v>49</v>
      </c>
      <c r="J590" s="42" t="n">
        <v>4831</v>
      </c>
      <c r="K590" s="42" t="n">
        <v>612</v>
      </c>
      <c r="L590" s="43" t="n">
        <f aca="false">J590-K590</f>
        <v>4219</v>
      </c>
      <c r="M590" s="42" t="n">
        <v>2276</v>
      </c>
      <c r="N590" s="43" t="n">
        <f aca="false">L590-M590</f>
        <v>1943</v>
      </c>
    </row>
    <row r="591" customFormat="false" ht="15" hidden="false" customHeight="false" outlineLevel="0" collapsed="false">
      <c r="A591" s="40" t="n">
        <v>45931</v>
      </c>
      <c r="B591" s="41" t="n">
        <v>2025</v>
      </c>
      <c r="C591" s="41" t="n">
        <v>10</v>
      </c>
      <c r="D591" s="41" t="s">
        <v>55</v>
      </c>
      <c r="E591" s="41" t="s">
        <v>46</v>
      </c>
      <c r="F591" s="41" t="s">
        <v>36</v>
      </c>
      <c r="G591" s="41" t="s">
        <v>41</v>
      </c>
      <c r="H591" s="42" t="n">
        <v>66</v>
      </c>
      <c r="I591" s="42" t="n">
        <v>93</v>
      </c>
      <c r="J591" s="42" t="n">
        <v>4050</v>
      </c>
      <c r="K591" s="42" t="n">
        <v>132</v>
      </c>
      <c r="L591" s="43" t="n">
        <f aca="false">J591-K591</f>
        <v>3918</v>
      </c>
      <c r="M591" s="42" t="n">
        <v>1853</v>
      </c>
      <c r="N591" s="43" t="n">
        <f aca="false">L591-M591</f>
        <v>2065</v>
      </c>
    </row>
    <row r="592" customFormat="false" ht="15" hidden="false" customHeight="false" outlineLevel="0" collapsed="false">
      <c r="A592" s="40" t="n">
        <v>45931</v>
      </c>
      <c r="B592" s="41" t="n">
        <v>2025</v>
      </c>
      <c r="C592" s="41" t="n">
        <v>10</v>
      </c>
      <c r="D592" s="41" t="s">
        <v>55</v>
      </c>
      <c r="E592" s="41" t="s">
        <v>46</v>
      </c>
      <c r="F592" s="41" t="s">
        <v>42</v>
      </c>
      <c r="G592" s="41" t="s">
        <v>37</v>
      </c>
      <c r="H592" s="42" t="n">
        <v>29</v>
      </c>
      <c r="I592" s="42" t="n">
        <v>42</v>
      </c>
      <c r="J592" s="42" t="n">
        <v>5051</v>
      </c>
      <c r="K592" s="42" t="n">
        <v>256</v>
      </c>
      <c r="L592" s="43" t="n">
        <f aca="false">J592-K592</f>
        <v>4795</v>
      </c>
      <c r="M592" s="42" t="n">
        <v>2553</v>
      </c>
      <c r="N592" s="43" t="n">
        <f aca="false">L592-M592</f>
        <v>2242</v>
      </c>
    </row>
    <row r="593" customFormat="false" ht="15" hidden="false" customHeight="false" outlineLevel="0" collapsed="false">
      <c r="A593" s="40" t="n">
        <v>45931</v>
      </c>
      <c r="B593" s="41" t="n">
        <v>2025</v>
      </c>
      <c r="C593" s="41" t="n">
        <v>10</v>
      </c>
      <c r="D593" s="41" t="s">
        <v>55</v>
      </c>
      <c r="E593" s="41" t="s">
        <v>46</v>
      </c>
      <c r="F593" s="41" t="s">
        <v>42</v>
      </c>
      <c r="G593" s="41" t="s">
        <v>38</v>
      </c>
      <c r="H593" s="42" t="n">
        <v>48</v>
      </c>
      <c r="I593" s="42" t="n">
        <v>72</v>
      </c>
      <c r="J593" s="42" t="n">
        <v>4923</v>
      </c>
      <c r="K593" s="42" t="n">
        <v>304</v>
      </c>
      <c r="L593" s="43" t="n">
        <f aca="false">J593-K593</f>
        <v>4619</v>
      </c>
      <c r="M593" s="42" t="n">
        <v>2121</v>
      </c>
      <c r="N593" s="43" t="n">
        <f aca="false">L593-M593</f>
        <v>2498</v>
      </c>
    </row>
    <row r="594" customFormat="false" ht="15" hidden="false" customHeight="false" outlineLevel="0" collapsed="false">
      <c r="A594" s="40" t="n">
        <v>45931</v>
      </c>
      <c r="B594" s="41" t="n">
        <v>2025</v>
      </c>
      <c r="C594" s="41" t="n">
        <v>10</v>
      </c>
      <c r="D594" s="41" t="s">
        <v>55</v>
      </c>
      <c r="E594" s="41" t="s">
        <v>46</v>
      </c>
      <c r="F594" s="41" t="s">
        <v>42</v>
      </c>
      <c r="G594" s="41" t="s">
        <v>39</v>
      </c>
      <c r="H594" s="42" t="n">
        <v>76</v>
      </c>
      <c r="I594" s="42" t="n">
        <v>108</v>
      </c>
      <c r="J594" s="42" t="n">
        <v>5891</v>
      </c>
      <c r="K594" s="42" t="n">
        <v>651</v>
      </c>
      <c r="L594" s="43" t="n">
        <f aca="false">J594-K594</f>
        <v>5240</v>
      </c>
      <c r="M594" s="42" t="n">
        <v>2138</v>
      </c>
      <c r="N594" s="43" t="n">
        <f aca="false">L594-M594</f>
        <v>3102</v>
      </c>
    </row>
    <row r="595" customFormat="false" ht="15" hidden="false" customHeight="false" outlineLevel="0" collapsed="false">
      <c r="A595" s="40" t="n">
        <v>45931</v>
      </c>
      <c r="B595" s="41" t="n">
        <v>2025</v>
      </c>
      <c r="C595" s="41" t="n">
        <v>10</v>
      </c>
      <c r="D595" s="41" t="s">
        <v>55</v>
      </c>
      <c r="E595" s="41" t="s">
        <v>46</v>
      </c>
      <c r="F595" s="41" t="s">
        <v>42</v>
      </c>
      <c r="G595" s="41" t="s">
        <v>40</v>
      </c>
      <c r="H595" s="42" t="n">
        <v>29</v>
      </c>
      <c r="I595" s="42" t="n">
        <v>44</v>
      </c>
      <c r="J595" s="42" t="n">
        <v>3439</v>
      </c>
      <c r="K595" s="42" t="n">
        <v>492</v>
      </c>
      <c r="L595" s="43" t="n">
        <f aca="false">J595-K595</f>
        <v>2947</v>
      </c>
      <c r="M595" s="42" t="n">
        <v>1715</v>
      </c>
      <c r="N595" s="43" t="n">
        <f aca="false">L595-M595</f>
        <v>1232</v>
      </c>
    </row>
    <row r="596" customFormat="false" ht="15" hidden="false" customHeight="false" outlineLevel="0" collapsed="false">
      <c r="A596" s="40" t="n">
        <v>45931</v>
      </c>
      <c r="B596" s="41" t="n">
        <v>2025</v>
      </c>
      <c r="C596" s="41" t="n">
        <v>10</v>
      </c>
      <c r="D596" s="41" t="s">
        <v>55</v>
      </c>
      <c r="E596" s="41" t="s">
        <v>46</v>
      </c>
      <c r="F596" s="41" t="s">
        <v>42</v>
      </c>
      <c r="G596" s="41" t="s">
        <v>41</v>
      </c>
      <c r="H596" s="42" t="n">
        <v>49</v>
      </c>
      <c r="I596" s="42" t="n">
        <v>58</v>
      </c>
      <c r="J596" s="42" t="n">
        <v>2752</v>
      </c>
      <c r="K596" s="42" t="n">
        <v>120</v>
      </c>
      <c r="L596" s="43" t="n">
        <f aca="false">J596-K596</f>
        <v>2632</v>
      </c>
      <c r="M596" s="42" t="n">
        <v>1310</v>
      </c>
      <c r="N596" s="43" t="n">
        <f aca="false">L596-M596</f>
        <v>1322</v>
      </c>
    </row>
    <row r="597" customFormat="false" ht="15" hidden="false" customHeight="false" outlineLevel="0" collapsed="false">
      <c r="A597" s="40" t="n">
        <v>45931</v>
      </c>
      <c r="B597" s="41" t="n">
        <v>2025</v>
      </c>
      <c r="C597" s="41" t="n">
        <v>10</v>
      </c>
      <c r="D597" s="41" t="s">
        <v>55</v>
      </c>
      <c r="E597" s="41" t="s">
        <v>46</v>
      </c>
      <c r="F597" s="41" t="s">
        <v>43</v>
      </c>
      <c r="G597" s="41" t="s">
        <v>37</v>
      </c>
      <c r="H597" s="42" t="n">
        <v>19</v>
      </c>
      <c r="I597" s="42" t="n">
        <v>29</v>
      </c>
      <c r="J597" s="42" t="n">
        <v>3782</v>
      </c>
      <c r="K597" s="42" t="n">
        <v>97</v>
      </c>
      <c r="L597" s="43" t="n">
        <f aca="false">J597-K597</f>
        <v>3685</v>
      </c>
      <c r="M597" s="42" t="n">
        <v>1905</v>
      </c>
      <c r="N597" s="43" t="n">
        <f aca="false">L597-M597</f>
        <v>1780</v>
      </c>
    </row>
    <row r="598" customFormat="false" ht="15" hidden="false" customHeight="false" outlineLevel="0" collapsed="false">
      <c r="A598" s="40" t="n">
        <v>45931</v>
      </c>
      <c r="B598" s="41" t="n">
        <v>2025</v>
      </c>
      <c r="C598" s="41" t="n">
        <v>10</v>
      </c>
      <c r="D598" s="41" t="s">
        <v>55</v>
      </c>
      <c r="E598" s="41" t="s">
        <v>46</v>
      </c>
      <c r="F598" s="41" t="s">
        <v>43</v>
      </c>
      <c r="G598" s="41" t="s">
        <v>38</v>
      </c>
      <c r="H598" s="42" t="n">
        <v>29</v>
      </c>
      <c r="I598" s="42" t="n">
        <v>39</v>
      </c>
      <c r="J598" s="42" t="n">
        <v>3482</v>
      </c>
      <c r="K598" s="42" t="n">
        <v>143</v>
      </c>
      <c r="L598" s="43" t="n">
        <f aca="false">J598-K598</f>
        <v>3339</v>
      </c>
      <c r="M598" s="42" t="n">
        <v>1520</v>
      </c>
      <c r="N598" s="43" t="n">
        <f aca="false">L598-M598</f>
        <v>1819</v>
      </c>
    </row>
    <row r="599" customFormat="false" ht="15" hidden="false" customHeight="false" outlineLevel="0" collapsed="false">
      <c r="A599" s="40" t="n">
        <v>45931</v>
      </c>
      <c r="B599" s="41" t="n">
        <v>2025</v>
      </c>
      <c r="C599" s="41" t="n">
        <v>10</v>
      </c>
      <c r="D599" s="41" t="s">
        <v>55</v>
      </c>
      <c r="E599" s="41" t="s">
        <v>46</v>
      </c>
      <c r="F599" s="41" t="s">
        <v>43</v>
      </c>
      <c r="G599" s="41" t="s">
        <v>39</v>
      </c>
      <c r="H599" s="42" t="n">
        <v>44</v>
      </c>
      <c r="I599" s="42" t="n">
        <v>67</v>
      </c>
      <c r="J599" s="42" t="n">
        <v>3931</v>
      </c>
      <c r="K599" s="42" t="n">
        <v>289</v>
      </c>
      <c r="L599" s="43" t="n">
        <f aca="false">J599-K599</f>
        <v>3642</v>
      </c>
      <c r="M599" s="42" t="n">
        <v>1416</v>
      </c>
      <c r="N599" s="43" t="n">
        <f aca="false">L599-M599</f>
        <v>2226</v>
      </c>
    </row>
    <row r="600" customFormat="false" ht="15" hidden="false" customHeight="false" outlineLevel="0" collapsed="false">
      <c r="A600" s="40" t="n">
        <v>45931</v>
      </c>
      <c r="B600" s="41" t="n">
        <v>2025</v>
      </c>
      <c r="C600" s="41" t="n">
        <v>10</v>
      </c>
      <c r="D600" s="41" t="s">
        <v>55</v>
      </c>
      <c r="E600" s="41" t="s">
        <v>46</v>
      </c>
      <c r="F600" s="41" t="s">
        <v>43</v>
      </c>
      <c r="G600" s="41" t="s">
        <v>40</v>
      </c>
      <c r="H600" s="42" t="n">
        <v>17</v>
      </c>
      <c r="I600" s="42" t="n">
        <v>25</v>
      </c>
      <c r="J600" s="42" t="n">
        <v>2322</v>
      </c>
      <c r="K600" s="42" t="n">
        <v>189</v>
      </c>
      <c r="L600" s="43" t="n">
        <f aca="false">J600-K600</f>
        <v>2133</v>
      </c>
      <c r="M600" s="42" t="n">
        <v>1174</v>
      </c>
      <c r="N600" s="43" t="n">
        <f aca="false">L600-M600</f>
        <v>959</v>
      </c>
    </row>
    <row r="601" customFormat="false" ht="15" hidden="false" customHeight="false" outlineLevel="0" collapsed="false">
      <c r="A601" s="40" t="n">
        <v>45931</v>
      </c>
      <c r="B601" s="41" t="n">
        <v>2025</v>
      </c>
      <c r="C601" s="41" t="n">
        <v>10</v>
      </c>
      <c r="D601" s="41" t="s">
        <v>55</v>
      </c>
      <c r="E601" s="41" t="s">
        <v>46</v>
      </c>
      <c r="F601" s="41" t="s">
        <v>43</v>
      </c>
      <c r="G601" s="41" t="s">
        <v>41</v>
      </c>
      <c r="H601" s="42" t="n">
        <v>31</v>
      </c>
      <c r="I601" s="42" t="n">
        <v>37</v>
      </c>
      <c r="J601" s="42" t="n">
        <v>1981</v>
      </c>
      <c r="K601" s="42" t="n">
        <v>46</v>
      </c>
      <c r="L601" s="43" t="n">
        <f aca="false">J601-K601</f>
        <v>1935</v>
      </c>
      <c r="M601" s="42" t="n">
        <v>903</v>
      </c>
      <c r="N601" s="43" t="n">
        <f aca="false">L601-M601</f>
        <v>1032</v>
      </c>
    </row>
    <row r="602" customFormat="false" ht="15" hidden="false" customHeight="false" outlineLevel="0" collapsed="false">
      <c r="A602" s="40" t="n">
        <v>45962</v>
      </c>
      <c r="B602" s="41" t="n">
        <v>2025</v>
      </c>
      <c r="C602" s="41" t="n">
        <v>11</v>
      </c>
      <c r="D602" s="41" t="s">
        <v>56</v>
      </c>
      <c r="E602" s="41" t="s">
        <v>35</v>
      </c>
      <c r="F602" s="41" t="s">
        <v>36</v>
      </c>
      <c r="G602" s="41" t="s">
        <v>37</v>
      </c>
      <c r="H602" s="42" t="n">
        <v>96</v>
      </c>
      <c r="I602" s="42" t="n">
        <v>145</v>
      </c>
      <c r="J602" s="42" t="n">
        <v>18215</v>
      </c>
      <c r="K602" s="42" t="n">
        <v>659</v>
      </c>
      <c r="L602" s="43" t="n">
        <f aca="false">J602-K602</f>
        <v>17556</v>
      </c>
      <c r="M602" s="42" t="n">
        <v>9331</v>
      </c>
      <c r="N602" s="43" t="n">
        <f aca="false">L602-M602</f>
        <v>8225</v>
      </c>
    </row>
    <row r="603" customFormat="false" ht="15" hidden="false" customHeight="false" outlineLevel="0" collapsed="false">
      <c r="A603" s="40" t="n">
        <v>45962</v>
      </c>
      <c r="B603" s="41" t="n">
        <v>2025</v>
      </c>
      <c r="C603" s="41" t="n">
        <v>11</v>
      </c>
      <c r="D603" s="41" t="s">
        <v>56</v>
      </c>
      <c r="E603" s="41" t="s">
        <v>35</v>
      </c>
      <c r="F603" s="41" t="s">
        <v>36</v>
      </c>
      <c r="G603" s="41" t="s">
        <v>38</v>
      </c>
      <c r="H603" s="42" t="n">
        <v>152</v>
      </c>
      <c r="I603" s="42" t="n">
        <v>218</v>
      </c>
      <c r="J603" s="42" t="n">
        <v>17064</v>
      </c>
      <c r="K603" s="42" t="n">
        <v>868</v>
      </c>
      <c r="L603" s="43" t="n">
        <f aca="false">J603-K603</f>
        <v>16196</v>
      </c>
      <c r="M603" s="42" t="n">
        <v>7179</v>
      </c>
      <c r="N603" s="43" t="n">
        <f aca="false">L603-M603</f>
        <v>9017</v>
      </c>
    </row>
    <row r="604" customFormat="false" ht="15" hidden="false" customHeight="false" outlineLevel="0" collapsed="false">
      <c r="A604" s="40" t="n">
        <v>45962</v>
      </c>
      <c r="B604" s="41" t="n">
        <v>2025</v>
      </c>
      <c r="C604" s="41" t="n">
        <v>11</v>
      </c>
      <c r="D604" s="41" t="s">
        <v>56</v>
      </c>
      <c r="E604" s="41" t="s">
        <v>35</v>
      </c>
      <c r="F604" s="41" t="s">
        <v>36</v>
      </c>
      <c r="G604" s="41" t="s">
        <v>39</v>
      </c>
      <c r="H604" s="42" t="n">
        <v>187</v>
      </c>
      <c r="I604" s="42" t="n">
        <v>245</v>
      </c>
      <c r="J604" s="42" t="n">
        <v>15740</v>
      </c>
      <c r="K604" s="42" t="n">
        <v>1518</v>
      </c>
      <c r="L604" s="43" t="n">
        <f aca="false">J604-K604</f>
        <v>14222</v>
      </c>
      <c r="M604" s="42" t="n">
        <v>5447</v>
      </c>
      <c r="N604" s="43" t="n">
        <f aca="false">L604-M604</f>
        <v>8775</v>
      </c>
    </row>
    <row r="605" customFormat="false" ht="15" hidden="false" customHeight="false" outlineLevel="0" collapsed="false">
      <c r="A605" s="40" t="n">
        <v>45962</v>
      </c>
      <c r="B605" s="41" t="n">
        <v>2025</v>
      </c>
      <c r="C605" s="41" t="n">
        <v>11</v>
      </c>
      <c r="D605" s="41" t="s">
        <v>56</v>
      </c>
      <c r="E605" s="41" t="s">
        <v>35</v>
      </c>
      <c r="F605" s="41" t="s">
        <v>36</v>
      </c>
      <c r="G605" s="41" t="s">
        <v>40</v>
      </c>
      <c r="H605" s="42" t="n">
        <v>96</v>
      </c>
      <c r="I605" s="42" t="n">
        <v>116</v>
      </c>
      <c r="J605" s="42" t="n">
        <v>12242</v>
      </c>
      <c r="K605" s="42" t="n">
        <v>1591</v>
      </c>
      <c r="L605" s="43" t="n">
        <f aca="false">J605-K605</f>
        <v>10651</v>
      </c>
      <c r="M605" s="42" t="n">
        <v>5918</v>
      </c>
      <c r="N605" s="43" t="n">
        <f aca="false">L605-M605</f>
        <v>4733</v>
      </c>
    </row>
    <row r="606" customFormat="false" ht="15" hidden="false" customHeight="false" outlineLevel="0" collapsed="false">
      <c r="A606" s="40" t="n">
        <v>45962</v>
      </c>
      <c r="B606" s="41" t="n">
        <v>2025</v>
      </c>
      <c r="C606" s="41" t="n">
        <v>11</v>
      </c>
      <c r="D606" s="41" t="s">
        <v>56</v>
      </c>
      <c r="E606" s="41" t="s">
        <v>35</v>
      </c>
      <c r="F606" s="41" t="s">
        <v>36</v>
      </c>
      <c r="G606" s="41" t="s">
        <v>41</v>
      </c>
      <c r="H606" s="42" t="n">
        <v>131</v>
      </c>
      <c r="I606" s="42" t="n">
        <v>165</v>
      </c>
      <c r="J606" s="42" t="n">
        <v>7986</v>
      </c>
      <c r="K606" s="42" t="n">
        <v>241</v>
      </c>
      <c r="L606" s="43" t="n">
        <f aca="false">J606-K606</f>
        <v>7745</v>
      </c>
      <c r="M606" s="42" t="n">
        <v>3705</v>
      </c>
      <c r="N606" s="43" t="n">
        <f aca="false">L606-M606</f>
        <v>4040</v>
      </c>
    </row>
    <row r="607" customFormat="false" ht="15" hidden="false" customHeight="false" outlineLevel="0" collapsed="false">
      <c r="A607" s="40" t="n">
        <v>45962</v>
      </c>
      <c r="B607" s="41" t="n">
        <v>2025</v>
      </c>
      <c r="C607" s="41" t="n">
        <v>11</v>
      </c>
      <c r="D607" s="41" t="s">
        <v>56</v>
      </c>
      <c r="E607" s="41" t="s">
        <v>35</v>
      </c>
      <c r="F607" s="41" t="s">
        <v>42</v>
      </c>
      <c r="G607" s="41" t="s">
        <v>37</v>
      </c>
      <c r="H607" s="42" t="n">
        <v>77</v>
      </c>
      <c r="I607" s="42" t="n">
        <v>101</v>
      </c>
      <c r="J607" s="42" t="n">
        <v>13454</v>
      </c>
      <c r="K607" s="42" t="n">
        <v>668</v>
      </c>
      <c r="L607" s="43" t="n">
        <f aca="false">J607-K607</f>
        <v>12786</v>
      </c>
      <c r="M607" s="42" t="n">
        <v>7179</v>
      </c>
      <c r="N607" s="43" t="n">
        <f aca="false">L607-M607</f>
        <v>5607</v>
      </c>
    </row>
    <row r="608" customFormat="false" ht="15" hidden="false" customHeight="false" outlineLevel="0" collapsed="false">
      <c r="A608" s="40" t="n">
        <v>45962</v>
      </c>
      <c r="B608" s="41" t="n">
        <v>2025</v>
      </c>
      <c r="C608" s="41" t="n">
        <v>11</v>
      </c>
      <c r="D608" s="41" t="s">
        <v>56</v>
      </c>
      <c r="E608" s="41" t="s">
        <v>35</v>
      </c>
      <c r="F608" s="41" t="s">
        <v>42</v>
      </c>
      <c r="G608" s="41" t="s">
        <v>38</v>
      </c>
      <c r="H608" s="42" t="n">
        <v>92</v>
      </c>
      <c r="I608" s="42" t="n">
        <v>129</v>
      </c>
      <c r="J608" s="42" t="n">
        <v>9440</v>
      </c>
      <c r="K608" s="42" t="n">
        <v>595</v>
      </c>
      <c r="L608" s="43" t="n">
        <f aca="false">J608-K608</f>
        <v>8845</v>
      </c>
      <c r="M608" s="42" t="n">
        <v>4254</v>
      </c>
      <c r="N608" s="43" t="n">
        <f aca="false">L608-M608</f>
        <v>4591</v>
      </c>
    </row>
    <row r="609" customFormat="false" ht="15" hidden="false" customHeight="false" outlineLevel="0" collapsed="false">
      <c r="A609" s="40" t="n">
        <v>45962</v>
      </c>
      <c r="B609" s="41" t="n">
        <v>2025</v>
      </c>
      <c r="C609" s="41" t="n">
        <v>11</v>
      </c>
      <c r="D609" s="41" t="s">
        <v>56</v>
      </c>
      <c r="E609" s="41" t="s">
        <v>35</v>
      </c>
      <c r="F609" s="41" t="s">
        <v>42</v>
      </c>
      <c r="G609" s="41" t="s">
        <v>39</v>
      </c>
      <c r="H609" s="42" t="n">
        <v>164</v>
      </c>
      <c r="I609" s="42" t="n">
        <v>245</v>
      </c>
      <c r="J609" s="42" t="n">
        <v>12659</v>
      </c>
      <c r="K609" s="42" t="n">
        <v>1483</v>
      </c>
      <c r="L609" s="43" t="n">
        <f aca="false">J609-K609</f>
        <v>11176</v>
      </c>
      <c r="M609" s="42" t="n">
        <v>4678</v>
      </c>
      <c r="N609" s="43" t="n">
        <f aca="false">L609-M609</f>
        <v>6498</v>
      </c>
    </row>
    <row r="610" customFormat="false" ht="15" hidden="false" customHeight="false" outlineLevel="0" collapsed="false">
      <c r="A610" s="40" t="n">
        <v>45962</v>
      </c>
      <c r="B610" s="41" t="n">
        <v>2025</v>
      </c>
      <c r="C610" s="41" t="n">
        <v>11</v>
      </c>
      <c r="D610" s="41" t="s">
        <v>56</v>
      </c>
      <c r="E610" s="41" t="s">
        <v>35</v>
      </c>
      <c r="F610" s="41" t="s">
        <v>42</v>
      </c>
      <c r="G610" s="41" t="s">
        <v>40</v>
      </c>
      <c r="H610" s="42" t="n">
        <v>78</v>
      </c>
      <c r="I610" s="42" t="n">
        <v>106</v>
      </c>
      <c r="J610" s="42" t="n">
        <v>9241</v>
      </c>
      <c r="K610" s="42" t="n">
        <v>1657</v>
      </c>
      <c r="L610" s="43" t="n">
        <f aca="false">J610-K610</f>
        <v>7584</v>
      </c>
      <c r="M610" s="42" t="n">
        <v>4394</v>
      </c>
      <c r="N610" s="43" t="n">
        <f aca="false">L610-M610</f>
        <v>3190</v>
      </c>
    </row>
    <row r="611" customFormat="false" ht="15" hidden="false" customHeight="false" outlineLevel="0" collapsed="false">
      <c r="A611" s="40" t="n">
        <v>45962</v>
      </c>
      <c r="B611" s="41" t="n">
        <v>2025</v>
      </c>
      <c r="C611" s="41" t="n">
        <v>11</v>
      </c>
      <c r="D611" s="41" t="s">
        <v>56</v>
      </c>
      <c r="E611" s="41" t="s">
        <v>35</v>
      </c>
      <c r="F611" s="41" t="s">
        <v>42</v>
      </c>
      <c r="G611" s="41" t="s">
        <v>41</v>
      </c>
      <c r="H611" s="42" t="n">
        <v>95</v>
      </c>
      <c r="I611" s="42" t="n">
        <v>122</v>
      </c>
      <c r="J611" s="42" t="n">
        <v>5348</v>
      </c>
      <c r="K611" s="42" t="n">
        <v>205</v>
      </c>
      <c r="L611" s="43" t="n">
        <f aca="false">J611-K611</f>
        <v>5143</v>
      </c>
      <c r="M611" s="42" t="n">
        <v>2531</v>
      </c>
      <c r="N611" s="43" t="n">
        <f aca="false">L611-M611</f>
        <v>2612</v>
      </c>
    </row>
    <row r="612" customFormat="false" ht="15" hidden="false" customHeight="false" outlineLevel="0" collapsed="false">
      <c r="A612" s="40" t="n">
        <v>45962</v>
      </c>
      <c r="B612" s="41" t="n">
        <v>2025</v>
      </c>
      <c r="C612" s="41" t="n">
        <v>11</v>
      </c>
      <c r="D612" s="41" t="s">
        <v>56</v>
      </c>
      <c r="E612" s="41" t="s">
        <v>35</v>
      </c>
      <c r="F612" s="41" t="s">
        <v>43</v>
      </c>
      <c r="G612" s="41" t="s">
        <v>37</v>
      </c>
      <c r="H612" s="42" t="n">
        <v>36</v>
      </c>
      <c r="I612" s="42" t="n">
        <v>46</v>
      </c>
      <c r="J612" s="42" t="n">
        <v>7229</v>
      </c>
      <c r="K612" s="42" t="n">
        <v>178</v>
      </c>
      <c r="L612" s="43" t="n">
        <f aca="false">J612-K612</f>
        <v>7051</v>
      </c>
      <c r="M612" s="42" t="n">
        <v>3782</v>
      </c>
      <c r="N612" s="43" t="n">
        <f aca="false">L612-M612</f>
        <v>3269</v>
      </c>
    </row>
    <row r="613" customFormat="false" ht="15" hidden="false" customHeight="false" outlineLevel="0" collapsed="false">
      <c r="A613" s="40" t="n">
        <v>45962</v>
      </c>
      <c r="B613" s="41" t="n">
        <v>2025</v>
      </c>
      <c r="C613" s="41" t="n">
        <v>11</v>
      </c>
      <c r="D613" s="41" t="s">
        <v>56</v>
      </c>
      <c r="E613" s="41" t="s">
        <v>35</v>
      </c>
      <c r="F613" s="41" t="s">
        <v>43</v>
      </c>
      <c r="G613" s="41" t="s">
        <v>38</v>
      </c>
      <c r="H613" s="42" t="n">
        <v>60</v>
      </c>
      <c r="I613" s="42" t="n">
        <v>72</v>
      </c>
      <c r="J613" s="42" t="n">
        <v>7108</v>
      </c>
      <c r="K613" s="42" t="n">
        <v>231</v>
      </c>
      <c r="L613" s="43" t="n">
        <f aca="false">J613-K613</f>
        <v>6877</v>
      </c>
      <c r="M613" s="42" t="n">
        <v>3089</v>
      </c>
      <c r="N613" s="43" t="n">
        <f aca="false">L613-M613</f>
        <v>3788</v>
      </c>
    </row>
    <row r="614" customFormat="false" ht="15" hidden="false" customHeight="false" outlineLevel="0" collapsed="false">
      <c r="A614" s="40" t="n">
        <v>45962</v>
      </c>
      <c r="B614" s="41" t="n">
        <v>2025</v>
      </c>
      <c r="C614" s="41" t="n">
        <v>11</v>
      </c>
      <c r="D614" s="41" t="s">
        <v>56</v>
      </c>
      <c r="E614" s="41" t="s">
        <v>35</v>
      </c>
      <c r="F614" s="41" t="s">
        <v>43</v>
      </c>
      <c r="G614" s="41" t="s">
        <v>39</v>
      </c>
      <c r="H614" s="42" t="n">
        <v>93</v>
      </c>
      <c r="I614" s="42" t="n">
        <v>114</v>
      </c>
      <c r="J614" s="42" t="n">
        <v>8258</v>
      </c>
      <c r="K614" s="42" t="n">
        <v>479</v>
      </c>
      <c r="L614" s="43" t="n">
        <f aca="false">J614-K614</f>
        <v>7779</v>
      </c>
      <c r="M614" s="42" t="n">
        <v>2945</v>
      </c>
      <c r="N614" s="43" t="n">
        <f aca="false">L614-M614</f>
        <v>4834</v>
      </c>
    </row>
    <row r="615" customFormat="false" ht="15" hidden="false" customHeight="false" outlineLevel="0" collapsed="false">
      <c r="A615" s="40" t="n">
        <v>45962</v>
      </c>
      <c r="B615" s="41" t="n">
        <v>2025</v>
      </c>
      <c r="C615" s="41" t="n">
        <v>11</v>
      </c>
      <c r="D615" s="41" t="s">
        <v>56</v>
      </c>
      <c r="E615" s="41" t="s">
        <v>35</v>
      </c>
      <c r="F615" s="41" t="s">
        <v>43</v>
      </c>
      <c r="G615" s="41" t="s">
        <v>40</v>
      </c>
      <c r="H615" s="42" t="n">
        <v>52</v>
      </c>
      <c r="I615" s="42" t="n">
        <v>77</v>
      </c>
      <c r="J615" s="42" t="n">
        <v>7035</v>
      </c>
      <c r="K615" s="42" t="n">
        <v>493</v>
      </c>
      <c r="L615" s="43" t="n">
        <f aca="false">J615-K615</f>
        <v>6542</v>
      </c>
      <c r="M615" s="42" t="n">
        <v>3645</v>
      </c>
      <c r="N615" s="43" t="n">
        <f aca="false">L615-M615</f>
        <v>2897</v>
      </c>
    </row>
    <row r="616" customFormat="false" ht="15" hidden="false" customHeight="false" outlineLevel="0" collapsed="false">
      <c r="A616" s="40" t="n">
        <v>45962</v>
      </c>
      <c r="B616" s="41" t="n">
        <v>2025</v>
      </c>
      <c r="C616" s="41" t="n">
        <v>11</v>
      </c>
      <c r="D616" s="41" t="s">
        <v>56</v>
      </c>
      <c r="E616" s="41" t="s">
        <v>35</v>
      </c>
      <c r="F616" s="41" t="s">
        <v>43</v>
      </c>
      <c r="G616" s="41" t="s">
        <v>41</v>
      </c>
      <c r="H616" s="42" t="n">
        <v>72</v>
      </c>
      <c r="I616" s="42" t="n">
        <v>101</v>
      </c>
      <c r="J616" s="42" t="n">
        <v>4676</v>
      </c>
      <c r="K616" s="42" t="n">
        <v>83</v>
      </c>
      <c r="L616" s="43" t="n">
        <f aca="false">J616-K616</f>
        <v>4593</v>
      </c>
      <c r="M616" s="42" t="n">
        <v>2203</v>
      </c>
      <c r="N616" s="43" t="n">
        <f aca="false">L616-M616</f>
        <v>2390</v>
      </c>
    </row>
    <row r="617" customFormat="false" ht="15" hidden="false" customHeight="false" outlineLevel="0" collapsed="false">
      <c r="A617" s="40" t="n">
        <v>45962</v>
      </c>
      <c r="B617" s="41" t="n">
        <v>2025</v>
      </c>
      <c r="C617" s="41" t="n">
        <v>11</v>
      </c>
      <c r="D617" s="41" t="s">
        <v>56</v>
      </c>
      <c r="E617" s="41" t="s">
        <v>44</v>
      </c>
      <c r="F617" s="41" t="s">
        <v>36</v>
      </c>
      <c r="G617" s="41" t="s">
        <v>37</v>
      </c>
      <c r="H617" s="42" t="n">
        <v>71</v>
      </c>
      <c r="I617" s="42" t="n">
        <v>88</v>
      </c>
      <c r="J617" s="42" t="n">
        <v>13436</v>
      </c>
      <c r="K617" s="42" t="n">
        <v>547</v>
      </c>
      <c r="L617" s="43" t="n">
        <f aca="false">J617-K617</f>
        <v>12889</v>
      </c>
      <c r="M617" s="42" t="n">
        <v>6630</v>
      </c>
      <c r="N617" s="43" t="n">
        <f aca="false">L617-M617</f>
        <v>6259</v>
      </c>
    </row>
    <row r="618" customFormat="false" ht="15" hidden="false" customHeight="false" outlineLevel="0" collapsed="false">
      <c r="A618" s="40" t="n">
        <v>45962</v>
      </c>
      <c r="B618" s="41" t="n">
        <v>2025</v>
      </c>
      <c r="C618" s="41" t="n">
        <v>11</v>
      </c>
      <c r="D618" s="41" t="s">
        <v>56</v>
      </c>
      <c r="E618" s="41" t="s">
        <v>44</v>
      </c>
      <c r="F618" s="41" t="s">
        <v>36</v>
      </c>
      <c r="G618" s="41" t="s">
        <v>38</v>
      </c>
      <c r="H618" s="42" t="n">
        <v>119</v>
      </c>
      <c r="I618" s="42" t="n">
        <v>171</v>
      </c>
      <c r="J618" s="42" t="n">
        <v>13384</v>
      </c>
      <c r="K618" s="42" t="n">
        <v>703</v>
      </c>
      <c r="L618" s="43" t="n">
        <f aca="false">J618-K618</f>
        <v>12681</v>
      </c>
      <c r="M618" s="42" t="n">
        <v>5855</v>
      </c>
      <c r="N618" s="43" t="n">
        <f aca="false">L618-M618</f>
        <v>6826</v>
      </c>
    </row>
    <row r="619" customFormat="false" ht="15" hidden="false" customHeight="false" outlineLevel="0" collapsed="false">
      <c r="A619" s="40" t="n">
        <v>45962</v>
      </c>
      <c r="B619" s="41" t="n">
        <v>2025</v>
      </c>
      <c r="C619" s="41" t="n">
        <v>11</v>
      </c>
      <c r="D619" s="41" t="s">
        <v>56</v>
      </c>
      <c r="E619" s="41" t="s">
        <v>44</v>
      </c>
      <c r="F619" s="41" t="s">
        <v>36</v>
      </c>
      <c r="G619" s="41" t="s">
        <v>39</v>
      </c>
      <c r="H619" s="42" t="n">
        <v>177</v>
      </c>
      <c r="I619" s="42" t="n">
        <v>224</v>
      </c>
      <c r="J619" s="42" t="n">
        <v>14867</v>
      </c>
      <c r="K619" s="42" t="n">
        <v>1336</v>
      </c>
      <c r="L619" s="43" t="n">
        <f aca="false">J619-K619</f>
        <v>13531</v>
      </c>
      <c r="M619" s="42" t="n">
        <v>5163</v>
      </c>
      <c r="N619" s="43" t="n">
        <f aca="false">L619-M619</f>
        <v>8368</v>
      </c>
    </row>
    <row r="620" customFormat="false" ht="15" hidden="false" customHeight="false" outlineLevel="0" collapsed="false">
      <c r="A620" s="40" t="n">
        <v>45962</v>
      </c>
      <c r="B620" s="41" t="n">
        <v>2025</v>
      </c>
      <c r="C620" s="41" t="n">
        <v>11</v>
      </c>
      <c r="D620" s="41" t="s">
        <v>56</v>
      </c>
      <c r="E620" s="41" t="s">
        <v>44</v>
      </c>
      <c r="F620" s="41" t="s">
        <v>36</v>
      </c>
      <c r="G620" s="41" t="s">
        <v>40</v>
      </c>
      <c r="H620" s="42" t="n">
        <v>70</v>
      </c>
      <c r="I620" s="42" t="n">
        <v>105</v>
      </c>
      <c r="J620" s="42" t="n">
        <v>8908</v>
      </c>
      <c r="K620" s="42" t="n">
        <v>1214</v>
      </c>
      <c r="L620" s="43" t="n">
        <f aca="false">J620-K620</f>
        <v>7694</v>
      </c>
      <c r="M620" s="42" t="n">
        <v>4180</v>
      </c>
      <c r="N620" s="43" t="n">
        <f aca="false">L620-M620</f>
        <v>3514</v>
      </c>
    </row>
    <row r="621" customFormat="false" ht="15" hidden="false" customHeight="false" outlineLevel="0" collapsed="false">
      <c r="A621" s="40" t="n">
        <v>45962</v>
      </c>
      <c r="B621" s="41" t="n">
        <v>2025</v>
      </c>
      <c r="C621" s="41" t="n">
        <v>11</v>
      </c>
      <c r="D621" s="41" t="s">
        <v>56</v>
      </c>
      <c r="E621" s="41" t="s">
        <v>44</v>
      </c>
      <c r="F621" s="41" t="s">
        <v>36</v>
      </c>
      <c r="G621" s="41" t="s">
        <v>41</v>
      </c>
      <c r="H621" s="42" t="n">
        <v>102</v>
      </c>
      <c r="I621" s="42" t="n">
        <v>147</v>
      </c>
      <c r="J621" s="42" t="n">
        <v>6242</v>
      </c>
      <c r="K621" s="42" t="n">
        <v>213</v>
      </c>
      <c r="L621" s="43" t="n">
        <f aca="false">J621-K621</f>
        <v>6029</v>
      </c>
      <c r="M621" s="42" t="n">
        <v>2968</v>
      </c>
      <c r="N621" s="43" t="n">
        <f aca="false">L621-M621</f>
        <v>3061</v>
      </c>
    </row>
    <row r="622" customFormat="false" ht="15" hidden="false" customHeight="false" outlineLevel="0" collapsed="false">
      <c r="A622" s="40" t="n">
        <v>45962</v>
      </c>
      <c r="B622" s="41" t="n">
        <v>2025</v>
      </c>
      <c r="C622" s="41" t="n">
        <v>11</v>
      </c>
      <c r="D622" s="41" t="s">
        <v>56</v>
      </c>
      <c r="E622" s="41" t="s">
        <v>44</v>
      </c>
      <c r="F622" s="41" t="s">
        <v>42</v>
      </c>
      <c r="G622" s="41" t="s">
        <v>37</v>
      </c>
      <c r="H622" s="42" t="n">
        <v>50</v>
      </c>
      <c r="I622" s="42" t="n">
        <v>75</v>
      </c>
      <c r="J622" s="42" t="n">
        <v>8638</v>
      </c>
      <c r="K622" s="42" t="n">
        <v>528</v>
      </c>
      <c r="L622" s="43" t="n">
        <f aca="false">J622-K622</f>
        <v>8110</v>
      </c>
      <c r="M622" s="42" t="n">
        <v>4515</v>
      </c>
      <c r="N622" s="43" t="n">
        <f aca="false">L622-M622</f>
        <v>3595</v>
      </c>
    </row>
    <row r="623" customFormat="false" ht="15" hidden="false" customHeight="false" outlineLevel="0" collapsed="false">
      <c r="A623" s="40" t="n">
        <v>45962</v>
      </c>
      <c r="B623" s="41" t="n">
        <v>2025</v>
      </c>
      <c r="C623" s="41" t="n">
        <v>11</v>
      </c>
      <c r="D623" s="41" t="s">
        <v>56</v>
      </c>
      <c r="E623" s="41" t="s">
        <v>44</v>
      </c>
      <c r="F623" s="41" t="s">
        <v>42</v>
      </c>
      <c r="G623" s="41" t="s">
        <v>38</v>
      </c>
      <c r="H623" s="42" t="n">
        <v>77</v>
      </c>
      <c r="I623" s="42" t="n">
        <v>95</v>
      </c>
      <c r="J623" s="42" t="n">
        <v>7927</v>
      </c>
      <c r="K623" s="42" t="n">
        <v>605</v>
      </c>
      <c r="L623" s="43" t="n">
        <f aca="false">J623-K623</f>
        <v>7322</v>
      </c>
      <c r="M623" s="42" t="n">
        <v>3419</v>
      </c>
      <c r="N623" s="43" t="n">
        <f aca="false">L623-M623</f>
        <v>3903</v>
      </c>
    </row>
    <row r="624" customFormat="false" ht="15" hidden="false" customHeight="false" outlineLevel="0" collapsed="false">
      <c r="A624" s="40" t="n">
        <v>45962</v>
      </c>
      <c r="B624" s="41" t="n">
        <v>2025</v>
      </c>
      <c r="C624" s="41" t="n">
        <v>11</v>
      </c>
      <c r="D624" s="41" t="s">
        <v>56</v>
      </c>
      <c r="E624" s="41" t="s">
        <v>44</v>
      </c>
      <c r="F624" s="41" t="s">
        <v>42</v>
      </c>
      <c r="G624" s="41" t="s">
        <v>39</v>
      </c>
      <c r="H624" s="42" t="n">
        <v>124</v>
      </c>
      <c r="I624" s="42" t="n">
        <v>173</v>
      </c>
      <c r="J624" s="42" t="n">
        <v>9554</v>
      </c>
      <c r="K624" s="42" t="n">
        <v>1222</v>
      </c>
      <c r="L624" s="43" t="n">
        <f aca="false">J624-K624</f>
        <v>8332</v>
      </c>
      <c r="M624" s="42" t="n">
        <v>3521</v>
      </c>
      <c r="N624" s="43" t="n">
        <f aca="false">L624-M624</f>
        <v>4811</v>
      </c>
    </row>
    <row r="625" customFormat="false" ht="15" hidden="false" customHeight="false" outlineLevel="0" collapsed="false">
      <c r="A625" s="40" t="n">
        <v>45962</v>
      </c>
      <c r="B625" s="41" t="n">
        <v>2025</v>
      </c>
      <c r="C625" s="41" t="n">
        <v>11</v>
      </c>
      <c r="D625" s="41" t="s">
        <v>56</v>
      </c>
      <c r="E625" s="41" t="s">
        <v>44</v>
      </c>
      <c r="F625" s="41" t="s">
        <v>42</v>
      </c>
      <c r="G625" s="41" t="s">
        <v>40</v>
      </c>
      <c r="H625" s="42" t="n">
        <v>56</v>
      </c>
      <c r="I625" s="42" t="n">
        <v>65</v>
      </c>
      <c r="J625" s="42" t="n">
        <v>6620</v>
      </c>
      <c r="K625" s="42" t="n">
        <v>1101</v>
      </c>
      <c r="L625" s="43" t="n">
        <f aca="false">J625-K625</f>
        <v>5519</v>
      </c>
      <c r="M625" s="42" t="n">
        <v>3159</v>
      </c>
      <c r="N625" s="43" t="n">
        <f aca="false">L625-M625</f>
        <v>2360</v>
      </c>
    </row>
    <row r="626" customFormat="false" ht="15" hidden="false" customHeight="false" outlineLevel="0" collapsed="false">
      <c r="A626" s="40" t="n">
        <v>45962</v>
      </c>
      <c r="B626" s="41" t="n">
        <v>2025</v>
      </c>
      <c r="C626" s="41" t="n">
        <v>11</v>
      </c>
      <c r="D626" s="41" t="s">
        <v>56</v>
      </c>
      <c r="E626" s="41" t="s">
        <v>44</v>
      </c>
      <c r="F626" s="41" t="s">
        <v>42</v>
      </c>
      <c r="G626" s="41" t="s">
        <v>41</v>
      </c>
      <c r="H626" s="42" t="n">
        <v>92</v>
      </c>
      <c r="I626" s="42" t="n">
        <v>135</v>
      </c>
      <c r="J626" s="42" t="n">
        <v>5187</v>
      </c>
      <c r="K626" s="42" t="n">
        <v>244</v>
      </c>
      <c r="L626" s="43" t="n">
        <f aca="false">J626-K626</f>
        <v>4943</v>
      </c>
      <c r="M626" s="42" t="n">
        <v>2542</v>
      </c>
      <c r="N626" s="43" t="n">
        <f aca="false">L626-M626</f>
        <v>2401</v>
      </c>
    </row>
    <row r="627" customFormat="false" ht="15" hidden="false" customHeight="false" outlineLevel="0" collapsed="false">
      <c r="A627" s="40" t="n">
        <v>45962</v>
      </c>
      <c r="B627" s="41" t="n">
        <v>2025</v>
      </c>
      <c r="C627" s="41" t="n">
        <v>11</v>
      </c>
      <c r="D627" s="41" t="s">
        <v>56</v>
      </c>
      <c r="E627" s="41" t="s">
        <v>44</v>
      </c>
      <c r="F627" s="41" t="s">
        <v>43</v>
      </c>
      <c r="G627" s="41" t="s">
        <v>37</v>
      </c>
      <c r="H627" s="42" t="n">
        <v>33</v>
      </c>
      <c r="I627" s="42" t="n">
        <v>45</v>
      </c>
      <c r="J627" s="42" t="n">
        <v>6536</v>
      </c>
      <c r="K627" s="42" t="n">
        <v>158</v>
      </c>
      <c r="L627" s="43" t="n">
        <f aca="false">J627-K627</f>
        <v>6378</v>
      </c>
      <c r="M627" s="42" t="n">
        <v>3340</v>
      </c>
      <c r="N627" s="43" t="n">
        <f aca="false">L627-M627</f>
        <v>3038</v>
      </c>
    </row>
    <row r="628" customFormat="false" ht="15" hidden="false" customHeight="false" outlineLevel="0" collapsed="false">
      <c r="A628" s="40" t="n">
        <v>45962</v>
      </c>
      <c r="B628" s="41" t="n">
        <v>2025</v>
      </c>
      <c r="C628" s="41" t="n">
        <v>11</v>
      </c>
      <c r="D628" s="41" t="s">
        <v>56</v>
      </c>
      <c r="E628" s="41" t="s">
        <v>44</v>
      </c>
      <c r="F628" s="41" t="s">
        <v>43</v>
      </c>
      <c r="G628" s="41" t="s">
        <v>38</v>
      </c>
      <c r="H628" s="42" t="n">
        <v>49</v>
      </c>
      <c r="I628" s="42" t="n">
        <v>58</v>
      </c>
      <c r="J628" s="42" t="n">
        <v>5858</v>
      </c>
      <c r="K628" s="42" t="n">
        <v>220</v>
      </c>
      <c r="L628" s="43" t="n">
        <f aca="false">J628-K628</f>
        <v>5638</v>
      </c>
      <c r="M628" s="42" t="n">
        <v>2486</v>
      </c>
      <c r="N628" s="43" t="n">
        <f aca="false">L628-M628</f>
        <v>3152</v>
      </c>
    </row>
    <row r="629" customFormat="false" ht="15" hidden="false" customHeight="false" outlineLevel="0" collapsed="false">
      <c r="A629" s="40" t="n">
        <v>45962</v>
      </c>
      <c r="B629" s="41" t="n">
        <v>2025</v>
      </c>
      <c r="C629" s="41" t="n">
        <v>11</v>
      </c>
      <c r="D629" s="41" t="s">
        <v>56</v>
      </c>
      <c r="E629" s="41" t="s">
        <v>44</v>
      </c>
      <c r="F629" s="41" t="s">
        <v>43</v>
      </c>
      <c r="G629" s="41" t="s">
        <v>39</v>
      </c>
      <c r="H629" s="42" t="n">
        <v>75</v>
      </c>
      <c r="I629" s="42" t="n">
        <v>119</v>
      </c>
      <c r="J629" s="42" t="n">
        <v>6711</v>
      </c>
      <c r="K629" s="42" t="n">
        <v>393</v>
      </c>
      <c r="L629" s="43" t="n">
        <f aca="false">J629-K629</f>
        <v>6318</v>
      </c>
      <c r="M629" s="42" t="n">
        <v>2396</v>
      </c>
      <c r="N629" s="43" t="n">
        <f aca="false">L629-M629</f>
        <v>3922</v>
      </c>
    </row>
    <row r="630" customFormat="false" ht="15" hidden="false" customHeight="false" outlineLevel="0" collapsed="false">
      <c r="A630" s="40" t="n">
        <v>45962</v>
      </c>
      <c r="B630" s="41" t="n">
        <v>2025</v>
      </c>
      <c r="C630" s="41" t="n">
        <v>11</v>
      </c>
      <c r="D630" s="41" t="s">
        <v>56</v>
      </c>
      <c r="E630" s="41" t="s">
        <v>44</v>
      </c>
      <c r="F630" s="41" t="s">
        <v>43</v>
      </c>
      <c r="G630" s="41" t="s">
        <v>40</v>
      </c>
      <c r="H630" s="42" t="n">
        <v>36</v>
      </c>
      <c r="I630" s="42" t="n">
        <v>44</v>
      </c>
      <c r="J630" s="42" t="n">
        <v>4827</v>
      </c>
      <c r="K630" s="42" t="n">
        <v>442</v>
      </c>
      <c r="L630" s="43" t="n">
        <f aca="false">J630-K630</f>
        <v>4385</v>
      </c>
      <c r="M630" s="42" t="n">
        <v>2340</v>
      </c>
      <c r="N630" s="43" t="n">
        <f aca="false">L630-M630</f>
        <v>2045</v>
      </c>
    </row>
    <row r="631" customFormat="false" ht="15" hidden="false" customHeight="false" outlineLevel="0" collapsed="false">
      <c r="A631" s="40" t="n">
        <v>45962</v>
      </c>
      <c r="B631" s="41" t="n">
        <v>2025</v>
      </c>
      <c r="C631" s="41" t="n">
        <v>11</v>
      </c>
      <c r="D631" s="41" t="s">
        <v>56</v>
      </c>
      <c r="E631" s="41" t="s">
        <v>44</v>
      </c>
      <c r="F631" s="41" t="s">
        <v>43</v>
      </c>
      <c r="G631" s="41" t="s">
        <v>41</v>
      </c>
      <c r="H631" s="42" t="n">
        <v>55</v>
      </c>
      <c r="I631" s="42" t="n">
        <v>84</v>
      </c>
      <c r="J631" s="42" t="n">
        <v>3586</v>
      </c>
      <c r="K631" s="42" t="n">
        <v>84</v>
      </c>
      <c r="L631" s="43" t="n">
        <f aca="false">J631-K631</f>
        <v>3502</v>
      </c>
      <c r="M631" s="42" t="n">
        <v>1673</v>
      </c>
      <c r="N631" s="43" t="n">
        <f aca="false">L631-M631</f>
        <v>1829</v>
      </c>
    </row>
    <row r="632" customFormat="false" ht="15" hidden="false" customHeight="false" outlineLevel="0" collapsed="false">
      <c r="A632" s="40" t="n">
        <v>45962</v>
      </c>
      <c r="B632" s="41" t="n">
        <v>2025</v>
      </c>
      <c r="C632" s="41" t="n">
        <v>11</v>
      </c>
      <c r="D632" s="41" t="s">
        <v>56</v>
      </c>
      <c r="E632" s="41" t="s">
        <v>45</v>
      </c>
      <c r="F632" s="41" t="s">
        <v>36</v>
      </c>
      <c r="G632" s="41" t="s">
        <v>37</v>
      </c>
      <c r="H632" s="42" t="n">
        <v>50</v>
      </c>
      <c r="I632" s="42" t="n">
        <v>72</v>
      </c>
      <c r="J632" s="42" t="n">
        <v>9524</v>
      </c>
      <c r="K632" s="42" t="n">
        <v>383</v>
      </c>
      <c r="L632" s="43" t="n">
        <f aca="false">J632-K632</f>
        <v>9141</v>
      </c>
      <c r="M632" s="42" t="n">
        <v>4822</v>
      </c>
      <c r="N632" s="43" t="n">
        <f aca="false">L632-M632</f>
        <v>4319</v>
      </c>
    </row>
    <row r="633" customFormat="false" ht="15" hidden="false" customHeight="false" outlineLevel="0" collapsed="false">
      <c r="A633" s="40" t="n">
        <v>45962</v>
      </c>
      <c r="B633" s="41" t="n">
        <v>2025</v>
      </c>
      <c r="C633" s="41" t="n">
        <v>11</v>
      </c>
      <c r="D633" s="41" t="s">
        <v>56</v>
      </c>
      <c r="E633" s="41" t="s">
        <v>45</v>
      </c>
      <c r="F633" s="41" t="s">
        <v>36</v>
      </c>
      <c r="G633" s="41" t="s">
        <v>38</v>
      </c>
      <c r="H633" s="42" t="n">
        <v>76</v>
      </c>
      <c r="I633" s="42" t="n">
        <v>102</v>
      </c>
      <c r="J633" s="42" t="n">
        <v>8471</v>
      </c>
      <c r="K633" s="42" t="n">
        <v>452</v>
      </c>
      <c r="L633" s="43" t="n">
        <f aca="false">J633-K633</f>
        <v>8019</v>
      </c>
      <c r="M633" s="42" t="n">
        <v>3679</v>
      </c>
      <c r="N633" s="43" t="n">
        <f aca="false">L633-M633</f>
        <v>4340</v>
      </c>
    </row>
    <row r="634" customFormat="false" ht="15" hidden="false" customHeight="false" outlineLevel="0" collapsed="false">
      <c r="A634" s="40" t="n">
        <v>45962</v>
      </c>
      <c r="B634" s="41" t="n">
        <v>2025</v>
      </c>
      <c r="C634" s="41" t="n">
        <v>11</v>
      </c>
      <c r="D634" s="41" t="s">
        <v>56</v>
      </c>
      <c r="E634" s="41" t="s">
        <v>45</v>
      </c>
      <c r="F634" s="41" t="s">
        <v>36</v>
      </c>
      <c r="G634" s="41" t="s">
        <v>39</v>
      </c>
      <c r="H634" s="42" t="n">
        <v>140</v>
      </c>
      <c r="I634" s="42" t="n">
        <v>171</v>
      </c>
      <c r="J634" s="42" t="n">
        <v>11756</v>
      </c>
      <c r="K634" s="42" t="n">
        <v>1080</v>
      </c>
      <c r="L634" s="43" t="n">
        <f aca="false">J634-K634</f>
        <v>10676</v>
      </c>
      <c r="M634" s="42" t="n">
        <v>4150</v>
      </c>
      <c r="N634" s="43" t="n">
        <f aca="false">L634-M634</f>
        <v>6526</v>
      </c>
    </row>
    <row r="635" customFormat="false" ht="15" hidden="false" customHeight="false" outlineLevel="0" collapsed="false">
      <c r="A635" s="40" t="n">
        <v>45962</v>
      </c>
      <c r="B635" s="41" t="n">
        <v>2025</v>
      </c>
      <c r="C635" s="41" t="n">
        <v>11</v>
      </c>
      <c r="D635" s="41" t="s">
        <v>56</v>
      </c>
      <c r="E635" s="41" t="s">
        <v>45</v>
      </c>
      <c r="F635" s="41" t="s">
        <v>36</v>
      </c>
      <c r="G635" s="41" t="s">
        <v>40</v>
      </c>
      <c r="H635" s="42" t="n">
        <v>60</v>
      </c>
      <c r="I635" s="42" t="n">
        <v>78</v>
      </c>
      <c r="J635" s="42" t="n">
        <v>7739</v>
      </c>
      <c r="K635" s="42" t="n">
        <v>816</v>
      </c>
      <c r="L635" s="43" t="n">
        <f aca="false">J635-K635</f>
        <v>6923</v>
      </c>
      <c r="M635" s="42" t="n">
        <v>3713</v>
      </c>
      <c r="N635" s="43" t="n">
        <f aca="false">L635-M635</f>
        <v>3210</v>
      </c>
    </row>
    <row r="636" customFormat="false" ht="15" hidden="false" customHeight="false" outlineLevel="0" collapsed="false">
      <c r="A636" s="40" t="n">
        <v>45962</v>
      </c>
      <c r="B636" s="41" t="n">
        <v>2025</v>
      </c>
      <c r="C636" s="41" t="n">
        <v>11</v>
      </c>
      <c r="D636" s="41" t="s">
        <v>56</v>
      </c>
      <c r="E636" s="41" t="s">
        <v>45</v>
      </c>
      <c r="F636" s="41" t="s">
        <v>36</v>
      </c>
      <c r="G636" s="41" t="s">
        <v>41</v>
      </c>
      <c r="H636" s="42" t="n">
        <v>79</v>
      </c>
      <c r="I636" s="42" t="n">
        <v>107</v>
      </c>
      <c r="J636" s="42" t="n">
        <v>4819</v>
      </c>
      <c r="K636" s="42" t="n">
        <v>172</v>
      </c>
      <c r="L636" s="43" t="n">
        <f aca="false">J636-K636</f>
        <v>4647</v>
      </c>
      <c r="M636" s="42" t="n">
        <v>2285</v>
      </c>
      <c r="N636" s="43" t="n">
        <f aca="false">L636-M636</f>
        <v>2362</v>
      </c>
    </row>
    <row r="637" customFormat="false" ht="15" hidden="false" customHeight="false" outlineLevel="0" collapsed="false">
      <c r="A637" s="40" t="n">
        <v>45962</v>
      </c>
      <c r="B637" s="41" t="n">
        <v>2025</v>
      </c>
      <c r="C637" s="41" t="n">
        <v>11</v>
      </c>
      <c r="D637" s="41" t="s">
        <v>56</v>
      </c>
      <c r="E637" s="41" t="s">
        <v>45</v>
      </c>
      <c r="F637" s="41" t="s">
        <v>42</v>
      </c>
      <c r="G637" s="41" t="s">
        <v>37</v>
      </c>
      <c r="H637" s="42" t="n">
        <v>45</v>
      </c>
      <c r="I637" s="42" t="n">
        <v>71</v>
      </c>
      <c r="J637" s="42" t="n">
        <v>7775</v>
      </c>
      <c r="K637" s="42" t="n">
        <v>497</v>
      </c>
      <c r="L637" s="43" t="n">
        <f aca="false">J637-K637</f>
        <v>7278</v>
      </c>
      <c r="M637" s="42" t="n">
        <v>4023</v>
      </c>
      <c r="N637" s="43" t="n">
        <f aca="false">L637-M637</f>
        <v>3255</v>
      </c>
    </row>
    <row r="638" customFormat="false" ht="15" hidden="false" customHeight="false" outlineLevel="0" collapsed="false">
      <c r="A638" s="40" t="n">
        <v>45962</v>
      </c>
      <c r="B638" s="41" t="n">
        <v>2025</v>
      </c>
      <c r="C638" s="41" t="n">
        <v>11</v>
      </c>
      <c r="D638" s="41" t="s">
        <v>56</v>
      </c>
      <c r="E638" s="41" t="s">
        <v>45</v>
      </c>
      <c r="F638" s="41" t="s">
        <v>42</v>
      </c>
      <c r="G638" s="41" t="s">
        <v>38</v>
      </c>
      <c r="H638" s="42" t="n">
        <v>65</v>
      </c>
      <c r="I638" s="42" t="n">
        <v>77</v>
      </c>
      <c r="J638" s="42" t="n">
        <v>6709</v>
      </c>
      <c r="K638" s="42" t="n">
        <v>485</v>
      </c>
      <c r="L638" s="43" t="n">
        <f aca="false">J638-K638</f>
        <v>6224</v>
      </c>
      <c r="M638" s="42" t="n">
        <v>2957</v>
      </c>
      <c r="N638" s="43" t="n">
        <f aca="false">L638-M638</f>
        <v>3267</v>
      </c>
    </row>
    <row r="639" customFormat="false" ht="15" hidden="false" customHeight="false" outlineLevel="0" collapsed="false">
      <c r="A639" s="40" t="n">
        <v>45962</v>
      </c>
      <c r="B639" s="41" t="n">
        <v>2025</v>
      </c>
      <c r="C639" s="41" t="n">
        <v>11</v>
      </c>
      <c r="D639" s="41" t="s">
        <v>56</v>
      </c>
      <c r="E639" s="41" t="s">
        <v>45</v>
      </c>
      <c r="F639" s="41" t="s">
        <v>42</v>
      </c>
      <c r="G639" s="41" t="s">
        <v>39</v>
      </c>
      <c r="H639" s="42" t="n">
        <v>90</v>
      </c>
      <c r="I639" s="42" t="n">
        <v>127</v>
      </c>
      <c r="J639" s="42" t="n">
        <v>6930</v>
      </c>
      <c r="K639" s="42" t="n">
        <v>1105</v>
      </c>
      <c r="L639" s="43" t="n">
        <f aca="false">J639-K639</f>
        <v>5825</v>
      </c>
      <c r="M639" s="42" t="n">
        <v>2411</v>
      </c>
      <c r="N639" s="43" t="n">
        <f aca="false">L639-M639</f>
        <v>3414</v>
      </c>
    </row>
    <row r="640" customFormat="false" ht="15" hidden="false" customHeight="false" outlineLevel="0" collapsed="false">
      <c r="A640" s="40" t="n">
        <v>45962</v>
      </c>
      <c r="B640" s="41" t="n">
        <v>2025</v>
      </c>
      <c r="C640" s="41" t="n">
        <v>11</v>
      </c>
      <c r="D640" s="41" t="s">
        <v>56</v>
      </c>
      <c r="E640" s="41" t="s">
        <v>45</v>
      </c>
      <c r="F640" s="41" t="s">
        <v>42</v>
      </c>
      <c r="G640" s="41" t="s">
        <v>40</v>
      </c>
      <c r="H640" s="42" t="n">
        <v>47</v>
      </c>
      <c r="I640" s="42" t="n">
        <v>60</v>
      </c>
      <c r="J640" s="42" t="n">
        <v>5508</v>
      </c>
      <c r="K640" s="42" t="n">
        <v>836</v>
      </c>
      <c r="L640" s="43" t="n">
        <f aca="false">J640-K640</f>
        <v>4672</v>
      </c>
      <c r="M640" s="42" t="n">
        <v>2715</v>
      </c>
      <c r="N640" s="43" t="n">
        <f aca="false">L640-M640</f>
        <v>1957</v>
      </c>
    </row>
    <row r="641" customFormat="false" ht="15" hidden="false" customHeight="false" outlineLevel="0" collapsed="false">
      <c r="A641" s="40" t="n">
        <v>45962</v>
      </c>
      <c r="B641" s="41" t="n">
        <v>2025</v>
      </c>
      <c r="C641" s="41" t="n">
        <v>11</v>
      </c>
      <c r="D641" s="41" t="s">
        <v>56</v>
      </c>
      <c r="E641" s="41" t="s">
        <v>45</v>
      </c>
      <c r="F641" s="41" t="s">
        <v>42</v>
      </c>
      <c r="G641" s="41" t="s">
        <v>41</v>
      </c>
      <c r="H641" s="42" t="n">
        <v>55</v>
      </c>
      <c r="I641" s="42" t="n">
        <v>68</v>
      </c>
      <c r="J641" s="42" t="n">
        <v>3060</v>
      </c>
      <c r="K641" s="42" t="n">
        <v>133</v>
      </c>
      <c r="L641" s="43" t="n">
        <f aca="false">J641-K641</f>
        <v>2927</v>
      </c>
      <c r="M641" s="42" t="n">
        <v>1462</v>
      </c>
      <c r="N641" s="43" t="n">
        <f aca="false">L641-M641</f>
        <v>1465</v>
      </c>
    </row>
    <row r="642" customFormat="false" ht="15" hidden="false" customHeight="false" outlineLevel="0" collapsed="false">
      <c r="A642" s="40" t="n">
        <v>45962</v>
      </c>
      <c r="B642" s="41" t="n">
        <v>2025</v>
      </c>
      <c r="C642" s="41" t="n">
        <v>11</v>
      </c>
      <c r="D642" s="41" t="s">
        <v>56</v>
      </c>
      <c r="E642" s="41" t="s">
        <v>45</v>
      </c>
      <c r="F642" s="41" t="s">
        <v>43</v>
      </c>
      <c r="G642" s="41" t="s">
        <v>37</v>
      </c>
      <c r="H642" s="42" t="n">
        <v>21</v>
      </c>
      <c r="I642" s="42" t="n">
        <v>30</v>
      </c>
      <c r="J642" s="42" t="n">
        <v>4286</v>
      </c>
      <c r="K642" s="42" t="n">
        <v>114</v>
      </c>
      <c r="L642" s="43" t="n">
        <f aca="false">J642-K642</f>
        <v>4172</v>
      </c>
      <c r="M642" s="42" t="n">
        <v>2222</v>
      </c>
      <c r="N642" s="43" t="n">
        <f aca="false">L642-M642</f>
        <v>1950</v>
      </c>
    </row>
    <row r="643" customFormat="false" ht="15" hidden="false" customHeight="false" outlineLevel="0" collapsed="false">
      <c r="A643" s="40" t="n">
        <v>45962</v>
      </c>
      <c r="B643" s="41" t="n">
        <v>2025</v>
      </c>
      <c r="C643" s="41" t="n">
        <v>11</v>
      </c>
      <c r="D643" s="41" t="s">
        <v>56</v>
      </c>
      <c r="E643" s="41" t="s">
        <v>45</v>
      </c>
      <c r="F643" s="41" t="s">
        <v>43</v>
      </c>
      <c r="G643" s="41" t="s">
        <v>38</v>
      </c>
      <c r="H643" s="42" t="n">
        <v>35</v>
      </c>
      <c r="I643" s="42" t="n">
        <v>49</v>
      </c>
      <c r="J643" s="42" t="n">
        <v>4144</v>
      </c>
      <c r="K643" s="42" t="n">
        <v>149</v>
      </c>
      <c r="L643" s="43" t="n">
        <f aca="false">J643-K643</f>
        <v>3995</v>
      </c>
      <c r="M643" s="42" t="n">
        <v>1787</v>
      </c>
      <c r="N643" s="43" t="n">
        <f aca="false">L643-M643</f>
        <v>2208</v>
      </c>
    </row>
    <row r="644" customFormat="false" ht="15" hidden="false" customHeight="false" outlineLevel="0" collapsed="false">
      <c r="A644" s="40" t="n">
        <v>45962</v>
      </c>
      <c r="B644" s="41" t="n">
        <v>2025</v>
      </c>
      <c r="C644" s="41" t="n">
        <v>11</v>
      </c>
      <c r="D644" s="41" t="s">
        <v>56</v>
      </c>
      <c r="E644" s="41" t="s">
        <v>45</v>
      </c>
      <c r="F644" s="41" t="s">
        <v>43</v>
      </c>
      <c r="G644" s="41" t="s">
        <v>39</v>
      </c>
      <c r="H644" s="42" t="n">
        <v>51</v>
      </c>
      <c r="I644" s="42" t="n">
        <v>63</v>
      </c>
      <c r="J644" s="42" t="n">
        <v>4506</v>
      </c>
      <c r="K644" s="42" t="n">
        <v>365</v>
      </c>
      <c r="L644" s="43" t="n">
        <f aca="false">J644-K644</f>
        <v>4141</v>
      </c>
      <c r="M644" s="42" t="n">
        <v>1620</v>
      </c>
      <c r="N644" s="43" t="n">
        <f aca="false">L644-M644</f>
        <v>2521</v>
      </c>
    </row>
    <row r="645" customFormat="false" ht="15" hidden="false" customHeight="false" outlineLevel="0" collapsed="false">
      <c r="A645" s="40" t="n">
        <v>45962</v>
      </c>
      <c r="B645" s="41" t="n">
        <v>2025</v>
      </c>
      <c r="C645" s="41" t="n">
        <v>11</v>
      </c>
      <c r="D645" s="41" t="s">
        <v>56</v>
      </c>
      <c r="E645" s="41" t="s">
        <v>45</v>
      </c>
      <c r="F645" s="41" t="s">
        <v>43</v>
      </c>
      <c r="G645" s="41" t="s">
        <v>40</v>
      </c>
      <c r="H645" s="42" t="n">
        <v>24</v>
      </c>
      <c r="I645" s="42" t="n">
        <v>37</v>
      </c>
      <c r="J645" s="42" t="n">
        <v>3242</v>
      </c>
      <c r="K645" s="42" t="n">
        <v>245</v>
      </c>
      <c r="L645" s="43" t="n">
        <f aca="false">J645-K645</f>
        <v>2997</v>
      </c>
      <c r="M645" s="42" t="n">
        <v>1608</v>
      </c>
      <c r="N645" s="43" t="n">
        <f aca="false">L645-M645</f>
        <v>1389</v>
      </c>
    </row>
    <row r="646" customFormat="false" ht="15" hidden="false" customHeight="false" outlineLevel="0" collapsed="false">
      <c r="A646" s="40" t="n">
        <v>45962</v>
      </c>
      <c r="B646" s="41" t="n">
        <v>2025</v>
      </c>
      <c r="C646" s="41" t="n">
        <v>11</v>
      </c>
      <c r="D646" s="41" t="s">
        <v>56</v>
      </c>
      <c r="E646" s="41" t="s">
        <v>45</v>
      </c>
      <c r="F646" s="41" t="s">
        <v>43</v>
      </c>
      <c r="G646" s="41" t="s">
        <v>41</v>
      </c>
      <c r="H646" s="42" t="n">
        <v>38</v>
      </c>
      <c r="I646" s="42" t="n">
        <v>48</v>
      </c>
      <c r="J646" s="42" t="n">
        <v>2445</v>
      </c>
      <c r="K646" s="42" t="n">
        <v>51</v>
      </c>
      <c r="L646" s="43" t="n">
        <f aca="false">J646-K646</f>
        <v>2394</v>
      </c>
      <c r="M646" s="42" t="n">
        <v>1153</v>
      </c>
      <c r="N646" s="43" t="n">
        <f aca="false">L646-M646</f>
        <v>1241</v>
      </c>
    </row>
    <row r="647" customFormat="false" ht="15" hidden="false" customHeight="false" outlineLevel="0" collapsed="false">
      <c r="A647" s="40" t="n">
        <v>45962</v>
      </c>
      <c r="B647" s="41" t="n">
        <v>2025</v>
      </c>
      <c r="C647" s="41" t="n">
        <v>11</v>
      </c>
      <c r="D647" s="41" t="s">
        <v>56</v>
      </c>
      <c r="E647" s="41" t="s">
        <v>46</v>
      </c>
      <c r="F647" s="41" t="s">
        <v>36</v>
      </c>
      <c r="G647" s="41" t="s">
        <v>37</v>
      </c>
      <c r="H647" s="42" t="n">
        <v>47</v>
      </c>
      <c r="I647" s="42" t="n">
        <v>66</v>
      </c>
      <c r="J647" s="42" t="n">
        <v>8895</v>
      </c>
      <c r="K647" s="42" t="n">
        <v>301</v>
      </c>
      <c r="L647" s="43" t="n">
        <f aca="false">J647-K647</f>
        <v>8594</v>
      </c>
      <c r="M647" s="42" t="n">
        <v>4558</v>
      </c>
      <c r="N647" s="43" t="n">
        <f aca="false">L647-M647</f>
        <v>4036</v>
      </c>
    </row>
    <row r="648" customFormat="false" ht="15" hidden="false" customHeight="false" outlineLevel="0" collapsed="false">
      <c r="A648" s="40" t="n">
        <v>45962</v>
      </c>
      <c r="B648" s="41" t="n">
        <v>2025</v>
      </c>
      <c r="C648" s="41" t="n">
        <v>11</v>
      </c>
      <c r="D648" s="41" t="s">
        <v>56</v>
      </c>
      <c r="E648" s="41" t="s">
        <v>46</v>
      </c>
      <c r="F648" s="41" t="s">
        <v>36</v>
      </c>
      <c r="G648" s="41" t="s">
        <v>38</v>
      </c>
      <c r="H648" s="42" t="n">
        <v>77</v>
      </c>
      <c r="I648" s="42" t="n">
        <v>91</v>
      </c>
      <c r="J648" s="42" t="n">
        <v>8637</v>
      </c>
      <c r="K648" s="42" t="n">
        <v>416</v>
      </c>
      <c r="L648" s="43" t="n">
        <f aca="false">J648-K648</f>
        <v>8221</v>
      </c>
      <c r="M648" s="42" t="n">
        <v>3605</v>
      </c>
      <c r="N648" s="43" t="n">
        <f aca="false">L648-M648</f>
        <v>4616</v>
      </c>
    </row>
    <row r="649" customFormat="false" ht="15" hidden="false" customHeight="false" outlineLevel="0" collapsed="false">
      <c r="A649" s="40" t="n">
        <v>45962</v>
      </c>
      <c r="B649" s="41" t="n">
        <v>2025</v>
      </c>
      <c r="C649" s="41" t="n">
        <v>11</v>
      </c>
      <c r="D649" s="41" t="s">
        <v>56</v>
      </c>
      <c r="E649" s="41" t="s">
        <v>46</v>
      </c>
      <c r="F649" s="41" t="s">
        <v>36</v>
      </c>
      <c r="G649" s="41" t="s">
        <v>39</v>
      </c>
      <c r="H649" s="42" t="n">
        <v>117</v>
      </c>
      <c r="I649" s="42" t="n">
        <v>180</v>
      </c>
      <c r="J649" s="42" t="n">
        <v>9864</v>
      </c>
      <c r="K649" s="42" t="n">
        <v>1006</v>
      </c>
      <c r="L649" s="43" t="n">
        <f aca="false">J649-K649</f>
        <v>8858</v>
      </c>
      <c r="M649" s="42" t="n">
        <v>3499</v>
      </c>
      <c r="N649" s="43" t="n">
        <f aca="false">L649-M649</f>
        <v>5359</v>
      </c>
    </row>
    <row r="650" customFormat="false" ht="15" hidden="false" customHeight="false" outlineLevel="0" collapsed="false">
      <c r="A650" s="40" t="n">
        <v>45962</v>
      </c>
      <c r="B650" s="41" t="n">
        <v>2025</v>
      </c>
      <c r="C650" s="41" t="n">
        <v>11</v>
      </c>
      <c r="D650" s="41" t="s">
        <v>56</v>
      </c>
      <c r="E650" s="41" t="s">
        <v>46</v>
      </c>
      <c r="F650" s="41" t="s">
        <v>36</v>
      </c>
      <c r="G650" s="41" t="s">
        <v>40</v>
      </c>
      <c r="H650" s="42" t="n">
        <v>60</v>
      </c>
      <c r="I650" s="42" t="n">
        <v>72</v>
      </c>
      <c r="J650" s="42" t="n">
        <v>7744</v>
      </c>
      <c r="K650" s="42" t="n">
        <v>1112</v>
      </c>
      <c r="L650" s="43" t="n">
        <f aca="false">J650-K650</f>
        <v>6632</v>
      </c>
      <c r="M650" s="42" t="n">
        <v>3696</v>
      </c>
      <c r="N650" s="43" t="n">
        <f aca="false">L650-M650</f>
        <v>2936</v>
      </c>
    </row>
    <row r="651" customFormat="false" ht="15" hidden="false" customHeight="false" outlineLevel="0" collapsed="false">
      <c r="A651" s="40" t="n">
        <v>45962</v>
      </c>
      <c r="B651" s="41" t="n">
        <v>2025</v>
      </c>
      <c r="C651" s="41" t="n">
        <v>11</v>
      </c>
      <c r="D651" s="41" t="s">
        <v>56</v>
      </c>
      <c r="E651" s="41" t="s">
        <v>46</v>
      </c>
      <c r="F651" s="41" t="s">
        <v>36</v>
      </c>
      <c r="G651" s="41" t="s">
        <v>41</v>
      </c>
      <c r="H651" s="42" t="n">
        <v>70</v>
      </c>
      <c r="I651" s="42" t="n">
        <v>107</v>
      </c>
      <c r="J651" s="42" t="n">
        <v>4280</v>
      </c>
      <c r="K651" s="42" t="n">
        <v>123</v>
      </c>
      <c r="L651" s="43" t="n">
        <f aca="false">J651-K651</f>
        <v>4157</v>
      </c>
      <c r="M651" s="42" t="n">
        <v>1956</v>
      </c>
      <c r="N651" s="43" t="n">
        <f aca="false">L651-M651</f>
        <v>2201</v>
      </c>
    </row>
    <row r="652" customFormat="false" ht="15" hidden="false" customHeight="false" outlineLevel="0" collapsed="false">
      <c r="A652" s="40" t="n">
        <v>45962</v>
      </c>
      <c r="B652" s="41" t="n">
        <v>2025</v>
      </c>
      <c r="C652" s="41" t="n">
        <v>11</v>
      </c>
      <c r="D652" s="41" t="s">
        <v>56</v>
      </c>
      <c r="E652" s="41" t="s">
        <v>46</v>
      </c>
      <c r="F652" s="41" t="s">
        <v>42</v>
      </c>
      <c r="G652" s="41" t="s">
        <v>37</v>
      </c>
      <c r="H652" s="42" t="n">
        <v>43</v>
      </c>
      <c r="I652" s="42" t="n">
        <v>60</v>
      </c>
      <c r="J652" s="42" t="n">
        <v>7564</v>
      </c>
      <c r="K652" s="42" t="n">
        <v>453</v>
      </c>
      <c r="L652" s="43" t="n">
        <f aca="false">J652-K652</f>
        <v>7111</v>
      </c>
      <c r="M652" s="42" t="n">
        <v>3817</v>
      </c>
      <c r="N652" s="43" t="n">
        <f aca="false">L652-M652</f>
        <v>3294</v>
      </c>
    </row>
    <row r="653" customFormat="false" ht="15" hidden="false" customHeight="false" outlineLevel="0" collapsed="false">
      <c r="A653" s="40" t="n">
        <v>45962</v>
      </c>
      <c r="B653" s="41" t="n">
        <v>2025</v>
      </c>
      <c r="C653" s="41" t="n">
        <v>11</v>
      </c>
      <c r="D653" s="41" t="s">
        <v>56</v>
      </c>
      <c r="E653" s="41" t="s">
        <v>46</v>
      </c>
      <c r="F653" s="41" t="s">
        <v>42</v>
      </c>
      <c r="G653" s="41" t="s">
        <v>38</v>
      </c>
      <c r="H653" s="42" t="n">
        <v>61</v>
      </c>
      <c r="I653" s="42" t="n">
        <v>72</v>
      </c>
      <c r="J653" s="42" t="n">
        <v>6316</v>
      </c>
      <c r="K653" s="42" t="n">
        <v>381</v>
      </c>
      <c r="L653" s="43" t="n">
        <f aca="false">J653-K653</f>
        <v>5935</v>
      </c>
      <c r="M653" s="42" t="n">
        <v>2780</v>
      </c>
      <c r="N653" s="43" t="n">
        <f aca="false">L653-M653</f>
        <v>3155</v>
      </c>
    </row>
    <row r="654" customFormat="false" ht="15" hidden="false" customHeight="false" outlineLevel="0" collapsed="false">
      <c r="A654" s="40" t="n">
        <v>45962</v>
      </c>
      <c r="B654" s="41" t="n">
        <v>2025</v>
      </c>
      <c r="C654" s="41" t="n">
        <v>11</v>
      </c>
      <c r="D654" s="41" t="s">
        <v>56</v>
      </c>
      <c r="E654" s="41" t="s">
        <v>46</v>
      </c>
      <c r="F654" s="41" t="s">
        <v>42</v>
      </c>
      <c r="G654" s="41" t="s">
        <v>39</v>
      </c>
      <c r="H654" s="42" t="n">
        <v>78</v>
      </c>
      <c r="I654" s="42" t="n">
        <v>111</v>
      </c>
      <c r="J654" s="42" t="n">
        <v>6032</v>
      </c>
      <c r="K654" s="42" t="n">
        <v>721</v>
      </c>
      <c r="L654" s="43" t="n">
        <f aca="false">J654-K654</f>
        <v>5311</v>
      </c>
      <c r="M654" s="42" t="n">
        <v>2175</v>
      </c>
      <c r="N654" s="43" t="n">
        <f aca="false">L654-M654</f>
        <v>3136</v>
      </c>
    </row>
    <row r="655" customFormat="false" ht="15" hidden="false" customHeight="false" outlineLevel="0" collapsed="false">
      <c r="A655" s="40" t="n">
        <v>45962</v>
      </c>
      <c r="B655" s="41" t="n">
        <v>2025</v>
      </c>
      <c r="C655" s="41" t="n">
        <v>11</v>
      </c>
      <c r="D655" s="41" t="s">
        <v>56</v>
      </c>
      <c r="E655" s="41" t="s">
        <v>46</v>
      </c>
      <c r="F655" s="41" t="s">
        <v>42</v>
      </c>
      <c r="G655" s="41" t="s">
        <v>40</v>
      </c>
      <c r="H655" s="42" t="n">
        <v>45</v>
      </c>
      <c r="I655" s="42" t="n">
        <v>60</v>
      </c>
      <c r="J655" s="42" t="n">
        <v>5317</v>
      </c>
      <c r="K655" s="42" t="n">
        <v>995</v>
      </c>
      <c r="L655" s="43" t="n">
        <f aca="false">J655-K655</f>
        <v>4322</v>
      </c>
      <c r="M655" s="42" t="n">
        <v>2473</v>
      </c>
      <c r="N655" s="43" t="n">
        <f aca="false">L655-M655</f>
        <v>1849</v>
      </c>
    </row>
    <row r="656" customFormat="false" ht="15" hidden="false" customHeight="false" outlineLevel="0" collapsed="false">
      <c r="A656" s="40" t="n">
        <v>45962</v>
      </c>
      <c r="B656" s="41" t="n">
        <v>2025</v>
      </c>
      <c r="C656" s="41" t="n">
        <v>11</v>
      </c>
      <c r="D656" s="41" t="s">
        <v>56</v>
      </c>
      <c r="E656" s="41" t="s">
        <v>46</v>
      </c>
      <c r="F656" s="41" t="s">
        <v>42</v>
      </c>
      <c r="G656" s="41" t="s">
        <v>41</v>
      </c>
      <c r="H656" s="42" t="n">
        <v>66</v>
      </c>
      <c r="I656" s="42" t="n">
        <v>93</v>
      </c>
      <c r="J656" s="42" t="n">
        <v>3699</v>
      </c>
      <c r="K656" s="42" t="n">
        <v>175</v>
      </c>
      <c r="L656" s="43" t="n">
        <f aca="false">J656-K656</f>
        <v>3524</v>
      </c>
      <c r="M656" s="42" t="n">
        <v>1804</v>
      </c>
      <c r="N656" s="43" t="n">
        <f aca="false">L656-M656</f>
        <v>1720</v>
      </c>
    </row>
    <row r="657" customFormat="false" ht="15" hidden="false" customHeight="false" outlineLevel="0" collapsed="false">
      <c r="A657" s="40" t="n">
        <v>45962</v>
      </c>
      <c r="B657" s="41" t="n">
        <v>2025</v>
      </c>
      <c r="C657" s="41" t="n">
        <v>11</v>
      </c>
      <c r="D657" s="41" t="s">
        <v>56</v>
      </c>
      <c r="E657" s="41" t="s">
        <v>46</v>
      </c>
      <c r="F657" s="41" t="s">
        <v>43</v>
      </c>
      <c r="G657" s="41" t="s">
        <v>37</v>
      </c>
      <c r="H657" s="42" t="n">
        <v>21</v>
      </c>
      <c r="I657" s="42" t="n">
        <v>31</v>
      </c>
      <c r="J657" s="42" t="n">
        <v>4178</v>
      </c>
      <c r="K657" s="42" t="n">
        <v>110</v>
      </c>
      <c r="L657" s="43" t="n">
        <f aca="false">J657-K657</f>
        <v>4068</v>
      </c>
      <c r="M657" s="42" t="n">
        <v>2191</v>
      </c>
      <c r="N657" s="43" t="n">
        <f aca="false">L657-M657</f>
        <v>1877</v>
      </c>
    </row>
    <row r="658" customFormat="false" ht="15" hidden="false" customHeight="false" outlineLevel="0" collapsed="false">
      <c r="A658" s="40" t="n">
        <v>45962</v>
      </c>
      <c r="B658" s="41" t="n">
        <v>2025</v>
      </c>
      <c r="C658" s="41" t="n">
        <v>11</v>
      </c>
      <c r="D658" s="41" t="s">
        <v>56</v>
      </c>
      <c r="E658" s="41" t="s">
        <v>46</v>
      </c>
      <c r="F658" s="41" t="s">
        <v>43</v>
      </c>
      <c r="G658" s="41" t="s">
        <v>38</v>
      </c>
      <c r="H658" s="42" t="n">
        <v>36</v>
      </c>
      <c r="I658" s="42" t="n">
        <v>55</v>
      </c>
      <c r="J658" s="42" t="n">
        <v>4235</v>
      </c>
      <c r="K658" s="42" t="n">
        <v>126</v>
      </c>
      <c r="L658" s="43" t="n">
        <f aca="false">J658-K658</f>
        <v>4109</v>
      </c>
      <c r="M658" s="42" t="n">
        <v>1835</v>
      </c>
      <c r="N658" s="43" t="n">
        <f aca="false">L658-M658</f>
        <v>2274</v>
      </c>
    </row>
    <row r="659" customFormat="false" ht="15" hidden="false" customHeight="false" outlineLevel="0" collapsed="false">
      <c r="A659" s="40" t="n">
        <v>45962</v>
      </c>
      <c r="B659" s="41" t="n">
        <v>2025</v>
      </c>
      <c r="C659" s="41" t="n">
        <v>11</v>
      </c>
      <c r="D659" s="41" t="s">
        <v>56</v>
      </c>
      <c r="E659" s="41" t="s">
        <v>46</v>
      </c>
      <c r="F659" s="41" t="s">
        <v>43</v>
      </c>
      <c r="G659" s="41" t="s">
        <v>39</v>
      </c>
      <c r="H659" s="42" t="n">
        <v>57</v>
      </c>
      <c r="I659" s="42" t="n">
        <v>90</v>
      </c>
      <c r="J659" s="42" t="n">
        <v>5117</v>
      </c>
      <c r="K659" s="42" t="n">
        <v>390</v>
      </c>
      <c r="L659" s="43" t="n">
        <f aca="false">J659-K659</f>
        <v>4727</v>
      </c>
      <c r="M659" s="42" t="n">
        <v>1793</v>
      </c>
      <c r="N659" s="43" t="n">
        <f aca="false">L659-M659</f>
        <v>2934</v>
      </c>
    </row>
    <row r="660" customFormat="false" ht="15" hidden="false" customHeight="false" outlineLevel="0" collapsed="false">
      <c r="A660" s="40" t="n">
        <v>45962</v>
      </c>
      <c r="B660" s="41" t="n">
        <v>2025</v>
      </c>
      <c r="C660" s="41" t="n">
        <v>11</v>
      </c>
      <c r="D660" s="41" t="s">
        <v>56</v>
      </c>
      <c r="E660" s="41" t="s">
        <v>46</v>
      </c>
      <c r="F660" s="41" t="s">
        <v>43</v>
      </c>
      <c r="G660" s="41" t="s">
        <v>40</v>
      </c>
      <c r="H660" s="42" t="n">
        <v>26</v>
      </c>
      <c r="I660" s="42" t="n">
        <v>31</v>
      </c>
      <c r="J660" s="42" t="n">
        <v>3555</v>
      </c>
      <c r="K660" s="42" t="n">
        <v>304</v>
      </c>
      <c r="L660" s="43" t="n">
        <f aca="false">J660-K660</f>
        <v>3251</v>
      </c>
      <c r="M660" s="42" t="n">
        <v>1821</v>
      </c>
      <c r="N660" s="43" t="n">
        <f aca="false">L660-M660</f>
        <v>1430</v>
      </c>
    </row>
    <row r="661" customFormat="false" ht="15" hidden="false" customHeight="false" outlineLevel="0" collapsed="false">
      <c r="A661" s="40" t="n">
        <v>45962</v>
      </c>
      <c r="B661" s="41" t="n">
        <v>2025</v>
      </c>
      <c r="C661" s="41" t="n">
        <v>11</v>
      </c>
      <c r="D661" s="41" t="s">
        <v>56</v>
      </c>
      <c r="E661" s="41" t="s">
        <v>46</v>
      </c>
      <c r="F661" s="41" t="s">
        <v>43</v>
      </c>
      <c r="G661" s="41" t="s">
        <v>41</v>
      </c>
      <c r="H661" s="42" t="n">
        <v>32</v>
      </c>
      <c r="I661" s="42" t="n">
        <v>50</v>
      </c>
      <c r="J661" s="42" t="n">
        <v>2054</v>
      </c>
      <c r="K661" s="42" t="n">
        <v>46</v>
      </c>
      <c r="L661" s="43" t="n">
        <f aca="false">J661-K661</f>
        <v>2008</v>
      </c>
      <c r="M661" s="42" t="n">
        <v>949</v>
      </c>
      <c r="N661" s="43" t="n">
        <f aca="false">L661-M661</f>
        <v>1059</v>
      </c>
    </row>
    <row r="662" customFormat="false" ht="15" hidden="false" customHeight="false" outlineLevel="0" collapsed="false">
      <c r="A662" s="40" t="n">
        <v>45992</v>
      </c>
      <c r="B662" s="41" t="n">
        <v>2025</v>
      </c>
      <c r="C662" s="41" t="n">
        <v>12</v>
      </c>
      <c r="D662" s="41" t="s">
        <v>57</v>
      </c>
      <c r="E662" s="41" t="s">
        <v>35</v>
      </c>
      <c r="F662" s="41" t="s">
        <v>36</v>
      </c>
      <c r="G662" s="41" t="s">
        <v>37</v>
      </c>
      <c r="H662" s="42" t="n">
        <v>107</v>
      </c>
      <c r="I662" s="42" t="n">
        <v>145</v>
      </c>
      <c r="J662" s="42" t="n">
        <v>20257</v>
      </c>
      <c r="K662" s="42" t="n">
        <v>920</v>
      </c>
      <c r="L662" s="43" t="n">
        <f aca="false">J662-K662</f>
        <v>19337</v>
      </c>
      <c r="M662" s="42" t="n">
        <v>10299</v>
      </c>
      <c r="N662" s="43" t="n">
        <f aca="false">L662-M662</f>
        <v>9038</v>
      </c>
    </row>
    <row r="663" customFormat="false" ht="15" hidden="false" customHeight="false" outlineLevel="0" collapsed="false">
      <c r="A663" s="40" t="n">
        <v>45992</v>
      </c>
      <c r="B663" s="41" t="n">
        <v>2025</v>
      </c>
      <c r="C663" s="41" t="n">
        <v>12</v>
      </c>
      <c r="D663" s="41" t="s">
        <v>57</v>
      </c>
      <c r="E663" s="41" t="s">
        <v>35</v>
      </c>
      <c r="F663" s="41" t="s">
        <v>36</v>
      </c>
      <c r="G663" s="41" t="s">
        <v>38</v>
      </c>
      <c r="H663" s="42" t="n">
        <v>154</v>
      </c>
      <c r="I663" s="42" t="n">
        <v>179</v>
      </c>
      <c r="J663" s="42" t="n">
        <v>17293</v>
      </c>
      <c r="K663" s="42" t="n">
        <v>730</v>
      </c>
      <c r="L663" s="43" t="n">
        <f aca="false">J663-K663</f>
        <v>16563</v>
      </c>
      <c r="M663" s="42" t="n">
        <v>7588</v>
      </c>
      <c r="N663" s="43" t="n">
        <f aca="false">L663-M663</f>
        <v>8975</v>
      </c>
    </row>
    <row r="664" customFormat="false" ht="15" hidden="false" customHeight="false" outlineLevel="0" collapsed="false">
      <c r="A664" s="40" t="n">
        <v>45992</v>
      </c>
      <c r="B664" s="41" t="n">
        <v>2025</v>
      </c>
      <c r="C664" s="41" t="n">
        <v>12</v>
      </c>
      <c r="D664" s="41" t="s">
        <v>57</v>
      </c>
      <c r="E664" s="41" t="s">
        <v>35</v>
      </c>
      <c r="F664" s="41" t="s">
        <v>36</v>
      </c>
      <c r="G664" s="41" t="s">
        <v>39</v>
      </c>
      <c r="H664" s="42" t="n">
        <v>251</v>
      </c>
      <c r="I664" s="42" t="n">
        <v>351</v>
      </c>
      <c r="J664" s="42" t="n">
        <v>21050</v>
      </c>
      <c r="K664" s="42" t="n">
        <v>1928</v>
      </c>
      <c r="L664" s="43" t="n">
        <f aca="false">J664-K664</f>
        <v>19122</v>
      </c>
      <c r="M664" s="42" t="n">
        <v>7541</v>
      </c>
      <c r="N664" s="43" t="n">
        <f aca="false">L664-M664</f>
        <v>11581</v>
      </c>
    </row>
    <row r="665" customFormat="false" ht="15" hidden="false" customHeight="false" outlineLevel="0" collapsed="false">
      <c r="A665" s="40" t="n">
        <v>45992</v>
      </c>
      <c r="B665" s="41" t="n">
        <v>2025</v>
      </c>
      <c r="C665" s="41" t="n">
        <v>12</v>
      </c>
      <c r="D665" s="41" t="s">
        <v>57</v>
      </c>
      <c r="E665" s="41" t="s">
        <v>35</v>
      </c>
      <c r="F665" s="41" t="s">
        <v>36</v>
      </c>
      <c r="G665" s="41" t="s">
        <v>40</v>
      </c>
      <c r="H665" s="42" t="n">
        <v>126</v>
      </c>
      <c r="I665" s="42" t="n">
        <v>153</v>
      </c>
      <c r="J665" s="42" t="n">
        <v>16066</v>
      </c>
      <c r="K665" s="42" t="n">
        <v>2217</v>
      </c>
      <c r="L665" s="43" t="n">
        <f aca="false">J665-K665</f>
        <v>13849</v>
      </c>
      <c r="M665" s="42" t="n">
        <v>7634</v>
      </c>
      <c r="N665" s="43" t="n">
        <f aca="false">L665-M665</f>
        <v>6215</v>
      </c>
    </row>
    <row r="666" customFormat="false" ht="15" hidden="false" customHeight="false" outlineLevel="0" collapsed="false">
      <c r="A666" s="40" t="n">
        <v>45992</v>
      </c>
      <c r="B666" s="41" t="n">
        <v>2025</v>
      </c>
      <c r="C666" s="41" t="n">
        <v>12</v>
      </c>
      <c r="D666" s="41" t="s">
        <v>57</v>
      </c>
      <c r="E666" s="41" t="s">
        <v>35</v>
      </c>
      <c r="F666" s="41" t="s">
        <v>36</v>
      </c>
      <c r="G666" s="41" t="s">
        <v>41</v>
      </c>
      <c r="H666" s="42" t="n">
        <v>191</v>
      </c>
      <c r="I666" s="42" t="n">
        <v>289</v>
      </c>
      <c r="J666" s="42" t="n">
        <v>11669</v>
      </c>
      <c r="K666" s="42" t="n">
        <v>413</v>
      </c>
      <c r="L666" s="43" t="n">
        <f aca="false">J666-K666</f>
        <v>11256</v>
      </c>
      <c r="M666" s="42" t="n">
        <v>5245</v>
      </c>
      <c r="N666" s="43" t="n">
        <f aca="false">L666-M666</f>
        <v>6011</v>
      </c>
    </row>
    <row r="667" customFormat="false" ht="15" hidden="false" customHeight="false" outlineLevel="0" collapsed="false">
      <c r="A667" s="40" t="n">
        <v>45992</v>
      </c>
      <c r="B667" s="41" t="n">
        <v>2025</v>
      </c>
      <c r="C667" s="41" t="n">
        <v>12</v>
      </c>
      <c r="D667" s="41" t="s">
        <v>57</v>
      </c>
      <c r="E667" s="41" t="s">
        <v>35</v>
      </c>
      <c r="F667" s="41" t="s">
        <v>42</v>
      </c>
      <c r="G667" s="41" t="s">
        <v>37</v>
      </c>
      <c r="H667" s="42" t="n">
        <v>85</v>
      </c>
      <c r="I667" s="42" t="n">
        <v>104</v>
      </c>
      <c r="J667" s="42" t="n">
        <v>14736</v>
      </c>
      <c r="K667" s="42" t="n">
        <v>796</v>
      </c>
      <c r="L667" s="43" t="n">
        <f aca="false">J667-K667</f>
        <v>13940</v>
      </c>
      <c r="M667" s="42" t="n">
        <v>7821</v>
      </c>
      <c r="N667" s="43" t="n">
        <f aca="false">L667-M667</f>
        <v>6119</v>
      </c>
    </row>
    <row r="668" customFormat="false" ht="15" hidden="false" customHeight="false" outlineLevel="0" collapsed="false">
      <c r="A668" s="40" t="n">
        <v>45992</v>
      </c>
      <c r="B668" s="41" t="n">
        <v>2025</v>
      </c>
      <c r="C668" s="41" t="n">
        <v>12</v>
      </c>
      <c r="D668" s="41" t="s">
        <v>57</v>
      </c>
      <c r="E668" s="41" t="s">
        <v>35</v>
      </c>
      <c r="F668" s="41" t="s">
        <v>42</v>
      </c>
      <c r="G668" s="41" t="s">
        <v>38</v>
      </c>
      <c r="H668" s="42" t="n">
        <v>142</v>
      </c>
      <c r="I668" s="42" t="n">
        <v>166</v>
      </c>
      <c r="J668" s="42" t="n">
        <v>14624</v>
      </c>
      <c r="K668" s="42" t="n">
        <v>862</v>
      </c>
      <c r="L668" s="43" t="n">
        <f aca="false">J668-K668</f>
        <v>13762</v>
      </c>
      <c r="M668" s="42" t="n">
        <v>6620</v>
      </c>
      <c r="N668" s="43" t="n">
        <f aca="false">L668-M668</f>
        <v>7142</v>
      </c>
    </row>
    <row r="669" customFormat="false" ht="15" hidden="false" customHeight="false" outlineLevel="0" collapsed="false">
      <c r="A669" s="40" t="n">
        <v>45992</v>
      </c>
      <c r="B669" s="41" t="n">
        <v>2025</v>
      </c>
      <c r="C669" s="41" t="n">
        <v>12</v>
      </c>
      <c r="D669" s="41" t="s">
        <v>57</v>
      </c>
      <c r="E669" s="41" t="s">
        <v>35</v>
      </c>
      <c r="F669" s="41" t="s">
        <v>42</v>
      </c>
      <c r="G669" s="41" t="s">
        <v>39</v>
      </c>
      <c r="H669" s="42" t="n">
        <v>218</v>
      </c>
      <c r="I669" s="42" t="n">
        <v>289</v>
      </c>
      <c r="J669" s="42" t="n">
        <v>16866</v>
      </c>
      <c r="K669" s="42" t="n">
        <v>2255</v>
      </c>
      <c r="L669" s="43" t="n">
        <f aca="false">J669-K669</f>
        <v>14611</v>
      </c>
      <c r="M669" s="42" t="n">
        <v>5931</v>
      </c>
      <c r="N669" s="43" t="n">
        <f aca="false">L669-M669</f>
        <v>8680</v>
      </c>
    </row>
    <row r="670" customFormat="false" ht="15" hidden="false" customHeight="false" outlineLevel="0" collapsed="false">
      <c r="A670" s="40" t="n">
        <v>45992</v>
      </c>
      <c r="B670" s="41" t="n">
        <v>2025</v>
      </c>
      <c r="C670" s="41" t="n">
        <v>12</v>
      </c>
      <c r="D670" s="41" t="s">
        <v>57</v>
      </c>
      <c r="E670" s="41" t="s">
        <v>35</v>
      </c>
      <c r="F670" s="41" t="s">
        <v>42</v>
      </c>
      <c r="G670" s="41" t="s">
        <v>40</v>
      </c>
      <c r="H670" s="42" t="n">
        <v>108</v>
      </c>
      <c r="I670" s="42" t="n">
        <v>143</v>
      </c>
      <c r="J670" s="42" t="n">
        <v>12680</v>
      </c>
      <c r="K670" s="42" t="n">
        <v>2361</v>
      </c>
      <c r="L670" s="43" t="n">
        <f aca="false">J670-K670</f>
        <v>10319</v>
      </c>
      <c r="M670" s="42" t="n">
        <v>5900</v>
      </c>
      <c r="N670" s="43" t="n">
        <f aca="false">L670-M670</f>
        <v>4419</v>
      </c>
    </row>
    <row r="671" customFormat="false" ht="15" hidden="false" customHeight="false" outlineLevel="0" collapsed="false">
      <c r="A671" s="40" t="n">
        <v>45992</v>
      </c>
      <c r="B671" s="41" t="n">
        <v>2025</v>
      </c>
      <c r="C671" s="41" t="n">
        <v>12</v>
      </c>
      <c r="D671" s="41" t="s">
        <v>57</v>
      </c>
      <c r="E671" s="41" t="s">
        <v>35</v>
      </c>
      <c r="F671" s="41" t="s">
        <v>42</v>
      </c>
      <c r="G671" s="41" t="s">
        <v>41</v>
      </c>
      <c r="H671" s="42" t="n">
        <v>121</v>
      </c>
      <c r="I671" s="42" t="n">
        <v>157</v>
      </c>
      <c r="J671" s="42" t="n">
        <v>6793</v>
      </c>
      <c r="K671" s="42" t="n">
        <v>244</v>
      </c>
      <c r="L671" s="43" t="n">
        <f aca="false">J671-K671</f>
        <v>6549</v>
      </c>
      <c r="M671" s="42" t="n">
        <v>3357</v>
      </c>
      <c r="N671" s="43" t="n">
        <f aca="false">L671-M671</f>
        <v>3192</v>
      </c>
    </row>
    <row r="672" customFormat="false" ht="15" hidden="false" customHeight="false" outlineLevel="0" collapsed="false">
      <c r="A672" s="40" t="n">
        <v>45992</v>
      </c>
      <c r="B672" s="41" t="n">
        <v>2025</v>
      </c>
      <c r="C672" s="41" t="n">
        <v>12</v>
      </c>
      <c r="D672" s="41" t="s">
        <v>57</v>
      </c>
      <c r="E672" s="41" t="s">
        <v>35</v>
      </c>
      <c r="F672" s="41" t="s">
        <v>43</v>
      </c>
      <c r="G672" s="41" t="s">
        <v>37</v>
      </c>
      <c r="H672" s="42" t="n">
        <v>54</v>
      </c>
      <c r="I672" s="42" t="n">
        <v>63</v>
      </c>
      <c r="J672" s="42" t="n">
        <v>10864</v>
      </c>
      <c r="K672" s="42" t="n">
        <v>264</v>
      </c>
      <c r="L672" s="43" t="n">
        <f aca="false">J672-K672</f>
        <v>10600</v>
      </c>
      <c r="M672" s="42" t="n">
        <v>5571</v>
      </c>
      <c r="N672" s="43" t="n">
        <f aca="false">L672-M672</f>
        <v>5029</v>
      </c>
    </row>
    <row r="673" customFormat="false" ht="15" hidden="false" customHeight="false" outlineLevel="0" collapsed="false">
      <c r="A673" s="40" t="n">
        <v>45992</v>
      </c>
      <c r="B673" s="41" t="n">
        <v>2025</v>
      </c>
      <c r="C673" s="41" t="n">
        <v>12</v>
      </c>
      <c r="D673" s="41" t="s">
        <v>57</v>
      </c>
      <c r="E673" s="41" t="s">
        <v>35</v>
      </c>
      <c r="F673" s="41" t="s">
        <v>43</v>
      </c>
      <c r="G673" s="41" t="s">
        <v>38</v>
      </c>
      <c r="H673" s="42" t="n">
        <v>77</v>
      </c>
      <c r="I673" s="42" t="n">
        <v>109</v>
      </c>
      <c r="J673" s="42" t="n">
        <v>9190</v>
      </c>
      <c r="K673" s="42" t="n">
        <v>307</v>
      </c>
      <c r="L673" s="43" t="n">
        <f aca="false">J673-K673</f>
        <v>8883</v>
      </c>
      <c r="M673" s="42" t="n">
        <v>3962</v>
      </c>
      <c r="N673" s="43" t="n">
        <f aca="false">L673-M673</f>
        <v>4921</v>
      </c>
    </row>
    <row r="674" customFormat="false" ht="15" hidden="false" customHeight="false" outlineLevel="0" collapsed="false">
      <c r="A674" s="40" t="n">
        <v>45992</v>
      </c>
      <c r="B674" s="41" t="n">
        <v>2025</v>
      </c>
      <c r="C674" s="41" t="n">
        <v>12</v>
      </c>
      <c r="D674" s="41" t="s">
        <v>57</v>
      </c>
      <c r="E674" s="41" t="s">
        <v>35</v>
      </c>
      <c r="F674" s="41" t="s">
        <v>43</v>
      </c>
      <c r="G674" s="41" t="s">
        <v>39</v>
      </c>
      <c r="H674" s="42" t="n">
        <v>107</v>
      </c>
      <c r="I674" s="42" t="n">
        <v>151</v>
      </c>
      <c r="J674" s="42" t="n">
        <v>9513</v>
      </c>
      <c r="K674" s="42" t="n">
        <v>622</v>
      </c>
      <c r="L674" s="43" t="n">
        <f aca="false">J674-K674</f>
        <v>8891</v>
      </c>
      <c r="M674" s="42" t="n">
        <v>3368</v>
      </c>
      <c r="N674" s="43" t="n">
        <f aca="false">L674-M674</f>
        <v>5523</v>
      </c>
    </row>
    <row r="675" customFormat="false" ht="15" hidden="false" customHeight="false" outlineLevel="0" collapsed="false">
      <c r="A675" s="40" t="n">
        <v>45992</v>
      </c>
      <c r="B675" s="41" t="n">
        <v>2025</v>
      </c>
      <c r="C675" s="41" t="n">
        <v>12</v>
      </c>
      <c r="D675" s="41" t="s">
        <v>57</v>
      </c>
      <c r="E675" s="41" t="s">
        <v>35</v>
      </c>
      <c r="F675" s="41" t="s">
        <v>43</v>
      </c>
      <c r="G675" s="41" t="s">
        <v>40</v>
      </c>
      <c r="H675" s="42" t="n">
        <v>58</v>
      </c>
      <c r="I675" s="42" t="n">
        <v>92</v>
      </c>
      <c r="J675" s="42" t="n">
        <v>7859</v>
      </c>
      <c r="K675" s="42" t="n">
        <v>540</v>
      </c>
      <c r="L675" s="43" t="n">
        <f aca="false">J675-K675</f>
        <v>7319</v>
      </c>
      <c r="M675" s="42" t="n">
        <v>3940</v>
      </c>
      <c r="N675" s="43" t="n">
        <f aca="false">L675-M675</f>
        <v>3379</v>
      </c>
    </row>
    <row r="676" customFormat="false" ht="15" hidden="false" customHeight="false" outlineLevel="0" collapsed="false">
      <c r="A676" s="40" t="n">
        <v>45992</v>
      </c>
      <c r="B676" s="41" t="n">
        <v>2025</v>
      </c>
      <c r="C676" s="41" t="n">
        <v>12</v>
      </c>
      <c r="D676" s="41" t="s">
        <v>57</v>
      </c>
      <c r="E676" s="41" t="s">
        <v>35</v>
      </c>
      <c r="F676" s="41" t="s">
        <v>43</v>
      </c>
      <c r="G676" s="41" t="s">
        <v>41</v>
      </c>
      <c r="H676" s="42" t="n">
        <v>86</v>
      </c>
      <c r="I676" s="42" t="n">
        <v>109</v>
      </c>
      <c r="J676" s="42" t="n">
        <v>5553</v>
      </c>
      <c r="K676" s="42" t="n">
        <v>106</v>
      </c>
      <c r="L676" s="43" t="n">
        <f aca="false">J676-K676</f>
        <v>5447</v>
      </c>
      <c r="M676" s="42" t="n">
        <v>2615</v>
      </c>
      <c r="N676" s="43" t="n">
        <f aca="false">L676-M676</f>
        <v>2832</v>
      </c>
    </row>
    <row r="677" customFormat="false" ht="15" hidden="false" customHeight="false" outlineLevel="0" collapsed="false">
      <c r="A677" s="40" t="n">
        <v>45992</v>
      </c>
      <c r="B677" s="41" t="n">
        <v>2025</v>
      </c>
      <c r="C677" s="41" t="n">
        <v>12</v>
      </c>
      <c r="D677" s="41" t="s">
        <v>57</v>
      </c>
      <c r="E677" s="41" t="s">
        <v>44</v>
      </c>
      <c r="F677" s="41" t="s">
        <v>36</v>
      </c>
      <c r="G677" s="41" t="s">
        <v>37</v>
      </c>
      <c r="H677" s="42" t="n">
        <v>87</v>
      </c>
      <c r="I677" s="42" t="n">
        <v>122</v>
      </c>
      <c r="J677" s="42" t="n">
        <v>16426</v>
      </c>
      <c r="K677" s="42" t="n">
        <v>664</v>
      </c>
      <c r="L677" s="43" t="n">
        <f aca="false">J677-K677</f>
        <v>15762</v>
      </c>
      <c r="M677" s="42" t="n">
        <v>8583</v>
      </c>
      <c r="N677" s="43" t="n">
        <f aca="false">L677-M677</f>
        <v>7179</v>
      </c>
    </row>
    <row r="678" customFormat="false" ht="15" hidden="false" customHeight="false" outlineLevel="0" collapsed="false">
      <c r="A678" s="40" t="n">
        <v>45992</v>
      </c>
      <c r="B678" s="41" t="n">
        <v>2025</v>
      </c>
      <c r="C678" s="41" t="n">
        <v>12</v>
      </c>
      <c r="D678" s="41" t="s">
        <v>57</v>
      </c>
      <c r="E678" s="41" t="s">
        <v>44</v>
      </c>
      <c r="F678" s="41" t="s">
        <v>36</v>
      </c>
      <c r="G678" s="41" t="s">
        <v>38</v>
      </c>
      <c r="H678" s="42" t="n">
        <v>156</v>
      </c>
      <c r="I678" s="42" t="n">
        <v>182</v>
      </c>
      <c r="J678" s="42" t="n">
        <v>17521</v>
      </c>
      <c r="K678" s="42" t="n">
        <v>897</v>
      </c>
      <c r="L678" s="43" t="n">
        <f aca="false">J678-K678</f>
        <v>16624</v>
      </c>
      <c r="M678" s="42" t="n">
        <v>7602</v>
      </c>
      <c r="N678" s="43" t="n">
        <f aca="false">L678-M678</f>
        <v>9022</v>
      </c>
    </row>
    <row r="679" customFormat="false" ht="15" hidden="false" customHeight="false" outlineLevel="0" collapsed="false">
      <c r="A679" s="40" t="n">
        <v>45992</v>
      </c>
      <c r="B679" s="41" t="n">
        <v>2025</v>
      </c>
      <c r="C679" s="41" t="n">
        <v>12</v>
      </c>
      <c r="D679" s="41" t="s">
        <v>57</v>
      </c>
      <c r="E679" s="41" t="s">
        <v>44</v>
      </c>
      <c r="F679" s="41" t="s">
        <v>36</v>
      </c>
      <c r="G679" s="41" t="s">
        <v>39</v>
      </c>
      <c r="H679" s="42" t="n">
        <v>241</v>
      </c>
      <c r="I679" s="42" t="n">
        <v>361</v>
      </c>
      <c r="J679" s="42" t="n">
        <v>20243</v>
      </c>
      <c r="K679" s="42" t="n">
        <v>2132</v>
      </c>
      <c r="L679" s="43" t="n">
        <f aca="false">J679-K679</f>
        <v>18111</v>
      </c>
      <c r="M679" s="42" t="n">
        <v>7120</v>
      </c>
      <c r="N679" s="43" t="n">
        <f aca="false">L679-M679</f>
        <v>10991</v>
      </c>
    </row>
    <row r="680" customFormat="false" ht="15" hidden="false" customHeight="false" outlineLevel="0" collapsed="false">
      <c r="A680" s="40" t="n">
        <v>45992</v>
      </c>
      <c r="B680" s="41" t="n">
        <v>2025</v>
      </c>
      <c r="C680" s="41" t="n">
        <v>12</v>
      </c>
      <c r="D680" s="41" t="s">
        <v>57</v>
      </c>
      <c r="E680" s="41" t="s">
        <v>44</v>
      </c>
      <c r="F680" s="41" t="s">
        <v>36</v>
      </c>
      <c r="G680" s="41" t="s">
        <v>40</v>
      </c>
      <c r="H680" s="42" t="n">
        <v>99</v>
      </c>
      <c r="I680" s="42" t="n">
        <v>126</v>
      </c>
      <c r="J680" s="42" t="n">
        <v>12692</v>
      </c>
      <c r="K680" s="42" t="n">
        <v>1703</v>
      </c>
      <c r="L680" s="43" t="n">
        <f aca="false">J680-K680</f>
        <v>10989</v>
      </c>
      <c r="M680" s="42" t="n">
        <v>6179</v>
      </c>
      <c r="N680" s="43" t="n">
        <f aca="false">L680-M680</f>
        <v>4810</v>
      </c>
    </row>
    <row r="681" customFormat="false" ht="15" hidden="false" customHeight="false" outlineLevel="0" collapsed="false">
      <c r="A681" s="40" t="n">
        <v>45992</v>
      </c>
      <c r="B681" s="41" t="n">
        <v>2025</v>
      </c>
      <c r="C681" s="41" t="n">
        <v>12</v>
      </c>
      <c r="D681" s="41" t="s">
        <v>57</v>
      </c>
      <c r="E681" s="41" t="s">
        <v>44</v>
      </c>
      <c r="F681" s="41" t="s">
        <v>36</v>
      </c>
      <c r="G681" s="41" t="s">
        <v>41</v>
      </c>
      <c r="H681" s="42" t="n">
        <v>162</v>
      </c>
      <c r="I681" s="42" t="n">
        <v>236</v>
      </c>
      <c r="J681" s="42" t="n">
        <v>9880</v>
      </c>
      <c r="K681" s="42" t="n">
        <v>273</v>
      </c>
      <c r="L681" s="43" t="n">
        <f aca="false">J681-K681</f>
        <v>9607</v>
      </c>
      <c r="M681" s="42" t="n">
        <v>4684</v>
      </c>
      <c r="N681" s="43" t="n">
        <f aca="false">L681-M681</f>
        <v>4923</v>
      </c>
    </row>
    <row r="682" customFormat="false" ht="15" hidden="false" customHeight="false" outlineLevel="0" collapsed="false">
      <c r="A682" s="40" t="n">
        <v>45992</v>
      </c>
      <c r="B682" s="41" t="n">
        <v>2025</v>
      </c>
      <c r="C682" s="41" t="n">
        <v>12</v>
      </c>
      <c r="D682" s="41" t="s">
        <v>57</v>
      </c>
      <c r="E682" s="41" t="s">
        <v>44</v>
      </c>
      <c r="F682" s="41" t="s">
        <v>42</v>
      </c>
      <c r="G682" s="41" t="s">
        <v>37</v>
      </c>
      <c r="H682" s="42" t="n">
        <v>75</v>
      </c>
      <c r="I682" s="42" t="n">
        <v>103</v>
      </c>
      <c r="J682" s="42" t="n">
        <v>13064</v>
      </c>
      <c r="K682" s="42" t="n">
        <v>744</v>
      </c>
      <c r="L682" s="43" t="n">
        <f aca="false">J682-K682</f>
        <v>12320</v>
      </c>
      <c r="M682" s="42" t="n">
        <v>6701</v>
      </c>
      <c r="N682" s="43" t="n">
        <f aca="false">L682-M682</f>
        <v>5619</v>
      </c>
    </row>
    <row r="683" customFormat="false" ht="15" hidden="false" customHeight="false" outlineLevel="0" collapsed="false">
      <c r="A683" s="40" t="n">
        <v>45992</v>
      </c>
      <c r="B683" s="41" t="n">
        <v>2025</v>
      </c>
      <c r="C683" s="41" t="n">
        <v>12</v>
      </c>
      <c r="D683" s="41" t="s">
        <v>57</v>
      </c>
      <c r="E683" s="41" t="s">
        <v>44</v>
      </c>
      <c r="F683" s="41" t="s">
        <v>42</v>
      </c>
      <c r="G683" s="41" t="s">
        <v>38</v>
      </c>
      <c r="H683" s="42" t="n">
        <v>105</v>
      </c>
      <c r="I683" s="42" t="n">
        <v>140</v>
      </c>
      <c r="J683" s="42" t="n">
        <v>10864</v>
      </c>
      <c r="K683" s="42" t="n">
        <v>604</v>
      </c>
      <c r="L683" s="43" t="n">
        <f aca="false">J683-K683</f>
        <v>10260</v>
      </c>
      <c r="M683" s="42" t="n">
        <v>4795</v>
      </c>
      <c r="N683" s="43" t="n">
        <f aca="false">L683-M683</f>
        <v>5465</v>
      </c>
    </row>
    <row r="684" customFormat="false" ht="15" hidden="false" customHeight="false" outlineLevel="0" collapsed="false">
      <c r="A684" s="40" t="n">
        <v>45992</v>
      </c>
      <c r="B684" s="41" t="n">
        <v>2025</v>
      </c>
      <c r="C684" s="41" t="n">
        <v>12</v>
      </c>
      <c r="D684" s="41" t="s">
        <v>57</v>
      </c>
      <c r="E684" s="41" t="s">
        <v>44</v>
      </c>
      <c r="F684" s="41" t="s">
        <v>42</v>
      </c>
      <c r="G684" s="41" t="s">
        <v>39</v>
      </c>
      <c r="H684" s="42" t="n">
        <v>157</v>
      </c>
      <c r="I684" s="42" t="n">
        <v>250</v>
      </c>
      <c r="J684" s="42" t="n">
        <v>12121</v>
      </c>
      <c r="K684" s="42" t="n">
        <v>1624</v>
      </c>
      <c r="L684" s="43" t="n">
        <f aca="false">J684-K684</f>
        <v>10497</v>
      </c>
      <c r="M684" s="42" t="n">
        <v>4315</v>
      </c>
      <c r="N684" s="43" t="n">
        <f aca="false">L684-M684</f>
        <v>6182</v>
      </c>
    </row>
    <row r="685" customFormat="false" ht="15" hidden="false" customHeight="false" outlineLevel="0" collapsed="false">
      <c r="A685" s="40" t="n">
        <v>45992</v>
      </c>
      <c r="B685" s="41" t="n">
        <v>2025</v>
      </c>
      <c r="C685" s="41" t="n">
        <v>12</v>
      </c>
      <c r="D685" s="41" t="s">
        <v>57</v>
      </c>
      <c r="E685" s="41" t="s">
        <v>44</v>
      </c>
      <c r="F685" s="41" t="s">
        <v>42</v>
      </c>
      <c r="G685" s="41" t="s">
        <v>40</v>
      </c>
      <c r="H685" s="42" t="n">
        <v>72</v>
      </c>
      <c r="I685" s="42" t="n">
        <v>90</v>
      </c>
      <c r="J685" s="42" t="n">
        <v>8522</v>
      </c>
      <c r="K685" s="42" t="n">
        <v>1297</v>
      </c>
      <c r="L685" s="43" t="n">
        <f aca="false">J685-K685</f>
        <v>7225</v>
      </c>
      <c r="M685" s="42" t="n">
        <v>4014</v>
      </c>
      <c r="N685" s="43" t="n">
        <f aca="false">L685-M685</f>
        <v>3211</v>
      </c>
    </row>
    <row r="686" customFormat="false" ht="15" hidden="false" customHeight="false" outlineLevel="0" collapsed="false">
      <c r="A686" s="40" t="n">
        <v>45992</v>
      </c>
      <c r="B686" s="41" t="n">
        <v>2025</v>
      </c>
      <c r="C686" s="41" t="n">
        <v>12</v>
      </c>
      <c r="D686" s="41" t="s">
        <v>57</v>
      </c>
      <c r="E686" s="41" t="s">
        <v>44</v>
      </c>
      <c r="F686" s="41" t="s">
        <v>42</v>
      </c>
      <c r="G686" s="41" t="s">
        <v>41</v>
      </c>
      <c r="H686" s="42" t="n">
        <v>94</v>
      </c>
      <c r="I686" s="42" t="n">
        <v>145</v>
      </c>
      <c r="J686" s="42" t="n">
        <v>5277</v>
      </c>
      <c r="K686" s="42" t="n">
        <v>210</v>
      </c>
      <c r="L686" s="43" t="n">
        <f aca="false">J686-K686</f>
        <v>5067</v>
      </c>
      <c r="M686" s="42" t="n">
        <v>2529</v>
      </c>
      <c r="N686" s="43" t="n">
        <f aca="false">L686-M686</f>
        <v>2538</v>
      </c>
    </row>
    <row r="687" customFormat="false" ht="15" hidden="false" customHeight="false" outlineLevel="0" collapsed="false">
      <c r="A687" s="40" t="n">
        <v>45992</v>
      </c>
      <c r="B687" s="41" t="n">
        <v>2025</v>
      </c>
      <c r="C687" s="41" t="n">
        <v>12</v>
      </c>
      <c r="D687" s="41" t="s">
        <v>57</v>
      </c>
      <c r="E687" s="41" t="s">
        <v>44</v>
      </c>
      <c r="F687" s="41" t="s">
        <v>43</v>
      </c>
      <c r="G687" s="41" t="s">
        <v>37</v>
      </c>
      <c r="H687" s="42" t="n">
        <v>43</v>
      </c>
      <c r="I687" s="42" t="n">
        <v>55</v>
      </c>
      <c r="J687" s="42" t="n">
        <v>8579</v>
      </c>
      <c r="K687" s="42" t="n">
        <v>208</v>
      </c>
      <c r="L687" s="43" t="n">
        <f aca="false">J687-K687</f>
        <v>8371</v>
      </c>
      <c r="M687" s="42" t="n">
        <v>4321</v>
      </c>
      <c r="N687" s="43" t="n">
        <f aca="false">L687-M687</f>
        <v>4050</v>
      </c>
    </row>
    <row r="688" customFormat="false" ht="15" hidden="false" customHeight="false" outlineLevel="0" collapsed="false">
      <c r="A688" s="40" t="n">
        <v>45992</v>
      </c>
      <c r="B688" s="41" t="n">
        <v>2025</v>
      </c>
      <c r="C688" s="41" t="n">
        <v>12</v>
      </c>
      <c r="D688" s="41" t="s">
        <v>57</v>
      </c>
      <c r="E688" s="41" t="s">
        <v>44</v>
      </c>
      <c r="F688" s="41" t="s">
        <v>43</v>
      </c>
      <c r="G688" s="41" t="s">
        <v>38</v>
      </c>
      <c r="H688" s="42" t="n">
        <v>59</v>
      </c>
      <c r="I688" s="42" t="n">
        <v>76</v>
      </c>
      <c r="J688" s="42" t="n">
        <v>6955</v>
      </c>
      <c r="K688" s="42" t="n">
        <v>266</v>
      </c>
      <c r="L688" s="43" t="n">
        <f aca="false">J688-K688</f>
        <v>6689</v>
      </c>
      <c r="M688" s="42" t="n">
        <v>3020</v>
      </c>
      <c r="N688" s="43" t="n">
        <f aca="false">L688-M688</f>
        <v>3669</v>
      </c>
    </row>
    <row r="689" customFormat="false" ht="15" hidden="false" customHeight="false" outlineLevel="0" collapsed="false">
      <c r="A689" s="40" t="n">
        <v>45992</v>
      </c>
      <c r="B689" s="41" t="n">
        <v>2025</v>
      </c>
      <c r="C689" s="41" t="n">
        <v>12</v>
      </c>
      <c r="D689" s="41" t="s">
        <v>57</v>
      </c>
      <c r="E689" s="41" t="s">
        <v>44</v>
      </c>
      <c r="F689" s="41" t="s">
        <v>43</v>
      </c>
      <c r="G689" s="41" t="s">
        <v>39</v>
      </c>
      <c r="H689" s="42" t="n">
        <v>111</v>
      </c>
      <c r="I689" s="42" t="n">
        <v>145</v>
      </c>
      <c r="J689" s="42" t="n">
        <v>9841</v>
      </c>
      <c r="K689" s="42" t="n">
        <v>805</v>
      </c>
      <c r="L689" s="43" t="n">
        <f aca="false">J689-K689</f>
        <v>9036</v>
      </c>
      <c r="M689" s="42" t="n">
        <v>3542</v>
      </c>
      <c r="N689" s="43" t="n">
        <f aca="false">L689-M689</f>
        <v>5494</v>
      </c>
    </row>
    <row r="690" customFormat="false" ht="15" hidden="false" customHeight="false" outlineLevel="0" collapsed="false">
      <c r="A690" s="40" t="n">
        <v>45992</v>
      </c>
      <c r="B690" s="41" t="n">
        <v>2025</v>
      </c>
      <c r="C690" s="41" t="n">
        <v>12</v>
      </c>
      <c r="D690" s="41" t="s">
        <v>57</v>
      </c>
      <c r="E690" s="41" t="s">
        <v>44</v>
      </c>
      <c r="F690" s="41" t="s">
        <v>43</v>
      </c>
      <c r="G690" s="41" t="s">
        <v>40</v>
      </c>
      <c r="H690" s="42" t="n">
        <v>41</v>
      </c>
      <c r="I690" s="42" t="n">
        <v>50</v>
      </c>
      <c r="J690" s="42" t="n">
        <v>5570</v>
      </c>
      <c r="K690" s="42" t="n">
        <v>483</v>
      </c>
      <c r="L690" s="43" t="n">
        <f aca="false">J690-K690</f>
        <v>5087</v>
      </c>
      <c r="M690" s="42" t="n">
        <v>2880</v>
      </c>
      <c r="N690" s="43" t="n">
        <f aca="false">L690-M690</f>
        <v>2207</v>
      </c>
    </row>
    <row r="691" customFormat="false" ht="15" hidden="false" customHeight="false" outlineLevel="0" collapsed="false">
      <c r="A691" s="40" t="n">
        <v>45992</v>
      </c>
      <c r="B691" s="41" t="n">
        <v>2025</v>
      </c>
      <c r="C691" s="41" t="n">
        <v>12</v>
      </c>
      <c r="D691" s="41" t="s">
        <v>57</v>
      </c>
      <c r="E691" s="41" t="s">
        <v>44</v>
      </c>
      <c r="F691" s="41" t="s">
        <v>43</v>
      </c>
      <c r="G691" s="41" t="s">
        <v>41</v>
      </c>
      <c r="H691" s="42" t="n">
        <v>62</v>
      </c>
      <c r="I691" s="42" t="n">
        <v>93</v>
      </c>
      <c r="J691" s="42" t="n">
        <v>4040</v>
      </c>
      <c r="K691" s="42" t="n">
        <v>82</v>
      </c>
      <c r="L691" s="43" t="n">
        <f aca="false">J691-K691</f>
        <v>3958</v>
      </c>
      <c r="M691" s="42" t="n">
        <v>1942</v>
      </c>
      <c r="N691" s="43" t="n">
        <f aca="false">L691-M691</f>
        <v>2016</v>
      </c>
    </row>
    <row r="692" customFormat="false" ht="15" hidden="false" customHeight="false" outlineLevel="0" collapsed="false">
      <c r="A692" s="40" t="n">
        <v>45992</v>
      </c>
      <c r="B692" s="41" t="n">
        <v>2025</v>
      </c>
      <c r="C692" s="41" t="n">
        <v>12</v>
      </c>
      <c r="D692" s="41" t="s">
        <v>57</v>
      </c>
      <c r="E692" s="41" t="s">
        <v>45</v>
      </c>
      <c r="F692" s="41" t="s">
        <v>36</v>
      </c>
      <c r="G692" s="41" t="s">
        <v>37</v>
      </c>
      <c r="H692" s="42" t="n">
        <v>61</v>
      </c>
      <c r="I692" s="42" t="n">
        <v>83</v>
      </c>
      <c r="J692" s="42" t="n">
        <v>11458</v>
      </c>
      <c r="K692" s="42" t="n">
        <v>531</v>
      </c>
      <c r="L692" s="43" t="n">
        <f aca="false">J692-K692</f>
        <v>10927</v>
      </c>
      <c r="M692" s="42" t="n">
        <v>5713</v>
      </c>
      <c r="N692" s="43" t="n">
        <f aca="false">L692-M692</f>
        <v>5214</v>
      </c>
    </row>
    <row r="693" customFormat="false" ht="15" hidden="false" customHeight="false" outlineLevel="0" collapsed="false">
      <c r="A693" s="40" t="n">
        <v>45992</v>
      </c>
      <c r="B693" s="41" t="n">
        <v>2025</v>
      </c>
      <c r="C693" s="41" t="n">
        <v>12</v>
      </c>
      <c r="D693" s="41" t="s">
        <v>57</v>
      </c>
      <c r="E693" s="41" t="s">
        <v>45</v>
      </c>
      <c r="F693" s="41" t="s">
        <v>36</v>
      </c>
      <c r="G693" s="41" t="s">
        <v>38</v>
      </c>
      <c r="H693" s="42" t="n">
        <v>95</v>
      </c>
      <c r="I693" s="42" t="n">
        <v>110</v>
      </c>
      <c r="J693" s="42" t="n">
        <v>10632</v>
      </c>
      <c r="K693" s="42" t="n">
        <v>460</v>
      </c>
      <c r="L693" s="43" t="n">
        <f aca="false">J693-K693</f>
        <v>10172</v>
      </c>
      <c r="M693" s="42" t="n">
        <v>4514</v>
      </c>
      <c r="N693" s="43" t="n">
        <f aca="false">L693-M693</f>
        <v>5658</v>
      </c>
    </row>
    <row r="694" customFormat="false" ht="15" hidden="false" customHeight="false" outlineLevel="0" collapsed="false">
      <c r="A694" s="40" t="n">
        <v>45992</v>
      </c>
      <c r="B694" s="41" t="n">
        <v>2025</v>
      </c>
      <c r="C694" s="41" t="n">
        <v>12</v>
      </c>
      <c r="D694" s="41" t="s">
        <v>57</v>
      </c>
      <c r="E694" s="41" t="s">
        <v>45</v>
      </c>
      <c r="F694" s="41" t="s">
        <v>36</v>
      </c>
      <c r="G694" s="41" t="s">
        <v>39</v>
      </c>
      <c r="H694" s="42" t="n">
        <v>171</v>
      </c>
      <c r="I694" s="42" t="n">
        <v>213</v>
      </c>
      <c r="J694" s="42" t="n">
        <v>14356</v>
      </c>
      <c r="K694" s="42" t="n">
        <v>1378</v>
      </c>
      <c r="L694" s="43" t="n">
        <f aca="false">J694-K694</f>
        <v>12978</v>
      </c>
      <c r="M694" s="42" t="n">
        <v>4971</v>
      </c>
      <c r="N694" s="43" t="n">
        <f aca="false">L694-M694</f>
        <v>8007</v>
      </c>
    </row>
    <row r="695" customFormat="false" ht="15" hidden="false" customHeight="false" outlineLevel="0" collapsed="false">
      <c r="A695" s="40" t="n">
        <v>45992</v>
      </c>
      <c r="B695" s="41" t="n">
        <v>2025</v>
      </c>
      <c r="C695" s="41" t="n">
        <v>12</v>
      </c>
      <c r="D695" s="41" t="s">
        <v>57</v>
      </c>
      <c r="E695" s="41" t="s">
        <v>45</v>
      </c>
      <c r="F695" s="41" t="s">
        <v>36</v>
      </c>
      <c r="G695" s="41" t="s">
        <v>40</v>
      </c>
      <c r="H695" s="42" t="n">
        <v>79</v>
      </c>
      <c r="I695" s="42" t="n">
        <v>122</v>
      </c>
      <c r="J695" s="42" t="n">
        <v>10059</v>
      </c>
      <c r="K695" s="42" t="n">
        <v>1279</v>
      </c>
      <c r="L695" s="43" t="n">
        <f aca="false">J695-K695</f>
        <v>8780</v>
      </c>
      <c r="M695" s="42" t="n">
        <v>4741</v>
      </c>
      <c r="N695" s="43" t="n">
        <f aca="false">L695-M695</f>
        <v>4039</v>
      </c>
    </row>
    <row r="696" customFormat="false" ht="15" hidden="false" customHeight="false" outlineLevel="0" collapsed="false">
      <c r="A696" s="40" t="n">
        <v>45992</v>
      </c>
      <c r="B696" s="41" t="n">
        <v>2025</v>
      </c>
      <c r="C696" s="41" t="n">
        <v>12</v>
      </c>
      <c r="D696" s="41" t="s">
        <v>57</v>
      </c>
      <c r="E696" s="41" t="s">
        <v>45</v>
      </c>
      <c r="F696" s="41" t="s">
        <v>36</v>
      </c>
      <c r="G696" s="41" t="s">
        <v>41</v>
      </c>
      <c r="H696" s="42" t="n">
        <v>114</v>
      </c>
      <c r="I696" s="42" t="n">
        <v>181</v>
      </c>
      <c r="J696" s="42" t="n">
        <v>6945</v>
      </c>
      <c r="K696" s="42" t="n">
        <v>217</v>
      </c>
      <c r="L696" s="43" t="n">
        <f aca="false">J696-K696</f>
        <v>6728</v>
      </c>
      <c r="M696" s="42" t="n">
        <v>3148</v>
      </c>
      <c r="N696" s="43" t="n">
        <f aca="false">L696-M696</f>
        <v>3580</v>
      </c>
    </row>
    <row r="697" customFormat="false" ht="15" hidden="false" customHeight="false" outlineLevel="0" collapsed="false">
      <c r="A697" s="40" t="n">
        <v>45992</v>
      </c>
      <c r="B697" s="41" t="n">
        <v>2025</v>
      </c>
      <c r="C697" s="41" t="n">
        <v>12</v>
      </c>
      <c r="D697" s="41" t="s">
        <v>57</v>
      </c>
      <c r="E697" s="41" t="s">
        <v>45</v>
      </c>
      <c r="F697" s="41" t="s">
        <v>42</v>
      </c>
      <c r="G697" s="41" t="s">
        <v>37</v>
      </c>
      <c r="H697" s="42" t="n">
        <v>57</v>
      </c>
      <c r="I697" s="42" t="n">
        <v>88</v>
      </c>
      <c r="J697" s="42" t="n">
        <v>9854</v>
      </c>
      <c r="K697" s="42" t="n">
        <v>498</v>
      </c>
      <c r="L697" s="43" t="n">
        <f aca="false">J697-K697</f>
        <v>9356</v>
      </c>
      <c r="M697" s="42" t="n">
        <v>5023</v>
      </c>
      <c r="N697" s="43" t="n">
        <f aca="false">L697-M697</f>
        <v>4333</v>
      </c>
    </row>
    <row r="698" customFormat="false" ht="15" hidden="false" customHeight="false" outlineLevel="0" collapsed="false">
      <c r="A698" s="40" t="n">
        <v>45992</v>
      </c>
      <c r="B698" s="41" t="n">
        <v>2025</v>
      </c>
      <c r="C698" s="41" t="n">
        <v>12</v>
      </c>
      <c r="D698" s="41" t="s">
        <v>57</v>
      </c>
      <c r="E698" s="41" t="s">
        <v>45</v>
      </c>
      <c r="F698" s="41" t="s">
        <v>42</v>
      </c>
      <c r="G698" s="41" t="s">
        <v>38</v>
      </c>
      <c r="H698" s="42" t="n">
        <v>70</v>
      </c>
      <c r="I698" s="42" t="n">
        <v>97</v>
      </c>
      <c r="J698" s="42" t="n">
        <v>7242</v>
      </c>
      <c r="K698" s="42" t="n">
        <v>562</v>
      </c>
      <c r="L698" s="43" t="n">
        <f aca="false">J698-K698</f>
        <v>6680</v>
      </c>
      <c r="M698" s="42" t="n">
        <v>3179</v>
      </c>
      <c r="N698" s="43" t="n">
        <f aca="false">L698-M698</f>
        <v>3501</v>
      </c>
    </row>
    <row r="699" customFormat="false" ht="15" hidden="false" customHeight="false" outlineLevel="0" collapsed="false">
      <c r="A699" s="40" t="n">
        <v>45992</v>
      </c>
      <c r="B699" s="41" t="n">
        <v>2025</v>
      </c>
      <c r="C699" s="41" t="n">
        <v>12</v>
      </c>
      <c r="D699" s="41" t="s">
        <v>57</v>
      </c>
      <c r="E699" s="41" t="s">
        <v>45</v>
      </c>
      <c r="F699" s="41" t="s">
        <v>42</v>
      </c>
      <c r="G699" s="41" t="s">
        <v>39</v>
      </c>
      <c r="H699" s="42" t="n">
        <v>137</v>
      </c>
      <c r="I699" s="42" t="n">
        <v>171</v>
      </c>
      <c r="J699" s="42" t="n">
        <v>10565</v>
      </c>
      <c r="K699" s="42" t="n">
        <v>1327</v>
      </c>
      <c r="L699" s="43" t="n">
        <f aca="false">J699-K699</f>
        <v>9238</v>
      </c>
      <c r="M699" s="42" t="n">
        <v>3885</v>
      </c>
      <c r="N699" s="43" t="n">
        <f aca="false">L699-M699</f>
        <v>5353</v>
      </c>
    </row>
    <row r="700" customFormat="false" ht="15" hidden="false" customHeight="false" outlineLevel="0" collapsed="false">
      <c r="A700" s="40" t="n">
        <v>45992</v>
      </c>
      <c r="B700" s="41" t="n">
        <v>2025</v>
      </c>
      <c r="C700" s="41" t="n">
        <v>12</v>
      </c>
      <c r="D700" s="41" t="s">
        <v>57</v>
      </c>
      <c r="E700" s="41" t="s">
        <v>45</v>
      </c>
      <c r="F700" s="41" t="s">
        <v>42</v>
      </c>
      <c r="G700" s="41" t="s">
        <v>40</v>
      </c>
      <c r="H700" s="42" t="n">
        <v>60</v>
      </c>
      <c r="I700" s="42" t="n">
        <v>80</v>
      </c>
      <c r="J700" s="42" t="n">
        <v>7085</v>
      </c>
      <c r="K700" s="42" t="n">
        <v>1230</v>
      </c>
      <c r="L700" s="43" t="n">
        <f aca="false">J700-K700</f>
        <v>5855</v>
      </c>
      <c r="M700" s="42" t="n">
        <v>3293</v>
      </c>
      <c r="N700" s="43" t="n">
        <f aca="false">L700-M700</f>
        <v>2562</v>
      </c>
    </row>
    <row r="701" customFormat="false" ht="15" hidden="false" customHeight="false" outlineLevel="0" collapsed="false">
      <c r="A701" s="40" t="n">
        <v>45992</v>
      </c>
      <c r="B701" s="41" t="n">
        <v>2025</v>
      </c>
      <c r="C701" s="41" t="n">
        <v>12</v>
      </c>
      <c r="D701" s="41" t="s">
        <v>57</v>
      </c>
      <c r="E701" s="41" t="s">
        <v>45</v>
      </c>
      <c r="F701" s="41" t="s">
        <v>42</v>
      </c>
      <c r="G701" s="41" t="s">
        <v>41</v>
      </c>
      <c r="H701" s="42" t="n">
        <v>71</v>
      </c>
      <c r="I701" s="42" t="n">
        <v>95</v>
      </c>
      <c r="J701" s="42" t="n">
        <v>3972</v>
      </c>
      <c r="K701" s="42" t="n">
        <v>132</v>
      </c>
      <c r="L701" s="43" t="n">
        <f aca="false">J701-K701</f>
        <v>3840</v>
      </c>
      <c r="M701" s="42" t="n">
        <v>1938</v>
      </c>
      <c r="N701" s="43" t="n">
        <f aca="false">L701-M701</f>
        <v>1902</v>
      </c>
    </row>
    <row r="702" customFormat="false" ht="15" hidden="false" customHeight="false" outlineLevel="0" collapsed="false">
      <c r="A702" s="40" t="n">
        <v>45992</v>
      </c>
      <c r="B702" s="41" t="n">
        <v>2025</v>
      </c>
      <c r="C702" s="41" t="n">
        <v>12</v>
      </c>
      <c r="D702" s="41" t="s">
        <v>57</v>
      </c>
      <c r="E702" s="41" t="s">
        <v>45</v>
      </c>
      <c r="F702" s="41" t="s">
        <v>43</v>
      </c>
      <c r="G702" s="41" t="s">
        <v>37</v>
      </c>
      <c r="H702" s="42" t="n">
        <v>30</v>
      </c>
      <c r="I702" s="42" t="n">
        <v>41</v>
      </c>
      <c r="J702" s="42" t="n">
        <v>5946</v>
      </c>
      <c r="K702" s="42" t="n">
        <v>173</v>
      </c>
      <c r="L702" s="43" t="n">
        <f aca="false">J702-K702</f>
        <v>5773</v>
      </c>
      <c r="M702" s="42" t="n">
        <v>3015</v>
      </c>
      <c r="N702" s="43" t="n">
        <f aca="false">L702-M702</f>
        <v>2758</v>
      </c>
    </row>
    <row r="703" customFormat="false" ht="15" hidden="false" customHeight="false" outlineLevel="0" collapsed="false">
      <c r="A703" s="40" t="n">
        <v>45992</v>
      </c>
      <c r="B703" s="41" t="n">
        <v>2025</v>
      </c>
      <c r="C703" s="41" t="n">
        <v>12</v>
      </c>
      <c r="D703" s="41" t="s">
        <v>57</v>
      </c>
      <c r="E703" s="41" t="s">
        <v>45</v>
      </c>
      <c r="F703" s="41" t="s">
        <v>43</v>
      </c>
      <c r="G703" s="41" t="s">
        <v>38</v>
      </c>
      <c r="H703" s="42" t="n">
        <v>45</v>
      </c>
      <c r="I703" s="42" t="n">
        <v>52</v>
      </c>
      <c r="J703" s="42" t="n">
        <v>5399</v>
      </c>
      <c r="K703" s="42" t="n">
        <v>221</v>
      </c>
      <c r="L703" s="43" t="n">
        <f aca="false">J703-K703</f>
        <v>5178</v>
      </c>
      <c r="M703" s="42" t="n">
        <v>2339</v>
      </c>
      <c r="N703" s="43" t="n">
        <f aca="false">L703-M703</f>
        <v>2839</v>
      </c>
    </row>
    <row r="704" customFormat="false" ht="15" hidden="false" customHeight="false" outlineLevel="0" collapsed="false">
      <c r="A704" s="40" t="n">
        <v>45992</v>
      </c>
      <c r="B704" s="41" t="n">
        <v>2025</v>
      </c>
      <c r="C704" s="41" t="n">
        <v>12</v>
      </c>
      <c r="D704" s="41" t="s">
        <v>57</v>
      </c>
      <c r="E704" s="41" t="s">
        <v>45</v>
      </c>
      <c r="F704" s="41" t="s">
        <v>43</v>
      </c>
      <c r="G704" s="41" t="s">
        <v>39</v>
      </c>
      <c r="H704" s="42" t="n">
        <v>83</v>
      </c>
      <c r="I704" s="42" t="n">
        <v>98</v>
      </c>
      <c r="J704" s="42" t="n">
        <v>7381</v>
      </c>
      <c r="K704" s="42" t="n">
        <v>540</v>
      </c>
      <c r="L704" s="43" t="n">
        <f aca="false">J704-K704</f>
        <v>6841</v>
      </c>
      <c r="M704" s="42" t="n">
        <v>2704</v>
      </c>
      <c r="N704" s="43" t="n">
        <f aca="false">L704-M704</f>
        <v>4137</v>
      </c>
    </row>
    <row r="705" customFormat="false" ht="15" hidden="false" customHeight="false" outlineLevel="0" collapsed="false">
      <c r="A705" s="40" t="n">
        <v>45992</v>
      </c>
      <c r="B705" s="41" t="n">
        <v>2025</v>
      </c>
      <c r="C705" s="41" t="n">
        <v>12</v>
      </c>
      <c r="D705" s="41" t="s">
        <v>57</v>
      </c>
      <c r="E705" s="41" t="s">
        <v>45</v>
      </c>
      <c r="F705" s="41" t="s">
        <v>43</v>
      </c>
      <c r="G705" s="41" t="s">
        <v>40</v>
      </c>
      <c r="H705" s="42" t="n">
        <v>33</v>
      </c>
      <c r="I705" s="42" t="n">
        <v>39</v>
      </c>
      <c r="J705" s="42" t="n">
        <v>4452</v>
      </c>
      <c r="K705" s="42" t="n">
        <v>323</v>
      </c>
      <c r="L705" s="43" t="n">
        <f aca="false">J705-K705</f>
        <v>4129</v>
      </c>
      <c r="M705" s="42" t="n">
        <v>2223</v>
      </c>
      <c r="N705" s="43" t="n">
        <f aca="false">L705-M705</f>
        <v>1906</v>
      </c>
    </row>
    <row r="706" customFormat="false" ht="15" hidden="false" customHeight="false" outlineLevel="0" collapsed="false">
      <c r="A706" s="40" t="n">
        <v>45992</v>
      </c>
      <c r="B706" s="41" t="n">
        <v>2025</v>
      </c>
      <c r="C706" s="41" t="n">
        <v>12</v>
      </c>
      <c r="D706" s="41" t="s">
        <v>57</v>
      </c>
      <c r="E706" s="41" t="s">
        <v>45</v>
      </c>
      <c r="F706" s="41" t="s">
        <v>43</v>
      </c>
      <c r="G706" s="41" t="s">
        <v>41</v>
      </c>
      <c r="H706" s="42" t="n">
        <v>52</v>
      </c>
      <c r="I706" s="42" t="n">
        <v>62</v>
      </c>
      <c r="J706" s="42" t="n">
        <v>3351</v>
      </c>
      <c r="K706" s="42" t="n">
        <v>79</v>
      </c>
      <c r="L706" s="43" t="n">
        <f aca="false">J706-K706</f>
        <v>3272</v>
      </c>
      <c r="M706" s="42" t="n">
        <v>1563</v>
      </c>
      <c r="N706" s="43" t="n">
        <f aca="false">L706-M706</f>
        <v>1709</v>
      </c>
    </row>
    <row r="707" customFormat="false" ht="15" hidden="false" customHeight="false" outlineLevel="0" collapsed="false">
      <c r="A707" s="40" t="n">
        <v>45992</v>
      </c>
      <c r="B707" s="41" t="n">
        <v>2025</v>
      </c>
      <c r="C707" s="41" t="n">
        <v>12</v>
      </c>
      <c r="D707" s="41" t="s">
        <v>57</v>
      </c>
      <c r="E707" s="41" t="s">
        <v>46</v>
      </c>
      <c r="F707" s="41" t="s">
        <v>36</v>
      </c>
      <c r="G707" s="41" t="s">
        <v>37</v>
      </c>
      <c r="H707" s="42" t="n">
        <v>66</v>
      </c>
      <c r="I707" s="42" t="n">
        <v>93</v>
      </c>
      <c r="J707" s="42" t="n">
        <v>12518</v>
      </c>
      <c r="K707" s="42" t="n">
        <v>512</v>
      </c>
      <c r="L707" s="43" t="n">
        <f aca="false">J707-K707</f>
        <v>12006</v>
      </c>
      <c r="M707" s="42" t="n">
        <v>6424</v>
      </c>
      <c r="N707" s="43" t="n">
        <f aca="false">L707-M707</f>
        <v>5582</v>
      </c>
    </row>
    <row r="708" customFormat="false" ht="15" hidden="false" customHeight="false" outlineLevel="0" collapsed="false">
      <c r="A708" s="40" t="n">
        <v>45992</v>
      </c>
      <c r="B708" s="41" t="n">
        <v>2025</v>
      </c>
      <c r="C708" s="41" t="n">
        <v>12</v>
      </c>
      <c r="D708" s="41" t="s">
        <v>57</v>
      </c>
      <c r="E708" s="41" t="s">
        <v>46</v>
      </c>
      <c r="F708" s="41" t="s">
        <v>36</v>
      </c>
      <c r="G708" s="41" t="s">
        <v>38</v>
      </c>
      <c r="H708" s="42" t="n">
        <v>100</v>
      </c>
      <c r="I708" s="42" t="n">
        <v>130</v>
      </c>
      <c r="J708" s="42" t="n">
        <v>11144</v>
      </c>
      <c r="K708" s="42" t="n">
        <v>611</v>
      </c>
      <c r="L708" s="43" t="n">
        <f aca="false">J708-K708</f>
        <v>10533</v>
      </c>
      <c r="M708" s="42" t="n">
        <v>4671</v>
      </c>
      <c r="N708" s="43" t="n">
        <f aca="false">L708-M708</f>
        <v>5862</v>
      </c>
    </row>
    <row r="709" customFormat="false" ht="15" hidden="false" customHeight="false" outlineLevel="0" collapsed="false">
      <c r="A709" s="40" t="n">
        <v>45992</v>
      </c>
      <c r="B709" s="41" t="n">
        <v>2025</v>
      </c>
      <c r="C709" s="41" t="n">
        <v>12</v>
      </c>
      <c r="D709" s="41" t="s">
        <v>57</v>
      </c>
      <c r="E709" s="41" t="s">
        <v>46</v>
      </c>
      <c r="F709" s="41" t="s">
        <v>36</v>
      </c>
      <c r="G709" s="41" t="s">
        <v>39</v>
      </c>
      <c r="H709" s="42" t="n">
        <v>163</v>
      </c>
      <c r="I709" s="42" t="n">
        <v>243</v>
      </c>
      <c r="J709" s="42" t="n">
        <v>13664</v>
      </c>
      <c r="K709" s="42" t="n">
        <v>1517</v>
      </c>
      <c r="L709" s="43" t="n">
        <f aca="false">J709-K709</f>
        <v>12147</v>
      </c>
      <c r="M709" s="42" t="n">
        <v>4683</v>
      </c>
      <c r="N709" s="43" t="n">
        <f aca="false">L709-M709</f>
        <v>7464</v>
      </c>
    </row>
    <row r="710" customFormat="false" ht="15" hidden="false" customHeight="false" outlineLevel="0" collapsed="false">
      <c r="A710" s="40" t="n">
        <v>45992</v>
      </c>
      <c r="B710" s="41" t="n">
        <v>2025</v>
      </c>
      <c r="C710" s="41" t="n">
        <v>12</v>
      </c>
      <c r="D710" s="41" t="s">
        <v>57</v>
      </c>
      <c r="E710" s="41" t="s">
        <v>46</v>
      </c>
      <c r="F710" s="41" t="s">
        <v>36</v>
      </c>
      <c r="G710" s="41" t="s">
        <v>40</v>
      </c>
      <c r="H710" s="42" t="n">
        <v>78</v>
      </c>
      <c r="I710" s="42" t="n">
        <v>124</v>
      </c>
      <c r="J710" s="42" t="n">
        <v>9997</v>
      </c>
      <c r="K710" s="42" t="n">
        <v>1177</v>
      </c>
      <c r="L710" s="43" t="n">
        <f aca="false">J710-K710</f>
        <v>8820</v>
      </c>
      <c r="M710" s="42" t="n">
        <v>4786</v>
      </c>
      <c r="N710" s="43" t="n">
        <f aca="false">L710-M710</f>
        <v>4034</v>
      </c>
    </row>
    <row r="711" customFormat="false" ht="15" hidden="false" customHeight="false" outlineLevel="0" collapsed="false">
      <c r="A711" s="40" t="n">
        <v>45992</v>
      </c>
      <c r="B711" s="41" t="n">
        <v>2025</v>
      </c>
      <c r="C711" s="41" t="n">
        <v>12</v>
      </c>
      <c r="D711" s="41" t="s">
        <v>57</v>
      </c>
      <c r="E711" s="41" t="s">
        <v>46</v>
      </c>
      <c r="F711" s="41" t="s">
        <v>36</v>
      </c>
      <c r="G711" s="41" t="s">
        <v>41</v>
      </c>
      <c r="H711" s="42" t="n">
        <v>102</v>
      </c>
      <c r="I711" s="42" t="n">
        <v>160</v>
      </c>
      <c r="J711" s="42" t="n">
        <v>6233</v>
      </c>
      <c r="K711" s="42" t="n">
        <v>159</v>
      </c>
      <c r="L711" s="43" t="n">
        <f aca="false">J711-K711</f>
        <v>6074</v>
      </c>
      <c r="M711" s="42" t="n">
        <v>2829</v>
      </c>
      <c r="N711" s="43" t="n">
        <f aca="false">L711-M711</f>
        <v>3245</v>
      </c>
    </row>
    <row r="712" customFormat="false" ht="15" hidden="false" customHeight="false" outlineLevel="0" collapsed="false">
      <c r="A712" s="40" t="n">
        <v>45992</v>
      </c>
      <c r="B712" s="41" t="n">
        <v>2025</v>
      </c>
      <c r="C712" s="41" t="n">
        <v>12</v>
      </c>
      <c r="D712" s="41" t="s">
        <v>57</v>
      </c>
      <c r="E712" s="41" t="s">
        <v>46</v>
      </c>
      <c r="F712" s="41" t="s">
        <v>42</v>
      </c>
      <c r="G712" s="41" t="s">
        <v>37</v>
      </c>
      <c r="H712" s="42" t="n">
        <v>49</v>
      </c>
      <c r="I712" s="42" t="n">
        <v>71</v>
      </c>
      <c r="J712" s="42" t="n">
        <v>8557</v>
      </c>
      <c r="K712" s="42" t="n">
        <v>513</v>
      </c>
      <c r="L712" s="43" t="n">
        <f aca="false">J712-K712</f>
        <v>8044</v>
      </c>
      <c r="M712" s="42" t="n">
        <v>4378</v>
      </c>
      <c r="N712" s="43" t="n">
        <f aca="false">L712-M712</f>
        <v>3666</v>
      </c>
    </row>
    <row r="713" customFormat="false" ht="15" hidden="false" customHeight="false" outlineLevel="0" collapsed="false">
      <c r="A713" s="40" t="n">
        <v>45992</v>
      </c>
      <c r="B713" s="41" t="n">
        <v>2025</v>
      </c>
      <c r="C713" s="41" t="n">
        <v>12</v>
      </c>
      <c r="D713" s="41" t="s">
        <v>57</v>
      </c>
      <c r="E713" s="41" t="s">
        <v>46</v>
      </c>
      <c r="F713" s="41" t="s">
        <v>42</v>
      </c>
      <c r="G713" s="41" t="s">
        <v>38</v>
      </c>
      <c r="H713" s="42" t="n">
        <v>83</v>
      </c>
      <c r="I713" s="42" t="n">
        <v>104</v>
      </c>
      <c r="J713" s="42" t="n">
        <v>8571</v>
      </c>
      <c r="K713" s="42" t="n">
        <v>638</v>
      </c>
      <c r="L713" s="43" t="n">
        <f aca="false">J713-K713</f>
        <v>7933</v>
      </c>
      <c r="M713" s="42" t="n">
        <v>3652</v>
      </c>
      <c r="N713" s="43" t="n">
        <f aca="false">L713-M713</f>
        <v>4281</v>
      </c>
    </row>
    <row r="714" customFormat="false" ht="15" hidden="false" customHeight="false" outlineLevel="0" collapsed="false">
      <c r="A714" s="40" t="n">
        <v>45992</v>
      </c>
      <c r="B714" s="41" t="n">
        <v>2025</v>
      </c>
      <c r="C714" s="41" t="n">
        <v>12</v>
      </c>
      <c r="D714" s="41" t="s">
        <v>57</v>
      </c>
      <c r="E714" s="41" t="s">
        <v>46</v>
      </c>
      <c r="F714" s="41" t="s">
        <v>42</v>
      </c>
      <c r="G714" s="41" t="s">
        <v>39</v>
      </c>
      <c r="H714" s="42" t="n">
        <v>101</v>
      </c>
      <c r="I714" s="42" t="n">
        <v>122</v>
      </c>
      <c r="J714" s="42" t="n">
        <v>7788</v>
      </c>
      <c r="K714" s="42" t="n">
        <v>866</v>
      </c>
      <c r="L714" s="43" t="n">
        <f aca="false">J714-K714</f>
        <v>6922</v>
      </c>
      <c r="M714" s="42" t="n">
        <v>2869</v>
      </c>
      <c r="N714" s="43" t="n">
        <f aca="false">L714-M714</f>
        <v>4053</v>
      </c>
    </row>
    <row r="715" customFormat="false" ht="15" hidden="false" customHeight="false" outlineLevel="0" collapsed="false">
      <c r="A715" s="40" t="n">
        <v>45992</v>
      </c>
      <c r="B715" s="41" t="n">
        <v>2025</v>
      </c>
      <c r="C715" s="41" t="n">
        <v>12</v>
      </c>
      <c r="D715" s="41" t="s">
        <v>57</v>
      </c>
      <c r="E715" s="41" t="s">
        <v>46</v>
      </c>
      <c r="F715" s="41" t="s">
        <v>42</v>
      </c>
      <c r="G715" s="41" t="s">
        <v>40</v>
      </c>
      <c r="H715" s="42" t="n">
        <v>56</v>
      </c>
      <c r="I715" s="42" t="n">
        <v>69</v>
      </c>
      <c r="J715" s="42" t="n">
        <v>6561</v>
      </c>
      <c r="K715" s="42" t="n">
        <v>1250</v>
      </c>
      <c r="L715" s="43" t="n">
        <f aca="false">J715-K715</f>
        <v>5311</v>
      </c>
      <c r="M715" s="42" t="n">
        <v>2993</v>
      </c>
      <c r="N715" s="43" t="n">
        <f aca="false">L715-M715</f>
        <v>2318</v>
      </c>
    </row>
    <row r="716" customFormat="false" ht="15" hidden="false" customHeight="false" outlineLevel="0" collapsed="false">
      <c r="A716" s="40" t="n">
        <v>45992</v>
      </c>
      <c r="B716" s="41" t="n">
        <v>2025</v>
      </c>
      <c r="C716" s="41" t="n">
        <v>12</v>
      </c>
      <c r="D716" s="41" t="s">
        <v>57</v>
      </c>
      <c r="E716" s="41" t="s">
        <v>46</v>
      </c>
      <c r="F716" s="41" t="s">
        <v>42</v>
      </c>
      <c r="G716" s="41" t="s">
        <v>41</v>
      </c>
      <c r="H716" s="42" t="n">
        <v>69</v>
      </c>
      <c r="I716" s="42" t="n">
        <v>85</v>
      </c>
      <c r="J716" s="42" t="n">
        <v>3885</v>
      </c>
      <c r="K716" s="42" t="n">
        <v>172</v>
      </c>
      <c r="L716" s="43" t="n">
        <f aca="false">J716-K716</f>
        <v>3713</v>
      </c>
      <c r="M716" s="42" t="n">
        <v>1906</v>
      </c>
      <c r="N716" s="43" t="n">
        <f aca="false">L716-M716</f>
        <v>1807</v>
      </c>
    </row>
    <row r="717" customFormat="false" ht="15" hidden="false" customHeight="false" outlineLevel="0" collapsed="false">
      <c r="A717" s="40" t="n">
        <v>45992</v>
      </c>
      <c r="B717" s="41" t="n">
        <v>2025</v>
      </c>
      <c r="C717" s="41" t="n">
        <v>12</v>
      </c>
      <c r="D717" s="41" t="s">
        <v>57</v>
      </c>
      <c r="E717" s="41" t="s">
        <v>46</v>
      </c>
      <c r="F717" s="41" t="s">
        <v>43</v>
      </c>
      <c r="G717" s="41" t="s">
        <v>37</v>
      </c>
      <c r="H717" s="42" t="n">
        <v>27</v>
      </c>
      <c r="I717" s="42" t="n">
        <v>31</v>
      </c>
      <c r="J717" s="42" t="n">
        <v>5362</v>
      </c>
      <c r="K717" s="42" t="n">
        <v>167</v>
      </c>
      <c r="L717" s="43" t="n">
        <f aca="false">J717-K717</f>
        <v>5195</v>
      </c>
      <c r="M717" s="42" t="n">
        <v>2711</v>
      </c>
      <c r="N717" s="43" t="n">
        <f aca="false">L717-M717</f>
        <v>2484</v>
      </c>
    </row>
    <row r="718" customFormat="false" ht="15" hidden="false" customHeight="false" outlineLevel="0" collapsed="false">
      <c r="A718" s="40" t="n">
        <v>45992</v>
      </c>
      <c r="B718" s="41" t="n">
        <v>2025</v>
      </c>
      <c r="C718" s="41" t="n">
        <v>12</v>
      </c>
      <c r="D718" s="41" t="s">
        <v>57</v>
      </c>
      <c r="E718" s="41" t="s">
        <v>46</v>
      </c>
      <c r="F718" s="41" t="s">
        <v>43</v>
      </c>
      <c r="G718" s="41" t="s">
        <v>38</v>
      </c>
      <c r="H718" s="42" t="n">
        <v>50</v>
      </c>
      <c r="I718" s="42" t="n">
        <v>69</v>
      </c>
      <c r="J718" s="42" t="n">
        <v>5882</v>
      </c>
      <c r="K718" s="42" t="n">
        <v>217</v>
      </c>
      <c r="L718" s="43" t="n">
        <f aca="false">J718-K718</f>
        <v>5665</v>
      </c>
      <c r="M718" s="42" t="n">
        <v>2526</v>
      </c>
      <c r="N718" s="43" t="n">
        <f aca="false">L718-M718</f>
        <v>3139</v>
      </c>
    </row>
    <row r="719" customFormat="false" ht="15" hidden="false" customHeight="false" outlineLevel="0" collapsed="false">
      <c r="A719" s="40" t="n">
        <v>45992</v>
      </c>
      <c r="B719" s="41" t="n">
        <v>2025</v>
      </c>
      <c r="C719" s="41" t="n">
        <v>12</v>
      </c>
      <c r="D719" s="41" t="s">
        <v>57</v>
      </c>
      <c r="E719" s="41" t="s">
        <v>46</v>
      </c>
      <c r="F719" s="41" t="s">
        <v>43</v>
      </c>
      <c r="G719" s="41" t="s">
        <v>39</v>
      </c>
      <c r="H719" s="42" t="n">
        <v>75</v>
      </c>
      <c r="I719" s="42" t="n">
        <v>102</v>
      </c>
      <c r="J719" s="42" t="n">
        <v>6689</v>
      </c>
      <c r="K719" s="42" t="n">
        <v>435</v>
      </c>
      <c r="L719" s="43" t="n">
        <f aca="false">J719-K719</f>
        <v>6254</v>
      </c>
      <c r="M719" s="42" t="n">
        <v>2498</v>
      </c>
      <c r="N719" s="43" t="n">
        <f aca="false">L719-M719</f>
        <v>3756</v>
      </c>
    </row>
    <row r="720" customFormat="false" ht="15" hidden="false" customHeight="false" outlineLevel="0" collapsed="false">
      <c r="A720" s="40" t="n">
        <v>45992</v>
      </c>
      <c r="B720" s="41" t="n">
        <v>2025</v>
      </c>
      <c r="C720" s="41" t="n">
        <v>12</v>
      </c>
      <c r="D720" s="41" t="s">
        <v>57</v>
      </c>
      <c r="E720" s="41" t="s">
        <v>46</v>
      </c>
      <c r="F720" s="41" t="s">
        <v>43</v>
      </c>
      <c r="G720" s="41" t="s">
        <v>40</v>
      </c>
      <c r="H720" s="42" t="n">
        <v>29</v>
      </c>
      <c r="I720" s="42" t="n">
        <v>43</v>
      </c>
      <c r="J720" s="42" t="n">
        <v>3954</v>
      </c>
      <c r="K720" s="42" t="n">
        <v>274</v>
      </c>
      <c r="L720" s="43" t="n">
        <f aca="false">J720-K720</f>
        <v>3680</v>
      </c>
      <c r="M720" s="42" t="n">
        <v>2042</v>
      </c>
      <c r="N720" s="43" t="n">
        <f aca="false">L720-M720</f>
        <v>1638</v>
      </c>
    </row>
    <row r="721" customFormat="false" ht="15" hidden="false" customHeight="false" outlineLevel="0" collapsed="false">
      <c r="A721" s="40" t="n">
        <v>45992</v>
      </c>
      <c r="B721" s="41" t="n">
        <v>2025</v>
      </c>
      <c r="C721" s="41" t="n">
        <v>12</v>
      </c>
      <c r="D721" s="41" t="s">
        <v>57</v>
      </c>
      <c r="E721" s="41" t="s">
        <v>46</v>
      </c>
      <c r="F721" s="41" t="s">
        <v>43</v>
      </c>
      <c r="G721" s="41" t="s">
        <v>41</v>
      </c>
      <c r="H721" s="42" t="n">
        <v>45</v>
      </c>
      <c r="I721" s="42" t="n">
        <v>69</v>
      </c>
      <c r="J721" s="42" t="n">
        <v>2880</v>
      </c>
      <c r="K721" s="42" t="n">
        <v>50</v>
      </c>
      <c r="L721" s="43" t="n">
        <f aca="false">J721-K721</f>
        <v>2830</v>
      </c>
      <c r="M721" s="42" t="n">
        <v>1364</v>
      </c>
      <c r="N721" s="43" t="n">
        <f aca="false">L721-M721</f>
        <v>1466</v>
      </c>
    </row>
    <row r="722" customFormat="false" ht="15" hidden="false" customHeight="false" outlineLevel="0" collapsed="false">
      <c r="A722" s="40" t="n">
        <v>46023</v>
      </c>
      <c r="B722" s="41" t="n">
        <v>2026</v>
      </c>
      <c r="C722" s="41" t="n">
        <v>1</v>
      </c>
      <c r="D722" s="41" t="s">
        <v>34</v>
      </c>
      <c r="E722" s="41" t="s">
        <v>35</v>
      </c>
      <c r="F722" s="41" t="s">
        <v>36</v>
      </c>
      <c r="G722" s="41" t="s">
        <v>37</v>
      </c>
      <c r="H722" s="42" t="n">
        <v>56</v>
      </c>
      <c r="I722" s="42" t="n">
        <v>88</v>
      </c>
      <c r="J722" s="42" t="n">
        <v>10547</v>
      </c>
      <c r="K722" s="42" t="n">
        <v>497</v>
      </c>
      <c r="L722" s="43" t="n">
        <f aca="false">J722-K722</f>
        <v>10050</v>
      </c>
      <c r="M722" s="42" t="n">
        <v>5367</v>
      </c>
      <c r="N722" s="43" t="n">
        <f aca="false">L722-M722</f>
        <v>4683</v>
      </c>
    </row>
    <row r="723" customFormat="false" ht="15" hidden="false" customHeight="false" outlineLevel="0" collapsed="false">
      <c r="A723" s="40" t="n">
        <v>46023</v>
      </c>
      <c r="B723" s="41" t="n">
        <v>2026</v>
      </c>
      <c r="C723" s="41" t="n">
        <v>1</v>
      </c>
      <c r="D723" s="41" t="s">
        <v>34</v>
      </c>
      <c r="E723" s="41" t="s">
        <v>35</v>
      </c>
      <c r="F723" s="41" t="s">
        <v>36</v>
      </c>
      <c r="G723" s="41" t="s">
        <v>38</v>
      </c>
      <c r="H723" s="42" t="n">
        <v>78</v>
      </c>
      <c r="I723" s="42" t="n">
        <v>99</v>
      </c>
      <c r="J723" s="42" t="n">
        <v>8736</v>
      </c>
      <c r="K723" s="42" t="n">
        <v>395</v>
      </c>
      <c r="L723" s="43" t="n">
        <f aca="false">J723-K723</f>
        <v>8341</v>
      </c>
      <c r="M723" s="42" t="n">
        <v>3739</v>
      </c>
      <c r="N723" s="43" t="n">
        <f aca="false">L723-M723</f>
        <v>4602</v>
      </c>
    </row>
    <row r="724" customFormat="false" ht="15" hidden="false" customHeight="false" outlineLevel="0" collapsed="false">
      <c r="A724" s="40" t="n">
        <v>46023</v>
      </c>
      <c r="B724" s="41" t="n">
        <v>2026</v>
      </c>
      <c r="C724" s="41" t="n">
        <v>1</v>
      </c>
      <c r="D724" s="41" t="s">
        <v>34</v>
      </c>
      <c r="E724" s="41" t="s">
        <v>35</v>
      </c>
      <c r="F724" s="41" t="s">
        <v>36</v>
      </c>
      <c r="G724" s="41" t="s">
        <v>39</v>
      </c>
      <c r="H724" s="42" t="n">
        <v>124</v>
      </c>
      <c r="I724" s="42" t="n">
        <v>154</v>
      </c>
      <c r="J724" s="42" t="n">
        <v>10423</v>
      </c>
      <c r="K724" s="42" t="n">
        <v>1150</v>
      </c>
      <c r="L724" s="43" t="n">
        <f aca="false">J724-K724</f>
        <v>9273</v>
      </c>
      <c r="M724" s="42" t="n">
        <v>3647</v>
      </c>
      <c r="N724" s="43" t="n">
        <f aca="false">L724-M724</f>
        <v>5626</v>
      </c>
    </row>
    <row r="725" customFormat="false" ht="15" hidden="false" customHeight="false" outlineLevel="0" collapsed="false">
      <c r="A725" s="40" t="n">
        <v>46023</v>
      </c>
      <c r="B725" s="41" t="n">
        <v>2026</v>
      </c>
      <c r="C725" s="41" t="n">
        <v>1</v>
      </c>
      <c r="D725" s="41" t="s">
        <v>34</v>
      </c>
      <c r="E725" s="41" t="s">
        <v>35</v>
      </c>
      <c r="F725" s="41" t="s">
        <v>36</v>
      </c>
      <c r="G725" s="41" t="s">
        <v>40</v>
      </c>
      <c r="H725" s="42" t="n">
        <v>60</v>
      </c>
      <c r="I725" s="42" t="n">
        <v>96</v>
      </c>
      <c r="J725" s="42" t="n">
        <v>7657</v>
      </c>
      <c r="K725" s="42" t="n">
        <v>815</v>
      </c>
      <c r="L725" s="43" t="n">
        <f aca="false">J725-K725</f>
        <v>6842</v>
      </c>
      <c r="M725" s="42" t="n">
        <v>3779</v>
      </c>
      <c r="N725" s="43" t="n">
        <f aca="false">L725-M725</f>
        <v>3063</v>
      </c>
    </row>
    <row r="726" customFormat="false" ht="15" hidden="false" customHeight="false" outlineLevel="0" collapsed="false">
      <c r="A726" s="40" t="n">
        <v>46023</v>
      </c>
      <c r="B726" s="41" t="n">
        <v>2026</v>
      </c>
      <c r="C726" s="41" t="n">
        <v>1</v>
      </c>
      <c r="D726" s="41" t="s">
        <v>34</v>
      </c>
      <c r="E726" s="41" t="s">
        <v>35</v>
      </c>
      <c r="F726" s="41" t="s">
        <v>36</v>
      </c>
      <c r="G726" s="41" t="s">
        <v>41</v>
      </c>
      <c r="H726" s="42" t="n">
        <v>80</v>
      </c>
      <c r="I726" s="42" t="n">
        <v>123</v>
      </c>
      <c r="J726" s="42" t="n">
        <v>4890</v>
      </c>
      <c r="K726" s="42" t="n">
        <v>168</v>
      </c>
      <c r="L726" s="43" t="n">
        <f aca="false">J726-K726</f>
        <v>4722</v>
      </c>
      <c r="M726" s="42" t="n">
        <v>2235</v>
      </c>
      <c r="N726" s="43" t="n">
        <f aca="false">L726-M726</f>
        <v>2487</v>
      </c>
    </row>
    <row r="727" customFormat="false" ht="15" hidden="false" customHeight="false" outlineLevel="0" collapsed="false">
      <c r="A727" s="40" t="n">
        <v>46023</v>
      </c>
      <c r="B727" s="41" t="n">
        <v>2026</v>
      </c>
      <c r="C727" s="41" t="n">
        <v>1</v>
      </c>
      <c r="D727" s="41" t="s">
        <v>34</v>
      </c>
      <c r="E727" s="41" t="s">
        <v>35</v>
      </c>
      <c r="F727" s="41" t="s">
        <v>42</v>
      </c>
      <c r="G727" s="41" t="s">
        <v>37</v>
      </c>
      <c r="H727" s="42" t="n">
        <v>46</v>
      </c>
      <c r="I727" s="42" t="n">
        <v>70</v>
      </c>
      <c r="J727" s="42" t="n">
        <v>8057</v>
      </c>
      <c r="K727" s="42" t="n">
        <v>397</v>
      </c>
      <c r="L727" s="43" t="n">
        <f aca="false">J727-K727</f>
        <v>7660</v>
      </c>
      <c r="M727" s="42" t="n">
        <v>4161</v>
      </c>
      <c r="N727" s="43" t="n">
        <f aca="false">L727-M727</f>
        <v>3499</v>
      </c>
    </row>
    <row r="728" customFormat="false" ht="15" hidden="false" customHeight="false" outlineLevel="0" collapsed="false">
      <c r="A728" s="40" t="n">
        <v>46023</v>
      </c>
      <c r="B728" s="41" t="n">
        <v>2026</v>
      </c>
      <c r="C728" s="41" t="n">
        <v>1</v>
      </c>
      <c r="D728" s="41" t="s">
        <v>34</v>
      </c>
      <c r="E728" s="41" t="s">
        <v>35</v>
      </c>
      <c r="F728" s="41" t="s">
        <v>42</v>
      </c>
      <c r="G728" s="41" t="s">
        <v>38</v>
      </c>
      <c r="H728" s="42" t="n">
        <v>64</v>
      </c>
      <c r="I728" s="42" t="n">
        <v>99</v>
      </c>
      <c r="J728" s="42" t="n">
        <v>6560</v>
      </c>
      <c r="K728" s="42" t="n">
        <v>383</v>
      </c>
      <c r="L728" s="43" t="n">
        <f aca="false">J728-K728</f>
        <v>6177</v>
      </c>
      <c r="M728" s="42" t="n">
        <v>2947</v>
      </c>
      <c r="N728" s="43" t="n">
        <f aca="false">L728-M728</f>
        <v>3230</v>
      </c>
    </row>
    <row r="729" customFormat="false" ht="15" hidden="false" customHeight="false" outlineLevel="0" collapsed="false">
      <c r="A729" s="40" t="n">
        <v>46023</v>
      </c>
      <c r="B729" s="41" t="n">
        <v>2026</v>
      </c>
      <c r="C729" s="41" t="n">
        <v>1</v>
      </c>
      <c r="D729" s="41" t="s">
        <v>34</v>
      </c>
      <c r="E729" s="41" t="s">
        <v>35</v>
      </c>
      <c r="F729" s="41" t="s">
        <v>42</v>
      </c>
      <c r="G729" s="41" t="s">
        <v>39</v>
      </c>
      <c r="H729" s="42" t="n">
        <v>104</v>
      </c>
      <c r="I729" s="42" t="n">
        <v>141</v>
      </c>
      <c r="J729" s="42" t="n">
        <v>8055</v>
      </c>
      <c r="K729" s="42" t="n">
        <v>1122</v>
      </c>
      <c r="L729" s="43" t="n">
        <f aca="false">J729-K729</f>
        <v>6933</v>
      </c>
      <c r="M729" s="42" t="n">
        <v>2939</v>
      </c>
      <c r="N729" s="43" t="n">
        <f aca="false">L729-M729</f>
        <v>3994</v>
      </c>
    </row>
    <row r="730" customFormat="false" ht="15" hidden="false" customHeight="false" outlineLevel="0" collapsed="false">
      <c r="A730" s="40" t="n">
        <v>46023</v>
      </c>
      <c r="B730" s="41" t="n">
        <v>2026</v>
      </c>
      <c r="C730" s="41" t="n">
        <v>1</v>
      </c>
      <c r="D730" s="41" t="s">
        <v>34</v>
      </c>
      <c r="E730" s="41" t="s">
        <v>35</v>
      </c>
      <c r="F730" s="41" t="s">
        <v>42</v>
      </c>
      <c r="G730" s="41" t="s">
        <v>40</v>
      </c>
      <c r="H730" s="42" t="n">
        <v>44</v>
      </c>
      <c r="I730" s="42" t="n">
        <v>68</v>
      </c>
      <c r="J730" s="42" t="n">
        <v>5187</v>
      </c>
      <c r="K730" s="42" t="n">
        <v>793</v>
      </c>
      <c r="L730" s="43" t="n">
        <f aca="false">J730-K730</f>
        <v>4394</v>
      </c>
      <c r="M730" s="42" t="n">
        <v>2537</v>
      </c>
      <c r="N730" s="43" t="n">
        <f aca="false">L730-M730</f>
        <v>1857</v>
      </c>
    </row>
    <row r="731" customFormat="false" ht="15" hidden="false" customHeight="false" outlineLevel="0" collapsed="false">
      <c r="A731" s="40" t="n">
        <v>46023</v>
      </c>
      <c r="B731" s="41" t="n">
        <v>2026</v>
      </c>
      <c r="C731" s="41" t="n">
        <v>1</v>
      </c>
      <c r="D731" s="41" t="s">
        <v>34</v>
      </c>
      <c r="E731" s="41" t="s">
        <v>35</v>
      </c>
      <c r="F731" s="41" t="s">
        <v>42</v>
      </c>
      <c r="G731" s="41" t="s">
        <v>41</v>
      </c>
      <c r="H731" s="42" t="n">
        <v>74</v>
      </c>
      <c r="I731" s="42" t="n">
        <v>91</v>
      </c>
      <c r="J731" s="42" t="n">
        <v>4146</v>
      </c>
      <c r="K731" s="42" t="n">
        <v>192</v>
      </c>
      <c r="L731" s="43" t="n">
        <f aca="false">J731-K731</f>
        <v>3954</v>
      </c>
      <c r="M731" s="42" t="n">
        <v>2039</v>
      </c>
      <c r="N731" s="43" t="n">
        <f aca="false">L731-M731</f>
        <v>1915</v>
      </c>
    </row>
    <row r="732" customFormat="false" ht="15" hidden="false" customHeight="false" outlineLevel="0" collapsed="false">
      <c r="A732" s="40" t="n">
        <v>46023</v>
      </c>
      <c r="B732" s="41" t="n">
        <v>2026</v>
      </c>
      <c r="C732" s="41" t="n">
        <v>1</v>
      </c>
      <c r="D732" s="41" t="s">
        <v>34</v>
      </c>
      <c r="E732" s="41" t="s">
        <v>35</v>
      </c>
      <c r="F732" s="41" t="s">
        <v>43</v>
      </c>
      <c r="G732" s="41" t="s">
        <v>37</v>
      </c>
      <c r="H732" s="42" t="n">
        <v>24</v>
      </c>
      <c r="I732" s="42" t="n">
        <v>28</v>
      </c>
      <c r="J732" s="42" t="n">
        <v>4882</v>
      </c>
      <c r="K732" s="42" t="n">
        <v>115</v>
      </c>
      <c r="L732" s="43" t="n">
        <f aca="false">J732-K732</f>
        <v>4767</v>
      </c>
      <c r="M732" s="42" t="n">
        <v>2598</v>
      </c>
      <c r="N732" s="43" t="n">
        <f aca="false">L732-M732</f>
        <v>2169</v>
      </c>
    </row>
    <row r="733" customFormat="false" ht="15" hidden="false" customHeight="false" outlineLevel="0" collapsed="false">
      <c r="A733" s="40" t="n">
        <v>46023</v>
      </c>
      <c r="B733" s="41" t="n">
        <v>2026</v>
      </c>
      <c r="C733" s="41" t="n">
        <v>1</v>
      </c>
      <c r="D733" s="41" t="s">
        <v>34</v>
      </c>
      <c r="E733" s="41" t="s">
        <v>35</v>
      </c>
      <c r="F733" s="41" t="s">
        <v>43</v>
      </c>
      <c r="G733" s="41" t="s">
        <v>38</v>
      </c>
      <c r="H733" s="42" t="n">
        <v>33</v>
      </c>
      <c r="I733" s="42" t="n">
        <v>51</v>
      </c>
      <c r="J733" s="42" t="n">
        <v>3906</v>
      </c>
      <c r="K733" s="42" t="n">
        <v>118</v>
      </c>
      <c r="L733" s="43" t="n">
        <f aca="false">J733-K733</f>
        <v>3788</v>
      </c>
      <c r="M733" s="42" t="n">
        <v>1729</v>
      </c>
      <c r="N733" s="43" t="n">
        <f aca="false">L733-M733</f>
        <v>2059</v>
      </c>
    </row>
    <row r="734" customFormat="false" ht="15" hidden="false" customHeight="false" outlineLevel="0" collapsed="false">
      <c r="A734" s="40" t="n">
        <v>46023</v>
      </c>
      <c r="B734" s="41" t="n">
        <v>2026</v>
      </c>
      <c r="C734" s="41" t="n">
        <v>1</v>
      </c>
      <c r="D734" s="41" t="s">
        <v>34</v>
      </c>
      <c r="E734" s="41" t="s">
        <v>35</v>
      </c>
      <c r="F734" s="41" t="s">
        <v>43</v>
      </c>
      <c r="G734" s="41" t="s">
        <v>39</v>
      </c>
      <c r="H734" s="42" t="n">
        <v>54</v>
      </c>
      <c r="I734" s="42" t="n">
        <v>66</v>
      </c>
      <c r="J734" s="42" t="n">
        <v>4783</v>
      </c>
      <c r="K734" s="42" t="n">
        <v>359</v>
      </c>
      <c r="L734" s="43" t="n">
        <f aca="false">J734-K734</f>
        <v>4424</v>
      </c>
      <c r="M734" s="42" t="n">
        <v>1683</v>
      </c>
      <c r="N734" s="43" t="n">
        <f aca="false">L734-M734</f>
        <v>2741</v>
      </c>
    </row>
    <row r="735" customFormat="false" ht="15" hidden="false" customHeight="false" outlineLevel="0" collapsed="false">
      <c r="A735" s="40" t="n">
        <v>46023</v>
      </c>
      <c r="B735" s="41" t="n">
        <v>2026</v>
      </c>
      <c r="C735" s="41" t="n">
        <v>1</v>
      </c>
      <c r="D735" s="41" t="s">
        <v>34</v>
      </c>
      <c r="E735" s="41" t="s">
        <v>35</v>
      </c>
      <c r="F735" s="41" t="s">
        <v>43</v>
      </c>
      <c r="G735" s="41" t="s">
        <v>40</v>
      </c>
      <c r="H735" s="42" t="n">
        <v>27</v>
      </c>
      <c r="I735" s="42" t="n">
        <v>42</v>
      </c>
      <c r="J735" s="42" t="n">
        <v>3707</v>
      </c>
      <c r="K735" s="42" t="n">
        <v>338</v>
      </c>
      <c r="L735" s="43" t="n">
        <f aca="false">J735-K735</f>
        <v>3369</v>
      </c>
      <c r="M735" s="42" t="n">
        <v>1895</v>
      </c>
      <c r="N735" s="43" t="n">
        <f aca="false">L735-M735</f>
        <v>1474</v>
      </c>
    </row>
    <row r="736" customFormat="false" ht="15" hidden="false" customHeight="false" outlineLevel="0" collapsed="false">
      <c r="A736" s="40" t="n">
        <v>46023</v>
      </c>
      <c r="B736" s="41" t="n">
        <v>2026</v>
      </c>
      <c r="C736" s="41" t="n">
        <v>1</v>
      </c>
      <c r="D736" s="41" t="s">
        <v>34</v>
      </c>
      <c r="E736" s="41" t="s">
        <v>35</v>
      </c>
      <c r="F736" s="41" t="s">
        <v>43</v>
      </c>
      <c r="G736" s="41" t="s">
        <v>41</v>
      </c>
      <c r="H736" s="42" t="n">
        <v>45</v>
      </c>
      <c r="I736" s="42" t="n">
        <v>52</v>
      </c>
      <c r="J736" s="42" t="n">
        <v>2935</v>
      </c>
      <c r="K736" s="42" t="n">
        <v>55</v>
      </c>
      <c r="L736" s="43" t="n">
        <f aca="false">J736-K736</f>
        <v>2880</v>
      </c>
      <c r="M736" s="42" t="n">
        <v>1407</v>
      </c>
      <c r="N736" s="43" t="n">
        <f aca="false">L736-M736</f>
        <v>1473</v>
      </c>
    </row>
    <row r="737" customFormat="false" ht="15" hidden="false" customHeight="false" outlineLevel="0" collapsed="false">
      <c r="A737" s="40" t="n">
        <v>46023</v>
      </c>
      <c r="B737" s="41" t="n">
        <v>2026</v>
      </c>
      <c r="C737" s="41" t="n">
        <v>1</v>
      </c>
      <c r="D737" s="41" t="s">
        <v>34</v>
      </c>
      <c r="E737" s="41" t="s">
        <v>44</v>
      </c>
      <c r="F737" s="41" t="s">
        <v>36</v>
      </c>
      <c r="G737" s="41" t="s">
        <v>37</v>
      </c>
      <c r="H737" s="42" t="n">
        <v>48</v>
      </c>
      <c r="I737" s="42" t="n">
        <v>56</v>
      </c>
      <c r="J737" s="42" t="n">
        <v>9048</v>
      </c>
      <c r="K737" s="42" t="n">
        <v>363</v>
      </c>
      <c r="L737" s="43" t="n">
        <f aca="false">J737-K737</f>
        <v>8685</v>
      </c>
      <c r="M737" s="42" t="n">
        <v>4529</v>
      </c>
      <c r="N737" s="43" t="n">
        <f aca="false">L737-M737</f>
        <v>4156</v>
      </c>
    </row>
    <row r="738" customFormat="false" ht="15" hidden="false" customHeight="false" outlineLevel="0" collapsed="false">
      <c r="A738" s="40" t="n">
        <v>46023</v>
      </c>
      <c r="B738" s="41" t="n">
        <v>2026</v>
      </c>
      <c r="C738" s="41" t="n">
        <v>1</v>
      </c>
      <c r="D738" s="41" t="s">
        <v>34</v>
      </c>
      <c r="E738" s="41" t="s">
        <v>44</v>
      </c>
      <c r="F738" s="41" t="s">
        <v>36</v>
      </c>
      <c r="G738" s="41" t="s">
        <v>38</v>
      </c>
      <c r="H738" s="42" t="n">
        <v>66</v>
      </c>
      <c r="I738" s="42" t="n">
        <v>79</v>
      </c>
      <c r="J738" s="42" t="n">
        <v>7372</v>
      </c>
      <c r="K738" s="42" t="n">
        <v>298</v>
      </c>
      <c r="L738" s="43" t="n">
        <f aca="false">J738-K738</f>
        <v>7074</v>
      </c>
      <c r="M738" s="42" t="n">
        <v>3277</v>
      </c>
      <c r="N738" s="43" t="n">
        <f aca="false">L738-M738</f>
        <v>3797</v>
      </c>
    </row>
    <row r="739" customFormat="false" ht="15" hidden="false" customHeight="false" outlineLevel="0" collapsed="false">
      <c r="A739" s="40" t="n">
        <v>46023</v>
      </c>
      <c r="B739" s="41" t="n">
        <v>2026</v>
      </c>
      <c r="C739" s="41" t="n">
        <v>1</v>
      </c>
      <c r="D739" s="41" t="s">
        <v>34</v>
      </c>
      <c r="E739" s="41" t="s">
        <v>44</v>
      </c>
      <c r="F739" s="41" t="s">
        <v>36</v>
      </c>
      <c r="G739" s="41" t="s">
        <v>39</v>
      </c>
      <c r="H739" s="42" t="n">
        <v>101</v>
      </c>
      <c r="I739" s="42" t="n">
        <v>156</v>
      </c>
      <c r="J739" s="42" t="n">
        <v>8491</v>
      </c>
      <c r="K739" s="42" t="n">
        <v>720</v>
      </c>
      <c r="L739" s="43" t="n">
        <f aca="false">J739-K739</f>
        <v>7771</v>
      </c>
      <c r="M739" s="42" t="n">
        <v>3028</v>
      </c>
      <c r="N739" s="43" t="n">
        <f aca="false">L739-M739</f>
        <v>4743</v>
      </c>
    </row>
    <row r="740" customFormat="false" ht="15" hidden="false" customHeight="false" outlineLevel="0" collapsed="false">
      <c r="A740" s="40" t="n">
        <v>46023</v>
      </c>
      <c r="B740" s="41" t="n">
        <v>2026</v>
      </c>
      <c r="C740" s="41" t="n">
        <v>1</v>
      </c>
      <c r="D740" s="41" t="s">
        <v>34</v>
      </c>
      <c r="E740" s="41" t="s">
        <v>44</v>
      </c>
      <c r="F740" s="41" t="s">
        <v>36</v>
      </c>
      <c r="G740" s="41" t="s">
        <v>40</v>
      </c>
      <c r="H740" s="42" t="n">
        <v>45</v>
      </c>
      <c r="I740" s="42" t="n">
        <v>60</v>
      </c>
      <c r="J740" s="42" t="n">
        <v>5787</v>
      </c>
      <c r="K740" s="42" t="n">
        <v>605</v>
      </c>
      <c r="L740" s="43" t="n">
        <f aca="false">J740-K740</f>
        <v>5182</v>
      </c>
      <c r="M740" s="42" t="n">
        <v>2882</v>
      </c>
      <c r="N740" s="43" t="n">
        <f aca="false">L740-M740</f>
        <v>2300</v>
      </c>
    </row>
    <row r="741" customFormat="false" ht="15" hidden="false" customHeight="false" outlineLevel="0" collapsed="false">
      <c r="A741" s="40" t="n">
        <v>46023</v>
      </c>
      <c r="B741" s="41" t="n">
        <v>2026</v>
      </c>
      <c r="C741" s="41" t="n">
        <v>1</v>
      </c>
      <c r="D741" s="41" t="s">
        <v>34</v>
      </c>
      <c r="E741" s="41" t="s">
        <v>44</v>
      </c>
      <c r="F741" s="41" t="s">
        <v>36</v>
      </c>
      <c r="G741" s="41" t="s">
        <v>41</v>
      </c>
      <c r="H741" s="42" t="n">
        <v>63</v>
      </c>
      <c r="I741" s="42" t="n">
        <v>93</v>
      </c>
      <c r="J741" s="42" t="n">
        <v>3873</v>
      </c>
      <c r="K741" s="42" t="n">
        <v>116</v>
      </c>
      <c r="L741" s="43" t="n">
        <f aca="false">J741-K741</f>
        <v>3757</v>
      </c>
      <c r="M741" s="42" t="n">
        <v>1761</v>
      </c>
      <c r="N741" s="43" t="n">
        <f aca="false">L741-M741</f>
        <v>1996</v>
      </c>
    </row>
    <row r="742" customFormat="false" ht="15" hidden="false" customHeight="false" outlineLevel="0" collapsed="false">
      <c r="A742" s="40" t="n">
        <v>46023</v>
      </c>
      <c r="B742" s="41" t="n">
        <v>2026</v>
      </c>
      <c r="C742" s="41" t="n">
        <v>1</v>
      </c>
      <c r="D742" s="41" t="s">
        <v>34</v>
      </c>
      <c r="E742" s="41" t="s">
        <v>44</v>
      </c>
      <c r="F742" s="41" t="s">
        <v>42</v>
      </c>
      <c r="G742" s="41" t="s">
        <v>37</v>
      </c>
      <c r="H742" s="42" t="n">
        <v>33</v>
      </c>
      <c r="I742" s="42" t="n">
        <v>45</v>
      </c>
      <c r="J742" s="42" t="n">
        <v>5732</v>
      </c>
      <c r="K742" s="42" t="n">
        <v>361</v>
      </c>
      <c r="L742" s="43" t="n">
        <f aca="false">J742-K742</f>
        <v>5371</v>
      </c>
      <c r="M742" s="42" t="n">
        <v>2921</v>
      </c>
      <c r="N742" s="43" t="n">
        <f aca="false">L742-M742</f>
        <v>2450</v>
      </c>
    </row>
    <row r="743" customFormat="false" ht="15" hidden="false" customHeight="false" outlineLevel="0" collapsed="false">
      <c r="A743" s="40" t="n">
        <v>46023</v>
      </c>
      <c r="B743" s="41" t="n">
        <v>2026</v>
      </c>
      <c r="C743" s="41" t="n">
        <v>1</v>
      </c>
      <c r="D743" s="41" t="s">
        <v>34</v>
      </c>
      <c r="E743" s="41" t="s">
        <v>44</v>
      </c>
      <c r="F743" s="41" t="s">
        <v>42</v>
      </c>
      <c r="G743" s="41" t="s">
        <v>38</v>
      </c>
      <c r="H743" s="42" t="n">
        <v>47</v>
      </c>
      <c r="I743" s="42" t="n">
        <v>75</v>
      </c>
      <c r="J743" s="42" t="n">
        <v>4813</v>
      </c>
      <c r="K743" s="42" t="n">
        <v>375</v>
      </c>
      <c r="L743" s="43" t="n">
        <f aca="false">J743-K743</f>
        <v>4438</v>
      </c>
      <c r="M743" s="42" t="n">
        <v>2124</v>
      </c>
      <c r="N743" s="43" t="n">
        <f aca="false">L743-M743</f>
        <v>2314</v>
      </c>
    </row>
    <row r="744" customFormat="false" ht="15" hidden="false" customHeight="false" outlineLevel="0" collapsed="false">
      <c r="A744" s="40" t="n">
        <v>46023</v>
      </c>
      <c r="B744" s="41" t="n">
        <v>2026</v>
      </c>
      <c r="C744" s="41" t="n">
        <v>1</v>
      </c>
      <c r="D744" s="41" t="s">
        <v>34</v>
      </c>
      <c r="E744" s="41" t="s">
        <v>44</v>
      </c>
      <c r="F744" s="41" t="s">
        <v>42</v>
      </c>
      <c r="G744" s="41" t="s">
        <v>39</v>
      </c>
      <c r="H744" s="42" t="n">
        <v>75</v>
      </c>
      <c r="I744" s="42" t="n">
        <v>92</v>
      </c>
      <c r="J744" s="42" t="n">
        <v>5831</v>
      </c>
      <c r="K744" s="42" t="n">
        <v>713</v>
      </c>
      <c r="L744" s="43" t="n">
        <f aca="false">J744-K744</f>
        <v>5118</v>
      </c>
      <c r="M744" s="42" t="n">
        <v>2066</v>
      </c>
      <c r="N744" s="43" t="n">
        <f aca="false">L744-M744</f>
        <v>3052</v>
      </c>
    </row>
    <row r="745" customFormat="false" ht="15" hidden="false" customHeight="false" outlineLevel="0" collapsed="false">
      <c r="A745" s="40" t="n">
        <v>46023</v>
      </c>
      <c r="B745" s="41" t="n">
        <v>2026</v>
      </c>
      <c r="C745" s="41" t="n">
        <v>1</v>
      </c>
      <c r="D745" s="41" t="s">
        <v>34</v>
      </c>
      <c r="E745" s="41" t="s">
        <v>44</v>
      </c>
      <c r="F745" s="41" t="s">
        <v>42</v>
      </c>
      <c r="G745" s="41" t="s">
        <v>40</v>
      </c>
      <c r="H745" s="42" t="n">
        <v>33</v>
      </c>
      <c r="I745" s="42" t="n">
        <v>46</v>
      </c>
      <c r="J745" s="42" t="n">
        <v>3910</v>
      </c>
      <c r="K745" s="42" t="n">
        <v>610</v>
      </c>
      <c r="L745" s="43" t="n">
        <f aca="false">J745-K745</f>
        <v>3300</v>
      </c>
      <c r="M745" s="42" t="n">
        <v>1881</v>
      </c>
      <c r="N745" s="43" t="n">
        <f aca="false">L745-M745</f>
        <v>1419</v>
      </c>
    </row>
    <row r="746" customFormat="false" ht="15" hidden="false" customHeight="false" outlineLevel="0" collapsed="false">
      <c r="A746" s="40" t="n">
        <v>46023</v>
      </c>
      <c r="B746" s="41" t="n">
        <v>2026</v>
      </c>
      <c r="C746" s="41" t="n">
        <v>1</v>
      </c>
      <c r="D746" s="41" t="s">
        <v>34</v>
      </c>
      <c r="E746" s="41" t="s">
        <v>44</v>
      </c>
      <c r="F746" s="41" t="s">
        <v>42</v>
      </c>
      <c r="G746" s="41" t="s">
        <v>41</v>
      </c>
      <c r="H746" s="42" t="n">
        <v>51</v>
      </c>
      <c r="I746" s="42" t="n">
        <v>59</v>
      </c>
      <c r="J746" s="42" t="n">
        <v>2874</v>
      </c>
      <c r="K746" s="42" t="n">
        <v>125</v>
      </c>
      <c r="L746" s="43" t="n">
        <f aca="false">J746-K746</f>
        <v>2749</v>
      </c>
      <c r="M746" s="42" t="n">
        <v>1389</v>
      </c>
      <c r="N746" s="43" t="n">
        <f aca="false">L746-M746</f>
        <v>1360</v>
      </c>
    </row>
    <row r="747" customFormat="false" ht="15" hidden="false" customHeight="false" outlineLevel="0" collapsed="false">
      <c r="A747" s="40" t="n">
        <v>46023</v>
      </c>
      <c r="B747" s="41" t="n">
        <v>2026</v>
      </c>
      <c r="C747" s="41" t="n">
        <v>1</v>
      </c>
      <c r="D747" s="41" t="s">
        <v>34</v>
      </c>
      <c r="E747" s="41" t="s">
        <v>44</v>
      </c>
      <c r="F747" s="41" t="s">
        <v>43</v>
      </c>
      <c r="G747" s="41" t="s">
        <v>37</v>
      </c>
      <c r="H747" s="42" t="n">
        <v>21</v>
      </c>
      <c r="I747" s="42" t="n">
        <v>29</v>
      </c>
      <c r="J747" s="42" t="n">
        <v>4160</v>
      </c>
      <c r="K747" s="42" t="n">
        <v>125</v>
      </c>
      <c r="L747" s="43" t="n">
        <f aca="false">J747-K747</f>
        <v>4035</v>
      </c>
      <c r="M747" s="42" t="n">
        <v>2200</v>
      </c>
      <c r="N747" s="43" t="n">
        <f aca="false">L747-M747</f>
        <v>1835</v>
      </c>
    </row>
    <row r="748" customFormat="false" ht="15" hidden="false" customHeight="false" outlineLevel="0" collapsed="false">
      <c r="A748" s="40" t="n">
        <v>46023</v>
      </c>
      <c r="B748" s="41" t="n">
        <v>2026</v>
      </c>
      <c r="C748" s="41" t="n">
        <v>1</v>
      </c>
      <c r="D748" s="41" t="s">
        <v>34</v>
      </c>
      <c r="E748" s="41" t="s">
        <v>44</v>
      </c>
      <c r="F748" s="41" t="s">
        <v>43</v>
      </c>
      <c r="G748" s="41" t="s">
        <v>38</v>
      </c>
      <c r="H748" s="42" t="n">
        <v>33</v>
      </c>
      <c r="I748" s="42" t="n">
        <v>49</v>
      </c>
      <c r="J748" s="42" t="n">
        <v>3972</v>
      </c>
      <c r="K748" s="42" t="n">
        <v>133</v>
      </c>
      <c r="L748" s="43" t="n">
        <f aca="false">J748-K748</f>
        <v>3839</v>
      </c>
      <c r="M748" s="42" t="n">
        <v>1709</v>
      </c>
      <c r="N748" s="43" t="n">
        <f aca="false">L748-M748</f>
        <v>2130</v>
      </c>
    </row>
    <row r="749" customFormat="false" ht="15" hidden="false" customHeight="false" outlineLevel="0" collapsed="false">
      <c r="A749" s="40" t="n">
        <v>46023</v>
      </c>
      <c r="B749" s="41" t="n">
        <v>2026</v>
      </c>
      <c r="C749" s="41" t="n">
        <v>1</v>
      </c>
      <c r="D749" s="41" t="s">
        <v>34</v>
      </c>
      <c r="E749" s="41" t="s">
        <v>44</v>
      </c>
      <c r="F749" s="41" t="s">
        <v>43</v>
      </c>
      <c r="G749" s="41" t="s">
        <v>39</v>
      </c>
      <c r="H749" s="42" t="n">
        <v>47</v>
      </c>
      <c r="I749" s="42" t="n">
        <v>75</v>
      </c>
      <c r="J749" s="42" t="n">
        <v>4184</v>
      </c>
      <c r="K749" s="42" t="n">
        <v>280</v>
      </c>
      <c r="L749" s="43" t="n">
        <f aca="false">J749-K749</f>
        <v>3904</v>
      </c>
      <c r="M749" s="42" t="n">
        <v>1512</v>
      </c>
      <c r="N749" s="43" t="n">
        <f aca="false">L749-M749</f>
        <v>2392</v>
      </c>
    </row>
    <row r="750" customFormat="false" ht="15" hidden="false" customHeight="false" outlineLevel="0" collapsed="false">
      <c r="A750" s="40" t="n">
        <v>46023</v>
      </c>
      <c r="B750" s="41" t="n">
        <v>2026</v>
      </c>
      <c r="C750" s="41" t="n">
        <v>1</v>
      </c>
      <c r="D750" s="41" t="s">
        <v>34</v>
      </c>
      <c r="E750" s="41" t="s">
        <v>44</v>
      </c>
      <c r="F750" s="41" t="s">
        <v>43</v>
      </c>
      <c r="G750" s="41" t="s">
        <v>40</v>
      </c>
      <c r="H750" s="42" t="n">
        <v>22</v>
      </c>
      <c r="I750" s="42" t="n">
        <v>27</v>
      </c>
      <c r="J750" s="42" t="n">
        <v>3004</v>
      </c>
      <c r="K750" s="42" t="n">
        <v>303</v>
      </c>
      <c r="L750" s="43" t="n">
        <f aca="false">J750-K750</f>
        <v>2701</v>
      </c>
      <c r="M750" s="42" t="n">
        <v>1442</v>
      </c>
      <c r="N750" s="43" t="n">
        <f aca="false">L750-M750</f>
        <v>1259</v>
      </c>
    </row>
    <row r="751" customFormat="false" ht="15" hidden="false" customHeight="false" outlineLevel="0" collapsed="false">
      <c r="A751" s="40" t="n">
        <v>46023</v>
      </c>
      <c r="B751" s="41" t="n">
        <v>2026</v>
      </c>
      <c r="C751" s="41" t="n">
        <v>1</v>
      </c>
      <c r="D751" s="41" t="s">
        <v>34</v>
      </c>
      <c r="E751" s="41" t="s">
        <v>44</v>
      </c>
      <c r="F751" s="41" t="s">
        <v>43</v>
      </c>
      <c r="G751" s="41" t="s">
        <v>41</v>
      </c>
      <c r="H751" s="42" t="n">
        <v>33</v>
      </c>
      <c r="I751" s="42" t="n">
        <v>52</v>
      </c>
      <c r="J751" s="42" t="n">
        <v>2117</v>
      </c>
      <c r="K751" s="42" t="n">
        <v>40</v>
      </c>
      <c r="L751" s="43" t="n">
        <f aca="false">J751-K751</f>
        <v>2077</v>
      </c>
      <c r="M751" s="42" t="n">
        <v>1003</v>
      </c>
      <c r="N751" s="43" t="n">
        <f aca="false">L751-M751</f>
        <v>1074</v>
      </c>
    </row>
    <row r="752" customFormat="false" ht="15" hidden="false" customHeight="false" outlineLevel="0" collapsed="false">
      <c r="A752" s="40" t="n">
        <v>46023</v>
      </c>
      <c r="B752" s="41" t="n">
        <v>2026</v>
      </c>
      <c r="C752" s="41" t="n">
        <v>1</v>
      </c>
      <c r="D752" s="41" t="s">
        <v>34</v>
      </c>
      <c r="E752" s="41" t="s">
        <v>45</v>
      </c>
      <c r="F752" s="41" t="s">
        <v>36</v>
      </c>
      <c r="G752" s="41" t="s">
        <v>37</v>
      </c>
      <c r="H752" s="42" t="n">
        <v>33</v>
      </c>
      <c r="I752" s="42" t="n">
        <v>42</v>
      </c>
      <c r="J752" s="42" t="n">
        <v>6146</v>
      </c>
      <c r="K752" s="42" t="n">
        <v>216</v>
      </c>
      <c r="L752" s="43" t="n">
        <f aca="false">J752-K752</f>
        <v>5930</v>
      </c>
      <c r="M752" s="42" t="n">
        <v>3070</v>
      </c>
      <c r="N752" s="43" t="n">
        <f aca="false">L752-M752</f>
        <v>2860</v>
      </c>
    </row>
    <row r="753" customFormat="false" ht="15" hidden="false" customHeight="false" outlineLevel="0" collapsed="false">
      <c r="A753" s="40" t="n">
        <v>46023</v>
      </c>
      <c r="B753" s="41" t="n">
        <v>2026</v>
      </c>
      <c r="C753" s="41" t="n">
        <v>1</v>
      </c>
      <c r="D753" s="41" t="s">
        <v>34</v>
      </c>
      <c r="E753" s="41" t="s">
        <v>45</v>
      </c>
      <c r="F753" s="41" t="s">
        <v>36</v>
      </c>
      <c r="G753" s="41" t="s">
        <v>38</v>
      </c>
      <c r="H753" s="42" t="n">
        <v>55</v>
      </c>
      <c r="I753" s="42" t="n">
        <v>83</v>
      </c>
      <c r="J753" s="42" t="n">
        <v>6104</v>
      </c>
      <c r="K753" s="42" t="n">
        <v>355</v>
      </c>
      <c r="L753" s="43" t="n">
        <f aca="false">J753-K753</f>
        <v>5749</v>
      </c>
      <c r="M753" s="42" t="n">
        <v>2517</v>
      </c>
      <c r="N753" s="43" t="n">
        <f aca="false">L753-M753</f>
        <v>3232</v>
      </c>
    </row>
    <row r="754" customFormat="false" ht="15" hidden="false" customHeight="false" outlineLevel="0" collapsed="false">
      <c r="A754" s="40" t="n">
        <v>46023</v>
      </c>
      <c r="B754" s="41" t="n">
        <v>2026</v>
      </c>
      <c r="C754" s="41" t="n">
        <v>1</v>
      </c>
      <c r="D754" s="41" t="s">
        <v>34</v>
      </c>
      <c r="E754" s="41" t="s">
        <v>45</v>
      </c>
      <c r="F754" s="41" t="s">
        <v>36</v>
      </c>
      <c r="G754" s="41" t="s">
        <v>39</v>
      </c>
      <c r="H754" s="42" t="n">
        <v>83</v>
      </c>
      <c r="I754" s="42" t="n">
        <v>108</v>
      </c>
      <c r="J754" s="42" t="n">
        <v>6991</v>
      </c>
      <c r="K754" s="42" t="n">
        <v>740</v>
      </c>
      <c r="L754" s="43" t="n">
        <f aca="false">J754-K754</f>
        <v>6251</v>
      </c>
      <c r="M754" s="42" t="n">
        <v>2445</v>
      </c>
      <c r="N754" s="43" t="n">
        <f aca="false">L754-M754</f>
        <v>3806</v>
      </c>
    </row>
    <row r="755" customFormat="false" ht="15" hidden="false" customHeight="false" outlineLevel="0" collapsed="false">
      <c r="A755" s="40" t="n">
        <v>46023</v>
      </c>
      <c r="B755" s="41" t="n">
        <v>2026</v>
      </c>
      <c r="C755" s="41" t="n">
        <v>1</v>
      </c>
      <c r="D755" s="41" t="s">
        <v>34</v>
      </c>
      <c r="E755" s="41" t="s">
        <v>45</v>
      </c>
      <c r="F755" s="41" t="s">
        <v>36</v>
      </c>
      <c r="G755" s="41" t="s">
        <v>40</v>
      </c>
      <c r="H755" s="42" t="n">
        <v>35</v>
      </c>
      <c r="I755" s="42" t="n">
        <v>56</v>
      </c>
      <c r="J755" s="42" t="n">
        <v>4527</v>
      </c>
      <c r="K755" s="42" t="n">
        <v>435</v>
      </c>
      <c r="L755" s="43" t="n">
        <f aca="false">J755-K755</f>
        <v>4092</v>
      </c>
      <c r="M755" s="42" t="n">
        <v>2284</v>
      </c>
      <c r="N755" s="43" t="n">
        <f aca="false">L755-M755</f>
        <v>1808</v>
      </c>
    </row>
    <row r="756" customFormat="false" ht="15" hidden="false" customHeight="false" outlineLevel="0" collapsed="false">
      <c r="A756" s="40" t="n">
        <v>46023</v>
      </c>
      <c r="B756" s="41" t="n">
        <v>2026</v>
      </c>
      <c r="C756" s="41" t="n">
        <v>1</v>
      </c>
      <c r="D756" s="41" t="s">
        <v>34</v>
      </c>
      <c r="E756" s="41" t="s">
        <v>45</v>
      </c>
      <c r="F756" s="41" t="s">
        <v>36</v>
      </c>
      <c r="G756" s="41" t="s">
        <v>41</v>
      </c>
      <c r="H756" s="42" t="n">
        <v>57</v>
      </c>
      <c r="I756" s="42" t="n">
        <v>79</v>
      </c>
      <c r="J756" s="42" t="n">
        <v>3497</v>
      </c>
      <c r="K756" s="42" t="n">
        <v>109</v>
      </c>
      <c r="L756" s="43" t="n">
        <f aca="false">J756-K756</f>
        <v>3388</v>
      </c>
      <c r="M756" s="42" t="n">
        <v>1675</v>
      </c>
      <c r="N756" s="43" t="n">
        <f aca="false">L756-M756</f>
        <v>1713</v>
      </c>
    </row>
    <row r="757" customFormat="false" ht="15" hidden="false" customHeight="false" outlineLevel="0" collapsed="false">
      <c r="A757" s="40" t="n">
        <v>46023</v>
      </c>
      <c r="B757" s="41" t="n">
        <v>2026</v>
      </c>
      <c r="C757" s="41" t="n">
        <v>1</v>
      </c>
      <c r="D757" s="41" t="s">
        <v>34</v>
      </c>
      <c r="E757" s="41" t="s">
        <v>45</v>
      </c>
      <c r="F757" s="41" t="s">
        <v>42</v>
      </c>
      <c r="G757" s="41" t="s">
        <v>37</v>
      </c>
      <c r="H757" s="42" t="n">
        <v>24</v>
      </c>
      <c r="I757" s="42" t="n">
        <v>34</v>
      </c>
      <c r="J757" s="42" t="n">
        <v>4098</v>
      </c>
      <c r="K757" s="42" t="n">
        <v>243</v>
      </c>
      <c r="L757" s="43" t="n">
        <f aca="false">J757-K757</f>
        <v>3855</v>
      </c>
      <c r="M757" s="42" t="n">
        <v>2101</v>
      </c>
      <c r="N757" s="43" t="n">
        <f aca="false">L757-M757</f>
        <v>1754</v>
      </c>
    </row>
    <row r="758" customFormat="false" ht="15" hidden="false" customHeight="false" outlineLevel="0" collapsed="false">
      <c r="A758" s="40" t="n">
        <v>46023</v>
      </c>
      <c r="B758" s="41" t="n">
        <v>2026</v>
      </c>
      <c r="C758" s="41" t="n">
        <v>1</v>
      </c>
      <c r="D758" s="41" t="s">
        <v>34</v>
      </c>
      <c r="E758" s="41" t="s">
        <v>45</v>
      </c>
      <c r="F758" s="41" t="s">
        <v>42</v>
      </c>
      <c r="G758" s="41" t="s">
        <v>38</v>
      </c>
      <c r="H758" s="42" t="n">
        <v>40</v>
      </c>
      <c r="I758" s="42" t="n">
        <v>53</v>
      </c>
      <c r="J758" s="42" t="n">
        <v>4104</v>
      </c>
      <c r="K758" s="42" t="n">
        <v>280</v>
      </c>
      <c r="L758" s="43" t="n">
        <f aca="false">J758-K758</f>
        <v>3824</v>
      </c>
      <c r="M758" s="42" t="n">
        <v>1817</v>
      </c>
      <c r="N758" s="43" t="n">
        <f aca="false">L758-M758</f>
        <v>2007</v>
      </c>
    </row>
    <row r="759" customFormat="false" ht="15" hidden="false" customHeight="false" outlineLevel="0" collapsed="false">
      <c r="A759" s="40" t="n">
        <v>46023</v>
      </c>
      <c r="B759" s="41" t="n">
        <v>2026</v>
      </c>
      <c r="C759" s="41" t="n">
        <v>1</v>
      </c>
      <c r="D759" s="41" t="s">
        <v>34</v>
      </c>
      <c r="E759" s="41" t="s">
        <v>45</v>
      </c>
      <c r="F759" s="41" t="s">
        <v>42</v>
      </c>
      <c r="G759" s="41" t="s">
        <v>39</v>
      </c>
      <c r="H759" s="42" t="n">
        <v>63</v>
      </c>
      <c r="I759" s="42" t="n">
        <v>82</v>
      </c>
      <c r="J759" s="42" t="n">
        <v>4841</v>
      </c>
      <c r="K759" s="42" t="n">
        <v>687</v>
      </c>
      <c r="L759" s="43" t="n">
        <f aca="false">J759-K759</f>
        <v>4154</v>
      </c>
      <c r="M759" s="42" t="n">
        <v>1726</v>
      </c>
      <c r="N759" s="43" t="n">
        <f aca="false">L759-M759</f>
        <v>2428</v>
      </c>
    </row>
    <row r="760" customFormat="false" ht="15" hidden="false" customHeight="false" outlineLevel="0" collapsed="false">
      <c r="A760" s="40" t="n">
        <v>46023</v>
      </c>
      <c r="B760" s="41" t="n">
        <v>2026</v>
      </c>
      <c r="C760" s="41" t="n">
        <v>1</v>
      </c>
      <c r="D760" s="41" t="s">
        <v>34</v>
      </c>
      <c r="E760" s="41" t="s">
        <v>45</v>
      </c>
      <c r="F760" s="41" t="s">
        <v>42</v>
      </c>
      <c r="G760" s="41" t="s">
        <v>40</v>
      </c>
      <c r="H760" s="42" t="n">
        <v>26</v>
      </c>
      <c r="I760" s="42" t="n">
        <v>37</v>
      </c>
      <c r="J760" s="42" t="n">
        <v>3063</v>
      </c>
      <c r="K760" s="42" t="n">
        <v>450</v>
      </c>
      <c r="L760" s="43" t="n">
        <f aca="false">J760-K760</f>
        <v>2613</v>
      </c>
      <c r="M760" s="42" t="n">
        <v>1521</v>
      </c>
      <c r="N760" s="43" t="n">
        <f aca="false">L760-M760</f>
        <v>1092</v>
      </c>
    </row>
    <row r="761" customFormat="false" ht="15" hidden="false" customHeight="false" outlineLevel="0" collapsed="false">
      <c r="A761" s="40" t="n">
        <v>46023</v>
      </c>
      <c r="B761" s="41" t="n">
        <v>2026</v>
      </c>
      <c r="C761" s="41" t="n">
        <v>1</v>
      </c>
      <c r="D761" s="41" t="s">
        <v>34</v>
      </c>
      <c r="E761" s="41" t="s">
        <v>45</v>
      </c>
      <c r="F761" s="41" t="s">
        <v>42</v>
      </c>
      <c r="G761" s="41" t="s">
        <v>41</v>
      </c>
      <c r="H761" s="42" t="n">
        <v>39</v>
      </c>
      <c r="I761" s="42" t="n">
        <v>58</v>
      </c>
      <c r="J761" s="42" t="n">
        <v>2197</v>
      </c>
      <c r="K761" s="42" t="n">
        <v>90</v>
      </c>
      <c r="L761" s="43" t="n">
        <f aca="false">J761-K761</f>
        <v>2107</v>
      </c>
      <c r="M761" s="42" t="n">
        <v>1054</v>
      </c>
      <c r="N761" s="43" t="n">
        <f aca="false">L761-M761</f>
        <v>1053</v>
      </c>
    </row>
    <row r="762" customFormat="false" ht="15" hidden="false" customHeight="false" outlineLevel="0" collapsed="false">
      <c r="A762" s="40" t="n">
        <v>46023</v>
      </c>
      <c r="B762" s="41" t="n">
        <v>2026</v>
      </c>
      <c r="C762" s="41" t="n">
        <v>1</v>
      </c>
      <c r="D762" s="41" t="s">
        <v>34</v>
      </c>
      <c r="E762" s="41" t="s">
        <v>45</v>
      </c>
      <c r="F762" s="41" t="s">
        <v>43</v>
      </c>
      <c r="G762" s="41" t="s">
        <v>37</v>
      </c>
      <c r="H762" s="42" t="n">
        <v>14</v>
      </c>
      <c r="I762" s="42" t="n">
        <v>17</v>
      </c>
      <c r="J762" s="42" t="n">
        <v>2806</v>
      </c>
      <c r="K762" s="42" t="n">
        <v>92</v>
      </c>
      <c r="L762" s="43" t="n">
        <f aca="false">J762-K762</f>
        <v>2714</v>
      </c>
      <c r="M762" s="42" t="n">
        <v>1441</v>
      </c>
      <c r="N762" s="43" t="n">
        <f aca="false">L762-M762</f>
        <v>1273</v>
      </c>
    </row>
    <row r="763" customFormat="false" ht="15" hidden="false" customHeight="false" outlineLevel="0" collapsed="false">
      <c r="A763" s="40" t="n">
        <v>46023</v>
      </c>
      <c r="B763" s="41" t="n">
        <v>2026</v>
      </c>
      <c r="C763" s="41" t="n">
        <v>1</v>
      </c>
      <c r="D763" s="41" t="s">
        <v>34</v>
      </c>
      <c r="E763" s="41" t="s">
        <v>45</v>
      </c>
      <c r="F763" s="41" t="s">
        <v>43</v>
      </c>
      <c r="G763" s="41" t="s">
        <v>38</v>
      </c>
      <c r="H763" s="42" t="n">
        <v>23</v>
      </c>
      <c r="I763" s="42" t="n">
        <v>32</v>
      </c>
      <c r="J763" s="42" t="n">
        <v>2681</v>
      </c>
      <c r="K763" s="42" t="n">
        <v>106</v>
      </c>
      <c r="L763" s="43" t="n">
        <f aca="false">J763-K763</f>
        <v>2575</v>
      </c>
      <c r="M763" s="42" t="n">
        <v>1141</v>
      </c>
      <c r="N763" s="43" t="n">
        <f aca="false">L763-M763</f>
        <v>1434</v>
      </c>
    </row>
    <row r="764" customFormat="false" ht="15" hidden="false" customHeight="false" outlineLevel="0" collapsed="false">
      <c r="A764" s="40" t="n">
        <v>46023</v>
      </c>
      <c r="B764" s="41" t="n">
        <v>2026</v>
      </c>
      <c r="C764" s="41" t="n">
        <v>1</v>
      </c>
      <c r="D764" s="41" t="s">
        <v>34</v>
      </c>
      <c r="E764" s="41" t="s">
        <v>45</v>
      </c>
      <c r="F764" s="41" t="s">
        <v>43</v>
      </c>
      <c r="G764" s="41" t="s">
        <v>39</v>
      </c>
      <c r="H764" s="42" t="n">
        <v>32</v>
      </c>
      <c r="I764" s="42" t="n">
        <v>49</v>
      </c>
      <c r="J764" s="42" t="n">
        <v>2880</v>
      </c>
      <c r="K764" s="42" t="n">
        <v>198</v>
      </c>
      <c r="L764" s="43" t="n">
        <f aca="false">J764-K764</f>
        <v>2682</v>
      </c>
      <c r="M764" s="42" t="n">
        <v>1055</v>
      </c>
      <c r="N764" s="43" t="n">
        <f aca="false">L764-M764</f>
        <v>1627</v>
      </c>
    </row>
    <row r="765" customFormat="false" ht="15" hidden="false" customHeight="false" outlineLevel="0" collapsed="false">
      <c r="A765" s="40" t="n">
        <v>46023</v>
      </c>
      <c r="B765" s="41" t="n">
        <v>2026</v>
      </c>
      <c r="C765" s="41" t="n">
        <v>1</v>
      </c>
      <c r="D765" s="41" t="s">
        <v>34</v>
      </c>
      <c r="E765" s="41" t="s">
        <v>45</v>
      </c>
      <c r="F765" s="41" t="s">
        <v>43</v>
      </c>
      <c r="G765" s="41" t="s">
        <v>40</v>
      </c>
      <c r="H765" s="42" t="n">
        <v>18</v>
      </c>
      <c r="I765" s="42" t="n">
        <v>28</v>
      </c>
      <c r="J765" s="42" t="n">
        <v>2492</v>
      </c>
      <c r="K765" s="42" t="n">
        <v>240</v>
      </c>
      <c r="L765" s="43" t="n">
        <f aca="false">J765-K765</f>
        <v>2252</v>
      </c>
      <c r="M765" s="42" t="n">
        <v>1205</v>
      </c>
      <c r="N765" s="43" t="n">
        <f aca="false">L765-M765</f>
        <v>1047</v>
      </c>
    </row>
    <row r="766" customFormat="false" ht="15" hidden="false" customHeight="false" outlineLevel="0" collapsed="false">
      <c r="A766" s="40" t="n">
        <v>46023</v>
      </c>
      <c r="B766" s="41" t="n">
        <v>2026</v>
      </c>
      <c r="C766" s="41" t="n">
        <v>1</v>
      </c>
      <c r="D766" s="41" t="s">
        <v>34</v>
      </c>
      <c r="E766" s="41" t="s">
        <v>45</v>
      </c>
      <c r="F766" s="41" t="s">
        <v>43</v>
      </c>
      <c r="G766" s="41" t="s">
        <v>41</v>
      </c>
      <c r="H766" s="42" t="n">
        <v>23</v>
      </c>
      <c r="I766" s="42" t="n">
        <v>35</v>
      </c>
      <c r="J766" s="42" t="n">
        <v>1471</v>
      </c>
      <c r="K766" s="42" t="n">
        <v>35</v>
      </c>
      <c r="L766" s="43" t="n">
        <f aca="false">J766-K766</f>
        <v>1436</v>
      </c>
      <c r="M766" s="42" t="n">
        <v>674</v>
      </c>
      <c r="N766" s="43" t="n">
        <f aca="false">L766-M766</f>
        <v>762</v>
      </c>
    </row>
    <row r="767" customFormat="false" ht="15" hidden="false" customHeight="false" outlineLevel="0" collapsed="false">
      <c r="A767" s="40" t="n">
        <v>46023</v>
      </c>
      <c r="B767" s="41" t="n">
        <v>2026</v>
      </c>
      <c r="C767" s="41" t="n">
        <v>1</v>
      </c>
      <c r="D767" s="41" t="s">
        <v>34</v>
      </c>
      <c r="E767" s="41" t="s">
        <v>46</v>
      </c>
      <c r="F767" s="41" t="s">
        <v>36</v>
      </c>
      <c r="G767" s="41" t="s">
        <v>37</v>
      </c>
      <c r="H767" s="42" t="n">
        <v>29</v>
      </c>
      <c r="I767" s="42" t="n">
        <v>37</v>
      </c>
      <c r="J767" s="42" t="n">
        <v>5461</v>
      </c>
      <c r="K767" s="42" t="n">
        <v>184</v>
      </c>
      <c r="L767" s="43" t="n">
        <f aca="false">J767-K767</f>
        <v>5277</v>
      </c>
      <c r="M767" s="42" t="n">
        <v>2773</v>
      </c>
      <c r="N767" s="43" t="n">
        <f aca="false">L767-M767</f>
        <v>2504</v>
      </c>
    </row>
    <row r="768" customFormat="false" ht="15" hidden="false" customHeight="false" outlineLevel="0" collapsed="false">
      <c r="A768" s="40" t="n">
        <v>46023</v>
      </c>
      <c r="B768" s="41" t="n">
        <v>2026</v>
      </c>
      <c r="C768" s="41" t="n">
        <v>1</v>
      </c>
      <c r="D768" s="41" t="s">
        <v>34</v>
      </c>
      <c r="E768" s="41" t="s">
        <v>46</v>
      </c>
      <c r="F768" s="41" t="s">
        <v>36</v>
      </c>
      <c r="G768" s="41" t="s">
        <v>38</v>
      </c>
      <c r="H768" s="42" t="n">
        <v>51</v>
      </c>
      <c r="I768" s="42" t="n">
        <v>71</v>
      </c>
      <c r="J768" s="42" t="n">
        <v>5740</v>
      </c>
      <c r="K768" s="42" t="n">
        <v>282</v>
      </c>
      <c r="L768" s="43" t="n">
        <f aca="false">J768-K768</f>
        <v>5458</v>
      </c>
      <c r="M768" s="42" t="n">
        <v>2396</v>
      </c>
      <c r="N768" s="43" t="n">
        <f aca="false">L768-M768</f>
        <v>3062</v>
      </c>
    </row>
    <row r="769" customFormat="false" ht="15" hidden="false" customHeight="false" outlineLevel="0" collapsed="false">
      <c r="A769" s="40" t="n">
        <v>46023</v>
      </c>
      <c r="B769" s="41" t="n">
        <v>2026</v>
      </c>
      <c r="C769" s="41" t="n">
        <v>1</v>
      </c>
      <c r="D769" s="41" t="s">
        <v>34</v>
      </c>
      <c r="E769" s="41" t="s">
        <v>46</v>
      </c>
      <c r="F769" s="41" t="s">
        <v>36</v>
      </c>
      <c r="G769" s="41" t="s">
        <v>39</v>
      </c>
      <c r="H769" s="42" t="n">
        <v>73</v>
      </c>
      <c r="I769" s="42" t="n">
        <v>117</v>
      </c>
      <c r="J769" s="42" t="n">
        <v>6114</v>
      </c>
      <c r="K769" s="42" t="n">
        <v>659</v>
      </c>
      <c r="L769" s="43" t="n">
        <f aca="false">J769-K769</f>
        <v>5455</v>
      </c>
      <c r="M769" s="42" t="n">
        <v>2121</v>
      </c>
      <c r="N769" s="43" t="n">
        <f aca="false">L769-M769</f>
        <v>3334</v>
      </c>
    </row>
    <row r="770" customFormat="false" ht="15" hidden="false" customHeight="false" outlineLevel="0" collapsed="false">
      <c r="A770" s="40" t="n">
        <v>46023</v>
      </c>
      <c r="B770" s="41" t="n">
        <v>2026</v>
      </c>
      <c r="C770" s="41" t="n">
        <v>1</v>
      </c>
      <c r="D770" s="41" t="s">
        <v>34</v>
      </c>
      <c r="E770" s="41" t="s">
        <v>46</v>
      </c>
      <c r="F770" s="41" t="s">
        <v>36</v>
      </c>
      <c r="G770" s="41" t="s">
        <v>40</v>
      </c>
      <c r="H770" s="42" t="n">
        <v>35</v>
      </c>
      <c r="I770" s="42" t="n">
        <v>53</v>
      </c>
      <c r="J770" s="42" t="n">
        <v>4507</v>
      </c>
      <c r="K770" s="42" t="n">
        <v>597</v>
      </c>
      <c r="L770" s="43" t="n">
        <f aca="false">J770-K770</f>
        <v>3910</v>
      </c>
      <c r="M770" s="42" t="n">
        <v>2106</v>
      </c>
      <c r="N770" s="43" t="n">
        <f aca="false">L770-M770</f>
        <v>1804</v>
      </c>
    </row>
    <row r="771" customFormat="false" ht="15" hidden="false" customHeight="false" outlineLevel="0" collapsed="false">
      <c r="A771" s="40" t="n">
        <v>46023</v>
      </c>
      <c r="B771" s="41" t="n">
        <v>2026</v>
      </c>
      <c r="C771" s="41" t="n">
        <v>1</v>
      </c>
      <c r="D771" s="41" t="s">
        <v>34</v>
      </c>
      <c r="E771" s="41" t="s">
        <v>46</v>
      </c>
      <c r="F771" s="41" t="s">
        <v>36</v>
      </c>
      <c r="G771" s="41" t="s">
        <v>41</v>
      </c>
      <c r="H771" s="42" t="n">
        <v>52</v>
      </c>
      <c r="I771" s="42" t="n">
        <v>68</v>
      </c>
      <c r="J771" s="42" t="n">
        <v>3176</v>
      </c>
      <c r="K771" s="42" t="n">
        <v>96</v>
      </c>
      <c r="L771" s="43" t="n">
        <f aca="false">J771-K771</f>
        <v>3080</v>
      </c>
      <c r="M771" s="42" t="n">
        <v>1455</v>
      </c>
      <c r="N771" s="43" t="n">
        <f aca="false">L771-M771</f>
        <v>1625</v>
      </c>
    </row>
    <row r="772" customFormat="false" ht="15" hidden="false" customHeight="false" outlineLevel="0" collapsed="false">
      <c r="A772" s="40" t="n">
        <v>46023</v>
      </c>
      <c r="B772" s="41" t="n">
        <v>2026</v>
      </c>
      <c r="C772" s="41" t="n">
        <v>1</v>
      </c>
      <c r="D772" s="41" t="s">
        <v>34</v>
      </c>
      <c r="E772" s="41" t="s">
        <v>46</v>
      </c>
      <c r="F772" s="41" t="s">
        <v>42</v>
      </c>
      <c r="G772" s="41" t="s">
        <v>37</v>
      </c>
      <c r="H772" s="42" t="n">
        <v>23</v>
      </c>
      <c r="I772" s="42" t="n">
        <v>30</v>
      </c>
      <c r="J772" s="42" t="n">
        <v>4054</v>
      </c>
      <c r="K772" s="42" t="n">
        <v>209</v>
      </c>
      <c r="L772" s="43" t="n">
        <f aca="false">J772-K772</f>
        <v>3845</v>
      </c>
      <c r="M772" s="42" t="n">
        <v>2049</v>
      </c>
      <c r="N772" s="43" t="n">
        <f aca="false">L772-M772</f>
        <v>1796</v>
      </c>
    </row>
    <row r="773" customFormat="false" ht="15" hidden="false" customHeight="false" outlineLevel="0" collapsed="false">
      <c r="A773" s="40" t="n">
        <v>46023</v>
      </c>
      <c r="B773" s="41" t="n">
        <v>2026</v>
      </c>
      <c r="C773" s="41" t="n">
        <v>1</v>
      </c>
      <c r="D773" s="41" t="s">
        <v>34</v>
      </c>
      <c r="E773" s="41" t="s">
        <v>46</v>
      </c>
      <c r="F773" s="41" t="s">
        <v>42</v>
      </c>
      <c r="G773" s="41" t="s">
        <v>38</v>
      </c>
      <c r="H773" s="42" t="n">
        <v>33</v>
      </c>
      <c r="I773" s="42" t="n">
        <v>46</v>
      </c>
      <c r="J773" s="42" t="n">
        <v>3372</v>
      </c>
      <c r="K773" s="42" t="n">
        <v>187</v>
      </c>
      <c r="L773" s="43" t="n">
        <f aca="false">J773-K773</f>
        <v>3185</v>
      </c>
      <c r="M773" s="42" t="n">
        <v>1474</v>
      </c>
      <c r="N773" s="43" t="n">
        <f aca="false">L773-M773</f>
        <v>1711</v>
      </c>
    </row>
    <row r="774" customFormat="false" ht="15" hidden="false" customHeight="false" outlineLevel="0" collapsed="false">
      <c r="A774" s="40" t="n">
        <v>46023</v>
      </c>
      <c r="B774" s="41" t="n">
        <v>2026</v>
      </c>
      <c r="C774" s="41" t="n">
        <v>1</v>
      </c>
      <c r="D774" s="41" t="s">
        <v>34</v>
      </c>
      <c r="E774" s="41" t="s">
        <v>46</v>
      </c>
      <c r="F774" s="41" t="s">
        <v>42</v>
      </c>
      <c r="G774" s="41" t="s">
        <v>39</v>
      </c>
      <c r="H774" s="42" t="n">
        <v>60</v>
      </c>
      <c r="I774" s="42" t="n">
        <v>76</v>
      </c>
      <c r="J774" s="42" t="n">
        <v>4649</v>
      </c>
      <c r="K774" s="42" t="n">
        <v>583</v>
      </c>
      <c r="L774" s="43" t="n">
        <f aca="false">J774-K774</f>
        <v>4066</v>
      </c>
      <c r="M774" s="42" t="n">
        <v>1659</v>
      </c>
      <c r="N774" s="43" t="n">
        <f aca="false">L774-M774</f>
        <v>2407</v>
      </c>
    </row>
    <row r="775" customFormat="false" ht="15" hidden="false" customHeight="false" outlineLevel="0" collapsed="false">
      <c r="A775" s="40" t="n">
        <v>46023</v>
      </c>
      <c r="B775" s="41" t="n">
        <v>2026</v>
      </c>
      <c r="C775" s="41" t="n">
        <v>1</v>
      </c>
      <c r="D775" s="41" t="s">
        <v>34</v>
      </c>
      <c r="E775" s="41" t="s">
        <v>46</v>
      </c>
      <c r="F775" s="41" t="s">
        <v>42</v>
      </c>
      <c r="G775" s="41" t="s">
        <v>40</v>
      </c>
      <c r="H775" s="42" t="n">
        <v>29</v>
      </c>
      <c r="I775" s="42" t="n">
        <v>35</v>
      </c>
      <c r="J775" s="42" t="n">
        <v>3450</v>
      </c>
      <c r="K775" s="42" t="n">
        <v>589</v>
      </c>
      <c r="L775" s="43" t="n">
        <f aca="false">J775-K775</f>
        <v>2861</v>
      </c>
      <c r="M775" s="42" t="n">
        <v>1660</v>
      </c>
      <c r="N775" s="43" t="n">
        <f aca="false">L775-M775</f>
        <v>1201</v>
      </c>
    </row>
    <row r="776" customFormat="false" ht="15" hidden="false" customHeight="false" outlineLevel="0" collapsed="false">
      <c r="A776" s="40" t="n">
        <v>46023</v>
      </c>
      <c r="B776" s="41" t="n">
        <v>2026</v>
      </c>
      <c r="C776" s="41" t="n">
        <v>1</v>
      </c>
      <c r="D776" s="41" t="s">
        <v>34</v>
      </c>
      <c r="E776" s="41" t="s">
        <v>46</v>
      </c>
      <c r="F776" s="41" t="s">
        <v>42</v>
      </c>
      <c r="G776" s="41" t="s">
        <v>41</v>
      </c>
      <c r="H776" s="42" t="n">
        <v>34</v>
      </c>
      <c r="I776" s="42" t="n">
        <v>46</v>
      </c>
      <c r="J776" s="42" t="n">
        <v>1927</v>
      </c>
      <c r="K776" s="42" t="n">
        <v>87</v>
      </c>
      <c r="L776" s="43" t="n">
        <f aca="false">J776-K776</f>
        <v>1840</v>
      </c>
      <c r="M776" s="42" t="n">
        <v>928</v>
      </c>
      <c r="N776" s="43" t="n">
        <f aca="false">L776-M776</f>
        <v>912</v>
      </c>
    </row>
    <row r="777" customFormat="false" ht="15" hidden="false" customHeight="false" outlineLevel="0" collapsed="false">
      <c r="A777" s="40" t="n">
        <v>46023</v>
      </c>
      <c r="B777" s="41" t="n">
        <v>2026</v>
      </c>
      <c r="C777" s="41" t="n">
        <v>1</v>
      </c>
      <c r="D777" s="41" t="s">
        <v>34</v>
      </c>
      <c r="E777" s="41" t="s">
        <v>46</v>
      </c>
      <c r="F777" s="41" t="s">
        <v>43</v>
      </c>
      <c r="G777" s="41" t="s">
        <v>37</v>
      </c>
      <c r="H777" s="42" t="n">
        <v>14</v>
      </c>
      <c r="I777" s="42" t="n">
        <v>16</v>
      </c>
      <c r="J777" s="42" t="n">
        <v>2788</v>
      </c>
      <c r="K777" s="42" t="n">
        <v>76</v>
      </c>
      <c r="L777" s="43" t="n">
        <f aca="false">J777-K777</f>
        <v>2712</v>
      </c>
      <c r="M777" s="42" t="n">
        <v>1426</v>
      </c>
      <c r="N777" s="43" t="n">
        <f aca="false">L777-M777</f>
        <v>1286</v>
      </c>
    </row>
    <row r="778" customFormat="false" ht="15" hidden="false" customHeight="false" outlineLevel="0" collapsed="false">
      <c r="A778" s="40" t="n">
        <v>46023</v>
      </c>
      <c r="B778" s="41" t="n">
        <v>2026</v>
      </c>
      <c r="C778" s="41" t="n">
        <v>1</v>
      </c>
      <c r="D778" s="41" t="s">
        <v>34</v>
      </c>
      <c r="E778" s="41" t="s">
        <v>46</v>
      </c>
      <c r="F778" s="41" t="s">
        <v>43</v>
      </c>
      <c r="G778" s="41" t="s">
        <v>38</v>
      </c>
      <c r="H778" s="42" t="n">
        <v>23</v>
      </c>
      <c r="I778" s="42" t="n">
        <v>30</v>
      </c>
      <c r="J778" s="42" t="n">
        <v>2681</v>
      </c>
      <c r="K778" s="42" t="n">
        <v>90</v>
      </c>
      <c r="L778" s="43" t="n">
        <f aca="false">J778-K778</f>
        <v>2591</v>
      </c>
      <c r="M778" s="42" t="n">
        <v>1176</v>
      </c>
      <c r="N778" s="43" t="n">
        <f aca="false">L778-M778</f>
        <v>1415</v>
      </c>
    </row>
    <row r="779" customFormat="false" ht="15" hidden="false" customHeight="false" outlineLevel="0" collapsed="false">
      <c r="A779" s="40" t="n">
        <v>46023</v>
      </c>
      <c r="B779" s="41" t="n">
        <v>2026</v>
      </c>
      <c r="C779" s="41" t="n">
        <v>1</v>
      </c>
      <c r="D779" s="41" t="s">
        <v>34</v>
      </c>
      <c r="E779" s="41" t="s">
        <v>46</v>
      </c>
      <c r="F779" s="41" t="s">
        <v>43</v>
      </c>
      <c r="G779" s="41" t="s">
        <v>39</v>
      </c>
      <c r="H779" s="42" t="n">
        <v>37</v>
      </c>
      <c r="I779" s="42" t="n">
        <v>48</v>
      </c>
      <c r="J779" s="42" t="n">
        <v>3275</v>
      </c>
      <c r="K779" s="42" t="n">
        <v>219</v>
      </c>
      <c r="L779" s="43" t="n">
        <f aca="false">J779-K779</f>
        <v>3056</v>
      </c>
      <c r="M779" s="42" t="n">
        <v>1197</v>
      </c>
      <c r="N779" s="43" t="n">
        <f aca="false">L779-M779</f>
        <v>1859</v>
      </c>
    </row>
    <row r="780" customFormat="false" ht="15" hidden="false" customHeight="false" outlineLevel="0" collapsed="false">
      <c r="A780" s="40" t="n">
        <v>46023</v>
      </c>
      <c r="B780" s="41" t="n">
        <v>2026</v>
      </c>
      <c r="C780" s="41" t="n">
        <v>1</v>
      </c>
      <c r="D780" s="41" t="s">
        <v>34</v>
      </c>
      <c r="E780" s="41" t="s">
        <v>46</v>
      </c>
      <c r="F780" s="41" t="s">
        <v>43</v>
      </c>
      <c r="G780" s="41" t="s">
        <v>40</v>
      </c>
      <c r="H780" s="42" t="n">
        <v>18</v>
      </c>
      <c r="I780" s="42" t="n">
        <v>22</v>
      </c>
      <c r="J780" s="42" t="n">
        <v>2427</v>
      </c>
      <c r="K780" s="42" t="n">
        <v>242</v>
      </c>
      <c r="L780" s="43" t="n">
        <f aca="false">J780-K780</f>
        <v>2185</v>
      </c>
      <c r="M780" s="42" t="n">
        <v>1217</v>
      </c>
      <c r="N780" s="43" t="n">
        <f aca="false">L780-M780</f>
        <v>968</v>
      </c>
    </row>
    <row r="781" customFormat="false" ht="15" hidden="false" customHeight="false" outlineLevel="0" collapsed="false">
      <c r="A781" s="40" t="n">
        <v>46023</v>
      </c>
      <c r="B781" s="41" t="n">
        <v>2026</v>
      </c>
      <c r="C781" s="41" t="n">
        <v>1</v>
      </c>
      <c r="D781" s="41" t="s">
        <v>34</v>
      </c>
      <c r="E781" s="41" t="s">
        <v>46</v>
      </c>
      <c r="F781" s="41" t="s">
        <v>43</v>
      </c>
      <c r="G781" s="41" t="s">
        <v>41</v>
      </c>
      <c r="H781" s="42" t="n">
        <v>22</v>
      </c>
      <c r="I781" s="42" t="n">
        <v>32</v>
      </c>
      <c r="J781" s="42" t="n">
        <v>1394</v>
      </c>
      <c r="K781" s="42" t="n">
        <v>27</v>
      </c>
      <c r="L781" s="43" t="n">
        <f aca="false">J781-K781</f>
        <v>1367</v>
      </c>
      <c r="M781" s="42" t="n">
        <v>639</v>
      </c>
      <c r="N781" s="43" t="n">
        <f aca="false">L781-M781</f>
        <v>728</v>
      </c>
    </row>
    <row r="782" customFormat="false" ht="15" hidden="false" customHeight="false" outlineLevel="0" collapsed="false">
      <c r="A782" s="40" t="n">
        <v>46054</v>
      </c>
      <c r="B782" s="41" t="n">
        <v>2026</v>
      </c>
      <c r="C782" s="41" t="n">
        <v>2</v>
      </c>
      <c r="D782" s="41" t="s">
        <v>47</v>
      </c>
      <c r="E782" s="41" t="s">
        <v>35</v>
      </c>
      <c r="F782" s="41" t="s">
        <v>36</v>
      </c>
      <c r="G782" s="41" t="s">
        <v>37</v>
      </c>
      <c r="H782" s="42" t="n">
        <v>66</v>
      </c>
      <c r="I782" s="42" t="n">
        <v>87</v>
      </c>
      <c r="J782" s="42" t="n">
        <v>12388</v>
      </c>
      <c r="K782" s="42" t="n">
        <v>501</v>
      </c>
      <c r="L782" s="43" t="n">
        <f aca="false">J782-K782</f>
        <v>11887</v>
      </c>
      <c r="M782" s="42" t="n">
        <v>6299</v>
      </c>
      <c r="N782" s="43" t="n">
        <f aca="false">L782-M782</f>
        <v>5588</v>
      </c>
    </row>
    <row r="783" customFormat="false" ht="15" hidden="false" customHeight="false" outlineLevel="0" collapsed="false">
      <c r="A783" s="40" t="n">
        <v>46054</v>
      </c>
      <c r="B783" s="41" t="n">
        <v>2026</v>
      </c>
      <c r="C783" s="41" t="n">
        <v>2</v>
      </c>
      <c r="D783" s="41" t="s">
        <v>47</v>
      </c>
      <c r="E783" s="41" t="s">
        <v>35</v>
      </c>
      <c r="F783" s="41" t="s">
        <v>36</v>
      </c>
      <c r="G783" s="41" t="s">
        <v>38</v>
      </c>
      <c r="H783" s="42" t="n">
        <v>100</v>
      </c>
      <c r="I783" s="42" t="n">
        <v>149</v>
      </c>
      <c r="J783" s="42" t="n">
        <v>11251</v>
      </c>
      <c r="K783" s="42" t="n">
        <v>456</v>
      </c>
      <c r="L783" s="43" t="n">
        <f aca="false">J783-K783</f>
        <v>10795</v>
      </c>
      <c r="M783" s="42" t="n">
        <v>4885</v>
      </c>
      <c r="N783" s="43" t="n">
        <f aca="false">L783-M783</f>
        <v>5910</v>
      </c>
    </row>
    <row r="784" customFormat="false" ht="15" hidden="false" customHeight="false" outlineLevel="0" collapsed="false">
      <c r="A784" s="40" t="n">
        <v>46054</v>
      </c>
      <c r="B784" s="41" t="n">
        <v>2026</v>
      </c>
      <c r="C784" s="41" t="n">
        <v>2</v>
      </c>
      <c r="D784" s="41" t="s">
        <v>47</v>
      </c>
      <c r="E784" s="41" t="s">
        <v>35</v>
      </c>
      <c r="F784" s="41" t="s">
        <v>36</v>
      </c>
      <c r="G784" s="41" t="s">
        <v>39</v>
      </c>
      <c r="H784" s="42" t="n">
        <v>142</v>
      </c>
      <c r="I784" s="42" t="n">
        <v>193</v>
      </c>
      <c r="J784" s="42" t="n">
        <v>11914</v>
      </c>
      <c r="K784" s="42" t="n">
        <v>1353</v>
      </c>
      <c r="L784" s="43" t="n">
        <f aca="false">J784-K784</f>
        <v>10561</v>
      </c>
      <c r="M784" s="42" t="n">
        <v>4098</v>
      </c>
      <c r="N784" s="43" t="n">
        <f aca="false">L784-M784</f>
        <v>6463</v>
      </c>
    </row>
    <row r="785" customFormat="false" ht="15" hidden="false" customHeight="false" outlineLevel="0" collapsed="false">
      <c r="A785" s="40" t="n">
        <v>46054</v>
      </c>
      <c r="B785" s="41" t="n">
        <v>2026</v>
      </c>
      <c r="C785" s="41" t="n">
        <v>2</v>
      </c>
      <c r="D785" s="41" t="s">
        <v>47</v>
      </c>
      <c r="E785" s="41" t="s">
        <v>35</v>
      </c>
      <c r="F785" s="41" t="s">
        <v>36</v>
      </c>
      <c r="G785" s="41" t="s">
        <v>40</v>
      </c>
      <c r="H785" s="42" t="n">
        <v>67</v>
      </c>
      <c r="I785" s="42" t="n">
        <v>104</v>
      </c>
      <c r="J785" s="42" t="n">
        <v>8605</v>
      </c>
      <c r="K785" s="42" t="n">
        <v>1008</v>
      </c>
      <c r="L785" s="43" t="n">
        <f aca="false">J785-K785</f>
        <v>7597</v>
      </c>
      <c r="M785" s="42" t="n">
        <v>4176</v>
      </c>
      <c r="N785" s="43" t="n">
        <f aca="false">L785-M785</f>
        <v>3421</v>
      </c>
    </row>
    <row r="786" customFormat="false" ht="15" hidden="false" customHeight="false" outlineLevel="0" collapsed="false">
      <c r="A786" s="40" t="n">
        <v>46054</v>
      </c>
      <c r="B786" s="41" t="n">
        <v>2026</v>
      </c>
      <c r="C786" s="41" t="n">
        <v>2</v>
      </c>
      <c r="D786" s="41" t="s">
        <v>47</v>
      </c>
      <c r="E786" s="41" t="s">
        <v>35</v>
      </c>
      <c r="F786" s="41" t="s">
        <v>36</v>
      </c>
      <c r="G786" s="41" t="s">
        <v>41</v>
      </c>
      <c r="H786" s="42" t="n">
        <v>95</v>
      </c>
      <c r="I786" s="42" t="n">
        <v>145</v>
      </c>
      <c r="J786" s="42" t="n">
        <v>5799</v>
      </c>
      <c r="K786" s="42" t="n">
        <v>186</v>
      </c>
      <c r="L786" s="43" t="n">
        <f aca="false">J786-K786</f>
        <v>5613</v>
      </c>
      <c r="M786" s="42" t="n">
        <v>2733</v>
      </c>
      <c r="N786" s="43" t="n">
        <f aca="false">L786-M786</f>
        <v>2880</v>
      </c>
    </row>
    <row r="787" customFormat="false" ht="15" hidden="false" customHeight="false" outlineLevel="0" collapsed="false">
      <c r="A787" s="40" t="n">
        <v>46054</v>
      </c>
      <c r="B787" s="41" t="n">
        <v>2026</v>
      </c>
      <c r="C787" s="41" t="n">
        <v>2</v>
      </c>
      <c r="D787" s="41" t="s">
        <v>47</v>
      </c>
      <c r="E787" s="41" t="s">
        <v>35</v>
      </c>
      <c r="F787" s="41" t="s">
        <v>42</v>
      </c>
      <c r="G787" s="41" t="s">
        <v>37</v>
      </c>
      <c r="H787" s="42" t="n">
        <v>45</v>
      </c>
      <c r="I787" s="42" t="n">
        <v>53</v>
      </c>
      <c r="J787" s="42" t="n">
        <v>7820</v>
      </c>
      <c r="K787" s="42" t="n">
        <v>453</v>
      </c>
      <c r="L787" s="43" t="n">
        <f aca="false">J787-K787</f>
        <v>7367</v>
      </c>
      <c r="M787" s="42" t="n">
        <v>4056</v>
      </c>
      <c r="N787" s="43" t="n">
        <f aca="false">L787-M787</f>
        <v>3311</v>
      </c>
    </row>
    <row r="788" customFormat="false" ht="15" hidden="false" customHeight="false" outlineLevel="0" collapsed="false">
      <c r="A788" s="40" t="n">
        <v>46054</v>
      </c>
      <c r="B788" s="41" t="n">
        <v>2026</v>
      </c>
      <c r="C788" s="41" t="n">
        <v>2</v>
      </c>
      <c r="D788" s="41" t="s">
        <v>47</v>
      </c>
      <c r="E788" s="41" t="s">
        <v>35</v>
      </c>
      <c r="F788" s="41" t="s">
        <v>42</v>
      </c>
      <c r="G788" s="41" t="s">
        <v>38</v>
      </c>
      <c r="H788" s="42" t="n">
        <v>73</v>
      </c>
      <c r="I788" s="42" t="n">
        <v>109</v>
      </c>
      <c r="J788" s="42" t="n">
        <v>7566</v>
      </c>
      <c r="K788" s="42" t="n">
        <v>433</v>
      </c>
      <c r="L788" s="43" t="n">
        <f aca="false">J788-K788</f>
        <v>7133</v>
      </c>
      <c r="M788" s="42" t="n">
        <v>3311</v>
      </c>
      <c r="N788" s="43" t="n">
        <f aca="false">L788-M788</f>
        <v>3822</v>
      </c>
    </row>
    <row r="789" customFormat="false" ht="15" hidden="false" customHeight="false" outlineLevel="0" collapsed="false">
      <c r="A789" s="40" t="n">
        <v>46054</v>
      </c>
      <c r="B789" s="41" t="n">
        <v>2026</v>
      </c>
      <c r="C789" s="41" t="n">
        <v>2</v>
      </c>
      <c r="D789" s="41" t="s">
        <v>47</v>
      </c>
      <c r="E789" s="41" t="s">
        <v>35</v>
      </c>
      <c r="F789" s="41" t="s">
        <v>42</v>
      </c>
      <c r="G789" s="41" t="s">
        <v>39</v>
      </c>
      <c r="H789" s="42" t="n">
        <v>96</v>
      </c>
      <c r="I789" s="42" t="n">
        <v>146</v>
      </c>
      <c r="J789" s="42" t="n">
        <v>7384</v>
      </c>
      <c r="K789" s="42" t="n">
        <v>838</v>
      </c>
      <c r="L789" s="43" t="n">
        <f aca="false">J789-K789</f>
        <v>6546</v>
      </c>
      <c r="M789" s="42" t="n">
        <v>2646</v>
      </c>
      <c r="N789" s="43" t="n">
        <f aca="false">L789-M789</f>
        <v>3900</v>
      </c>
    </row>
    <row r="790" customFormat="false" ht="15" hidden="false" customHeight="false" outlineLevel="0" collapsed="false">
      <c r="A790" s="40" t="n">
        <v>46054</v>
      </c>
      <c r="B790" s="41" t="n">
        <v>2026</v>
      </c>
      <c r="C790" s="41" t="n">
        <v>2</v>
      </c>
      <c r="D790" s="41" t="s">
        <v>47</v>
      </c>
      <c r="E790" s="41" t="s">
        <v>35</v>
      </c>
      <c r="F790" s="41" t="s">
        <v>42</v>
      </c>
      <c r="G790" s="41" t="s">
        <v>40</v>
      </c>
      <c r="H790" s="42" t="n">
        <v>55</v>
      </c>
      <c r="I790" s="42" t="n">
        <v>77</v>
      </c>
      <c r="J790" s="42" t="n">
        <v>6458</v>
      </c>
      <c r="K790" s="42" t="n">
        <v>860</v>
      </c>
      <c r="L790" s="43" t="n">
        <f aca="false">J790-K790</f>
        <v>5598</v>
      </c>
      <c r="M790" s="42" t="n">
        <v>3214</v>
      </c>
      <c r="N790" s="43" t="n">
        <f aca="false">L790-M790</f>
        <v>2384</v>
      </c>
    </row>
    <row r="791" customFormat="false" ht="15" hidden="false" customHeight="false" outlineLevel="0" collapsed="false">
      <c r="A791" s="40" t="n">
        <v>46054</v>
      </c>
      <c r="B791" s="41" t="n">
        <v>2026</v>
      </c>
      <c r="C791" s="41" t="n">
        <v>2</v>
      </c>
      <c r="D791" s="41" t="s">
        <v>47</v>
      </c>
      <c r="E791" s="41" t="s">
        <v>35</v>
      </c>
      <c r="F791" s="41" t="s">
        <v>42</v>
      </c>
      <c r="G791" s="41" t="s">
        <v>41</v>
      </c>
      <c r="H791" s="42" t="n">
        <v>76</v>
      </c>
      <c r="I791" s="42" t="n">
        <v>104</v>
      </c>
      <c r="J791" s="42" t="n">
        <v>4258</v>
      </c>
      <c r="K791" s="42" t="n">
        <v>142</v>
      </c>
      <c r="L791" s="43" t="n">
        <f aca="false">J791-K791</f>
        <v>4116</v>
      </c>
      <c r="M791" s="42" t="n">
        <v>2085</v>
      </c>
      <c r="N791" s="43" t="n">
        <f aca="false">L791-M791</f>
        <v>2031</v>
      </c>
    </row>
    <row r="792" customFormat="false" ht="15" hidden="false" customHeight="false" outlineLevel="0" collapsed="false">
      <c r="A792" s="40" t="n">
        <v>46054</v>
      </c>
      <c r="B792" s="41" t="n">
        <v>2026</v>
      </c>
      <c r="C792" s="41" t="n">
        <v>2</v>
      </c>
      <c r="D792" s="41" t="s">
        <v>47</v>
      </c>
      <c r="E792" s="41" t="s">
        <v>35</v>
      </c>
      <c r="F792" s="41" t="s">
        <v>43</v>
      </c>
      <c r="G792" s="41" t="s">
        <v>37</v>
      </c>
      <c r="H792" s="42" t="n">
        <v>27</v>
      </c>
      <c r="I792" s="42" t="n">
        <v>38</v>
      </c>
      <c r="J792" s="42" t="n">
        <v>5401</v>
      </c>
      <c r="K792" s="42" t="n">
        <v>181</v>
      </c>
      <c r="L792" s="43" t="n">
        <f aca="false">J792-K792</f>
        <v>5220</v>
      </c>
      <c r="M792" s="42" t="n">
        <v>2819</v>
      </c>
      <c r="N792" s="43" t="n">
        <f aca="false">L792-M792</f>
        <v>2401</v>
      </c>
    </row>
    <row r="793" customFormat="false" ht="15" hidden="false" customHeight="false" outlineLevel="0" collapsed="false">
      <c r="A793" s="40" t="n">
        <v>46054</v>
      </c>
      <c r="B793" s="41" t="n">
        <v>2026</v>
      </c>
      <c r="C793" s="41" t="n">
        <v>2</v>
      </c>
      <c r="D793" s="41" t="s">
        <v>47</v>
      </c>
      <c r="E793" s="41" t="s">
        <v>35</v>
      </c>
      <c r="F793" s="41" t="s">
        <v>43</v>
      </c>
      <c r="G793" s="41" t="s">
        <v>38</v>
      </c>
      <c r="H793" s="42" t="n">
        <v>45</v>
      </c>
      <c r="I793" s="42" t="n">
        <v>55</v>
      </c>
      <c r="J793" s="42" t="n">
        <v>5341</v>
      </c>
      <c r="K793" s="42" t="n">
        <v>175</v>
      </c>
      <c r="L793" s="43" t="n">
        <f aca="false">J793-K793</f>
        <v>5166</v>
      </c>
      <c r="M793" s="42" t="n">
        <v>2327</v>
      </c>
      <c r="N793" s="43" t="n">
        <f aca="false">L793-M793</f>
        <v>2839</v>
      </c>
    </row>
    <row r="794" customFormat="false" ht="15" hidden="false" customHeight="false" outlineLevel="0" collapsed="false">
      <c r="A794" s="40" t="n">
        <v>46054</v>
      </c>
      <c r="B794" s="41" t="n">
        <v>2026</v>
      </c>
      <c r="C794" s="41" t="n">
        <v>2</v>
      </c>
      <c r="D794" s="41" t="s">
        <v>47</v>
      </c>
      <c r="E794" s="41" t="s">
        <v>35</v>
      </c>
      <c r="F794" s="41" t="s">
        <v>43</v>
      </c>
      <c r="G794" s="41" t="s">
        <v>39</v>
      </c>
      <c r="H794" s="42" t="n">
        <v>56</v>
      </c>
      <c r="I794" s="42" t="n">
        <v>89</v>
      </c>
      <c r="J794" s="42" t="n">
        <v>4962</v>
      </c>
      <c r="K794" s="42" t="n">
        <v>316</v>
      </c>
      <c r="L794" s="43" t="n">
        <f aca="false">J794-K794</f>
        <v>4646</v>
      </c>
      <c r="M794" s="42" t="n">
        <v>1786</v>
      </c>
      <c r="N794" s="43" t="n">
        <f aca="false">L794-M794</f>
        <v>2860</v>
      </c>
    </row>
    <row r="795" customFormat="false" ht="15" hidden="false" customHeight="false" outlineLevel="0" collapsed="false">
      <c r="A795" s="40" t="n">
        <v>46054</v>
      </c>
      <c r="B795" s="41" t="n">
        <v>2026</v>
      </c>
      <c r="C795" s="41" t="n">
        <v>2</v>
      </c>
      <c r="D795" s="41" t="s">
        <v>47</v>
      </c>
      <c r="E795" s="41" t="s">
        <v>35</v>
      </c>
      <c r="F795" s="41" t="s">
        <v>43</v>
      </c>
      <c r="G795" s="41" t="s">
        <v>40</v>
      </c>
      <c r="H795" s="42" t="n">
        <v>29</v>
      </c>
      <c r="I795" s="42" t="n">
        <v>37</v>
      </c>
      <c r="J795" s="42" t="n">
        <v>3929</v>
      </c>
      <c r="K795" s="42" t="n">
        <v>377</v>
      </c>
      <c r="L795" s="43" t="n">
        <f aca="false">J795-K795</f>
        <v>3552</v>
      </c>
      <c r="M795" s="42" t="n">
        <v>1960</v>
      </c>
      <c r="N795" s="43" t="n">
        <f aca="false">L795-M795</f>
        <v>1592</v>
      </c>
    </row>
    <row r="796" customFormat="false" ht="15" hidden="false" customHeight="false" outlineLevel="0" collapsed="false">
      <c r="A796" s="40" t="n">
        <v>46054</v>
      </c>
      <c r="B796" s="41" t="n">
        <v>2026</v>
      </c>
      <c r="C796" s="41" t="n">
        <v>2</v>
      </c>
      <c r="D796" s="41" t="s">
        <v>47</v>
      </c>
      <c r="E796" s="41" t="s">
        <v>35</v>
      </c>
      <c r="F796" s="41" t="s">
        <v>43</v>
      </c>
      <c r="G796" s="41" t="s">
        <v>41</v>
      </c>
      <c r="H796" s="42" t="n">
        <v>43</v>
      </c>
      <c r="I796" s="42" t="n">
        <v>58</v>
      </c>
      <c r="J796" s="42" t="n">
        <v>2773</v>
      </c>
      <c r="K796" s="42" t="n">
        <v>48</v>
      </c>
      <c r="L796" s="43" t="n">
        <f aca="false">J796-K796</f>
        <v>2725</v>
      </c>
      <c r="M796" s="42" t="n">
        <v>1293</v>
      </c>
      <c r="N796" s="43" t="n">
        <f aca="false">L796-M796</f>
        <v>1432</v>
      </c>
    </row>
    <row r="797" customFormat="false" ht="15" hidden="false" customHeight="false" outlineLevel="0" collapsed="false">
      <c r="A797" s="40" t="n">
        <v>46054</v>
      </c>
      <c r="B797" s="41" t="n">
        <v>2026</v>
      </c>
      <c r="C797" s="41" t="n">
        <v>2</v>
      </c>
      <c r="D797" s="41" t="s">
        <v>47</v>
      </c>
      <c r="E797" s="41" t="s">
        <v>44</v>
      </c>
      <c r="F797" s="41" t="s">
        <v>36</v>
      </c>
      <c r="G797" s="41" t="s">
        <v>37</v>
      </c>
      <c r="H797" s="42" t="n">
        <v>54</v>
      </c>
      <c r="I797" s="42" t="n">
        <v>82</v>
      </c>
      <c r="J797" s="42" t="n">
        <v>10122</v>
      </c>
      <c r="K797" s="42" t="n">
        <v>463</v>
      </c>
      <c r="L797" s="43" t="n">
        <f aca="false">J797-K797</f>
        <v>9659</v>
      </c>
      <c r="M797" s="42" t="n">
        <v>5045</v>
      </c>
      <c r="N797" s="43" t="n">
        <f aca="false">L797-M797</f>
        <v>4614</v>
      </c>
    </row>
    <row r="798" customFormat="false" ht="15" hidden="false" customHeight="false" outlineLevel="0" collapsed="false">
      <c r="A798" s="40" t="n">
        <v>46054</v>
      </c>
      <c r="B798" s="41" t="n">
        <v>2026</v>
      </c>
      <c r="C798" s="41" t="n">
        <v>2</v>
      </c>
      <c r="D798" s="41" t="s">
        <v>47</v>
      </c>
      <c r="E798" s="41" t="s">
        <v>44</v>
      </c>
      <c r="F798" s="41" t="s">
        <v>36</v>
      </c>
      <c r="G798" s="41" t="s">
        <v>38</v>
      </c>
      <c r="H798" s="42" t="n">
        <v>66</v>
      </c>
      <c r="I798" s="42" t="n">
        <v>77</v>
      </c>
      <c r="J798" s="42" t="n">
        <v>7362</v>
      </c>
      <c r="K798" s="42" t="n">
        <v>374</v>
      </c>
      <c r="L798" s="43" t="n">
        <f aca="false">J798-K798</f>
        <v>6988</v>
      </c>
      <c r="M798" s="42" t="n">
        <v>3121</v>
      </c>
      <c r="N798" s="43" t="n">
        <f aca="false">L798-M798</f>
        <v>3867</v>
      </c>
    </row>
    <row r="799" customFormat="false" ht="15" hidden="false" customHeight="false" outlineLevel="0" collapsed="false">
      <c r="A799" s="40" t="n">
        <v>46054</v>
      </c>
      <c r="B799" s="41" t="n">
        <v>2026</v>
      </c>
      <c r="C799" s="41" t="n">
        <v>2</v>
      </c>
      <c r="D799" s="41" t="s">
        <v>47</v>
      </c>
      <c r="E799" s="41" t="s">
        <v>44</v>
      </c>
      <c r="F799" s="41" t="s">
        <v>36</v>
      </c>
      <c r="G799" s="41" t="s">
        <v>39</v>
      </c>
      <c r="H799" s="42" t="n">
        <v>113</v>
      </c>
      <c r="I799" s="42" t="n">
        <v>155</v>
      </c>
      <c r="J799" s="42" t="n">
        <v>9466</v>
      </c>
      <c r="K799" s="42" t="n">
        <v>978</v>
      </c>
      <c r="L799" s="43" t="n">
        <f aca="false">J799-K799</f>
        <v>8488</v>
      </c>
      <c r="M799" s="42" t="n">
        <v>3283</v>
      </c>
      <c r="N799" s="43" t="n">
        <f aca="false">L799-M799</f>
        <v>5205</v>
      </c>
    </row>
    <row r="800" customFormat="false" ht="15" hidden="false" customHeight="false" outlineLevel="0" collapsed="false">
      <c r="A800" s="40" t="n">
        <v>46054</v>
      </c>
      <c r="B800" s="41" t="n">
        <v>2026</v>
      </c>
      <c r="C800" s="41" t="n">
        <v>2</v>
      </c>
      <c r="D800" s="41" t="s">
        <v>47</v>
      </c>
      <c r="E800" s="41" t="s">
        <v>44</v>
      </c>
      <c r="F800" s="41" t="s">
        <v>36</v>
      </c>
      <c r="G800" s="41" t="s">
        <v>40</v>
      </c>
      <c r="H800" s="42" t="n">
        <v>58</v>
      </c>
      <c r="I800" s="42" t="n">
        <v>72</v>
      </c>
      <c r="J800" s="42" t="n">
        <v>7465</v>
      </c>
      <c r="K800" s="42" t="n">
        <v>1046</v>
      </c>
      <c r="L800" s="43" t="n">
        <f aca="false">J800-K800</f>
        <v>6419</v>
      </c>
      <c r="M800" s="42" t="n">
        <v>3543</v>
      </c>
      <c r="N800" s="43" t="n">
        <f aca="false">L800-M800</f>
        <v>2876</v>
      </c>
    </row>
    <row r="801" customFormat="false" ht="15" hidden="false" customHeight="false" outlineLevel="0" collapsed="false">
      <c r="A801" s="40" t="n">
        <v>46054</v>
      </c>
      <c r="B801" s="41" t="n">
        <v>2026</v>
      </c>
      <c r="C801" s="41" t="n">
        <v>2</v>
      </c>
      <c r="D801" s="41" t="s">
        <v>47</v>
      </c>
      <c r="E801" s="41" t="s">
        <v>44</v>
      </c>
      <c r="F801" s="41" t="s">
        <v>36</v>
      </c>
      <c r="G801" s="41" t="s">
        <v>41</v>
      </c>
      <c r="H801" s="42" t="n">
        <v>66</v>
      </c>
      <c r="I801" s="42" t="n">
        <v>85</v>
      </c>
      <c r="J801" s="42" t="n">
        <v>4013</v>
      </c>
      <c r="K801" s="42" t="n">
        <v>122</v>
      </c>
      <c r="L801" s="43" t="n">
        <f aca="false">J801-K801</f>
        <v>3891</v>
      </c>
      <c r="M801" s="42" t="n">
        <v>1857</v>
      </c>
      <c r="N801" s="43" t="n">
        <f aca="false">L801-M801</f>
        <v>2034</v>
      </c>
    </row>
    <row r="802" customFormat="false" ht="15" hidden="false" customHeight="false" outlineLevel="0" collapsed="false">
      <c r="A802" s="40" t="n">
        <v>46054</v>
      </c>
      <c r="B802" s="41" t="n">
        <v>2026</v>
      </c>
      <c r="C802" s="41" t="n">
        <v>2</v>
      </c>
      <c r="D802" s="41" t="s">
        <v>47</v>
      </c>
      <c r="E802" s="41" t="s">
        <v>44</v>
      </c>
      <c r="F802" s="41" t="s">
        <v>42</v>
      </c>
      <c r="G802" s="41" t="s">
        <v>37</v>
      </c>
      <c r="H802" s="42" t="n">
        <v>37</v>
      </c>
      <c r="I802" s="42" t="n">
        <v>48</v>
      </c>
      <c r="J802" s="42" t="n">
        <v>6502</v>
      </c>
      <c r="K802" s="42" t="n">
        <v>319</v>
      </c>
      <c r="L802" s="43" t="n">
        <f aca="false">J802-K802</f>
        <v>6183</v>
      </c>
      <c r="M802" s="42" t="n">
        <v>3453</v>
      </c>
      <c r="N802" s="43" t="n">
        <f aca="false">L802-M802</f>
        <v>2730</v>
      </c>
    </row>
    <row r="803" customFormat="false" ht="15" hidden="false" customHeight="false" outlineLevel="0" collapsed="false">
      <c r="A803" s="40" t="n">
        <v>46054</v>
      </c>
      <c r="B803" s="41" t="n">
        <v>2026</v>
      </c>
      <c r="C803" s="41" t="n">
        <v>2</v>
      </c>
      <c r="D803" s="41" t="s">
        <v>47</v>
      </c>
      <c r="E803" s="41" t="s">
        <v>44</v>
      </c>
      <c r="F803" s="41" t="s">
        <v>42</v>
      </c>
      <c r="G803" s="41" t="s">
        <v>38</v>
      </c>
      <c r="H803" s="42" t="n">
        <v>51</v>
      </c>
      <c r="I803" s="42" t="n">
        <v>75</v>
      </c>
      <c r="J803" s="42" t="n">
        <v>5261</v>
      </c>
      <c r="K803" s="42" t="n">
        <v>398</v>
      </c>
      <c r="L803" s="43" t="n">
        <f aca="false">J803-K803</f>
        <v>4863</v>
      </c>
      <c r="M803" s="42" t="n">
        <v>2308</v>
      </c>
      <c r="N803" s="43" t="n">
        <f aca="false">L803-M803</f>
        <v>2555</v>
      </c>
    </row>
    <row r="804" customFormat="false" ht="15" hidden="false" customHeight="false" outlineLevel="0" collapsed="false">
      <c r="A804" s="40" t="n">
        <v>46054</v>
      </c>
      <c r="B804" s="41" t="n">
        <v>2026</v>
      </c>
      <c r="C804" s="41" t="n">
        <v>2</v>
      </c>
      <c r="D804" s="41" t="s">
        <v>47</v>
      </c>
      <c r="E804" s="41" t="s">
        <v>44</v>
      </c>
      <c r="F804" s="41" t="s">
        <v>42</v>
      </c>
      <c r="G804" s="41" t="s">
        <v>39</v>
      </c>
      <c r="H804" s="42" t="n">
        <v>85</v>
      </c>
      <c r="I804" s="42" t="n">
        <v>134</v>
      </c>
      <c r="J804" s="42" t="n">
        <v>6567</v>
      </c>
      <c r="K804" s="42" t="n">
        <v>867</v>
      </c>
      <c r="L804" s="43" t="n">
        <f aca="false">J804-K804</f>
        <v>5700</v>
      </c>
      <c r="M804" s="42" t="n">
        <v>2416</v>
      </c>
      <c r="N804" s="43" t="n">
        <f aca="false">L804-M804</f>
        <v>3284</v>
      </c>
    </row>
    <row r="805" customFormat="false" ht="15" hidden="false" customHeight="false" outlineLevel="0" collapsed="false">
      <c r="A805" s="40" t="n">
        <v>46054</v>
      </c>
      <c r="B805" s="41" t="n">
        <v>2026</v>
      </c>
      <c r="C805" s="41" t="n">
        <v>2</v>
      </c>
      <c r="D805" s="41" t="s">
        <v>47</v>
      </c>
      <c r="E805" s="41" t="s">
        <v>44</v>
      </c>
      <c r="F805" s="41" t="s">
        <v>42</v>
      </c>
      <c r="G805" s="41" t="s">
        <v>40</v>
      </c>
      <c r="H805" s="42" t="n">
        <v>36</v>
      </c>
      <c r="I805" s="42" t="n">
        <v>48</v>
      </c>
      <c r="J805" s="42" t="n">
        <v>4196</v>
      </c>
      <c r="K805" s="42" t="n">
        <v>718</v>
      </c>
      <c r="L805" s="43" t="n">
        <f aca="false">J805-K805</f>
        <v>3478</v>
      </c>
      <c r="M805" s="42" t="n">
        <v>1922</v>
      </c>
      <c r="N805" s="43" t="n">
        <f aca="false">L805-M805</f>
        <v>1556</v>
      </c>
    </row>
    <row r="806" customFormat="false" ht="15" hidden="false" customHeight="false" outlineLevel="0" collapsed="false">
      <c r="A806" s="40" t="n">
        <v>46054</v>
      </c>
      <c r="B806" s="41" t="n">
        <v>2026</v>
      </c>
      <c r="C806" s="41" t="n">
        <v>2</v>
      </c>
      <c r="D806" s="41" t="s">
        <v>47</v>
      </c>
      <c r="E806" s="41" t="s">
        <v>44</v>
      </c>
      <c r="F806" s="41" t="s">
        <v>42</v>
      </c>
      <c r="G806" s="41" t="s">
        <v>41</v>
      </c>
      <c r="H806" s="42" t="n">
        <v>63</v>
      </c>
      <c r="I806" s="42" t="n">
        <v>74</v>
      </c>
      <c r="J806" s="42" t="n">
        <v>3517</v>
      </c>
      <c r="K806" s="42" t="n">
        <v>148</v>
      </c>
      <c r="L806" s="43" t="n">
        <f aca="false">J806-K806</f>
        <v>3369</v>
      </c>
      <c r="M806" s="42" t="n">
        <v>1655</v>
      </c>
      <c r="N806" s="43" t="n">
        <f aca="false">L806-M806</f>
        <v>1714</v>
      </c>
    </row>
    <row r="807" customFormat="false" ht="15" hidden="false" customHeight="false" outlineLevel="0" collapsed="false">
      <c r="A807" s="40" t="n">
        <v>46054</v>
      </c>
      <c r="B807" s="41" t="n">
        <v>2026</v>
      </c>
      <c r="C807" s="41" t="n">
        <v>2</v>
      </c>
      <c r="D807" s="41" t="s">
        <v>47</v>
      </c>
      <c r="E807" s="41" t="s">
        <v>44</v>
      </c>
      <c r="F807" s="41" t="s">
        <v>43</v>
      </c>
      <c r="G807" s="41" t="s">
        <v>37</v>
      </c>
      <c r="H807" s="42" t="n">
        <v>25</v>
      </c>
      <c r="I807" s="42" t="n">
        <v>35</v>
      </c>
      <c r="J807" s="42" t="n">
        <v>4909</v>
      </c>
      <c r="K807" s="42" t="n">
        <v>154</v>
      </c>
      <c r="L807" s="43" t="n">
        <f aca="false">J807-K807</f>
        <v>4755</v>
      </c>
      <c r="M807" s="42" t="n">
        <v>2520</v>
      </c>
      <c r="N807" s="43" t="n">
        <f aca="false">L807-M807</f>
        <v>2235</v>
      </c>
    </row>
    <row r="808" customFormat="false" ht="15" hidden="false" customHeight="false" outlineLevel="0" collapsed="false">
      <c r="A808" s="40" t="n">
        <v>46054</v>
      </c>
      <c r="B808" s="41" t="n">
        <v>2026</v>
      </c>
      <c r="C808" s="41" t="n">
        <v>2</v>
      </c>
      <c r="D808" s="41" t="s">
        <v>47</v>
      </c>
      <c r="E808" s="41" t="s">
        <v>44</v>
      </c>
      <c r="F808" s="41" t="s">
        <v>43</v>
      </c>
      <c r="G808" s="41" t="s">
        <v>38</v>
      </c>
      <c r="H808" s="42" t="n">
        <v>34</v>
      </c>
      <c r="I808" s="42" t="n">
        <v>49</v>
      </c>
      <c r="J808" s="42" t="n">
        <v>4028</v>
      </c>
      <c r="K808" s="42" t="n">
        <v>129</v>
      </c>
      <c r="L808" s="43" t="n">
        <f aca="false">J808-K808</f>
        <v>3899</v>
      </c>
      <c r="M808" s="42" t="n">
        <v>1724</v>
      </c>
      <c r="N808" s="43" t="n">
        <f aca="false">L808-M808</f>
        <v>2175</v>
      </c>
    </row>
    <row r="809" customFormat="false" ht="15" hidden="false" customHeight="false" outlineLevel="0" collapsed="false">
      <c r="A809" s="40" t="n">
        <v>46054</v>
      </c>
      <c r="B809" s="41" t="n">
        <v>2026</v>
      </c>
      <c r="C809" s="41" t="n">
        <v>2</v>
      </c>
      <c r="D809" s="41" t="s">
        <v>47</v>
      </c>
      <c r="E809" s="41" t="s">
        <v>44</v>
      </c>
      <c r="F809" s="41" t="s">
        <v>43</v>
      </c>
      <c r="G809" s="41" t="s">
        <v>39</v>
      </c>
      <c r="H809" s="42" t="n">
        <v>56</v>
      </c>
      <c r="I809" s="42" t="n">
        <v>68</v>
      </c>
      <c r="J809" s="42" t="n">
        <v>5006</v>
      </c>
      <c r="K809" s="42" t="n">
        <v>409</v>
      </c>
      <c r="L809" s="43" t="n">
        <f aca="false">J809-K809</f>
        <v>4597</v>
      </c>
      <c r="M809" s="42" t="n">
        <v>1761</v>
      </c>
      <c r="N809" s="43" t="n">
        <f aca="false">L809-M809</f>
        <v>2836</v>
      </c>
    </row>
    <row r="810" customFormat="false" ht="15" hidden="false" customHeight="false" outlineLevel="0" collapsed="false">
      <c r="A810" s="40" t="n">
        <v>46054</v>
      </c>
      <c r="B810" s="41" t="n">
        <v>2026</v>
      </c>
      <c r="C810" s="41" t="n">
        <v>2</v>
      </c>
      <c r="D810" s="41" t="s">
        <v>47</v>
      </c>
      <c r="E810" s="41" t="s">
        <v>44</v>
      </c>
      <c r="F810" s="41" t="s">
        <v>43</v>
      </c>
      <c r="G810" s="41" t="s">
        <v>40</v>
      </c>
      <c r="H810" s="42" t="n">
        <v>22</v>
      </c>
      <c r="I810" s="42" t="n">
        <v>26</v>
      </c>
      <c r="J810" s="42" t="n">
        <v>2925</v>
      </c>
      <c r="K810" s="42" t="n">
        <v>274</v>
      </c>
      <c r="L810" s="43" t="n">
        <f aca="false">J810-K810</f>
        <v>2651</v>
      </c>
      <c r="M810" s="42" t="n">
        <v>1497</v>
      </c>
      <c r="N810" s="43" t="n">
        <f aca="false">L810-M810</f>
        <v>1154</v>
      </c>
    </row>
    <row r="811" customFormat="false" ht="15" hidden="false" customHeight="false" outlineLevel="0" collapsed="false">
      <c r="A811" s="40" t="n">
        <v>46054</v>
      </c>
      <c r="B811" s="41" t="n">
        <v>2026</v>
      </c>
      <c r="C811" s="41" t="n">
        <v>2</v>
      </c>
      <c r="D811" s="41" t="s">
        <v>47</v>
      </c>
      <c r="E811" s="41" t="s">
        <v>44</v>
      </c>
      <c r="F811" s="41" t="s">
        <v>43</v>
      </c>
      <c r="G811" s="41" t="s">
        <v>41</v>
      </c>
      <c r="H811" s="42" t="n">
        <v>33</v>
      </c>
      <c r="I811" s="42" t="n">
        <v>48</v>
      </c>
      <c r="J811" s="42" t="n">
        <v>2143</v>
      </c>
      <c r="K811" s="42" t="n">
        <v>41</v>
      </c>
      <c r="L811" s="43" t="n">
        <f aca="false">J811-K811</f>
        <v>2102</v>
      </c>
      <c r="M811" s="42" t="n">
        <v>1034</v>
      </c>
      <c r="N811" s="43" t="n">
        <f aca="false">L811-M811</f>
        <v>1068</v>
      </c>
    </row>
    <row r="812" customFormat="false" ht="15" hidden="false" customHeight="false" outlineLevel="0" collapsed="false">
      <c r="A812" s="40" t="n">
        <v>46054</v>
      </c>
      <c r="B812" s="41" t="n">
        <v>2026</v>
      </c>
      <c r="C812" s="41" t="n">
        <v>2</v>
      </c>
      <c r="D812" s="41" t="s">
        <v>47</v>
      </c>
      <c r="E812" s="41" t="s">
        <v>45</v>
      </c>
      <c r="F812" s="41" t="s">
        <v>36</v>
      </c>
      <c r="G812" s="41" t="s">
        <v>37</v>
      </c>
      <c r="H812" s="42" t="n">
        <v>38</v>
      </c>
      <c r="I812" s="42" t="n">
        <v>46</v>
      </c>
      <c r="J812" s="42" t="n">
        <v>7153</v>
      </c>
      <c r="K812" s="42" t="n">
        <v>235</v>
      </c>
      <c r="L812" s="43" t="n">
        <f aca="false">J812-K812</f>
        <v>6918</v>
      </c>
      <c r="M812" s="42" t="n">
        <v>3710</v>
      </c>
      <c r="N812" s="43" t="n">
        <f aca="false">L812-M812</f>
        <v>3208</v>
      </c>
    </row>
    <row r="813" customFormat="false" ht="15" hidden="false" customHeight="false" outlineLevel="0" collapsed="false">
      <c r="A813" s="40" t="n">
        <v>46054</v>
      </c>
      <c r="B813" s="41" t="n">
        <v>2026</v>
      </c>
      <c r="C813" s="41" t="n">
        <v>2</v>
      </c>
      <c r="D813" s="41" t="s">
        <v>47</v>
      </c>
      <c r="E813" s="41" t="s">
        <v>45</v>
      </c>
      <c r="F813" s="41" t="s">
        <v>36</v>
      </c>
      <c r="G813" s="41" t="s">
        <v>38</v>
      </c>
      <c r="H813" s="42" t="n">
        <v>46</v>
      </c>
      <c r="I813" s="42" t="n">
        <v>70</v>
      </c>
      <c r="J813" s="42" t="n">
        <v>5186</v>
      </c>
      <c r="K813" s="42" t="n">
        <v>238</v>
      </c>
      <c r="L813" s="43" t="n">
        <f aca="false">J813-K813</f>
        <v>4948</v>
      </c>
      <c r="M813" s="42" t="n">
        <v>2191</v>
      </c>
      <c r="N813" s="43" t="n">
        <f aca="false">L813-M813</f>
        <v>2757</v>
      </c>
    </row>
    <row r="814" customFormat="false" ht="15" hidden="false" customHeight="false" outlineLevel="0" collapsed="false">
      <c r="A814" s="40" t="n">
        <v>46054</v>
      </c>
      <c r="B814" s="41" t="n">
        <v>2026</v>
      </c>
      <c r="C814" s="41" t="n">
        <v>2</v>
      </c>
      <c r="D814" s="41" t="s">
        <v>47</v>
      </c>
      <c r="E814" s="41" t="s">
        <v>45</v>
      </c>
      <c r="F814" s="41" t="s">
        <v>36</v>
      </c>
      <c r="G814" s="41" t="s">
        <v>39</v>
      </c>
      <c r="H814" s="42" t="n">
        <v>86</v>
      </c>
      <c r="I814" s="42" t="n">
        <v>111</v>
      </c>
      <c r="J814" s="42" t="n">
        <v>7245</v>
      </c>
      <c r="K814" s="42" t="n">
        <v>742</v>
      </c>
      <c r="L814" s="43" t="n">
        <f aca="false">J814-K814</f>
        <v>6503</v>
      </c>
      <c r="M814" s="42" t="n">
        <v>2484</v>
      </c>
      <c r="N814" s="43" t="n">
        <f aca="false">L814-M814</f>
        <v>4019</v>
      </c>
    </row>
    <row r="815" customFormat="false" ht="15" hidden="false" customHeight="false" outlineLevel="0" collapsed="false">
      <c r="A815" s="40" t="n">
        <v>46054</v>
      </c>
      <c r="B815" s="41" t="n">
        <v>2026</v>
      </c>
      <c r="C815" s="41" t="n">
        <v>2</v>
      </c>
      <c r="D815" s="41" t="s">
        <v>47</v>
      </c>
      <c r="E815" s="41" t="s">
        <v>45</v>
      </c>
      <c r="F815" s="41" t="s">
        <v>36</v>
      </c>
      <c r="G815" s="41" t="s">
        <v>40</v>
      </c>
      <c r="H815" s="42" t="n">
        <v>44</v>
      </c>
      <c r="I815" s="42" t="n">
        <v>57</v>
      </c>
      <c r="J815" s="42" t="n">
        <v>5688</v>
      </c>
      <c r="K815" s="42" t="n">
        <v>776</v>
      </c>
      <c r="L815" s="43" t="n">
        <f aca="false">J815-K815</f>
        <v>4912</v>
      </c>
      <c r="M815" s="42" t="n">
        <v>2645</v>
      </c>
      <c r="N815" s="43" t="n">
        <f aca="false">L815-M815</f>
        <v>2267</v>
      </c>
    </row>
    <row r="816" customFormat="false" ht="15" hidden="false" customHeight="false" outlineLevel="0" collapsed="false">
      <c r="A816" s="40" t="n">
        <v>46054</v>
      </c>
      <c r="B816" s="41" t="n">
        <v>2026</v>
      </c>
      <c r="C816" s="41" t="n">
        <v>2</v>
      </c>
      <c r="D816" s="41" t="s">
        <v>47</v>
      </c>
      <c r="E816" s="41" t="s">
        <v>45</v>
      </c>
      <c r="F816" s="41" t="s">
        <v>36</v>
      </c>
      <c r="G816" s="41" t="s">
        <v>41</v>
      </c>
      <c r="H816" s="42" t="n">
        <v>60</v>
      </c>
      <c r="I816" s="42" t="n">
        <v>95</v>
      </c>
      <c r="J816" s="42" t="n">
        <v>3685</v>
      </c>
      <c r="K816" s="42" t="n">
        <v>106</v>
      </c>
      <c r="L816" s="43" t="n">
        <f aca="false">J816-K816</f>
        <v>3579</v>
      </c>
      <c r="M816" s="42" t="n">
        <v>1670</v>
      </c>
      <c r="N816" s="43" t="n">
        <f aca="false">L816-M816</f>
        <v>1909</v>
      </c>
    </row>
    <row r="817" customFormat="false" ht="15" hidden="false" customHeight="false" outlineLevel="0" collapsed="false">
      <c r="A817" s="40" t="n">
        <v>46054</v>
      </c>
      <c r="B817" s="41" t="n">
        <v>2026</v>
      </c>
      <c r="C817" s="41" t="n">
        <v>2</v>
      </c>
      <c r="D817" s="41" t="s">
        <v>47</v>
      </c>
      <c r="E817" s="41" t="s">
        <v>45</v>
      </c>
      <c r="F817" s="41" t="s">
        <v>42</v>
      </c>
      <c r="G817" s="41" t="s">
        <v>37</v>
      </c>
      <c r="H817" s="42" t="n">
        <v>26</v>
      </c>
      <c r="I817" s="42" t="n">
        <v>37</v>
      </c>
      <c r="J817" s="42" t="n">
        <v>4571</v>
      </c>
      <c r="K817" s="42" t="n">
        <v>220</v>
      </c>
      <c r="L817" s="43" t="n">
        <f aca="false">J817-K817</f>
        <v>4351</v>
      </c>
      <c r="M817" s="42" t="n">
        <v>2395</v>
      </c>
      <c r="N817" s="43" t="n">
        <f aca="false">L817-M817</f>
        <v>1956</v>
      </c>
    </row>
    <row r="818" customFormat="false" ht="15" hidden="false" customHeight="false" outlineLevel="0" collapsed="false">
      <c r="A818" s="40" t="n">
        <v>46054</v>
      </c>
      <c r="B818" s="41" t="n">
        <v>2026</v>
      </c>
      <c r="C818" s="41" t="n">
        <v>2</v>
      </c>
      <c r="D818" s="41" t="s">
        <v>47</v>
      </c>
      <c r="E818" s="41" t="s">
        <v>45</v>
      </c>
      <c r="F818" s="41" t="s">
        <v>42</v>
      </c>
      <c r="G818" s="41" t="s">
        <v>38</v>
      </c>
      <c r="H818" s="42" t="n">
        <v>36</v>
      </c>
      <c r="I818" s="42" t="n">
        <v>49</v>
      </c>
      <c r="J818" s="42" t="n">
        <v>3668</v>
      </c>
      <c r="K818" s="42" t="n">
        <v>270</v>
      </c>
      <c r="L818" s="43" t="n">
        <f aca="false">J818-K818</f>
        <v>3398</v>
      </c>
      <c r="M818" s="42" t="n">
        <v>1597</v>
      </c>
      <c r="N818" s="43" t="n">
        <f aca="false">L818-M818</f>
        <v>1801</v>
      </c>
    </row>
    <row r="819" customFormat="false" ht="15" hidden="false" customHeight="false" outlineLevel="0" collapsed="false">
      <c r="A819" s="40" t="n">
        <v>46054</v>
      </c>
      <c r="B819" s="41" t="n">
        <v>2026</v>
      </c>
      <c r="C819" s="41" t="n">
        <v>2</v>
      </c>
      <c r="D819" s="41" t="s">
        <v>47</v>
      </c>
      <c r="E819" s="41" t="s">
        <v>45</v>
      </c>
      <c r="F819" s="41" t="s">
        <v>42</v>
      </c>
      <c r="G819" s="41" t="s">
        <v>39</v>
      </c>
      <c r="H819" s="42" t="n">
        <v>67</v>
      </c>
      <c r="I819" s="42" t="n">
        <v>80</v>
      </c>
      <c r="J819" s="42" t="n">
        <v>5174</v>
      </c>
      <c r="K819" s="42" t="n">
        <v>790</v>
      </c>
      <c r="L819" s="43" t="n">
        <f aca="false">J819-K819</f>
        <v>4384</v>
      </c>
      <c r="M819" s="42" t="n">
        <v>1775</v>
      </c>
      <c r="N819" s="43" t="n">
        <f aca="false">L819-M819</f>
        <v>2609</v>
      </c>
    </row>
    <row r="820" customFormat="false" ht="15" hidden="false" customHeight="false" outlineLevel="0" collapsed="false">
      <c r="A820" s="40" t="n">
        <v>46054</v>
      </c>
      <c r="B820" s="41" t="n">
        <v>2026</v>
      </c>
      <c r="C820" s="41" t="n">
        <v>2</v>
      </c>
      <c r="D820" s="41" t="s">
        <v>47</v>
      </c>
      <c r="E820" s="41" t="s">
        <v>45</v>
      </c>
      <c r="F820" s="41" t="s">
        <v>42</v>
      </c>
      <c r="G820" s="41" t="s">
        <v>40</v>
      </c>
      <c r="H820" s="42" t="n">
        <v>34</v>
      </c>
      <c r="I820" s="42" t="n">
        <v>54</v>
      </c>
      <c r="J820" s="42" t="n">
        <v>3968</v>
      </c>
      <c r="K820" s="42" t="n">
        <v>756</v>
      </c>
      <c r="L820" s="43" t="n">
        <f aca="false">J820-K820</f>
        <v>3212</v>
      </c>
      <c r="M820" s="42" t="n">
        <v>1827</v>
      </c>
      <c r="N820" s="43" t="n">
        <f aca="false">L820-M820</f>
        <v>1385</v>
      </c>
    </row>
    <row r="821" customFormat="false" ht="15" hidden="false" customHeight="false" outlineLevel="0" collapsed="false">
      <c r="A821" s="40" t="n">
        <v>46054</v>
      </c>
      <c r="B821" s="41" t="n">
        <v>2026</v>
      </c>
      <c r="C821" s="41" t="n">
        <v>2</v>
      </c>
      <c r="D821" s="41" t="s">
        <v>47</v>
      </c>
      <c r="E821" s="41" t="s">
        <v>45</v>
      </c>
      <c r="F821" s="41" t="s">
        <v>42</v>
      </c>
      <c r="G821" s="41" t="s">
        <v>41</v>
      </c>
      <c r="H821" s="42" t="n">
        <v>40</v>
      </c>
      <c r="I821" s="42" t="n">
        <v>52</v>
      </c>
      <c r="J821" s="42" t="n">
        <v>2226</v>
      </c>
      <c r="K821" s="42" t="n">
        <v>99</v>
      </c>
      <c r="L821" s="43" t="n">
        <f aca="false">J821-K821</f>
        <v>2127</v>
      </c>
      <c r="M821" s="42" t="n">
        <v>1065</v>
      </c>
      <c r="N821" s="43" t="n">
        <f aca="false">L821-M821</f>
        <v>1062</v>
      </c>
    </row>
    <row r="822" customFormat="false" ht="15" hidden="false" customHeight="false" outlineLevel="0" collapsed="false">
      <c r="A822" s="40" t="n">
        <v>46054</v>
      </c>
      <c r="B822" s="41" t="n">
        <v>2026</v>
      </c>
      <c r="C822" s="41" t="n">
        <v>2</v>
      </c>
      <c r="D822" s="41" t="s">
        <v>47</v>
      </c>
      <c r="E822" s="41" t="s">
        <v>45</v>
      </c>
      <c r="F822" s="41" t="s">
        <v>43</v>
      </c>
      <c r="G822" s="41" t="s">
        <v>37</v>
      </c>
      <c r="H822" s="42" t="n">
        <v>18</v>
      </c>
      <c r="I822" s="42" t="n">
        <v>21</v>
      </c>
      <c r="J822" s="42" t="n">
        <v>3643</v>
      </c>
      <c r="K822" s="42" t="n">
        <v>101</v>
      </c>
      <c r="L822" s="43" t="n">
        <f aca="false">J822-K822</f>
        <v>3542</v>
      </c>
      <c r="M822" s="42" t="n">
        <v>1918</v>
      </c>
      <c r="N822" s="43" t="n">
        <f aca="false">L822-M822</f>
        <v>1624</v>
      </c>
    </row>
    <row r="823" customFormat="false" ht="15" hidden="false" customHeight="false" outlineLevel="0" collapsed="false">
      <c r="A823" s="40" t="n">
        <v>46054</v>
      </c>
      <c r="B823" s="41" t="n">
        <v>2026</v>
      </c>
      <c r="C823" s="41" t="n">
        <v>2</v>
      </c>
      <c r="D823" s="41" t="s">
        <v>47</v>
      </c>
      <c r="E823" s="41" t="s">
        <v>45</v>
      </c>
      <c r="F823" s="41" t="s">
        <v>43</v>
      </c>
      <c r="G823" s="41" t="s">
        <v>38</v>
      </c>
      <c r="H823" s="42" t="n">
        <v>25</v>
      </c>
      <c r="I823" s="42" t="n">
        <v>35</v>
      </c>
      <c r="J823" s="42" t="n">
        <v>2923</v>
      </c>
      <c r="K823" s="42" t="n">
        <v>85</v>
      </c>
      <c r="L823" s="43" t="n">
        <f aca="false">J823-K823</f>
        <v>2838</v>
      </c>
      <c r="M823" s="42" t="n">
        <v>1249</v>
      </c>
      <c r="N823" s="43" t="n">
        <f aca="false">L823-M823</f>
        <v>1589</v>
      </c>
    </row>
    <row r="824" customFormat="false" ht="15" hidden="false" customHeight="false" outlineLevel="0" collapsed="false">
      <c r="A824" s="40" t="n">
        <v>46054</v>
      </c>
      <c r="B824" s="41" t="n">
        <v>2026</v>
      </c>
      <c r="C824" s="41" t="n">
        <v>2</v>
      </c>
      <c r="D824" s="41" t="s">
        <v>47</v>
      </c>
      <c r="E824" s="41" t="s">
        <v>45</v>
      </c>
      <c r="F824" s="41" t="s">
        <v>43</v>
      </c>
      <c r="G824" s="41" t="s">
        <v>39</v>
      </c>
      <c r="H824" s="42" t="n">
        <v>36</v>
      </c>
      <c r="I824" s="42" t="n">
        <v>56</v>
      </c>
      <c r="J824" s="42" t="n">
        <v>3170</v>
      </c>
      <c r="K824" s="42" t="n">
        <v>253</v>
      </c>
      <c r="L824" s="43" t="n">
        <f aca="false">J824-K824</f>
        <v>2917</v>
      </c>
      <c r="M824" s="42" t="n">
        <v>1119</v>
      </c>
      <c r="N824" s="43" t="n">
        <f aca="false">L824-M824</f>
        <v>1798</v>
      </c>
    </row>
    <row r="825" customFormat="false" ht="15" hidden="false" customHeight="false" outlineLevel="0" collapsed="false">
      <c r="A825" s="40" t="n">
        <v>46054</v>
      </c>
      <c r="B825" s="41" t="n">
        <v>2026</v>
      </c>
      <c r="C825" s="41" t="n">
        <v>2</v>
      </c>
      <c r="D825" s="41" t="s">
        <v>47</v>
      </c>
      <c r="E825" s="41" t="s">
        <v>45</v>
      </c>
      <c r="F825" s="41" t="s">
        <v>43</v>
      </c>
      <c r="G825" s="41" t="s">
        <v>40</v>
      </c>
      <c r="H825" s="42" t="n">
        <v>20</v>
      </c>
      <c r="I825" s="42" t="n">
        <v>23</v>
      </c>
      <c r="J825" s="42" t="n">
        <v>2729</v>
      </c>
      <c r="K825" s="42" t="n">
        <v>238</v>
      </c>
      <c r="L825" s="43" t="n">
        <f aca="false">J825-K825</f>
        <v>2491</v>
      </c>
      <c r="M825" s="42" t="n">
        <v>1408</v>
      </c>
      <c r="N825" s="43" t="n">
        <f aca="false">L825-M825</f>
        <v>1083</v>
      </c>
    </row>
    <row r="826" customFormat="false" ht="15" hidden="false" customHeight="false" outlineLevel="0" collapsed="false">
      <c r="A826" s="40" t="n">
        <v>46054</v>
      </c>
      <c r="B826" s="41" t="n">
        <v>2026</v>
      </c>
      <c r="C826" s="41" t="n">
        <v>2</v>
      </c>
      <c r="D826" s="41" t="s">
        <v>47</v>
      </c>
      <c r="E826" s="41" t="s">
        <v>45</v>
      </c>
      <c r="F826" s="41" t="s">
        <v>43</v>
      </c>
      <c r="G826" s="41" t="s">
        <v>41</v>
      </c>
      <c r="H826" s="42" t="n">
        <v>24</v>
      </c>
      <c r="I826" s="42" t="n">
        <v>38</v>
      </c>
      <c r="J826" s="42" t="n">
        <v>1555</v>
      </c>
      <c r="K826" s="42" t="n">
        <v>35</v>
      </c>
      <c r="L826" s="43" t="n">
        <f aca="false">J826-K826</f>
        <v>1520</v>
      </c>
      <c r="M826" s="42" t="n">
        <v>710</v>
      </c>
      <c r="N826" s="43" t="n">
        <f aca="false">L826-M826</f>
        <v>810</v>
      </c>
    </row>
    <row r="827" customFormat="false" ht="15" hidden="false" customHeight="false" outlineLevel="0" collapsed="false">
      <c r="A827" s="40" t="n">
        <v>46054</v>
      </c>
      <c r="B827" s="41" t="n">
        <v>2026</v>
      </c>
      <c r="C827" s="41" t="n">
        <v>2</v>
      </c>
      <c r="D827" s="41" t="s">
        <v>47</v>
      </c>
      <c r="E827" s="41" t="s">
        <v>46</v>
      </c>
      <c r="F827" s="41" t="s">
        <v>36</v>
      </c>
      <c r="G827" s="41" t="s">
        <v>37</v>
      </c>
      <c r="H827" s="42" t="n">
        <v>33</v>
      </c>
      <c r="I827" s="42" t="n">
        <v>45</v>
      </c>
      <c r="J827" s="42" t="n">
        <v>6158</v>
      </c>
      <c r="K827" s="42" t="n">
        <v>221</v>
      </c>
      <c r="L827" s="43" t="n">
        <f aca="false">J827-K827</f>
        <v>5937</v>
      </c>
      <c r="M827" s="42" t="n">
        <v>3192</v>
      </c>
      <c r="N827" s="43" t="n">
        <f aca="false">L827-M827</f>
        <v>2745</v>
      </c>
    </row>
    <row r="828" customFormat="false" ht="15" hidden="false" customHeight="false" outlineLevel="0" collapsed="false">
      <c r="A828" s="40" t="n">
        <v>46054</v>
      </c>
      <c r="B828" s="41" t="n">
        <v>2026</v>
      </c>
      <c r="C828" s="41" t="n">
        <v>2</v>
      </c>
      <c r="D828" s="41" t="s">
        <v>47</v>
      </c>
      <c r="E828" s="41" t="s">
        <v>46</v>
      </c>
      <c r="F828" s="41" t="s">
        <v>36</v>
      </c>
      <c r="G828" s="41" t="s">
        <v>38</v>
      </c>
      <c r="H828" s="42" t="n">
        <v>46</v>
      </c>
      <c r="I828" s="42" t="n">
        <v>69</v>
      </c>
      <c r="J828" s="42" t="n">
        <v>5144</v>
      </c>
      <c r="K828" s="42" t="n">
        <v>236</v>
      </c>
      <c r="L828" s="43" t="n">
        <f aca="false">J828-K828</f>
        <v>4908</v>
      </c>
      <c r="M828" s="42" t="n">
        <v>2151</v>
      </c>
      <c r="N828" s="43" t="n">
        <f aca="false">L828-M828</f>
        <v>2757</v>
      </c>
    </row>
    <row r="829" customFormat="false" ht="15" hidden="false" customHeight="false" outlineLevel="0" collapsed="false">
      <c r="A829" s="40" t="n">
        <v>46054</v>
      </c>
      <c r="B829" s="41" t="n">
        <v>2026</v>
      </c>
      <c r="C829" s="41" t="n">
        <v>2</v>
      </c>
      <c r="D829" s="41" t="s">
        <v>47</v>
      </c>
      <c r="E829" s="41" t="s">
        <v>46</v>
      </c>
      <c r="F829" s="41" t="s">
        <v>36</v>
      </c>
      <c r="G829" s="41" t="s">
        <v>39</v>
      </c>
      <c r="H829" s="42" t="n">
        <v>81</v>
      </c>
      <c r="I829" s="42" t="n">
        <v>97</v>
      </c>
      <c r="J829" s="42" t="n">
        <v>6840</v>
      </c>
      <c r="K829" s="42" t="n">
        <v>698</v>
      </c>
      <c r="L829" s="43" t="n">
        <f aca="false">J829-K829</f>
        <v>6142</v>
      </c>
      <c r="M829" s="42" t="n">
        <v>2437</v>
      </c>
      <c r="N829" s="43" t="n">
        <f aca="false">L829-M829</f>
        <v>3705</v>
      </c>
    </row>
    <row r="830" customFormat="false" ht="15" hidden="false" customHeight="false" outlineLevel="0" collapsed="false">
      <c r="A830" s="40" t="n">
        <v>46054</v>
      </c>
      <c r="B830" s="41" t="n">
        <v>2026</v>
      </c>
      <c r="C830" s="41" t="n">
        <v>2</v>
      </c>
      <c r="D830" s="41" t="s">
        <v>47</v>
      </c>
      <c r="E830" s="41" t="s">
        <v>46</v>
      </c>
      <c r="F830" s="41" t="s">
        <v>36</v>
      </c>
      <c r="G830" s="41" t="s">
        <v>40</v>
      </c>
      <c r="H830" s="42" t="n">
        <v>39</v>
      </c>
      <c r="I830" s="42" t="n">
        <v>53</v>
      </c>
      <c r="J830" s="42" t="n">
        <v>4974</v>
      </c>
      <c r="K830" s="42" t="n">
        <v>486</v>
      </c>
      <c r="L830" s="43" t="n">
        <f aca="false">J830-K830</f>
        <v>4488</v>
      </c>
      <c r="M830" s="42" t="n">
        <v>2471</v>
      </c>
      <c r="N830" s="43" t="n">
        <f aca="false">L830-M830</f>
        <v>2017</v>
      </c>
    </row>
    <row r="831" customFormat="false" ht="15" hidden="false" customHeight="false" outlineLevel="0" collapsed="false">
      <c r="A831" s="40" t="n">
        <v>46054</v>
      </c>
      <c r="B831" s="41" t="n">
        <v>2026</v>
      </c>
      <c r="C831" s="41" t="n">
        <v>2</v>
      </c>
      <c r="D831" s="41" t="s">
        <v>47</v>
      </c>
      <c r="E831" s="41" t="s">
        <v>46</v>
      </c>
      <c r="F831" s="41" t="s">
        <v>36</v>
      </c>
      <c r="G831" s="41" t="s">
        <v>41</v>
      </c>
      <c r="H831" s="42" t="n">
        <v>47</v>
      </c>
      <c r="I831" s="42" t="n">
        <v>68</v>
      </c>
      <c r="J831" s="42" t="n">
        <v>2865</v>
      </c>
      <c r="K831" s="42" t="n">
        <v>73</v>
      </c>
      <c r="L831" s="43" t="n">
        <f aca="false">J831-K831</f>
        <v>2792</v>
      </c>
      <c r="M831" s="42" t="n">
        <v>1347</v>
      </c>
      <c r="N831" s="43" t="n">
        <f aca="false">L831-M831</f>
        <v>1445</v>
      </c>
    </row>
    <row r="832" customFormat="false" ht="15" hidden="false" customHeight="false" outlineLevel="0" collapsed="false">
      <c r="A832" s="40" t="n">
        <v>46054</v>
      </c>
      <c r="B832" s="41" t="n">
        <v>2026</v>
      </c>
      <c r="C832" s="41" t="n">
        <v>2</v>
      </c>
      <c r="D832" s="41" t="s">
        <v>47</v>
      </c>
      <c r="E832" s="41" t="s">
        <v>46</v>
      </c>
      <c r="F832" s="41" t="s">
        <v>42</v>
      </c>
      <c r="G832" s="41" t="s">
        <v>37</v>
      </c>
      <c r="H832" s="42" t="n">
        <v>25</v>
      </c>
      <c r="I832" s="42" t="n">
        <v>33</v>
      </c>
      <c r="J832" s="42" t="n">
        <v>4308</v>
      </c>
      <c r="K832" s="42" t="n">
        <v>248</v>
      </c>
      <c r="L832" s="43" t="n">
        <f aca="false">J832-K832</f>
        <v>4060</v>
      </c>
      <c r="M832" s="42" t="n">
        <v>2183</v>
      </c>
      <c r="N832" s="43" t="n">
        <f aca="false">L832-M832</f>
        <v>1877</v>
      </c>
    </row>
    <row r="833" customFormat="false" ht="15" hidden="false" customHeight="false" outlineLevel="0" collapsed="false">
      <c r="A833" s="40" t="n">
        <v>46054</v>
      </c>
      <c r="B833" s="41" t="n">
        <v>2026</v>
      </c>
      <c r="C833" s="41" t="n">
        <v>2</v>
      </c>
      <c r="D833" s="41" t="s">
        <v>47</v>
      </c>
      <c r="E833" s="41" t="s">
        <v>46</v>
      </c>
      <c r="F833" s="41" t="s">
        <v>42</v>
      </c>
      <c r="G833" s="41" t="s">
        <v>38</v>
      </c>
      <c r="H833" s="42" t="n">
        <v>35</v>
      </c>
      <c r="I833" s="42" t="n">
        <v>55</v>
      </c>
      <c r="J833" s="42" t="n">
        <v>3568</v>
      </c>
      <c r="K833" s="42" t="n">
        <v>225</v>
      </c>
      <c r="L833" s="43" t="n">
        <f aca="false">J833-K833</f>
        <v>3343</v>
      </c>
      <c r="M833" s="42" t="n">
        <v>1611</v>
      </c>
      <c r="N833" s="43" t="n">
        <f aca="false">L833-M833</f>
        <v>1732</v>
      </c>
    </row>
    <row r="834" customFormat="false" ht="15" hidden="false" customHeight="false" outlineLevel="0" collapsed="false">
      <c r="A834" s="40" t="n">
        <v>46054</v>
      </c>
      <c r="B834" s="41" t="n">
        <v>2026</v>
      </c>
      <c r="C834" s="41" t="n">
        <v>2</v>
      </c>
      <c r="D834" s="41" t="s">
        <v>47</v>
      </c>
      <c r="E834" s="41" t="s">
        <v>46</v>
      </c>
      <c r="F834" s="41" t="s">
        <v>42</v>
      </c>
      <c r="G834" s="41" t="s">
        <v>39</v>
      </c>
      <c r="H834" s="42" t="n">
        <v>67</v>
      </c>
      <c r="I834" s="42" t="n">
        <v>92</v>
      </c>
      <c r="J834" s="42" t="n">
        <v>5170</v>
      </c>
      <c r="K834" s="42" t="n">
        <v>600</v>
      </c>
      <c r="L834" s="43" t="n">
        <f aca="false">J834-K834</f>
        <v>4570</v>
      </c>
      <c r="M834" s="42" t="n">
        <v>1848</v>
      </c>
      <c r="N834" s="43" t="n">
        <f aca="false">L834-M834</f>
        <v>2722</v>
      </c>
    </row>
    <row r="835" customFormat="false" ht="15" hidden="false" customHeight="false" outlineLevel="0" collapsed="false">
      <c r="A835" s="40" t="n">
        <v>46054</v>
      </c>
      <c r="B835" s="41" t="n">
        <v>2026</v>
      </c>
      <c r="C835" s="41" t="n">
        <v>2</v>
      </c>
      <c r="D835" s="41" t="s">
        <v>47</v>
      </c>
      <c r="E835" s="41" t="s">
        <v>46</v>
      </c>
      <c r="F835" s="41" t="s">
        <v>42</v>
      </c>
      <c r="G835" s="41" t="s">
        <v>40</v>
      </c>
      <c r="H835" s="42" t="n">
        <v>32</v>
      </c>
      <c r="I835" s="42" t="n">
        <v>38</v>
      </c>
      <c r="J835" s="42" t="n">
        <v>3728</v>
      </c>
      <c r="K835" s="42" t="n">
        <v>603</v>
      </c>
      <c r="L835" s="43" t="n">
        <f aca="false">J835-K835</f>
        <v>3125</v>
      </c>
      <c r="M835" s="42" t="n">
        <v>1779</v>
      </c>
      <c r="N835" s="43" t="n">
        <f aca="false">L835-M835</f>
        <v>1346</v>
      </c>
    </row>
    <row r="836" customFormat="false" ht="15" hidden="false" customHeight="false" outlineLevel="0" collapsed="false">
      <c r="A836" s="40" t="n">
        <v>46054</v>
      </c>
      <c r="B836" s="41" t="n">
        <v>2026</v>
      </c>
      <c r="C836" s="41" t="n">
        <v>2</v>
      </c>
      <c r="D836" s="41" t="s">
        <v>47</v>
      </c>
      <c r="E836" s="41" t="s">
        <v>46</v>
      </c>
      <c r="F836" s="41" t="s">
        <v>42</v>
      </c>
      <c r="G836" s="41" t="s">
        <v>41</v>
      </c>
      <c r="H836" s="42" t="n">
        <v>36</v>
      </c>
      <c r="I836" s="42" t="n">
        <v>49</v>
      </c>
      <c r="J836" s="42" t="n">
        <v>2006</v>
      </c>
      <c r="K836" s="42" t="n">
        <v>70</v>
      </c>
      <c r="L836" s="43" t="n">
        <f aca="false">J836-K836</f>
        <v>1936</v>
      </c>
      <c r="M836" s="42" t="n">
        <v>972</v>
      </c>
      <c r="N836" s="43" t="n">
        <f aca="false">L836-M836</f>
        <v>964</v>
      </c>
    </row>
    <row r="837" customFormat="false" ht="15" hidden="false" customHeight="false" outlineLevel="0" collapsed="false">
      <c r="A837" s="40" t="n">
        <v>46054</v>
      </c>
      <c r="B837" s="41" t="n">
        <v>2026</v>
      </c>
      <c r="C837" s="41" t="n">
        <v>2</v>
      </c>
      <c r="D837" s="41" t="s">
        <v>47</v>
      </c>
      <c r="E837" s="41" t="s">
        <v>46</v>
      </c>
      <c r="F837" s="41" t="s">
        <v>43</v>
      </c>
      <c r="G837" s="41" t="s">
        <v>37</v>
      </c>
      <c r="H837" s="42" t="n">
        <v>15</v>
      </c>
      <c r="I837" s="42" t="n">
        <v>20</v>
      </c>
      <c r="J837" s="42" t="n">
        <v>3095</v>
      </c>
      <c r="K837" s="42" t="n">
        <v>76</v>
      </c>
      <c r="L837" s="43" t="n">
        <f aca="false">J837-K837</f>
        <v>3019</v>
      </c>
      <c r="M837" s="42" t="n">
        <v>1591</v>
      </c>
      <c r="N837" s="43" t="n">
        <f aca="false">L837-M837</f>
        <v>1428</v>
      </c>
    </row>
    <row r="838" customFormat="false" ht="15" hidden="false" customHeight="false" outlineLevel="0" collapsed="false">
      <c r="A838" s="40" t="n">
        <v>46054</v>
      </c>
      <c r="B838" s="41" t="n">
        <v>2026</v>
      </c>
      <c r="C838" s="41" t="n">
        <v>2</v>
      </c>
      <c r="D838" s="41" t="s">
        <v>47</v>
      </c>
      <c r="E838" s="41" t="s">
        <v>46</v>
      </c>
      <c r="F838" s="41" t="s">
        <v>43</v>
      </c>
      <c r="G838" s="41" t="s">
        <v>38</v>
      </c>
      <c r="H838" s="42" t="n">
        <v>21</v>
      </c>
      <c r="I838" s="42" t="n">
        <v>25</v>
      </c>
      <c r="J838" s="42" t="n">
        <v>2479</v>
      </c>
      <c r="K838" s="42" t="n">
        <v>78</v>
      </c>
      <c r="L838" s="43" t="n">
        <f aca="false">J838-K838</f>
        <v>2401</v>
      </c>
      <c r="M838" s="42" t="n">
        <v>1105</v>
      </c>
      <c r="N838" s="43" t="n">
        <f aca="false">L838-M838</f>
        <v>1296</v>
      </c>
    </row>
    <row r="839" customFormat="false" ht="15" hidden="false" customHeight="false" outlineLevel="0" collapsed="false">
      <c r="A839" s="40" t="n">
        <v>46054</v>
      </c>
      <c r="B839" s="41" t="n">
        <v>2026</v>
      </c>
      <c r="C839" s="41" t="n">
        <v>2</v>
      </c>
      <c r="D839" s="41" t="s">
        <v>47</v>
      </c>
      <c r="E839" s="41" t="s">
        <v>46</v>
      </c>
      <c r="F839" s="41" t="s">
        <v>43</v>
      </c>
      <c r="G839" s="41" t="s">
        <v>39</v>
      </c>
      <c r="H839" s="42" t="n">
        <v>36</v>
      </c>
      <c r="I839" s="42" t="n">
        <v>56</v>
      </c>
      <c r="J839" s="42" t="n">
        <v>3220</v>
      </c>
      <c r="K839" s="42" t="n">
        <v>182</v>
      </c>
      <c r="L839" s="43" t="n">
        <f aca="false">J839-K839</f>
        <v>3038</v>
      </c>
      <c r="M839" s="42" t="n">
        <v>1216</v>
      </c>
      <c r="N839" s="43" t="n">
        <f aca="false">L839-M839</f>
        <v>1822</v>
      </c>
    </row>
    <row r="840" customFormat="false" ht="15" hidden="false" customHeight="false" outlineLevel="0" collapsed="false">
      <c r="A840" s="40" t="n">
        <v>46054</v>
      </c>
      <c r="B840" s="41" t="n">
        <v>2026</v>
      </c>
      <c r="C840" s="41" t="n">
        <v>2</v>
      </c>
      <c r="D840" s="41" t="s">
        <v>47</v>
      </c>
      <c r="E840" s="41" t="s">
        <v>46</v>
      </c>
      <c r="F840" s="41" t="s">
        <v>43</v>
      </c>
      <c r="G840" s="41" t="s">
        <v>40</v>
      </c>
      <c r="H840" s="42" t="n">
        <v>17</v>
      </c>
      <c r="I840" s="42" t="n">
        <v>26</v>
      </c>
      <c r="J840" s="42" t="n">
        <v>2309</v>
      </c>
      <c r="K840" s="42" t="n">
        <v>199</v>
      </c>
      <c r="L840" s="43" t="n">
        <f aca="false">J840-K840</f>
        <v>2110</v>
      </c>
      <c r="M840" s="42" t="n">
        <v>1174</v>
      </c>
      <c r="N840" s="43" t="n">
        <f aca="false">L840-M840</f>
        <v>936</v>
      </c>
    </row>
    <row r="841" customFormat="false" ht="15" hidden="false" customHeight="false" outlineLevel="0" collapsed="false">
      <c r="A841" s="40" t="n">
        <v>46054</v>
      </c>
      <c r="B841" s="41" t="n">
        <v>2026</v>
      </c>
      <c r="C841" s="41" t="n">
        <v>2</v>
      </c>
      <c r="D841" s="41" t="s">
        <v>47</v>
      </c>
      <c r="E841" s="41" t="s">
        <v>46</v>
      </c>
      <c r="F841" s="41" t="s">
        <v>43</v>
      </c>
      <c r="G841" s="41" t="s">
        <v>41</v>
      </c>
      <c r="H841" s="42" t="n">
        <v>22</v>
      </c>
      <c r="I841" s="42" t="n">
        <v>33</v>
      </c>
      <c r="J841" s="42" t="n">
        <v>1428</v>
      </c>
      <c r="K841" s="42" t="n">
        <v>26</v>
      </c>
      <c r="L841" s="43" t="n">
        <f aca="false">J841-K841</f>
        <v>1402</v>
      </c>
      <c r="M841" s="42" t="n">
        <v>663</v>
      </c>
      <c r="N841" s="43" t="n">
        <f aca="false">L841-M841</f>
        <v>739</v>
      </c>
    </row>
    <row r="842" customFormat="false" ht="15" hidden="false" customHeight="false" outlineLevel="0" collapsed="false">
      <c r="A842" s="40" t="n">
        <v>46082</v>
      </c>
      <c r="B842" s="41" t="n">
        <v>2026</v>
      </c>
      <c r="C842" s="41" t="n">
        <v>3</v>
      </c>
      <c r="D842" s="41" t="s">
        <v>48</v>
      </c>
      <c r="E842" s="41" t="s">
        <v>35</v>
      </c>
      <c r="F842" s="41" t="s">
        <v>36</v>
      </c>
      <c r="G842" s="41" t="s">
        <v>37</v>
      </c>
      <c r="H842" s="42" t="n">
        <v>68</v>
      </c>
      <c r="I842" s="42" t="n">
        <v>90</v>
      </c>
      <c r="J842" s="42" t="n">
        <v>12824</v>
      </c>
      <c r="K842" s="42" t="n">
        <v>517</v>
      </c>
      <c r="L842" s="43" t="n">
        <f aca="false">J842-K842</f>
        <v>12307</v>
      </c>
      <c r="M842" s="42" t="n">
        <v>6441</v>
      </c>
      <c r="N842" s="43" t="n">
        <f aca="false">L842-M842</f>
        <v>5866</v>
      </c>
    </row>
    <row r="843" customFormat="false" ht="15" hidden="false" customHeight="false" outlineLevel="0" collapsed="false">
      <c r="A843" s="40" t="n">
        <v>46082</v>
      </c>
      <c r="B843" s="41" t="n">
        <v>2026</v>
      </c>
      <c r="C843" s="41" t="n">
        <v>3</v>
      </c>
      <c r="D843" s="41" t="s">
        <v>48</v>
      </c>
      <c r="E843" s="41" t="s">
        <v>35</v>
      </c>
      <c r="F843" s="41" t="s">
        <v>36</v>
      </c>
      <c r="G843" s="41" t="s">
        <v>38</v>
      </c>
      <c r="H843" s="42" t="n">
        <v>128</v>
      </c>
      <c r="I843" s="42" t="n">
        <v>152</v>
      </c>
      <c r="J843" s="42" t="n">
        <v>14330</v>
      </c>
      <c r="K843" s="42" t="n">
        <v>739</v>
      </c>
      <c r="L843" s="43" t="n">
        <f aca="false">J843-K843</f>
        <v>13591</v>
      </c>
      <c r="M843" s="42" t="n">
        <v>6018</v>
      </c>
      <c r="N843" s="43" t="n">
        <f aca="false">L843-M843</f>
        <v>7573</v>
      </c>
    </row>
    <row r="844" customFormat="false" ht="15" hidden="false" customHeight="false" outlineLevel="0" collapsed="false">
      <c r="A844" s="40" t="n">
        <v>46082</v>
      </c>
      <c r="B844" s="41" t="n">
        <v>2026</v>
      </c>
      <c r="C844" s="41" t="n">
        <v>3</v>
      </c>
      <c r="D844" s="41" t="s">
        <v>48</v>
      </c>
      <c r="E844" s="41" t="s">
        <v>35</v>
      </c>
      <c r="F844" s="41" t="s">
        <v>36</v>
      </c>
      <c r="G844" s="41" t="s">
        <v>39</v>
      </c>
      <c r="H844" s="42" t="n">
        <v>188</v>
      </c>
      <c r="I844" s="42" t="n">
        <v>283</v>
      </c>
      <c r="J844" s="42" t="n">
        <v>15789</v>
      </c>
      <c r="K844" s="42" t="n">
        <v>1712</v>
      </c>
      <c r="L844" s="43" t="n">
        <f aca="false">J844-K844</f>
        <v>14077</v>
      </c>
      <c r="M844" s="42" t="n">
        <v>5346</v>
      </c>
      <c r="N844" s="43" t="n">
        <f aca="false">L844-M844</f>
        <v>8731</v>
      </c>
    </row>
    <row r="845" customFormat="false" ht="15" hidden="false" customHeight="false" outlineLevel="0" collapsed="false">
      <c r="A845" s="40" t="n">
        <v>46082</v>
      </c>
      <c r="B845" s="41" t="n">
        <v>2026</v>
      </c>
      <c r="C845" s="41" t="n">
        <v>3</v>
      </c>
      <c r="D845" s="41" t="s">
        <v>48</v>
      </c>
      <c r="E845" s="41" t="s">
        <v>35</v>
      </c>
      <c r="F845" s="41" t="s">
        <v>36</v>
      </c>
      <c r="G845" s="41" t="s">
        <v>40</v>
      </c>
      <c r="H845" s="42" t="n">
        <v>80</v>
      </c>
      <c r="I845" s="42" t="n">
        <v>114</v>
      </c>
      <c r="J845" s="42" t="n">
        <v>10284</v>
      </c>
      <c r="K845" s="42" t="n">
        <v>1472</v>
      </c>
      <c r="L845" s="43" t="n">
        <f aca="false">J845-K845</f>
        <v>8812</v>
      </c>
      <c r="M845" s="42" t="n">
        <v>4713</v>
      </c>
      <c r="N845" s="43" t="n">
        <f aca="false">L845-M845</f>
        <v>4099</v>
      </c>
    </row>
    <row r="846" customFormat="false" ht="15" hidden="false" customHeight="false" outlineLevel="0" collapsed="false">
      <c r="A846" s="40" t="n">
        <v>46082</v>
      </c>
      <c r="B846" s="41" t="n">
        <v>2026</v>
      </c>
      <c r="C846" s="41" t="n">
        <v>3</v>
      </c>
      <c r="D846" s="41" t="s">
        <v>48</v>
      </c>
      <c r="E846" s="41" t="s">
        <v>35</v>
      </c>
      <c r="F846" s="41" t="s">
        <v>36</v>
      </c>
      <c r="G846" s="41" t="s">
        <v>41</v>
      </c>
      <c r="H846" s="42" t="n">
        <v>125</v>
      </c>
      <c r="I846" s="42" t="n">
        <v>183</v>
      </c>
      <c r="J846" s="42" t="n">
        <v>7626</v>
      </c>
      <c r="K846" s="42" t="n">
        <v>258</v>
      </c>
      <c r="L846" s="43" t="n">
        <f aca="false">J846-K846</f>
        <v>7368</v>
      </c>
      <c r="M846" s="42" t="n">
        <v>3503</v>
      </c>
      <c r="N846" s="43" t="n">
        <f aca="false">L846-M846</f>
        <v>3865</v>
      </c>
    </row>
    <row r="847" customFormat="false" ht="15" hidden="false" customHeight="false" outlineLevel="0" collapsed="false">
      <c r="A847" s="40" t="n">
        <v>46082</v>
      </c>
      <c r="B847" s="41" t="n">
        <v>2026</v>
      </c>
      <c r="C847" s="41" t="n">
        <v>3</v>
      </c>
      <c r="D847" s="41" t="s">
        <v>48</v>
      </c>
      <c r="E847" s="41" t="s">
        <v>35</v>
      </c>
      <c r="F847" s="41" t="s">
        <v>42</v>
      </c>
      <c r="G847" s="41" t="s">
        <v>37</v>
      </c>
      <c r="H847" s="42" t="n">
        <v>64</v>
      </c>
      <c r="I847" s="42" t="n">
        <v>87</v>
      </c>
      <c r="J847" s="42" t="n">
        <v>11163</v>
      </c>
      <c r="K847" s="42" t="n">
        <v>704</v>
      </c>
      <c r="L847" s="43" t="n">
        <f aca="false">J847-K847</f>
        <v>10459</v>
      </c>
      <c r="M847" s="42" t="n">
        <v>5571</v>
      </c>
      <c r="N847" s="43" t="n">
        <f aca="false">L847-M847</f>
        <v>4888</v>
      </c>
    </row>
    <row r="848" customFormat="false" ht="15" hidden="false" customHeight="false" outlineLevel="0" collapsed="false">
      <c r="A848" s="40" t="n">
        <v>46082</v>
      </c>
      <c r="B848" s="41" t="n">
        <v>2026</v>
      </c>
      <c r="C848" s="41" t="n">
        <v>3</v>
      </c>
      <c r="D848" s="41" t="s">
        <v>48</v>
      </c>
      <c r="E848" s="41" t="s">
        <v>35</v>
      </c>
      <c r="F848" s="41" t="s">
        <v>42</v>
      </c>
      <c r="G848" s="41" t="s">
        <v>38</v>
      </c>
      <c r="H848" s="42" t="n">
        <v>98</v>
      </c>
      <c r="I848" s="42" t="n">
        <v>131</v>
      </c>
      <c r="J848" s="42" t="n">
        <v>10094</v>
      </c>
      <c r="K848" s="42" t="n">
        <v>656</v>
      </c>
      <c r="L848" s="43" t="n">
        <f aca="false">J848-K848</f>
        <v>9438</v>
      </c>
      <c r="M848" s="42" t="n">
        <v>4345</v>
      </c>
      <c r="N848" s="43" t="n">
        <f aca="false">L848-M848</f>
        <v>5093</v>
      </c>
    </row>
    <row r="849" customFormat="false" ht="15" hidden="false" customHeight="false" outlineLevel="0" collapsed="false">
      <c r="A849" s="40" t="n">
        <v>46082</v>
      </c>
      <c r="B849" s="41" t="n">
        <v>2026</v>
      </c>
      <c r="C849" s="41" t="n">
        <v>3</v>
      </c>
      <c r="D849" s="41" t="s">
        <v>48</v>
      </c>
      <c r="E849" s="41" t="s">
        <v>35</v>
      </c>
      <c r="F849" s="41" t="s">
        <v>42</v>
      </c>
      <c r="G849" s="41" t="s">
        <v>39</v>
      </c>
      <c r="H849" s="42" t="n">
        <v>129</v>
      </c>
      <c r="I849" s="42" t="n">
        <v>191</v>
      </c>
      <c r="J849" s="42" t="n">
        <v>9934</v>
      </c>
      <c r="K849" s="42" t="n">
        <v>1437</v>
      </c>
      <c r="L849" s="43" t="n">
        <f aca="false">J849-K849</f>
        <v>8497</v>
      </c>
      <c r="M849" s="42" t="n">
        <v>3447</v>
      </c>
      <c r="N849" s="43" t="n">
        <f aca="false">L849-M849</f>
        <v>5050</v>
      </c>
    </row>
    <row r="850" customFormat="false" ht="15" hidden="false" customHeight="false" outlineLevel="0" collapsed="false">
      <c r="A850" s="40" t="n">
        <v>46082</v>
      </c>
      <c r="B850" s="41" t="n">
        <v>2026</v>
      </c>
      <c r="C850" s="41" t="n">
        <v>3</v>
      </c>
      <c r="D850" s="41" t="s">
        <v>48</v>
      </c>
      <c r="E850" s="41" t="s">
        <v>35</v>
      </c>
      <c r="F850" s="41" t="s">
        <v>42</v>
      </c>
      <c r="G850" s="41" t="s">
        <v>40</v>
      </c>
      <c r="H850" s="42" t="n">
        <v>63</v>
      </c>
      <c r="I850" s="42" t="n">
        <v>76</v>
      </c>
      <c r="J850" s="42" t="n">
        <v>7367</v>
      </c>
      <c r="K850" s="42" t="n">
        <v>1049</v>
      </c>
      <c r="L850" s="43" t="n">
        <f aca="false">J850-K850</f>
        <v>6318</v>
      </c>
      <c r="M850" s="42" t="n">
        <v>3528</v>
      </c>
      <c r="N850" s="43" t="n">
        <f aca="false">L850-M850</f>
        <v>2790</v>
      </c>
    </row>
    <row r="851" customFormat="false" ht="15" hidden="false" customHeight="false" outlineLevel="0" collapsed="false">
      <c r="A851" s="40" t="n">
        <v>46082</v>
      </c>
      <c r="B851" s="41" t="n">
        <v>2026</v>
      </c>
      <c r="C851" s="41" t="n">
        <v>3</v>
      </c>
      <c r="D851" s="41" t="s">
        <v>48</v>
      </c>
      <c r="E851" s="41" t="s">
        <v>35</v>
      </c>
      <c r="F851" s="41" t="s">
        <v>42</v>
      </c>
      <c r="G851" s="41" t="s">
        <v>41</v>
      </c>
      <c r="H851" s="42" t="n">
        <v>87</v>
      </c>
      <c r="I851" s="42" t="n">
        <v>138</v>
      </c>
      <c r="J851" s="42" t="n">
        <v>4892</v>
      </c>
      <c r="K851" s="42" t="n">
        <v>238</v>
      </c>
      <c r="L851" s="43" t="n">
        <f aca="false">J851-K851</f>
        <v>4654</v>
      </c>
      <c r="M851" s="42" t="n">
        <v>2372</v>
      </c>
      <c r="N851" s="43" t="n">
        <f aca="false">L851-M851</f>
        <v>2282</v>
      </c>
    </row>
    <row r="852" customFormat="false" ht="15" hidden="false" customHeight="false" outlineLevel="0" collapsed="false">
      <c r="A852" s="40" t="n">
        <v>46082</v>
      </c>
      <c r="B852" s="41" t="n">
        <v>2026</v>
      </c>
      <c r="C852" s="41" t="n">
        <v>3</v>
      </c>
      <c r="D852" s="41" t="s">
        <v>48</v>
      </c>
      <c r="E852" s="41" t="s">
        <v>35</v>
      </c>
      <c r="F852" s="41" t="s">
        <v>43</v>
      </c>
      <c r="G852" s="41" t="s">
        <v>37</v>
      </c>
      <c r="H852" s="42" t="n">
        <v>35</v>
      </c>
      <c r="I852" s="42" t="n">
        <v>48</v>
      </c>
      <c r="J852" s="42" t="n">
        <v>7021</v>
      </c>
      <c r="K852" s="42" t="n">
        <v>219</v>
      </c>
      <c r="L852" s="43" t="n">
        <f aca="false">J852-K852</f>
        <v>6802</v>
      </c>
      <c r="M852" s="42" t="n">
        <v>3693</v>
      </c>
      <c r="N852" s="43" t="n">
        <f aca="false">L852-M852</f>
        <v>3109</v>
      </c>
    </row>
    <row r="853" customFormat="false" ht="15" hidden="false" customHeight="false" outlineLevel="0" collapsed="false">
      <c r="A853" s="40" t="n">
        <v>46082</v>
      </c>
      <c r="B853" s="41" t="n">
        <v>2026</v>
      </c>
      <c r="C853" s="41" t="n">
        <v>3</v>
      </c>
      <c r="D853" s="41" t="s">
        <v>48</v>
      </c>
      <c r="E853" s="41" t="s">
        <v>35</v>
      </c>
      <c r="F853" s="41" t="s">
        <v>43</v>
      </c>
      <c r="G853" s="41" t="s">
        <v>38</v>
      </c>
      <c r="H853" s="42" t="n">
        <v>56</v>
      </c>
      <c r="I853" s="42" t="n">
        <v>80</v>
      </c>
      <c r="J853" s="42" t="n">
        <v>6613</v>
      </c>
      <c r="K853" s="42" t="n">
        <v>204</v>
      </c>
      <c r="L853" s="43" t="n">
        <f aca="false">J853-K853</f>
        <v>6409</v>
      </c>
      <c r="M853" s="42" t="n">
        <v>2906</v>
      </c>
      <c r="N853" s="43" t="n">
        <f aca="false">L853-M853</f>
        <v>3503</v>
      </c>
    </row>
    <row r="854" customFormat="false" ht="15" hidden="false" customHeight="false" outlineLevel="0" collapsed="false">
      <c r="A854" s="40" t="n">
        <v>46082</v>
      </c>
      <c r="B854" s="41" t="n">
        <v>2026</v>
      </c>
      <c r="C854" s="41" t="n">
        <v>3</v>
      </c>
      <c r="D854" s="41" t="s">
        <v>48</v>
      </c>
      <c r="E854" s="41" t="s">
        <v>35</v>
      </c>
      <c r="F854" s="41" t="s">
        <v>43</v>
      </c>
      <c r="G854" s="41" t="s">
        <v>39</v>
      </c>
      <c r="H854" s="42" t="n">
        <v>91</v>
      </c>
      <c r="I854" s="42" t="n">
        <v>137</v>
      </c>
      <c r="J854" s="42" t="n">
        <v>8067</v>
      </c>
      <c r="K854" s="42" t="n">
        <v>473</v>
      </c>
      <c r="L854" s="43" t="n">
        <f aca="false">J854-K854</f>
        <v>7594</v>
      </c>
      <c r="M854" s="42" t="n">
        <v>3000</v>
      </c>
      <c r="N854" s="43" t="n">
        <f aca="false">L854-M854</f>
        <v>4594</v>
      </c>
    </row>
    <row r="855" customFormat="false" ht="15" hidden="false" customHeight="false" outlineLevel="0" collapsed="false">
      <c r="A855" s="40" t="n">
        <v>46082</v>
      </c>
      <c r="B855" s="41" t="n">
        <v>2026</v>
      </c>
      <c r="C855" s="41" t="n">
        <v>3</v>
      </c>
      <c r="D855" s="41" t="s">
        <v>48</v>
      </c>
      <c r="E855" s="41" t="s">
        <v>35</v>
      </c>
      <c r="F855" s="41" t="s">
        <v>43</v>
      </c>
      <c r="G855" s="41" t="s">
        <v>40</v>
      </c>
      <c r="H855" s="42" t="n">
        <v>37</v>
      </c>
      <c r="I855" s="42" t="n">
        <v>45</v>
      </c>
      <c r="J855" s="42" t="n">
        <v>5072</v>
      </c>
      <c r="K855" s="42" t="n">
        <v>505</v>
      </c>
      <c r="L855" s="43" t="n">
        <f aca="false">J855-K855</f>
        <v>4567</v>
      </c>
      <c r="M855" s="42" t="n">
        <v>2538</v>
      </c>
      <c r="N855" s="43" t="n">
        <f aca="false">L855-M855</f>
        <v>2029</v>
      </c>
    </row>
    <row r="856" customFormat="false" ht="15" hidden="false" customHeight="false" outlineLevel="0" collapsed="false">
      <c r="A856" s="40" t="n">
        <v>46082</v>
      </c>
      <c r="B856" s="41" t="n">
        <v>2026</v>
      </c>
      <c r="C856" s="41" t="n">
        <v>3</v>
      </c>
      <c r="D856" s="41" t="s">
        <v>48</v>
      </c>
      <c r="E856" s="41" t="s">
        <v>35</v>
      </c>
      <c r="F856" s="41" t="s">
        <v>43</v>
      </c>
      <c r="G856" s="41" t="s">
        <v>41</v>
      </c>
      <c r="H856" s="42" t="n">
        <v>58</v>
      </c>
      <c r="I856" s="42" t="n">
        <v>70</v>
      </c>
      <c r="J856" s="42" t="n">
        <v>3773</v>
      </c>
      <c r="K856" s="42" t="n">
        <v>90</v>
      </c>
      <c r="L856" s="43" t="n">
        <f aca="false">J856-K856</f>
        <v>3683</v>
      </c>
      <c r="M856" s="42" t="n">
        <v>1814</v>
      </c>
      <c r="N856" s="43" t="n">
        <f aca="false">L856-M856</f>
        <v>1869</v>
      </c>
    </row>
    <row r="857" customFormat="false" ht="15" hidden="false" customHeight="false" outlineLevel="0" collapsed="false">
      <c r="A857" s="40" t="n">
        <v>46082</v>
      </c>
      <c r="B857" s="41" t="n">
        <v>2026</v>
      </c>
      <c r="C857" s="41" t="n">
        <v>3</v>
      </c>
      <c r="D857" s="41" t="s">
        <v>48</v>
      </c>
      <c r="E857" s="41" t="s">
        <v>44</v>
      </c>
      <c r="F857" s="41" t="s">
        <v>36</v>
      </c>
      <c r="G857" s="41" t="s">
        <v>37</v>
      </c>
      <c r="H857" s="42" t="n">
        <v>69</v>
      </c>
      <c r="I857" s="42" t="n">
        <v>102</v>
      </c>
      <c r="J857" s="42" t="n">
        <v>13052</v>
      </c>
      <c r="K857" s="42" t="n">
        <v>592</v>
      </c>
      <c r="L857" s="43" t="n">
        <f aca="false">J857-K857</f>
        <v>12460</v>
      </c>
      <c r="M857" s="42" t="n">
        <v>6724</v>
      </c>
      <c r="N857" s="43" t="n">
        <f aca="false">L857-M857</f>
        <v>5736</v>
      </c>
    </row>
    <row r="858" customFormat="false" ht="15" hidden="false" customHeight="false" outlineLevel="0" collapsed="false">
      <c r="A858" s="40" t="n">
        <v>46082</v>
      </c>
      <c r="B858" s="41" t="n">
        <v>2026</v>
      </c>
      <c r="C858" s="41" t="n">
        <v>3</v>
      </c>
      <c r="D858" s="41" t="s">
        <v>48</v>
      </c>
      <c r="E858" s="41" t="s">
        <v>44</v>
      </c>
      <c r="F858" s="41" t="s">
        <v>36</v>
      </c>
      <c r="G858" s="41" t="s">
        <v>38</v>
      </c>
      <c r="H858" s="42" t="n">
        <v>94</v>
      </c>
      <c r="I858" s="42" t="n">
        <v>127</v>
      </c>
      <c r="J858" s="42" t="n">
        <v>10518</v>
      </c>
      <c r="K858" s="42" t="n">
        <v>594</v>
      </c>
      <c r="L858" s="43" t="n">
        <f aca="false">J858-K858</f>
        <v>9924</v>
      </c>
      <c r="M858" s="42" t="n">
        <v>4542</v>
      </c>
      <c r="N858" s="43" t="n">
        <f aca="false">L858-M858</f>
        <v>5382</v>
      </c>
    </row>
    <row r="859" customFormat="false" ht="15" hidden="false" customHeight="false" outlineLevel="0" collapsed="false">
      <c r="A859" s="40" t="n">
        <v>46082</v>
      </c>
      <c r="B859" s="41" t="n">
        <v>2026</v>
      </c>
      <c r="C859" s="41" t="n">
        <v>3</v>
      </c>
      <c r="D859" s="41" t="s">
        <v>48</v>
      </c>
      <c r="E859" s="41" t="s">
        <v>44</v>
      </c>
      <c r="F859" s="41" t="s">
        <v>36</v>
      </c>
      <c r="G859" s="41" t="s">
        <v>39</v>
      </c>
      <c r="H859" s="42" t="n">
        <v>160</v>
      </c>
      <c r="I859" s="42" t="n">
        <v>206</v>
      </c>
      <c r="J859" s="42" t="n">
        <v>13480</v>
      </c>
      <c r="K859" s="42" t="n">
        <v>1597</v>
      </c>
      <c r="L859" s="43" t="n">
        <f aca="false">J859-K859</f>
        <v>11883</v>
      </c>
      <c r="M859" s="42" t="n">
        <v>4643</v>
      </c>
      <c r="N859" s="43" t="n">
        <f aca="false">L859-M859</f>
        <v>7240</v>
      </c>
    </row>
    <row r="860" customFormat="false" ht="15" hidden="false" customHeight="false" outlineLevel="0" collapsed="false">
      <c r="A860" s="40" t="n">
        <v>46082</v>
      </c>
      <c r="B860" s="41" t="n">
        <v>2026</v>
      </c>
      <c r="C860" s="41" t="n">
        <v>3</v>
      </c>
      <c r="D860" s="41" t="s">
        <v>48</v>
      </c>
      <c r="E860" s="41" t="s">
        <v>44</v>
      </c>
      <c r="F860" s="41" t="s">
        <v>36</v>
      </c>
      <c r="G860" s="41" t="s">
        <v>40</v>
      </c>
      <c r="H860" s="42" t="n">
        <v>77</v>
      </c>
      <c r="I860" s="42" t="n">
        <v>93</v>
      </c>
      <c r="J860" s="42" t="n">
        <v>9891</v>
      </c>
      <c r="K860" s="42" t="n">
        <v>1409</v>
      </c>
      <c r="L860" s="43" t="n">
        <f aca="false">J860-K860</f>
        <v>8482</v>
      </c>
      <c r="M860" s="42" t="n">
        <v>4745</v>
      </c>
      <c r="N860" s="43" t="n">
        <f aca="false">L860-M860</f>
        <v>3737</v>
      </c>
    </row>
    <row r="861" customFormat="false" ht="15" hidden="false" customHeight="false" outlineLevel="0" collapsed="false">
      <c r="A861" s="40" t="n">
        <v>46082</v>
      </c>
      <c r="B861" s="41" t="n">
        <v>2026</v>
      </c>
      <c r="C861" s="41" t="n">
        <v>3</v>
      </c>
      <c r="D861" s="41" t="s">
        <v>48</v>
      </c>
      <c r="E861" s="41" t="s">
        <v>44</v>
      </c>
      <c r="F861" s="41" t="s">
        <v>36</v>
      </c>
      <c r="G861" s="41" t="s">
        <v>41</v>
      </c>
      <c r="H861" s="42" t="n">
        <v>89</v>
      </c>
      <c r="I861" s="42" t="n">
        <v>136</v>
      </c>
      <c r="J861" s="42" t="n">
        <v>5455</v>
      </c>
      <c r="K861" s="42" t="n">
        <v>146</v>
      </c>
      <c r="L861" s="43" t="n">
        <f aca="false">J861-K861</f>
        <v>5309</v>
      </c>
      <c r="M861" s="42" t="n">
        <v>2502</v>
      </c>
      <c r="N861" s="43" t="n">
        <f aca="false">L861-M861</f>
        <v>2807</v>
      </c>
    </row>
    <row r="862" customFormat="false" ht="15" hidden="false" customHeight="false" outlineLevel="0" collapsed="false">
      <c r="A862" s="40" t="n">
        <v>46082</v>
      </c>
      <c r="B862" s="41" t="n">
        <v>2026</v>
      </c>
      <c r="C862" s="41" t="n">
        <v>3</v>
      </c>
      <c r="D862" s="41" t="s">
        <v>48</v>
      </c>
      <c r="E862" s="41" t="s">
        <v>44</v>
      </c>
      <c r="F862" s="41" t="s">
        <v>42</v>
      </c>
      <c r="G862" s="41" t="s">
        <v>37</v>
      </c>
      <c r="H862" s="42" t="n">
        <v>46</v>
      </c>
      <c r="I862" s="42" t="n">
        <v>58</v>
      </c>
      <c r="J862" s="42" t="n">
        <v>8059</v>
      </c>
      <c r="K862" s="42" t="n">
        <v>434</v>
      </c>
      <c r="L862" s="43" t="n">
        <f aca="false">J862-K862</f>
        <v>7625</v>
      </c>
      <c r="M862" s="42" t="n">
        <v>4287</v>
      </c>
      <c r="N862" s="43" t="n">
        <f aca="false">L862-M862</f>
        <v>3338</v>
      </c>
    </row>
    <row r="863" customFormat="false" ht="15" hidden="false" customHeight="false" outlineLevel="0" collapsed="false">
      <c r="A863" s="40" t="n">
        <v>46082</v>
      </c>
      <c r="B863" s="41" t="n">
        <v>2026</v>
      </c>
      <c r="C863" s="41" t="n">
        <v>3</v>
      </c>
      <c r="D863" s="41" t="s">
        <v>48</v>
      </c>
      <c r="E863" s="41" t="s">
        <v>44</v>
      </c>
      <c r="F863" s="41" t="s">
        <v>42</v>
      </c>
      <c r="G863" s="41" t="s">
        <v>38</v>
      </c>
      <c r="H863" s="42" t="n">
        <v>73</v>
      </c>
      <c r="I863" s="42" t="n">
        <v>107</v>
      </c>
      <c r="J863" s="42" t="n">
        <v>7506</v>
      </c>
      <c r="K863" s="42" t="n">
        <v>485</v>
      </c>
      <c r="L863" s="43" t="n">
        <f aca="false">J863-K863</f>
        <v>7021</v>
      </c>
      <c r="M863" s="42" t="n">
        <v>3371</v>
      </c>
      <c r="N863" s="43" t="n">
        <f aca="false">L863-M863</f>
        <v>3650</v>
      </c>
    </row>
    <row r="864" customFormat="false" ht="15" hidden="false" customHeight="false" outlineLevel="0" collapsed="false">
      <c r="A864" s="40" t="n">
        <v>46082</v>
      </c>
      <c r="B864" s="41" t="n">
        <v>2026</v>
      </c>
      <c r="C864" s="41" t="n">
        <v>3</v>
      </c>
      <c r="D864" s="41" t="s">
        <v>48</v>
      </c>
      <c r="E864" s="41" t="s">
        <v>44</v>
      </c>
      <c r="F864" s="41" t="s">
        <v>42</v>
      </c>
      <c r="G864" s="41" t="s">
        <v>39</v>
      </c>
      <c r="H864" s="42" t="n">
        <v>119</v>
      </c>
      <c r="I864" s="42" t="n">
        <v>173</v>
      </c>
      <c r="J864" s="42" t="n">
        <v>9194</v>
      </c>
      <c r="K864" s="42" t="n">
        <v>1460</v>
      </c>
      <c r="L864" s="43" t="n">
        <f aca="false">J864-K864</f>
        <v>7734</v>
      </c>
      <c r="M864" s="42" t="n">
        <v>3267</v>
      </c>
      <c r="N864" s="43" t="n">
        <f aca="false">L864-M864</f>
        <v>4467</v>
      </c>
    </row>
    <row r="865" customFormat="false" ht="15" hidden="false" customHeight="false" outlineLevel="0" collapsed="false">
      <c r="A865" s="40" t="n">
        <v>46082</v>
      </c>
      <c r="B865" s="41" t="n">
        <v>2026</v>
      </c>
      <c r="C865" s="41" t="n">
        <v>3</v>
      </c>
      <c r="D865" s="41" t="s">
        <v>48</v>
      </c>
      <c r="E865" s="41" t="s">
        <v>44</v>
      </c>
      <c r="F865" s="41" t="s">
        <v>42</v>
      </c>
      <c r="G865" s="41" t="s">
        <v>40</v>
      </c>
      <c r="H865" s="42" t="n">
        <v>51</v>
      </c>
      <c r="I865" s="42" t="n">
        <v>61</v>
      </c>
      <c r="J865" s="42" t="n">
        <v>5956</v>
      </c>
      <c r="K865" s="42" t="n">
        <v>1024</v>
      </c>
      <c r="L865" s="43" t="n">
        <f aca="false">J865-K865</f>
        <v>4932</v>
      </c>
      <c r="M865" s="42" t="n">
        <v>2858</v>
      </c>
      <c r="N865" s="43" t="n">
        <f aca="false">L865-M865</f>
        <v>2074</v>
      </c>
    </row>
    <row r="866" customFormat="false" ht="15" hidden="false" customHeight="false" outlineLevel="0" collapsed="false">
      <c r="A866" s="40" t="n">
        <v>46082</v>
      </c>
      <c r="B866" s="41" t="n">
        <v>2026</v>
      </c>
      <c r="C866" s="41" t="n">
        <v>3</v>
      </c>
      <c r="D866" s="41" t="s">
        <v>48</v>
      </c>
      <c r="E866" s="41" t="s">
        <v>44</v>
      </c>
      <c r="F866" s="41" t="s">
        <v>42</v>
      </c>
      <c r="G866" s="41" t="s">
        <v>41</v>
      </c>
      <c r="H866" s="42" t="n">
        <v>69</v>
      </c>
      <c r="I866" s="42" t="n">
        <v>98</v>
      </c>
      <c r="J866" s="42" t="n">
        <v>3895</v>
      </c>
      <c r="K866" s="42" t="n">
        <v>179</v>
      </c>
      <c r="L866" s="43" t="n">
        <f aca="false">J866-K866</f>
        <v>3716</v>
      </c>
      <c r="M866" s="42" t="n">
        <v>1894</v>
      </c>
      <c r="N866" s="43" t="n">
        <f aca="false">L866-M866</f>
        <v>1822</v>
      </c>
    </row>
    <row r="867" customFormat="false" ht="15" hidden="false" customHeight="false" outlineLevel="0" collapsed="false">
      <c r="A867" s="40" t="n">
        <v>46082</v>
      </c>
      <c r="B867" s="41" t="n">
        <v>2026</v>
      </c>
      <c r="C867" s="41" t="n">
        <v>3</v>
      </c>
      <c r="D867" s="41" t="s">
        <v>48</v>
      </c>
      <c r="E867" s="41" t="s">
        <v>44</v>
      </c>
      <c r="F867" s="41" t="s">
        <v>43</v>
      </c>
      <c r="G867" s="41" t="s">
        <v>37</v>
      </c>
      <c r="H867" s="42" t="n">
        <v>24</v>
      </c>
      <c r="I867" s="42" t="n">
        <v>33</v>
      </c>
      <c r="J867" s="42" t="n">
        <v>4829</v>
      </c>
      <c r="K867" s="42" t="n">
        <v>109</v>
      </c>
      <c r="L867" s="43" t="n">
        <f aca="false">J867-K867</f>
        <v>4720</v>
      </c>
      <c r="M867" s="42" t="n">
        <v>2443</v>
      </c>
      <c r="N867" s="43" t="n">
        <f aca="false">L867-M867</f>
        <v>2277</v>
      </c>
    </row>
    <row r="868" customFormat="false" ht="15" hidden="false" customHeight="false" outlineLevel="0" collapsed="false">
      <c r="A868" s="40" t="n">
        <v>46082</v>
      </c>
      <c r="B868" s="41" t="n">
        <v>2026</v>
      </c>
      <c r="C868" s="41" t="n">
        <v>3</v>
      </c>
      <c r="D868" s="41" t="s">
        <v>48</v>
      </c>
      <c r="E868" s="41" t="s">
        <v>44</v>
      </c>
      <c r="F868" s="41" t="s">
        <v>43</v>
      </c>
      <c r="G868" s="41" t="s">
        <v>38</v>
      </c>
      <c r="H868" s="42" t="n">
        <v>45</v>
      </c>
      <c r="I868" s="42" t="n">
        <v>60</v>
      </c>
      <c r="J868" s="42" t="n">
        <v>5335</v>
      </c>
      <c r="K868" s="42" t="n">
        <v>195</v>
      </c>
      <c r="L868" s="43" t="n">
        <f aca="false">J868-K868</f>
        <v>5140</v>
      </c>
      <c r="M868" s="42" t="n">
        <v>2307</v>
      </c>
      <c r="N868" s="43" t="n">
        <f aca="false">L868-M868</f>
        <v>2833</v>
      </c>
    </row>
    <row r="869" customFormat="false" ht="15" hidden="false" customHeight="false" outlineLevel="0" collapsed="false">
      <c r="A869" s="40" t="n">
        <v>46082</v>
      </c>
      <c r="B869" s="41" t="n">
        <v>2026</v>
      </c>
      <c r="C869" s="41" t="n">
        <v>3</v>
      </c>
      <c r="D869" s="41" t="s">
        <v>48</v>
      </c>
      <c r="E869" s="41" t="s">
        <v>44</v>
      </c>
      <c r="F869" s="41" t="s">
        <v>43</v>
      </c>
      <c r="G869" s="41" t="s">
        <v>39</v>
      </c>
      <c r="H869" s="42" t="n">
        <v>63</v>
      </c>
      <c r="I869" s="42" t="n">
        <v>79</v>
      </c>
      <c r="J869" s="42" t="n">
        <v>5571</v>
      </c>
      <c r="K869" s="42" t="n">
        <v>367</v>
      </c>
      <c r="L869" s="43" t="n">
        <f aca="false">J869-K869</f>
        <v>5204</v>
      </c>
      <c r="M869" s="42" t="n">
        <v>2072</v>
      </c>
      <c r="N869" s="43" t="n">
        <f aca="false">L869-M869</f>
        <v>3132</v>
      </c>
    </row>
    <row r="870" customFormat="false" ht="15" hidden="false" customHeight="false" outlineLevel="0" collapsed="false">
      <c r="A870" s="40" t="n">
        <v>46082</v>
      </c>
      <c r="B870" s="41" t="n">
        <v>2026</v>
      </c>
      <c r="C870" s="41" t="n">
        <v>3</v>
      </c>
      <c r="D870" s="41" t="s">
        <v>48</v>
      </c>
      <c r="E870" s="41" t="s">
        <v>44</v>
      </c>
      <c r="F870" s="41" t="s">
        <v>43</v>
      </c>
      <c r="G870" s="41" t="s">
        <v>40</v>
      </c>
      <c r="H870" s="42" t="n">
        <v>32</v>
      </c>
      <c r="I870" s="42" t="n">
        <v>41</v>
      </c>
      <c r="J870" s="42" t="n">
        <v>4346</v>
      </c>
      <c r="K870" s="42" t="n">
        <v>305</v>
      </c>
      <c r="L870" s="43" t="n">
        <f aca="false">J870-K870</f>
        <v>4041</v>
      </c>
      <c r="M870" s="42" t="n">
        <v>2192</v>
      </c>
      <c r="N870" s="43" t="n">
        <f aca="false">L870-M870</f>
        <v>1849</v>
      </c>
    </row>
    <row r="871" customFormat="false" ht="15" hidden="false" customHeight="false" outlineLevel="0" collapsed="false">
      <c r="A871" s="40" t="n">
        <v>46082</v>
      </c>
      <c r="B871" s="41" t="n">
        <v>2026</v>
      </c>
      <c r="C871" s="41" t="n">
        <v>3</v>
      </c>
      <c r="D871" s="41" t="s">
        <v>48</v>
      </c>
      <c r="E871" s="41" t="s">
        <v>44</v>
      </c>
      <c r="F871" s="41" t="s">
        <v>43</v>
      </c>
      <c r="G871" s="41" t="s">
        <v>41</v>
      </c>
      <c r="H871" s="42" t="n">
        <v>46</v>
      </c>
      <c r="I871" s="42" t="n">
        <v>62</v>
      </c>
      <c r="J871" s="42" t="n">
        <v>2961</v>
      </c>
      <c r="K871" s="42" t="n">
        <v>66</v>
      </c>
      <c r="L871" s="43" t="n">
        <f aca="false">J871-K871</f>
        <v>2895</v>
      </c>
      <c r="M871" s="42" t="n">
        <v>1415</v>
      </c>
      <c r="N871" s="43" t="n">
        <f aca="false">L871-M871</f>
        <v>1480</v>
      </c>
    </row>
    <row r="872" customFormat="false" ht="15" hidden="false" customHeight="false" outlineLevel="0" collapsed="false">
      <c r="A872" s="40" t="n">
        <v>46082</v>
      </c>
      <c r="B872" s="41" t="n">
        <v>2026</v>
      </c>
      <c r="C872" s="41" t="n">
        <v>3</v>
      </c>
      <c r="D872" s="41" t="s">
        <v>48</v>
      </c>
      <c r="E872" s="41" t="s">
        <v>45</v>
      </c>
      <c r="F872" s="41" t="s">
        <v>36</v>
      </c>
      <c r="G872" s="41" t="s">
        <v>37</v>
      </c>
      <c r="H872" s="42" t="n">
        <v>41</v>
      </c>
      <c r="I872" s="42" t="n">
        <v>60</v>
      </c>
      <c r="J872" s="42" t="n">
        <v>7762</v>
      </c>
      <c r="K872" s="42" t="n">
        <v>254</v>
      </c>
      <c r="L872" s="43" t="n">
        <f aca="false">J872-K872</f>
        <v>7508</v>
      </c>
      <c r="M872" s="42" t="n">
        <v>4057</v>
      </c>
      <c r="N872" s="43" t="n">
        <f aca="false">L872-M872</f>
        <v>3451</v>
      </c>
    </row>
    <row r="873" customFormat="false" ht="15" hidden="false" customHeight="false" outlineLevel="0" collapsed="false">
      <c r="A873" s="40" t="n">
        <v>46082</v>
      </c>
      <c r="B873" s="41" t="n">
        <v>2026</v>
      </c>
      <c r="C873" s="41" t="n">
        <v>3</v>
      </c>
      <c r="D873" s="41" t="s">
        <v>48</v>
      </c>
      <c r="E873" s="41" t="s">
        <v>45</v>
      </c>
      <c r="F873" s="41" t="s">
        <v>36</v>
      </c>
      <c r="G873" s="41" t="s">
        <v>38</v>
      </c>
      <c r="H873" s="42" t="n">
        <v>62</v>
      </c>
      <c r="I873" s="42" t="n">
        <v>79</v>
      </c>
      <c r="J873" s="42" t="n">
        <v>6927</v>
      </c>
      <c r="K873" s="42" t="n">
        <v>410</v>
      </c>
      <c r="L873" s="43" t="n">
        <f aca="false">J873-K873</f>
        <v>6517</v>
      </c>
      <c r="M873" s="42" t="n">
        <v>2908</v>
      </c>
      <c r="N873" s="43" t="n">
        <f aca="false">L873-M873</f>
        <v>3609</v>
      </c>
    </row>
    <row r="874" customFormat="false" ht="15" hidden="false" customHeight="false" outlineLevel="0" collapsed="false">
      <c r="A874" s="40" t="n">
        <v>46082</v>
      </c>
      <c r="B874" s="41" t="n">
        <v>2026</v>
      </c>
      <c r="C874" s="41" t="n">
        <v>3</v>
      </c>
      <c r="D874" s="41" t="s">
        <v>48</v>
      </c>
      <c r="E874" s="41" t="s">
        <v>45</v>
      </c>
      <c r="F874" s="41" t="s">
        <v>36</v>
      </c>
      <c r="G874" s="41" t="s">
        <v>39</v>
      </c>
      <c r="H874" s="42" t="n">
        <v>99</v>
      </c>
      <c r="I874" s="42" t="n">
        <v>153</v>
      </c>
      <c r="J874" s="42" t="n">
        <v>8347</v>
      </c>
      <c r="K874" s="42" t="n">
        <v>872</v>
      </c>
      <c r="L874" s="43" t="n">
        <f aca="false">J874-K874</f>
        <v>7475</v>
      </c>
      <c r="M874" s="42" t="n">
        <v>2985</v>
      </c>
      <c r="N874" s="43" t="n">
        <f aca="false">L874-M874</f>
        <v>4490</v>
      </c>
    </row>
    <row r="875" customFormat="false" ht="15" hidden="false" customHeight="false" outlineLevel="0" collapsed="false">
      <c r="A875" s="40" t="n">
        <v>46082</v>
      </c>
      <c r="B875" s="41" t="n">
        <v>2026</v>
      </c>
      <c r="C875" s="41" t="n">
        <v>3</v>
      </c>
      <c r="D875" s="41" t="s">
        <v>48</v>
      </c>
      <c r="E875" s="41" t="s">
        <v>45</v>
      </c>
      <c r="F875" s="41" t="s">
        <v>36</v>
      </c>
      <c r="G875" s="41" t="s">
        <v>40</v>
      </c>
      <c r="H875" s="42" t="n">
        <v>49</v>
      </c>
      <c r="I875" s="42" t="n">
        <v>67</v>
      </c>
      <c r="J875" s="42" t="n">
        <v>6320</v>
      </c>
      <c r="K875" s="42" t="n">
        <v>897</v>
      </c>
      <c r="L875" s="43" t="n">
        <f aca="false">J875-K875</f>
        <v>5423</v>
      </c>
      <c r="M875" s="42" t="n">
        <v>2984</v>
      </c>
      <c r="N875" s="43" t="n">
        <f aca="false">L875-M875</f>
        <v>2439</v>
      </c>
    </row>
    <row r="876" customFormat="false" ht="15" hidden="false" customHeight="false" outlineLevel="0" collapsed="false">
      <c r="A876" s="40" t="n">
        <v>46082</v>
      </c>
      <c r="B876" s="41" t="n">
        <v>2026</v>
      </c>
      <c r="C876" s="41" t="n">
        <v>3</v>
      </c>
      <c r="D876" s="41" t="s">
        <v>48</v>
      </c>
      <c r="E876" s="41" t="s">
        <v>45</v>
      </c>
      <c r="F876" s="41" t="s">
        <v>36</v>
      </c>
      <c r="G876" s="41" t="s">
        <v>41</v>
      </c>
      <c r="H876" s="42" t="n">
        <v>81</v>
      </c>
      <c r="I876" s="42" t="n">
        <v>100</v>
      </c>
      <c r="J876" s="42" t="n">
        <v>4936</v>
      </c>
      <c r="K876" s="42" t="n">
        <v>168</v>
      </c>
      <c r="L876" s="43" t="n">
        <f aca="false">J876-K876</f>
        <v>4768</v>
      </c>
      <c r="M876" s="42" t="n">
        <v>2242</v>
      </c>
      <c r="N876" s="43" t="n">
        <f aca="false">L876-M876</f>
        <v>2526</v>
      </c>
    </row>
    <row r="877" customFormat="false" ht="15" hidden="false" customHeight="false" outlineLevel="0" collapsed="false">
      <c r="A877" s="40" t="n">
        <v>46082</v>
      </c>
      <c r="B877" s="41" t="n">
        <v>2026</v>
      </c>
      <c r="C877" s="41" t="n">
        <v>3</v>
      </c>
      <c r="D877" s="41" t="s">
        <v>48</v>
      </c>
      <c r="E877" s="41" t="s">
        <v>45</v>
      </c>
      <c r="F877" s="41" t="s">
        <v>42</v>
      </c>
      <c r="G877" s="41" t="s">
        <v>37</v>
      </c>
      <c r="H877" s="42" t="n">
        <v>35</v>
      </c>
      <c r="I877" s="42" t="n">
        <v>40</v>
      </c>
      <c r="J877" s="42" t="n">
        <v>6087</v>
      </c>
      <c r="K877" s="42" t="n">
        <v>286</v>
      </c>
      <c r="L877" s="43" t="n">
        <f aca="false">J877-K877</f>
        <v>5801</v>
      </c>
      <c r="M877" s="42" t="n">
        <v>3269</v>
      </c>
      <c r="N877" s="43" t="n">
        <f aca="false">L877-M877</f>
        <v>2532</v>
      </c>
    </row>
    <row r="878" customFormat="false" ht="15" hidden="false" customHeight="false" outlineLevel="0" collapsed="false">
      <c r="A878" s="40" t="n">
        <v>46082</v>
      </c>
      <c r="B878" s="41" t="n">
        <v>2026</v>
      </c>
      <c r="C878" s="41" t="n">
        <v>3</v>
      </c>
      <c r="D878" s="41" t="s">
        <v>48</v>
      </c>
      <c r="E878" s="41" t="s">
        <v>45</v>
      </c>
      <c r="F878" s="41" t="s">
        <v>42</v>
      </c>
      <c r="G878" s="41" t="s">
        <v>38</v>
      </c>
      <c r="H878" s="42" t="n">
        <v>51</v>
      </c>
      <c r="I878" s="42" t="n">
        <v>77</v>
      </c>
      <c r="J878" s="42" t="n">
        <v>5219</v>
      </c>
      <c r="K878" s="42" t="n">
        <v>317</v>
      </c>
      <c r="L878" s="43" t="n">
        <f aca="false">J878-K878</f>
        <v>4902</v>
      </c>
      <c r="M878" s="42" t="n">
        <v>2293</v>
      </c>
      <c r="N878" s="43" t="n">
        <f aca="false">L878-M878</f>
        <v>2609</v>
      </c>
    </row>
    <row r="879" customFormat="false" ht="15" hidden="false" customHeight="false" outlineLevel="0" collapsed="false">
      <c r="A879" s="40" t="n">
        <v>46082</v>
      </c>
      <c r="B879" s="41" t="n">
        <v>2026</v>
      </c>
      <c r="C879" s="41" t="n">
        <v>3</v>
      </c>
      <c r="D879" s="41" t="s">
        <v>48</v>
      </c>
      <c r="E879" s="41" t="s">
        <v>45</v>
      </c>
      <c r="F879" s="41" t="s">
        <v>42</v>
      </c>
      <c r="G879" s="41" t="s">
        <v>39</v>
      </c>
      <c r="H879" s="42" t="n">
        <v>72</v>
      </c>
      <c r="I879" s="42" t="n">
        <v>101</v>
      </c>
      <c r="J879" s="42" t="n">
        <v>5590</v>
      </c>
      <c r="K879" s="42" t="n">
        <v>864</v>
      </c>
      <c r="L879" s="43" t="n">
        <f aca="false">J879-K879</f>
        <v>4726</v>
      </c>
      <c r="M879" s="42" t="n">
        <v>1960</v>
      </c>
      <c r="N879" s="43" t="n">
        <f aca="false">L879-M879</f>
        <v>2766</v>
      </c>
    </row>
    <row r="880" customFormat="false" ht="15" hidden="false" customHeight="false" outlineLevel="0" collapsed="false">
      <c r="A880" s="40" t="n">
        <v>46082</v>
      </c>
      <c r="B880" s="41" t="n">
        <v>2026</v>
      </c>
      <c r="C880" s="41" t="n">
        <v>3</v>
      </c>
      <c r="D880" s="41" t="s">
        <v>48</v>
      </c>
      <c r="E880" s="41" t="s">
        <v>45</v>
      </c>
      <c r="F880" s="41" t="s">
        <v>42</v>
      </c>
      <c r="G880" s="41" t="s">
        <v>40</v>
      </c>
      <c r="H880" s="42" t="n">
        <v>37</v>
      </c>
      <c r="I880" s="42" t="n">
        <v>58</v>
      </c>
      <c r="J880" s="42" t="n">
        <v>4374</v>
      </c>
      <c r="K880" s="42" t="n">
        <v>820</v>
      </c>
      <c r="L880" s="43" t="n">
        <f aca="false">J880-K880</f>
        <v>3554</v>
      </c>
      <c r="M880" s="42" t="n">
        <v>2039</v>
      </c>
      <c r="N880" s="43" t="n">
        <f aca="false">L880-M880</f>
        <v>1515</v>
      </c>
    </row>
    <row r="881" customFormat="false" ht="15" hidden="false" customHeight="false" outlineLevel="0" collapsed="false">
      <c r="A881" s="40" t="n">
        <v>46082</v>
      </c>
      <c r="B881" s="41" t="n">
        <v>2026</v>
      </c>
      <c r="C881" s="41" t="n">
        <v>3</v>
      </c>
      <c r="D881" s="41" t="s">
        <v>48</v>
      </c>
      <c r="E881" s="41" t="s">
        <v>45</v>
      </c>
      <c r="F881" s="41" t="s">
        <v>42</v>
      </c>
      <c r="G881" s="41" t="s">
        <v>41</v>
      </c>
      <c r="H881" s="42" t="n">
        <v>47</v>
      </c>
      <c r="I881" s="42" t="n">
        <v>67</v>
      </c>
      <c r="J881" s="42" t="n">
        <v>2662</v>
      </c>
      <c r="K881" s="42" t="n">
        <v>105</v>
      </c>
      <c r="L881" s="43" t="n">
        <f aca="false">J881-K881</f>
        <v>2557</v>
      </c>
      <c r="M881" s="42" t="n">
        <v>1315</v>
      </c>
      <c r="N881" s="43" t="n">
        <f aca="false">L881-M881</f>
        <v>1242</v>
      </c>
    </row>
    <row r="882" customFormat="false" ht="15" hidden="false" customHeight="false" outlineLevel="0" collapsed="false">
      <c r="A882" s="40" t="n">
        <v>46082</v>
      </c>
      <c r="B882" s="41" t="n">
        <v>2026</v>
      </c>
      <c r="C882" s="41" t="n">
        <v>3</v>
      </c>
      <c r="D882" s="41" t="s">
        <v>48</v>
      </c>
      <c r="E882" s="41" t="s">
        <v>45</v>
      </c>
      <c r="F882" s="41" t="s">
        <v>43</v>
      </c>
      <c r="G882" s="41" t="s">
        <v>37</v>
      </c>
      <c r="H882" s="42" t="n">
        <v>20</v>
      </c>
      <c r="I882" s="42" t="n">
        <v>29</v>
      </c>
      <c r="J882" s="42" t="n">
        <v>3993</v>
      </c>
      <c r="K882" s="42" t="n">
        <v>118</v>
      </c>
      <c r="L882" s="43" t="n">
        <f aca="false">J882-K882</f>
        <v>3875</v>
      </c>
      <c r="M882" s="42" t="n">
        <v>2038</v>
      </c>
      <c r="N882" s="43" t="n">
        <f aca="false">L882-M882</f>
        <v>1837</v>
      </c>
    </row>
    <row r="883" customFormat="false" ht="15" hidden="false" customHeight="false" outlineLevel="0" collapsed="false">
      <c r="A883" s="40" t="n">
        <v>46082</v>
      </c>
      <c r="B883" s="41" t="n">
        <v>2026</v>
      </c>
      <c r="C883" s="41" t="n">
        <v>3</v>
      </c>
      <c r="D883" s="41" t="s">
        <v>48</v>
      </c>
      <c r="E883" s="41" t="s">
        <v>45</v>
      </c>
      <c r="F883" s="41" t="s">
        <v>43</v>
      </c>
      <c r="G883" s="41" t="s">
        <v>38</v>
      </c>
      <c r="H883" s="42" t="n">
        <v>31</v>
      </c>
      <c r="I883" s="42" t="n">
        <v>45</v>
      </c>
      <c r="J883" s="42" t="n">
        <v>3657</v>
      </c>
      <c r="K883" s="42" t="n">
        <v>149</v>
      </c>
      <c r="L883" s="43" t="n">
        <f aca="false">J883-K883</f>
        <v>3508</v>
      </c>
      <c r="M883" s="42" t="n">
        <v>1578</v>
      </c>
      <c r="N883" s="43" t="n">
        <f aca="false">L883-M883</f>
        <v>1930</v>
      </c>
    </row>
    <row r="884" customFormat="false" ht="15" hidden="false" customHeight="false" outlineLevel="0" collapsed="false">
      <c r="A884" s="40" t="n">
        <v>46082</v>
      </c>
      <c r="B884" s="41" t="n">
        <v>2026</v>
      </c>
      <c r="C884" s="41" t="n">
        <v>3</v>
      </c>
      <c r="D884" s="41" t="s">
        <v>48</v>
      </c>
      <c r="E884" s="41" t="s">
        <v>45</v>
      </c>
      <c r="F884" s="41" t="s">
        <v>43</v>
      </c>
      <c r="G884" s="41" t="s">
        <v>39</v>
      </c>
      <c r="H884" s="42" t="n">
        <v>47</v>
      </c>
      <c r="I884" s="42" t="n">
        <v>75</v>
      </c>
      <c r="J884" s="42" t="n">
        <v>4161</v>
      </c>
      <c r="K884" s="42" t="n">
        <v>240</v>
      </c>
      <c r="L884" s="43" t="n">
        <f aca="false">J884-K884</f>
        <v>3921</v>
      </c>
      <c r="M884" s="42" t="n">
        <v>1560</v>
      </c>
      <c r="N884" s="43" t="n">
        <f aca="false">L884-M884</f>
        <v>2361</v>
      </c>
    </row>
    <row r="885" customFormat="false" ht="15" hidden="false" customHeight="false" outlineLevel="0" collapsed="false">
      <c r="A885" s="40" t="n">
        <v>46082</v>
      </c>
      <c r="B885" s="41" t="n">
        <v>2026</v>
      </c>
      <c r="C885" s="41" t="n">
        <v>3</v>
      </c>
      <c r="D885" s="41" t="s">
        <v>48</v>
      </c>
      <c r="E885" s="41" t="s">
        <v>45</v>
      </c>
      <c r="F885" s="41" t="s">
        <v>43</v>
      </c>
      <c r="G885" s="41" t="s">
        <v>40</v>
      </c>
      <c r="H885" s="42" t="n">
        <v>24</v>
      </c>
      <c r="I885" s="42" t="n">
        <v>34</v>
      </c>
      <c r="J885" s="42" t="n">
        <v>3275</v>
      </c>
      <c r="K885" s="42" t="n">
        <v>269</v>
      </c>
      <c r="L885" s="43" t="n">
        <f aca="false">J885-K885</f>
        <v>3006</v>
      </c>
      <c r="M885" s="42" t="n">
        <v>1678</v>
      </c>
      <c r="N885" s="43" t="n">
        <f aca="false">L885-M885</f>
        <v>1328</v>
      </c>
    </row>
    <row r="886" customFormat="false" ht="15" hidden="false" customHeight="false" outlineLevel="0" collapsed="false">
      <c r="A886" s="40" t="n">
        <v>46082</v>
      </c>
      <c r="B886" s="41" t="n">
        <v>2026</v>
      </c>
      <c r="C886" s="41" t="n">
        <v>3</v>
      </c>
      <c r="D886" s="41" t="s">
        <v>48</v>
      </c>
      <c r="E886" s="41" t="s">
        <v>45</v>
      </c>
      <c r="F886" s="41" t="s">
        <v>43</v>
      </c>
      <c r="G886" s="41" t="s">
        <v>41</v>
      </c>
      <c r="H886" s="42" t="n">
        <v>36</v>
      </c>
      <c r="I886" s="42" t="n">
        <v>53</v>
      </c>
      <c r="J886" s="42" t="n">
        <v>2304</v>
      </c>
      <c r="K886" s="42" t="n">
        <v>53</v>
      </c>
      <c r="L886" s="43" t="n">
        <f aca="false">J886-K886</f>
        <v>2251</v>
      </c>
      <c r="M886" s="42" t="n">
        <v>1050</v>
      </c>
      <c r="N886" s="43" t="n">
        <f aca="false">L886-M886</f>
        <v>1201</v>
      </c>
    </row>
    <row r="887" customFormat="false" ht="15" hidden="false" customHeight="false" outlineLevel="0" collapsed="false">
      <c r="A887" s="40" t="n">
        <v>46082</v>
      </c>
      <c r="B887" s="41" t="n">
        <v>2026</v>
      </c>
      <c r="C887" s="41" t="n">
        <v>3</v>
      </c>
      <c r="D887" s="41" t="s">
        <v>48</v>
      </c>
      <c r="E887" s="41" t="s">
        <v>46</v>
      </c>
      <c r="F887" s="41" t="s">
        <v>36</v>
      </c>
      <c r="G887" s="41" t="s">
        <v>37</v>
      </c>
      <c r="H887" s="42" t="n">
        <v>42</v>
      </c>
      <c r="I887" s="42" t="n">
        <v>51</v>
      </c>
      <c r="J887" s="42" t="n">
        <v>7846</v>
      </c>
      <c r="K887" s="42" t="n">
        <v>371</v>
      </c>
      <c r="L887" s="43" t="n">
        <f aca="false">J887-K887</f>
        <v>7475</v>
      </c>
      <c r="M887" s="42" t="n">
        <v>4055</v>
      </c>
      <c r="N887" s="43" t="n">
        <f aca="false">L887-M887</f>
        <v>3420</v>
      </c>
    </row>
    <row r="888" customFormat="false" ht="15" hidden="false" customHeight="false" outlineLevel="0" collapsed="false">
      <c r="A888" s="40" t="n">
        <v>46082</v>
      </c>
      <c r="B888" s="41" t="n">
        <v>2026</v>
      </c>
      <c r="C888" s="41" t="n">
        <v>3</v>
      </c>
      <c r="D888" s="41" t="s">
        <v>48</v>
      </c>
      <c r="E888" s="41" t="s">
        <v>46</v>
      </c>
      <c r="F888" s="41" t="s">
        <v>36</v>
      </c>
      <c r="G888" s="41" t="s">
        <v>38</v>
      </c>
      <c r="H888" s="42" t="n">
        <v>58</v>
      </c>
      <c r="I888" s="42" t="n">
        <v>82</v>
      </c>
      <c r="J888" s="42" t="n">
        <v>6500</v>
      </c>
      <c r="K888" s="42" t="n">
        <v>335</v>
      </c>
      <c r="L888" s="43" t="n">
        <f aca="false">J888-K888</f>
        <v>6165</v>
      </c>
      <c r="M888" s="42" t="n">
        <v>2699</v>
      </c>
      <c r="N888" s="43" t="n">
        <f aca="false">L888-M888</f>
        <v>3466</v>
      </c>
    </row>
    <row r="889" customFormat="false" ht="15" hidden="false" customHeight="false" outlineLevel="0" collapsed="false">
      <c r="A889" s="40" t="n">
        <v>46082</v>
      </c>
      <c r="B889" s="41" t="n">
        <v>2026</v>
      </c>
      <c r="C889" s="41" t="n">
        <v>3</v>
      </c>
      <c r="D889" s="41" t="s">
        <v>48</v>
      </c>
      <c r="E889" s="41" t="s">
        <v>46</v>
      </c>
      <c r="F889" s="41" t="s">
        <v>36</v>
      </c>
      <c r="G889" s="41" t="s">
        <v>39</v>
      </c>
      <c r="H889" s="42" t="n">
        <v>99</v>
      </c>
      <c r="I889" s="42" t="n">
        <v>147</v>
      </c>
      <c r="J889" s="42" t="n">
        <v>8334</v>
      </c>
      <c r="K889" s="42" t="n">
        <v>881</v>
      </c>
      <c r="L889" s="43" t="n">
        <f aca="false">J889-K889</f>
        <v>7453</v>
      </c>
      <c r="M889" s="42" t="n">
        <v>2869</v>
      </c>
      <c r="N889" s="43" t="n">
        <f aca="false">L889-M889</f>
        <v>4584</v>
      </c>
    </row>
    <row r="890" customFormat="false" ht="15" hidden="false" customHeight="false" outlineLevel="0" collapsed="false">
      <c r="A890" s="40" t="n">
        <v>46082</v>
      </c>
      <c r="B890" s="41" t="n">
        <v>2026</v>
      </c>
      <c r="C890" s="41" t="n">
        <v>3</v>
      </c>
      <c r="D890" s="41" t="s">
        <v>48</v>
      </c>
      <c r="E890" s="41" t="s">
        <v>46</v>
      </c>
      <c r="F890" s="41" t="s">
        <v>36</v>
      </c>
      <c r="G890" s="41" t="s">
        <v>40</v>
      </c>
      <c r="H890" s="42" t="n">
        <v>52</v>
      </c>
      <c r="I890" s="42" t="n">
        <v>67</v>
      </c>
      <c r="J890" s="42" t="n">
        <v>6642</v>
      </c>
      <c r="K890" s="42" t="n">
        <v>811</v>
      </c>
      <c r="L890" s="43" t="n">
        <f aca="false">J890-K890</f>
        <v>5831</v>
      </c>
      <c r="M890" s="42" t="n">
        <v>3192</v>
      </c>
      <c r="N890" s="43" t="n">
        <f aca="false">L890-M890</f>
        <v>2639</v>
      </c>
    </row>
    <row r="891" customFormat="false" ht="15" hidden="false" customHeight="false" outlineLevel="0" collapsed="false">
      <c r="A891" s="40" t="n">
        <v>46082</v>
      </c>
      <c r="B891" s="41" t="n">
        <v>2026</v>
      </c>
      <c r="C891" s="41" t="n">
        <v>3</v>
      </c>
      <c r="D891" s="41" t="s">
        <v>48</v>
      </c>
      <c r="E891" s="41" t="s">
        <v>46</v>
      </c>
      <c r="F891" s="41" t="s">
        <v>36</v>
      </c>
      <c r="G891" s="41" t="s">
        <v>41</v>
      </c>
      <c r="H891" s="42" t="n">
        <v>77</v>
      </c>
      <c r="I891" s="42" t="n">
        <v>111</v>
      </c>
      <c r="J891" s="42" t="n">
        <v>4677</v>
      </c>
      <c r="K891" s="42" t="n">
        <v>157</v>
      </c>
      <c r="L891" s="43" t="n">
        <f aca="false">J891-K891</f>
        <v>4520</v>
      </c>
      <c r="M891" s="42" t="n">
        <v>2192</v>
      </c>
      <c r="N891" s="43" t="n">
        <f aca="false">L891-M891</f>
        <v>2328</v>
      </c>
    </row>
    <row r="892" customFormat="false" ht="15" hidden="false" customHeight="false" outlineLevel="0" collapsed="false">
      <c r="A892" s="40" t="n">
        <v>46082</v>
      </c>
      <c r="B892" s="41" t="n">
        <v>2026</v>
      </c>
      <c r="C892" s="41" t="n">
        <v>3</v>
      </c>
      <c r="D892" s="41" t="s">
        <v>48</v>
      </c>
      <c r="E892" s="41" t="s">
        <v>46</v>
      </c>
      <c r="F892" s="41" t="s">
        <v>42</v>
      </c>
      <c r="G892" s="41" t="s">
        <v>37</v>
      </c>
      <c r="H892" s="42" t="n">
        <v>32</v>
      </c>
      <c r="I892" s="42" t="n">
        <v>51</v>
      </c>
      <c r="J892" s="42" t="n">
        <v>5547</v>
      </c>
      <c r="K892" s="42" t="n">
        <v>325</v>
      </c>
      <c r="L892" s="43" t="n">
        <f aca="false">J892-K892</f>
        <v>5222</v>
      </c>
      <c r="M892" s="42" t="n">
        <v>2899</v>
      </c>
      <c r="N892" s="43" t="n">
        <f aca="false">L892-M892</f>
        <v>2323</v>
      </c>
    </row>
    <row r="893" customFormat="false" ht="15" hidden="false" customHeight="false" outlineLevel="0" collapsed="false">
      <c r="A893" s="40" t="n">
        <v>46082</v>
      </c>
      <c r="B893" s="41" t="n">
        <v>2026</v>
      </c>
      <c r="C893" s="41" t="n">
        <v>3</v>
      </c>
      <c r="D893" s="41" t="s">
        <v>48</v>
      </c>
      <c r="E893" s="41" t="s">
        <v>46</v>
      </c>
      <c r="F893" s="41" t="s">
        <v>42</v>
      </c>
      <c r="G893" s="41" t="s">
        <v>38</v>
      </c>
      <c r="H893" s="42" t="n">
        <v>46</v>
      </c>
      <c r="I893" s="42" t="n">
        <v>56</v>
      </c>
      <c r="J893" s="42" t="n">
        <v>4709</v>
      </c>
      <c r="K893" s="42" t="n">
        <v>327</v>
      </c>
      <c r="L893" s="43" t="n">
        <f aca="false">J893-K893</f>
        <v>4382</v>
      </c>
      <c r="M893" s="42" t="n">
        <v>2108</v>
      </c>
      <c r="N893" s="43" t="n">
        <f aca="false">L893-M893</f>
        <v>2274</v>
      </c>
    </row>
    <row r="894" customFormat="false" ht="15" hidden="false" customHeight="false" outlineLevel="0" collapsed="false">
      <c r="A894" s="40" t="n">
        <v>46082</v>
      </c>
      <c r="B894" s="41" t="n">
        <v>2026</v>
      </c>
      <c r="C894" s="41" t="n">
        <v>3</v>
      </c>
      <c r="D894" s="41" t="s">
        <v>48</v>
      </c>
      <c r="E894" s="41" t="s">
        <v>46</v>
      </c>
      <c r="F894" s="41" t="s">
        <v>42</v>
      </c>
      <c r="G894" s="41" t="s">
        <v>39</v>
      </c>
      <c r="H894" s="42" t="n">
        <v>84</v>
      </c>
      <c r="I894" s="42" t="n">
        <v>110</v>
      </c>
      <c r="J894" s="42" t="n">
        <v>6470</v>
      </c>
      <c r="K894" s="42" t="n">
        <v>748</v>
      </c>
      <c r="L894" s="43" t="n">
        <f aca="false">J894-K894</f>
        <v>5722</v>
      </c>
      <c r="M894" s="42" t="n">
        <v>2374</v>
      </c>
      <c r="N894" s="43" t="n">
        <f aca="false">L894-M894</f>
        <v>3348</v>
      </c>
    </row>
    <row r="895" customFormat="false" ht="15" hidden="false" customHeight="false" outlineLevel="0" collapsed="false">
      <c r="A895" s="40" t="n">
        <v>46082</v>
      </c>
      <c r="B895" s="41" t="n">
        <v>2026</v>
      </c>
      <c r="C895" s="41" t="n">
        <v>3</v>
      </c>
      <c r="D895" s="41" t="s">
        <v>48</v>
      </c>
      <c r="E895" s="41" t="s">
        <v>46</v>
      </c>
      <c r="F895" s="41" t="s">
        <v>42</v>
      </c>
      <c r="G895" s="41" t="s">
        <v>40</v>
      </c>
      <c r="H895" s="42" t="n">
        <v>40</v>
      </c>
      <c r="I895" s="42" t="n">
        <v>49</v>
      </c>
      <c r="J895" s="42" t="n">
        <v>4759</v>
      </c>
      <c r="K895" s="42" t="n">
        <v>844</v>
      </c>
      <c r="L895" s="43" t="n">
        <f aca="false">J895-K895</f>
        <v>3915</v>
      </c>
      <c r="M895" s="42" t="n">
        <v>2180</v>
      </c>
      <c r="N895" s="43" t="n">
        <f aca="false">L895-M895</f>
        <v>1735</v>
      </c>
    </row>
    <row r="896" customFormat="false" ht="15" hidden="false" customHeight="false" outlineLevel="0" collapsed="false">
      <c r="A896" s="40" t="n">
        <v>46082</v>
      </c>
      <c r="B896" s="41" t="n">
        <v>2026</v>
      </c>
      <c r="C896" s="41" t="n">
        <v>3</v>
      </c>
      <c r="D896" s="41" t="s">
        <v>48</v>
      </c>
      <c r="E896" s="41" t="s">
        <v>46</v>
      </c>
      <c r="F896" s="41" t="s">
        <v>42</v>
      </c>
      <c r="G896" s="41" t="s">
        <v>41</v>
      </c>
      <c r="H896" s="42" t="n">
        <v>48</v>
      </c>
      <c r="I896" s="42" t="n">
        <v>56</v>
      </c>
      <c r="J896" s="42" t="n">
        <v>2718</v>
      </c>
      <c r="K896" s="42" t="n">
        <v>101</v>
      </c>
      <c r="L896" s="43" t="n">
        <f aca="false">J896-K896</f>
        <v>2617</v>
      </c>
      <c r="M896" s="42" t="n">
        <v>1302</v>
      </c>
      <c r="N896" s="43" t="n">
        <f aca="false">L896-M896</f>
        <v>1315</v>
      </c>
    </row>
    <row r="897" customFormat="false" ht="15" hidden="false" customHeight="false" outlineLevel="0" collapsed="false">
      <c r="A897" s="40" t="n">
        <v>46082</v>
      </c>
      <c r="B897" s="41" t="n">
        <v>2026</v>
      </c>
      <c r="C897" s="41" t="n">
        <v>3</v>
      </c>
      <c r="D897" s="41" t="s">
        <v>48</v>
      </c>
      <c r="E897" s="41" t="s">
        <v>46</v>
      </c>
      <c r="F897" s="41" t="s">
        <v>43</v>
      </c>
      <c r="G897" s="41" t="s">
        <v>37</v>
      </c>
      <c r="H897" s="42" t="n">
        <v>22</v>
      </c>
      <c r="I897" s="42" t="n">
        <v>35</v>
      </c>
      <c r="J897" s="42" t="n">
        <v>4461</v>
      </c>
      <c r="K897" s="42" t="n">
        <v>109</v>
      </c>
      <c r="L897" s="43" t="n">
        <f aca="false">J897-K897</f>
        <v>4352</v>
      </c>
      <c r="M897" s="42" t="n">
        <v>2280</v>
      </c>
      <c r="N897" s="43" t="n">
        <f aca="false">L897-M897</f>
        <v>2072</v>
      </c>
    </row>
    <row r="898" customFormat="false" ht="15" hidden="false" customHeight="false" outlineLevel="0" collapsed="false">
      <c r="A898" s="40" t="n">
        <v>46082</v>
      </c>
      <c r="B898" s="41" t="n">
        <v>2026</v>
      </c>
      <c r="C898" s="41" t="n">
        <v>3</v>
      </c>
      <c r="D898" s="41" t="s">
        <v>48</v>
      </c>
      <c r="E898" s="41" t="s">
        <v>46</v>
      </c>
      <c r="F898" s="41" t="s">
        <v>43</v>
      </c>
      <c r="G898" s="41" t="s">
        <v>38</v>
      </c>
      <c r="H898" s="42" t="n">
        <v>33</v>
      </c>
      <c r="I898" s="42" t="n">
        <v>41</v>
      </c>
      <c r="J898" s="42" t="n">
        <v>3881</v>
      </c>
      <c r="K898" s="42" t="n">
        <v>126</v>
      </c>
      <c r="L898" s="43" t="n">
        <f aca="false">J898-K898</f>
        <v>3755</v>
      </c>
      <c r="M898" s="42" t="n">
        <v>1684</v>
      </c>
      <c r="N898" s="43" t="n">
        <f aca="false">L898-M898</f>
        <v>2071</v>
      </c>
    </row>
    <row r="899" customFormat="false" ht="15" hidden="false" customHeight="false" outlineLevel="0" collapsed="false">
      <c r="A899" s="40" t="n">
        <v>46082</v>
      </c>
      <c r="B899" s="41" t="n">
        <v>2026</v>
      </c>
      <c r="C899" s="41" t="n">
        <v>3</v>
      </c>
      <c r="D899" s="41" t="s">
        <v>48</v>
      </c>
      <c r="E899" s="41" t="s">
        <v>46</v>
      </c>
      <c r="F899" s="41" t="s">
        <v>43</v>
      </c>
      <c r="G899" s="41" t="s">
        <v>39</v>
      </c>
      <c r="H899" s="42" t="n">
        <v>41</v>
      </c>
      <c r="I899" s="42" t="n">
        <v>52</v>
      </c>
      <c r="J899" s="42" t="n">
        <v>3659</v>
      </c>
      <c r="K899" s="42" t="n">
        <v>245</v>
      </c>
      <c r="L899" s="43" t="n">
        <f aca="false">J899-K899</f>
        <v>3414</v>
      </c>
      <c r="M899" s="42" t="n">
        <v>1322</v>
      </c>
      <c r="N899" s="43" t="n">
        <f aca="false">L899-M899</f>
        <v>2092</v>
      </c>
    </row>
    <row r="900" customFormat="false" ht="15" hidden="false" customHeight="false" outlineLevel="0" collapsed="false">
      <c r="A900" s="40" t="n">
        <v>46082</v>
      </c>
      <c r="B900" s="41" t="n">
        <v>2026</v>
      </c>
      <c r="C900" s="41" t="n">
        <v>3</v>
      </c>
      <c r="D900" s="41" t="s">
        <v>48</v>
      </c>
      <c r="E900" s="41" t="s">
        <v>46</v>
      </c>
      <c r="F900" s="41" t="s">
        <v>43</v>
      </c>
      <c r="G900" s="41" t="s">
        <v>40</v>
      </c>
      <c r="H900" s="42" t="n">
        <v>25</v>
      </c>
      <c r="I900" s="42" t="n">
        <v>32</v>
      </c>
      <c r="J900" s="42" t="n">
        <v>3343</v>
      </c>
      <c r="K900" s="42" t="n">
        <v>248</v>
      </c>
      <c r="L900" s="43" t="n">
        <f aca="false">J900-K900</f>
        <v>3095</v>
      </c>
      <c r="M900" s="42" t="n">
        <v>1744</v>
      </c>
      <c r="N900" s="43" t="n">
        <f aca="false">L900-M900</f>
        <v>1351</v>
      </c>
    </row>
    <row r="901" customFormat="false" ht="15" hidden="false" customHeight="false" outlineLevel="0" collapsed="false">
      <c r="A901" s="40" t="n">
        <v>46082</v>
      </c>
      <c r="B901" s="41" t="n">
        <v>2026</v>
      </c>
      <c r="C901" s="41" t="n">
        <v>3</v>
      </c>
      <c r="D901" s="41" t="s">
        <v>48</v>
      </c>
      <c r="E901" s="41" t="s">
        <v>46</v>
      </c>
      <c r="F901" s="41" t="s">
        <v>43</v>
      </c>
      <c r="G901" s="41" t="s">
        <v>41</v>
      </c>
      <c r="H901" s="42" t="n">
        <v>30</v>
      </c>
      <c r="I901" s="42" t="n">
        <v>46</v>
      </c>
      <c r="J901" s="42" t="n">
        <v>1945</v>
      </c>
      <c r="K901" s="42" t="n">
        <v>43</v>
      </c>
      <c r="L901" s="43" t="n">
        <f aca="false">J901-K901</f>
        <v>1902</v>
      </c>
      <c r="M901" s="42" t="n">
        <v>928</v>
      </c>
      <c r="N901" s="43" t="n">
        <f aca="false">L901-M901</f>
        <v>974</v>
      </c>
    </row>
    <row r="902" customFormat="false" ht="15" hidden="false" customHeight="false" outlineLevel="0" collapsed="false">
      <c r="A902" s="40" t="n">
        <v>46113</v>
      </c>
      <c r="B902" s="41" t="n">
        <v>2026</v>
      </c>
      <c r="C902" s="41" t="n">
        <v>4</v>
      </c>
      <c r="D902" s="41" t="s">
        <v>49</v>
      </c>
      <c r="E902" s="41" t="s">
        <v>35</v>
      </c>
      <c r="F902" s="41" t="s">
        <v>36</v>
      </c>
      <c r="G902" s="41" t="s">
        <v>37</v>
      </c>
      <c r="H902" s="42" t="n">
        <v>87</v>
      </c>
      <c r="I902" s="42" t="n">
        <v>106</v>
      </c>
      <c r="J902" s="42" t="n">
        <v>16387</v>
      </c>
      <c r="K902" s="42" t="n">
        <v>723</v>
      </c>
      <c r="L902" s="43" t="n">
        <f aca="false">J902-K902</f>
        <v>15664</v>
      </c>
      <c r="M902" s="42" t="n">
        <v>8287</v>
      </c>
      <c r="N902" s="43" t="n">
        <f aca="false">L902-M902</f>
        <v>7377</v>
      </c>
    </row>
    <row r="903" customFormat="false" ht="15" hidden="false" customHeight="false" outlineLevel="0" collapsed="false">
      <c r="A903" s="40" t="n">
        <v>46113</v>
      </c>
      <c r="B903" s="41" t="n">
        <v>2026</v>
      </c>
      <c r="C903" s="41" t="n">
        <v>4</v>
      </c>
      <c r="D903" s="41" t="s">
        <v>49</v>
      </c>
      <c r="E903" s="41" t="s">
        <v>35</v>
      </c>
      <c r="F903" s="41" t="s">
        <v>36</v>
      </c>
      <c r="G903" s="41" t="s">
        <v>38</v>
      </c>
      <c r="H903" s="42" t="n">
        <v>137</v>
      </c>
      <c r="I903" s="42" t="n">
        <v>199</v>
      </c>
      <c r="J903" s="42" t="n">
        <v>15372</v>
      </c>
      <c r="K903" s="42" t="n">
        <v>846</v>
      </c>
      <c r="L903" s="43" t="n">
        <f aca="false">J903-K903</f>
        <v>14526</v>
      </c>
      <c r="M903" s="42" t="n">
        <v>6449</v>
      </c>
      <c r="N903" s="43" t="n">
        <f aca="false">L903-M903</f>
        <v>8077</v>
      </c>
    </row>
    <row r="904" customFormat="false" ht="15" hidden="false" customHeight="false" outlineLevel="0" collapsed="false">
      <c r="A904" s="40" t="n">
        <v>46113</v>
      </c>
      <c r="B904" s="41" t="n">
        <v>2026</v>
      </c>
      <c r="C904" s="41" t="n">
        <v>4</v>
      </c>
      <c r="D904" s="41" t="s">
        <v>49</v>
      </c>
      <c r="E904" s="41" t="s">
        <v>35</v>
      </c>
      <c r="F904" s="41" t="s">
        <v>36</v>
      </c>
      <c r="G904" s="41" t="s">
        <v>39</v>
      </c>
      <c r="H904" s="42" t="n">
        <v>206</v>
      </c>
      <c r="I904" s="42" t="n">
        <v>322</v>
      </c>
      <c r="J904" s="42" t="n">
        <v>17312</v>
      </c>
      <c r="K904" s="42" t="n">
        <v>1752</v>
      </c>
      <c r="L904" s="43" t="n">
        <f aca="false">J904-K904</f>
        <v>15560</v>
      </c>
      <c r="M904" s="42" t="n">
        <v>5992</v>
      </c>
      <c r="N904" s="43" t="n">
        <f aca="false">L904-M904</f>
        <v>9568</v>
      </c>
    </row>
    <row r="905" customFormat="false" ht="15" hidden="false" customHeight="false" outlineLevel="0" collapsed="false">
      <c r="A905" s="40" t="n">
        <v>46113</v>
      </c>
      <c r="B905" s="41" t="n">
        <v>2026</v>
      </c>
      <c r="C905" s="41" t="n">
        <v>4</v>
      </c>
      <c r="D905" s="41" t="s">
        <v>49</v>
      </c>
      <c r="E905" s="41" t="s">
        <v>35</v>
      </c>
      <c r="F905" s="41" t="s">
        <v>36</v>
      </c>
      <c r="G905" s="41" t="s">
        <v>40</v>
      </c>
      <c r="H905" s="42" t="n">
        <v>105</v>
      </c>
      <c r="I905" s="42" t="n">
        <v>133</v>
      </c>
      <c r="J905" s="42" t="n">
        <v>13436</v>
      </c>
      <c r="K905" s="42" t="n">
        <v>1787</v>
      </c>
      <c r="L905" s="43" t="n">
        <f aca="false">J905-K905</f>
        <v>11649</v>
      </c>
      <c r="M905" s="42" t="n">
        <v>6230</v>
      </c>
      <c r="N905" s="43" t="n">
        <f aca="false">L905-M905</f>
        <v>5419</v>
      </c>
    </row>
    <row r="906" customFormat="false" ht="15" hidden="false" customHeight="false" outlineLevel="0" collapsed="false">
      <c r="A906" s="40" t="n">
        <v>46113</v>
      </c>
      <c r="B906" s="41" t="n">
        <v>2026</v>
      </c>
      <c r="C906" s="41" t="n">
        <v>4</v>
      </c>
      <c r="D906" s="41" t="s">
        <v>49</v>
      </c>
      <c r="E906" s="41" t="s">
        <v>35</v>
      </c>
      <c r="F906" s="41" t="s">
        <v>36</v>
      </c>
      <c r="G906" s="41" t="s">
        <v>41</v>
      </c>
      <c r="H906" s="42" t="n">
        <v>155</v>
      </c>
      <c r="I906" s="42" t="n">
        <v>218</v>
      </c>
      <c r="J906" s="42" t="n">
        <v>9432</v>
      </c>
      <c r="K906" s="42" t="n">
        <v>266</v>
      </c>
      <c r="L906" s="43" t="n">
        <f aca="false">J906-K906</f>
        <v>9166</v>
      </c>
      <c r="M906" s="42" t="n">
        <v>4516</v>
      </c>
      <c r="N906" s="43" t="n">
        <f aca="false">L906-M906</f>
        <v>4650</v>
      </c>
    </row>
    <row r="907" customFormat="false" ht="15" hidden="false" customHeight="false" outlineLevel="0" collapsed="false">
      <c r="A907" s="40" t="n">
        <v>46113</v>
      </c>
      <c r="B907" s="41" t="n">
        <v>2026</v>
      </c>
      <c r="C907" s="41" t="n">
        <v>4</v>
      </c>
      <c r="D907" s="41" t="s">
        <v>49</v>
      </c>
      <c r="E907" s="41" t="s">
        <v>35</v>
      </c>
      <c r="F907" s="41" t="s">
        <v>42</v>
      </c>
      <c r="G907" s="41" t="s">
        <v>37</v>
      </c>
      <c r="H907" s="42" t="n">
        <v>65</v>
      </c>
      <c r="I907" s="42" t="n">
        <v>82</v>
      </c>
      <c r="J907" s="42" t="n">
        <v>11234</v>
      </c>
      <c r="K907" s="42" t="n">
        <v>502</v>
      </c>
      <c r="L907" s="43" t="n">
        <f aca="false">J907-K907</f>
        <v>10732</v>
      </c>
      <c r="M907" s="42" t="n">
        <v>5907</v>
      </c>
      <c r="N907" s="43" t="n">
        <f aca="false">L907-M907</f>
        <v>4825</v>
      </c>
    </row>
    <row r="908" customFormat="false" ht="15" hidden="false" customHeight="false" outlineLevel="0" collapsed="false">
      <c r="A908" s="40" t="n">
        <v>46113</v>
      </c>
      <c r="B908" s="41" t="n">
        <v>2026</v>
      </c>
      <c r="C908" s="41" t="n">
        <v>4</v>
      </c>
      <c r="D908" s="41" t="s">
        <v>49</v>
      </c>
      <c r="E908" s="41" t="s">
        <v>35</v>
      </c>
      <c r="F908" s="41" t="s">
        <v>42</v>
      </c>
      <c r="G908" s="41" t="s">
        <v>38</v>
      </c>
      <c r="H908" s="42" t="n">
        <v>109</v>
      </c>
      <c r="I908" s="42" t="n">
        <v>159</v>
      </c>
      <c r="J908" s="42" t="n">
        <v>11268</v>
      </c>
      <c r="K908" s="42" t="n">
        <v>734</v>
      </c>
      <c r="L908" s="43" t="n">
        <f aca="false">J908-K908</f>
        <v>10534</v>
      </c>
      <c r="M908" s="42" t="n">
        <v>5064</v>
      </c>
      <c r="N908" s="43" t="n">
        <f aca="false">L908-M908</f>
        <v>5470</v>
      </c>
    </row>
    <row r="909" customFormat="false" ht="15" hidden="false" customHeight="false" outlineLevel="0" collapsed="false">
      <c r="A909" s="40" t="n">
        <v>46113</v>
      </c>
      <c r="B909" s="41" t="n">
        <v>2026</v>
      </c>
      <c r="C909" s="41" t="n">
        <v>4</v>
      </c>
      <c r="D909" s="41" t="s">
        <v>49</v>
      </c>
      <c r="E909" s="41" t="s">
        <v>35</v>
      </c>
      <c r="F909" s="41" t="s">
        <v>42</v>
      </c>
      <c r="G909" s="41" t="s">
        <v>39</v>
      </c>
      <c r="H909" s="42" t="n">
        <v>144</v>
      </c>
      <c r="I909" s="42" t="n">
        <v>185</v>
      </c>
      <c r="J909" s="42" t="n">
        <v>11161</v>
      </c>
      <c r="K909" s="42" t="n">
        <v>1594</v>
      </c>
      <c r="L909" s="43" t="n">
        <f aca="false">J909-K909</f>
        <v>9567</v>
      </c>
      <c r="M909" s="42" t="n">
        <v>4076</v>
      </c>
      <c r="N909" s="43" t="n">
        <f aca="false">L909-M909</f>
        <v>5491</v>
      </c>
    </row>
    <row r="910" customFormat="false" ht="15" hidden="false" customHeight="false" outlineLevel="0" collapsed="false">
      <c r="A910" s="40" t="n">
        <v>46113</v>
      </c>
      <c r="B910" s="41" t="n">
        <v>2026</v>
      </c>
      <c r="C910" s="41" t="n">
        <v>4</v>
      </c>
      <c r="D910" s="41" t="s">
        <v>49</v>
      </c>
      <c r="E910" s="41" t="s">
        <v>35</v>
      </c>
      <c r="F910" s="41" t="s">
        <v>42</v>
      </c>
      <c r="G910" s="41" t="s">
        <v>40</v>
      </c>
      <c r="H910" s="42" t="n">
        <v>79</v>
      </c>
      <c r="I910" s="42" t="n">
        <v>115</v>
      </c>
      <c r="J910" s="42" t="n">
        <v>9356</v>
      </c>
      <c r="K910" s="42" t="n">
        <v>1682</v>
      </c>
      <c r="L910" s="43" t="n">
        <f aca="false">J910-K910</f>
        <v>7674</v>
      </c>
      <c r="M910" s="42" t="n">
        <v>4331</v>
      </c>
      <c r="N910" s="43" t="n">
        <f aca="false">L910-M910</f>
        <v>3343</v>
      </c>
    </row>
    <row r="911" customFormat="false" ht="15" hidden="false" customHeight="false" outlineLevel="0" collapsed="false">
      <c r="A911" s="40" t="n">
        <v>46113</v>
      </c>
      <c r="B911" s="41" t="n">
        <v>2026</v>
      </c>
      <c r="C911" s="41" t="n">
        <v>4</v>
      </c>
      <c r="D911" s="41" t="s">
        <v>49</v>
      </c>
      <c r="E911" s="41" t="s">
        <v>35</v>
      </c>
      <c r="F911" s="41" t="s">
        <v>42</v>
      </c>
      <c r="G911" s="41" t="s">
        <v>41</v>
      </c>
      <c r="H911" s="42" t="n">
        <v>120</v>
      </c>
      <c r="I911" s="42" t="n">
        <v>178</v>
      </c>
      <c r="J911" s="42" t="n">
        <v>6753</v>
      </c>
      <c r="K911" s="42" t="n">
        <v>256</v>
      </c>
      <c r="L911" s="43" t="n">
        <f aca="false">J911-K911</f>
        <v>6497</v>
      </c>
      <c r="M911" s="42" t="n">
        <v>3233</v>
      </c>
      <c r="N911" s="43" t="n">
        <f aca="false">L911-M911</f>
        <v>3264</v>
      </c>
    </row>
    <row r="912" customFormat="false" ht="15" hidden="false" customHeight="false" outlineLevel="0" collapsed="false">
      <c r="A912" s="40" t="n">
        <v>46113</v>
      </c>
      <c r="B912" s="41" t="n">
        <v>2026</v>
      </c>
      <c r="C912" s="41" t="n">
        <v>4</v>
      </c>
      <c r="D912" s="41" t="s">
        <v>49</v>
      </c>
      <c r="E912" s="41" t="s">
        <v>35</v>
      </c>
      <c r="F912" s="41" t="s">
        <v>43</v>
      </c>
      <c r="G912" s="41" t="s">
        <v>37</v>
      </c>
      <c r="H912" s="42" t="n">
        <v>45</v>
      </c>
      <c r="I912" s="42" t="n">
        <v>59</v>
      </c>
      <c r="J912" s="42" t="n">
        <v>8974</v>
      </c>
      <c r="K912" s="42" t="n">
        <v>220</v>
      </c>
      <c r="L912" s="43" t="n">
        <f aca="false">J912-K912</f>
        <v>8754</v>
      </c>
      <c r="M912" s="42" t="n">
        <v>4743</v>
      </c>
      <c r="N912" s="43" t="n">
        <f aca="false">L912-M912</f>
        <v>4011</v>
      </c>
    </row>
    <row r="913" customFormat="false" ht="15" hidden="false" customHeight="false" outlineLevel="0" collapsed="false">
      <c r="A913" s="40" t="n">
        <v>46113</v>
      </c>
      <c r="B913" s="41" t="n">
        <v>2026</v>
      </c>
      <c r="C913" s="41" t="n">
        <v>4</v>
      </c>
      <c r="D913" s="41" t="s">
        <v>49</v>
      </c>
      <c r="E913" s="41" t="s">
        <v>35</v>
      </c>
      <c r="F913" s="41" t="s">
        <v>43</v>
      </c>
      <c r="G913" s="41" t="s">
        <v>38</v>
      </c>
      <c r="H913" s="42" t="n">
        <v>61</v>
      </c>
      <c r="I913" s="42" t="n">
        <v>84</v>
      </c>
      <c r="J913" s="42" t="n">
        <v>7297</v>
      </c>
      <c r="K913" s="42" t="n">
        <v>273</v>
      </c>
      <c r="L913" s="43" t="n">
        <f aca="false">J913-K913</f>
        <v>7024</v>
      </c>
      <c r="M913" s="42" t="n">
        <v>3237</v>
      </c>
      <c r="N913" s="43" t="n">
        <f aca="false">L913-M913</f>
        <v>3787</v>
      </c>
    </row>
    <row r="914" customFormat="false" ht="15" hidden="false" customHeight="false" outlineLevel="0" collapsed="false">
      <c r="A914" s="40" t="n">
        <v>46113</v>
      </c>
      <c r="B914" s="41" t="n">
        <v>2026</v>
      </c>
      <c r="C914" s="41" t="n">
        <v>4</v>
      </c>
      <c r="D914" s="41" t="s">
        <v>49</v>
      </c>
      <c r="E914" s="41" t="s">
        <v>35</v>
      </c>
      <c r="F914" s="41" t="s">
        <v>43</v>
      </c>
      <c r="G914" s="41" t="s">
        <v>39</v>
      </c>
      <c r="H914" s="42" t="n">
        <v>87</v>
      </c>
      <c r="I914" s="42" t="n">
        <v>113</v>
      </c>
      <c r="J914" s="42" t="n">
        <v>7727</v>
      </c>
      <c r="K914" s="42" t="n">
        <v>447</v>
      </c>
      <c r="L914" s="43" t="n">
        <f aca="false">J914-K914</f>
        <v>7280</v>
      </c>
      <c r="M914" s="42" t="n">
        <v>2824</v>
      </c>
      <c r="N914" s="43" t="n">
        <f aca="false">L914-M914</f>
        <v>4456</v>
      </c>
    </row>
    <row r="915" customFormat="false" ht="15" hidden="false" customHeight="false" outlineLevel="0" collapsed="false">
      <c r="A915" s="40" t="n">
        <v>46113</v>
      </c>
      <c r="B915" s="41" t="n">
        <v>2026</v>
      </c>
      <c r="C915" s="41" t="n">
        <v>4</v>
      </c>
      <c r="D915" s="41" t="s">
        <v>49</v>
      </c>
      <c r="E915" s="41" t="s">
        <v>35</v>
      </c>
      <c r="F915" s="41" t="s">
        <v>43</v>
      </c>
      <c r="G915" s="41" t="s">
        <v>40</v>
      </c>
      <c r="H915" s="42" t="n">
        <v>46</v>
      </c>
      <c r="I915" s="42" t="n">
        <v>71</v>
      </c>
      <c r="J915" s="42" t="n">
        <v>6203</v>
      </c>
      <c r="K915" s="42" t="n">
        <v>556</v>
      </c>
      <c r="L915" s="43" t="n">
        <f aca="false">J915-K915</f>
        <v>5647</v>
      </c>
      <c r="M915" s="42" t="n">
        <v>3121</v>
      </c>
      <c r="N915" s="43" t="n">
        <f aca="false">L915-M915</f>
        <v>2526</v>
      </c>
    </row>
    <row r="916" customFormat="false" ht="15" hidden="false" customHeight="false" outlineLevel="0" collapsed="false">
      <c r="A916" s="40" t="n">
        <v>46113</v>
      </c>
      <c r="B916" s="41" t="n">
        <v>2026</v>
      </c>
      <c r="C916" s="41" t="n">
        <v>4</v>
      </c>
      <c r="D916" s="41" t="s">
        <v>49</v>
      </c>
      <c r="E916" s="41" t="s">
        <v>35</v>
      </c>
      <c r="F916" s="41" t="s">
        <v>43</v>
      </c>
      <c r="G916" s="41" t="s">
        <v>41</v>
      </c>
      <c r="H916" s="42" t="n">
        <v>62</v>
      </c>
      <c r="I916" s="42" t="n">
        <v>87</v>
      </c>
      <c r="J916" s="42" t="n">
        <v>4022</v>
      </c>
      <c r="K916" s="42" t="n">
        <v>77</v>
      </c>
      <c r="L916" s="43" t="n">
        <f aca="false">J916-K916</f>
        <v>3945</v>
      </c>
      <c r="M916" s="42" t="n">
        <v>1933</v>
      </c>
      <c r="N916" s="43" t="n">
        <f aca="false">L916-M916</f>
        <v>2012</v>
      </c>
    </row>
    <row r="917" customFormat="false" ht="15" hidden="false" customHeight="false" outlineLevel="0" collapsed="false">
      <c r="A917" s="40" t="n">
        <v>46113</v>
      </c>
      <c r="B917" s="41" t="n">
        <v>2026</v>
      </c>
      <c r="C917" s="41" t="n">
        <v>4</v>
      </c>
      <c r="D917" s="41" t="s">
        <v>49</v>
      </c>
      <c r="E917" s="41" t="s">
        <v>44</v>
      </c>
      <c r="F917" s="41" t="s">
        <v>36</v>
      </c>
      <c r="G917" s="41" t="s">
        <v>37</v>
      </c>
      <c r="H917" s="42" t="n">
        <v>78</v>
      </c>
      <c r="I917" s="42" t="n">
        <v>119</v>
      </c>
      <c r="J917" s="42" t="n">
        <v>14834</v>
      </c>
      <c r="K917" s="42" t="n">
        <v>511</v>
      </c>
      <c r="L917" s="43" t="n">
        <f aca="false">J917-K917</f>
        <v>14323</v>
      </c>
      <c r="M917" s="42" t="n">
        <v>7670</v>
      </c>
      <c r="N917" s="43" t="n">
        <f aca="false">L917-M917</f>
        <v>6653</v>
      </c>
    </row>
    <row r="918" customFormat="false" ht="15" hidden="false" customHeight="false" outlineLevel="0" collapsed="false">
      <c r="A918" s="40" t="n">
        <v>46113</v>
      </c>
      <c r="B918" s="41" t="n">
        <v>2026</v>
      </c>
      <c r="C918" s="41" t="n">
        <v>4</v>
      </c>
      <c r="D918" s="41" t="s">
        <v>49</v>
      </c>
      <c r="E918" s="41" t="s">
        <v>44</v>
      </c>
      <c r="F918" s="41" t="s">
        <v>36</v>
      </c>
      <c r="G918" s="41" t="s">
        <v>38</v>
      </c>
      <c r="H918" s="42" t="n">
        <v>115</v>
      </c>
      <c r="I918" s="42" t="n">
        <v>158</v>
      </c>
      <c r="J918" s="42" t="n">
        <v>12864</v>
      </c>
      <c r="K918" s="42" t="n">
        <v>746</v>
      </c>
      <c r="L918" s="43" t="n">
        <f aca="false">J918-K918</f>
        <v>12118</v>
      </c>
      <c r="M918" s="42" t="n">
        <v>5584</v>
      </c>
      <c r="N918" s="43" t="n">
        <f aca="false">L918-M918</f>
        <v>6534</v>
      </c>
    </row>
    <row r="919" customFormat="false" ht="15" hidden="false" customHeight="false" outlineLevel="0" collapsed="false">
      <c r="A919" s="40" t="n">
        <v>46113</v>
      </c>
      <c r="B919" s="41" t="n">
        <v>2026</v>
      </c>
      <c r="C919" s="41" t="n">
        <v>4</v>
      </c>
      <c r="D919" s="41" t="s">
        <v>49</v>
      </c>
      <c r="E919" s="41" t="s">
        <v>44</v>
      </c>
      <c r="F919" s="41" t="s">
        <v>36</v>
      </c>
      <c r="G919" s="41" t="s">
        <v>39</v>
      </c>
      <c r="H919" s="42" t="n">
        <v>182</v>
      </c>
      <c r="I919" s="42" t="n">
        <v>277</v>
      </c>
      <c r="J919" s="42" t="n">
        <v>15270</v>
      </c>
      <c r="K919" s="42" t="n">
        <v>1618</v>
      </c>
      <c r="L919" s="43" t="n">
        <f aca="false">J919-K919</f>
        <v>13652</v>
      </c>
      <c r="M919" s="42" t="n">
        <v>5445</v>
      </c>
      <c r="N919" s="43" t="n">
        <f aca="false">L919-M919</f>
        <v>8207</v>
      </c>
    </row>
    <row r="920" customFormat="false" ht="15" hidden="false" customHeight="false" outlineLevel="0" collapsed="false">
      <c r="A920" s="40" t="n">
        <v>46113</v>
      </c>
      <c r="B920" s="41" t="n">
        <v>2026</v>
      </c>
      <c r="C920" s="41" t="n">
        <v>4</v>
      </c>
      <c r="D920" s="41" t="s">
        <v>49</v>
      </c>
      <c r="E920" s="41" t="s">
        <v>44</v>
      </c>
      <c r="F920" s="41" t="s">
        <v>36</v>
      </c>
      <c r="G920" s="41" t="s">
        <v>40</v>
      </c>
      <c r="H920" s="42" t="n">
        <v>72</v>
      </c>
      <c r="I920" s="42" t="n">
        <v>106</v>
      </c>
      <c r="J920" s="42" t="n">
        <v>9231</v>
      </c>
      <c r="K920" s="42" t="n">
        <v>1198</v>
      </c>
      <c r="L920" s="43" t="n">
        <f aca="false">J920-K920</f>
        <v>8033</v>
      </c>
      <c r="M920" s="42" t="n">
        <v>4448</v>
      </c>
      <c r="N920" s="43" t="n">
        <f aca="false">L920-M920</f>
        <v>3585</v>
      </c>
    </row>
    <row r="921" customFormat="false" ht="15" hidden="false" customHeight="false" outlineLevel="0" collapsed="false">
      <c r="A921" s="40" t="n">
        <v>46113</v>
      </c>
      <c r="B921" s="41" t="n">
        <v>2026</v>
      </c>
      <c r="C921" s="41" t="n">
        <v>4</v>
      </c>
      <c r="D921" s="41" t="s">
        <v>49</v>
      </c>
      <c r="E921" s="41" t="s">
        <v>44</v>
      </c>
      <c r="F921" s="41" t="s">
        <v>36</v>
      </c>
      <c r="G921" s="41" t="s">
        <v>41</v>
      </c>
      <c r="H921" s="42" t="n">
        <v>105</v>
      </c>
      <c r="I921" s="42" t="n">
        <v>124</v>
      </c>
      <c r="J921" s="42" t="n">
        <v>6431</v>
      </c>
      <c r="K921" s="42" t="n">
        <v>201</v>
      </c>
      <c r="L921" s="43" t="n">
        <f aca="false">J921-K921</f>
        <v>6230</v>
      </c>
      <c r="M921" s="42" t="n">
        <v>3048</v>
      </c>
      <c r="N921" s="43" t="n">
        <f aca="false">L921-M921</f>
        <v>3182</v>
      </c>
    </row>
    <row r="922" customFormat="false" ht="15" hidden="false" customHeight="false" outlineLevel="0" collapsed="false">
      <c r="A922" s="40" t="n">
        <v>46113</v>
      </c>
      <c r="B922" s="41" t="n">
        <v>2026</v>
      </c>
      <c r="C922" s="41" t="n">
        <v>4</v>
      </c>
      <c r="D922" s="41" t="s">
        <v>49</v>
      </c>
      <c r="E922" s="41" t="s">
        <v>44</v>
      </c>
      <c r="F922" s="41" t="s">
        <v>42</v>
      </c>
      <c r="G922" s="41" t="s">
        <v>37</v>
      </c>
      <c r="H922" s="42" t="n">
        <v>51</v>
      </c>
      <c r="I922" s="42" t="n">
        <v>64</v>
      </c>
      <c r="J922" s="42" t="n">
        <v>8941</v>
      </c>
      <c r="K922" s="42" t="n">
        <v>430</v>
      </c>
      <c r="L922" s="43" t="n">
        <f aca="false">J922-K922</f>
        <v>8511</v>
      </c>
      <c r="M922" s="42" t="n">
        <v>4557</v>
      </c>
      <c r="N922" s="43" t="n">
        <f aca="false">L922-M922</f>
        <v>3954</v>
      </c>
    </row>
    <row r="923" customFormat="false" ht="15" hidden="false" customHeight="false" outlineLevel="0" collapsed="false">
      <c r="A923" s="40" t="n">
        <v>46113</v>
      </c>
      <c r="B923" s="41" t="n">
        <v>2026</v>
      </c>
      <c r="C923" s="41" t="n">
        <v>4</v>
      </c>
      <c r="D923" s="41" t="s">
        <v>49</v>
      </c>
      <c r="E923" s="41" t="s">
        <v>44</v>
      </c>
      <c r="F923" s="41" t="s">
        <v>42</v>
      </c>
      <c r="G923" s="41" t="s">
        <v>38</v>
      </c>
      <c r="H923" s="42" t="n">
        <v>85</v>
      </c>
      <c r="I923" s="42" t="n">
        <v>135</v>
      </c>
      <c r="J923" s="42" t="n">
        <v>8766</v>
      </c>
      <c r="K923" s="42" t="n">
        <v>663</v>
      </c>
      <c r="L923" s="43" t="n">
        <f aca="false">J923-K923</f>
        <v>8103</v>
      </c>
      <c r="M923" s="42" t="n">
        <v>3792</v>
      </c>
      <c r="N923" s="43" t="n">
        <f aca="false">L923-M923</f>
        <v>4311</v>
      </c>
    </row>
    <row r="924" customFormat="false" ht="15" hidden="false" customHeight="false" outlineLevel="0" collapsed="false">
      <c r="A924" s="40" t="n">
        <v>46113</v>
      </c>
      <c r="B924" s="41" t="n">
        <v>2026</v>
      </c>
      <c r="C924" s="41" t="n">
        <v>4</v>
      </c>
      <c r="D924" s="41" t="s">
        <v>49</v>
      </c>
      <c r="E924" s="41" t="s">
        <v>44</v>
      </c>
      <c r="F924" s="41" t="s">
        <v>42</v>
      </c>
      <c r="G924" s="41" t="s">
        <v>39</v>
      </c>
      <c r="H924" s="42" t="n">
        <v>136</v>
      </c>
      <c r="I924" s="42" t="n">
        <v>161</v>
      </c>
      <c r="J924" s="42" t="n">
        <v>10501</v>
      </c>
      <c r="K924" s="42" t="n">
        <v>1610</v>
      </c>
      <c r="L924" s="43" t="n">
        <f aca="false">J924-K924</f>
        <v>8891</v>
      </c>
      <c r="M924" s="42" t="n">
        <v>3646</v>
      </c>
      <c r="N924" s="43" t="n">
        <f aca="false">L924-M924</f>
        <v>5245</v>
      </c>
    </row>
    <row r="925" customFormat="false" ht="15" hidden="false" customHeight="false" outlineLevel="0" collapsed="false">
      <c r="A925" s="40" t="n">
        <v>46113</v>
      </c>
      <c r="B925" s="41" t="n">
        <v>2026</v>
      </c>
      <c r="C925" s="41" t="n">
        <v>4</v>
      </c>
      <c r="D925" s="41" t="s">
        <v>49</v>
      </c>
      <c r="E925" s="41" t="s">
        <v>44</v>
      </c>
      <c r="F925" s="41" t="s">
        <v>42</v>
      </c>
      <c r="G925" s="41" t="s">
        <v>40</v>
      </c>
      <c r="H925" s="42" t="n">
        <v>52</v>
      </c>
      <c r="I925" s="42" t="n">
        <v>75</v>
      </c>
      <c r="J925" s="42" t="n">
        <v>6165</v>
      </c>
      <c r="K925" s="42" t="n">
        <v>854</v>
      </c>
      <c r="L925" s="43" t="n">
        <f aca="false">J925-K925</f>
        <v>5311</v>
      </c>
      <c r="M925" s="42" t="n">
        <v>2976</v>
      </c>
      <c r="N925" s="43" t="n">
        <f aca="false">L925-M925</f>
        <v>2335</v>
      </c>
    </row>
    <row r="926" customFormat="false" ht="15" hidden="false" customHeight="false" outlineLevel="0" collapsed="false">
      <c r="A926" s="40" t="n">
        <v>46113</v>
      </c>
      <c r="B926" s="41" t="n">
        <v>2026</v>
      </c>
      <c r="C926" s="41" t="n">
        <v>4</v>
      </c>
      <c r="D926" s="41" t="s">
        <v>49</v>
      </c>
      <c r="E926" s="41" t="s">
        <v>44</v>
      </c>
      <c r="F926" s="41" t="s">
        <v>42</v>
      </c>
      <c r="G926" s="41" t="s">
        <v>41</v>
      </c>
      <c r="H926" s="42" t="n">
        <v>75</v>
      </c>
      <c r="I926" s="42" t="n">
        <v>101</v>
      </c>
      <c r="J926" s="42" t="n">
        <v>4185</v>
      </c>
      <c r="K926" s="42" t="n">
        <v>173</v>
      </c>
      <c r="L926" s="43" t="n">
        <f aca="false">J926-K926</f>
        <v>4012</v>
      </c>
      <c r="M926" s="42" t="n">
        <v>2046</v>
      </c>
      <c r="N926" s="43" t="n">
        <f aca="false">L926-M926</f>
        <v>1966</v>
      </c>
    </row>
    <row r="927" customFormat="false" ht="15" hidden="false" customHeight="false" outlineLevel="0" collapsed="false">
      <c r="A927" s="40" t="n">
        <v>46113</v>
      </c>
      <c r="B927" s="41" t="n">
        <v>2026</v>
      </c>
      <c r="C927" s="41" t="n">
        <v>4</v>
      </c>
      <c r="D927" s="41" t="s">
        <v>49</v>
      </c>
      <c r="E927" s="41" t="s">
        <v>44</v>
      </c>
      <c r="F927" s="41" t="s">
        <v>43</v>
      </c>
      <c r="G927" s="41" t="s">
        <v>37</v>
      </c>
      <c r="H927" s="42" t="n">
        <v>29</v>
      </c>
      <c r="I927" s="42" t="n">
        <v>44</v>
      </c>
      <c r="J927" s="42" t="n">
        <v>5718</v>
      </c>
      <c r="K927" s="42" t="n">
        <v>135</v>
      </c>
      <c r="L927" s="43" t="n">
        <f aca="false">J927-K927</f>
        <v>5583</v>
      </c>
      <c r="M927" s="42" t="n">
        <v>2910</v>
      </c>
      <c r="N927" s="43" t="n">
        <f aca="false">L927-M927</f>
        <v>2673</v>
      </c>
    </row>
    <row r="928" customFormat="false" ht="15" hidden="false" customHeight="false" outlineLevel="0" collapsed="false">
      <c r="A928" s="40" t="n">
        <v>46113</v>
      </c>
      <c r="B928" s="41" t="n">
        <v>2026</v>
      </c>
      <c r="C928" s="41" t="n">
        <v>4</v>
      </c>
      <c r="D928" s="41" t="s">
        <v>49</v>
      </c>
      <c r="E928" s="41" t="s">
        <v>44</v>
      </c>
      <c r="F928" s="41" t="s">
        <v>43</v>
      </c>
      <c r="G928" s="41" t="s">
        <v>38</v>
      </c>
      <c r="H928" s="42" t="n">
        <v>50</v>
      </c>
      <c r="I928" s="42" t="n">
        <v>65</v>
      </c>
      <c r="J928" s="42" t="n">
        <v>5952</v>
      </c>
      <c r="K928" s="42" t="n">
        <v>194</v>
      </c>
      <c r="L928" s="43" t="n">
        <f aca="false">J928-K928</f>
        <v>5758</v>
      </c>
      <c r="M928" s="42" t="n">
        <v>2602</v>
      </c>
      <c r="N928" s="43" t="n">
        <f aca="false">L928-M928</f>
        <v>3156</v>
      </c>
    </row>
    <row r="929" customFormat="false" ht="15" hidden="false" customHeight="false" outlineLevel="0" collapsed="false">
      <c r="A929" s="40" t="n">
        <v>46113</v>
      </c>
      <c r="B929" s="41" t="n">
        <v>2026</v>
      </c>
      <c r="C929" s="41" t="n">
        <v>4</v>
      </c>
      <c r="D929" s="41" t="s">
        <v>49</v>
      </c>
      <c r="E929" s="41" t="s">
        <v>44</v>
      </c>
      <c r="F929" s="41" t="s">
        <v>43</v>
      </c>
      <c r="G929" s="41" t="s">
        <v>39</v>
      </c>
      <c r="H929" s="42" t="n">
        <v>71</v>
      </c>
      <c r="I929" s="42" t="n">
        <v>107</v>
      </c>
      <c r="J929" s="42" t="n">
        <v>6298</v>
      </c>
      <c r="K929" s="42" t="n">
        <v>390</v>
      </c>
      <c r="L929" s="43" t="n">
        <f aca="false">J929-K929</f>
        <v>5908</v>
      </c>
      <c r="M929" s="42" t="n">
        <v>2351</v>
      </c>
      <c r="N929" s="43" t="n">
        <f aca="false">L929-M929</f>
        <v>3557</v>
      </c>
    </row>
    <row r="930" customFormat="false" ht="15" hidden="false" customHeight="false" outlineLevel="0" collapsed="false">
      <c r="A930" s="40" t="n">
        <v>46113</v>
      </c>
      <c r="B930" s="41" t="n">
        <v>2026</v>
      </c>
      <c r="C930" s="41" t="n">
        <v>4</v>
      </c>
      <c r="D930" s="41" t="s">
        <v>49</v>
      </c>
      <c r="E930" s="41" t="s">
        <v>44</v>
      </c>
      <c r="F930" s="41" t="s">
        <v>43</v>
      </c>
      <c r="G930" s="41" t="s">
        <v>40</v>
      </c>
      <c r="H930" s="42" t="n">
        <v>39</v>
      </c>
      <c r="I930" s="42" t="n">
        <v>54</v>
      </c>
      <c r="J930" s="42" t="n">
        <v>5349</v>
      </c>
      <c r="K930" s="42" t="n">
        <v>365</v>
      </c>
      <c r="L930" s="43" t="n">
        <f aca="false">J930-K930</f>
        <v>4984</v>
      </c>
      <c r="M930" s="42" t="n">
        <v>2787</v>
      </c>
      <c r="N930" s="43" t="n">
        <f aca="false">L930-M930</f>
        <v>2197</v>
      </c>
    </row>
    <row r="931" customFormat="false" ht="15" hidden="false" customHeight="false" outlineLevel="0" collapsed="false">
      <c r="A931" s="40" t="n">
        <v>46113</v>
      </c>
      <c r="B931" s="41" t="n">
        <v>2026</v>
      </c>
      <c r="C931" s="41" t="n">
        <v>4</v>
      </c>
      <c r="D931" s="41" t="s">
        <v>49</v>
      </c>
      <c r="E931" s="41" t="s">
        <v>44</v>
      </c>
      <c r="F931" s="41" t="s">
        <v>43</v>
      </c>
      <c r="G931" s="41" t="s">
        <v>41</v>
      </c>
      <c r="H931" s="42" t="n">
        <v>44</v>
      </c>
      <c r="I931" s="42" t="n">
        <v>61</v>
      </c>
      <c r="J931" s="42" t="n">
        <v>2849</v>
      </c>
      <c r="K931" s="42" t="n">
        <v>58</v>
      </c>
      <c r="L931" s="43" t="n">
        <f aca="false">J931-K931</f>
        <v>2791</v>
      </c>
      <c r="M931" s="42" t="n">
        <v>1304</v>
      </c>
      <c r="N931" s="43" t="n">
        <f aca="false">L931-M931</f>
        <v>1487</v>
      </c>
    </row>
    <row r="932" customFormat="false" ht="15" hidden="false" customHeight="false" outlineLevel="0" collapsed="false">
      <c r="A932" s="40" t="n">
        <v>46113</v>
      </c>
      <c r="B932" s="41" t="n">
        <v>2026</v>
      </c>
      <c r="C932" s="41" t="n">
        <v>4</v>
      </c>
      <c r="D932" s="41" t="s">
        <v>49</v>
      </c>
      <c r="E932" s="41" t="s">
        <v>45</v>
      </c>
      <c r="F932" s="41" t="s">
        <v>36</v>
      </c>
      <c r="G932" s="41" t="s">
        <v>37</v>
      </c>
      <c r="H932" s="42" t="n">
        <v>56</v>
      </c>
      <c r="I932" s="42" t="n">
        <v>83</v>
      </c>
      <c r="J932" s="42" t="n">
        <v>10537</v>
      </c>
      <c r="K932" s="42" t="n">
        <v>436</v>
      </c>
      <c r="L932" s="43" t="n">
        <f aca="false">J932-K932</f>
        <v>10101</v>
      </c>
      <c r="M932" s="42" t="n">
        <v>5322</v>
      </c>
      <c r="N932" s="43" t="n">
        <f aca="false">L932-M932</f>
        <v>4779</v>
      </c>
    </row>
    <row r="933" customFormat="false" ht="15" hidden="false" customHeight="false" outlineLevel="0" collapsed="false">
      <c r="A933" s="40" t="n">
        <v>46113</v>
      </c>
      <c r="B933" s="41" t="n">
        <v>2026</v>
      </c>
      <c r="C933" s="41" t="n">
        <v>4</v>
      </c>
      <c r="D933" s="41" t="s">
        <v>49</v>
      </c>
      <c r="E933" s="41" t="s">
        <v>45</v>
      </c>
      <c r="F933" s="41" t="s">
        <v>36</v>
      </c>
      <c r="G933" s="41" t="s">
        <v>38</v>
      </c>
      <c r="H933" s="42" t="n">
        <v>80</v>
      </c>
      <c r="I933" s="42" t="n">
        <v>113</v>
      </c>
      <c r="J933" s="42" t="n">
        <v>8926</v>
      </c>
      <c r="K933" s="42" t="n">
        <v>397</v>
      </c>
      <c r="L933" s="43" t="n">
        <f aca="false">J933-K933</f>
        <v>8529</v>
      </c>
      <c r="M933" s="42" t="n">
        <v>3923</v>
      </c>
      <c r="N933" s="43" t="n">
        <f aca="false">L933-M933</f>
        <v>4606</v>
      </c>
    </row>
    <row r="934" customFormat="false" ht="15" hidden="false" customHeight="false" outlineLevel="0" collapsed="false">
      <c r="A934" s="40" t="n">
        <v>46113</v>
      </c>
      <c r="B934" s="41" t="n">
        <v>2026</v>
      </c>
      <c r="C934" s="41" t="n">
        <v>4</v>
      </c>
      <c r="D934" s="41" t="s">
        <v>49</v>
      </c>
      <c r="E934" s="41" t="s">
        <v>45</v>
      </c>
      <c r="F934" s="41" t="s">
        <v>36</v>
      </c>
      <c r="G934" s="41" t="s">
        <v>39</v>
      </c>
      <c r="H934" s="42" t="n">
        <v>144</v>
      </c>
      <c r="I934" s="42" t="n">
        <v>218</v>
      </c>
      <c r="J934" s="42" t="n">
        <v>12061</v>
      </c>
      <c r="K934" s="42" t="n">
        <v>1429</v>
      </c>
      <c r="L934" s="43" t="n">
        <f aca="false">J934-K934</f>
        <v>10632</v>
      </c>
      <c r="M934" s="42" t="n">
        <v>4104</v>
      </c>
      <c r="N934" s="43" t="n">
        <f aca="false">L934-M934</f>
        <v>6528</v>
      </c>
    </row>
    <row r="935" customFormat="false" ht="15" hidden="false" customHeight="false" outlineLevel="0" collapsed="false">
      <c r="A935" s="40" t="n">
        <v>46113</v>
      </c>
      <c r="B935" s="41" t="n">
        <v>2026</v>
      </c>
      <c r="C935" s="41" t="n">
        <v>4</v>
      </c>
      <c r="D935" s="41" t="s">
        <v>49</v>
      </c>
      <c r="E935" s="41" t="s">
        <v>45</v>
      </c>
      <c r="F935" s="41" t="s">
        <v>36</v>
      </c>
      <c r="G935" s="41" t="s">
        <v>40</v>
      </c>
      <c r="H935" s="42" t="n">
        <v>68</v>
      </c>
      <c r="I935" s="42" t="n">
        <v>80</v>
      </c>
      <c r="J935" s="42" t="n">
        <v>8663</v>
      </c>
      <c r="K935" s="42" t="n">
        <v>1030</v>
      </c>
      <c r="L935" s="43" t="n">
        <f aca="false">J935-K935</f>
        <v>7633</v>
      </c>
      <c r="M935" s="42" t="n">
        <v>4106</v>
      </c>
      <c r="N935" s="43" t="n">
        <f aca="false">L935-M935</f>
        <v>3527</v>
      </c>
    </row>
    <row r="936" customFormat="false" ht="15" hidden="false" customHeight="false" outlineLevel="0" collapsed="false">
      <c r="A936" s="40" t="n">
        <v>46113</v>
      </c>
      <c r="B936" s="41" t="n">
        <v>2026</v>
      </c>
      <c r="C936" s="41" t="n">
        <v>4</v>
      </c>
      <c r="D936" s="41" t="s">
        <v>49</v>
      </c>
      <c r="E936" s="41" t="s">
        <v>45</v>
      </c>
      <c r="F936" s="41" t="s">
        <v>36</v>
      </c>
      <c r="G936" s="41" t="s">
        <v>41</v>
      </c>
      <c r="H936" s="42" t="n">
        <v>82</v>
      </c>
      <c r="I936" s="42" t="n">
        <v>119</v>
      </c>
      <c r="J936" s="42" t="n">
        <v>5018</v>
      </c>
      <c r="K936" s="42" t="n">
        <v>163</v>
      </c>
      <c r="L936" s="43" t="n">
        <f aca="false">J936-K936</f>
        <v>4855</v>
      </c>
      <c r="M936" s="42" t="n">
        <v>2324</v>
      </c>
      <c r="N936" s="43" t="n">
        <f aca="false">L936-M936</f>
        <v>2531</v>
      </c>
    </row>
    <row r="937" customFormat="false" ht="15" hidden="false" customHeight="false" outlineLevel="0" collapsed="false">
      <c r="A937" s="40" t="n">
        <v>46113</v>
      </c>
      <c r="B937" s="41" t="n">
        <v>2026</v>
      </c>
      <c r="C937" s="41" t="n">
        <v>4</v>
      </c>
      <c r="D937" s="41" t="s">
        <v>49</v>
      </c>
      <c r="E937" s="41" t="s">
        <v>45</v>
      </c>
      <c r="F937" s="41" t="s">
        <v>42</v>
      </c>
      <c r="G937" s="41" t="s">
        <v>37</v>
      </c>
      <c r="H937" s="42" t="n">
        <v>39</v>
      </c>
      <c r="I937" s="42" t="n">
        <v>48</v>
      </c>
      <c r="J937" s="42" t="n">
        <v>6759</v>
      </c>
      <c r="K937" s="42" t="n">
        <v>351</v>
      </c>
      <c r="L937" s="43" t="n">
        <f aca="false">J937-K937</f>
        <v>6408</v>
      </c>
      <c r="M937" s="42" t="n">
        <v>3471</v>
      </c>
      <c r="N937" s="43" t="n">
        <f aca="false">L937-M937</f>
        <v>2937</v>
      </c>
    </row>
    <row r="938" customFormat="false" ht="15" hidden="false" customHeight="false" outlineLevel="0" collapsed="false">
      <c r="A938" s="40" t="n">
        <v>46113</v>
      </c>
      <c r="B938" s="41" t="n">
        <v>2026</v>
      </c>
      <c r="C938" s="41" t="n">
        <v>4</v>
      </c>
      <c r="D938" s="41" t="s">
        <v>49</v>
      </c>
      <c r="E938" s="41" t="s">
        <v>45</v>
      </c>
      <c r="F938" s="41" t="s">
        <v>42</v>
      </c>
      <c r="G938" s="41" t="s">
        <v>38</v>
      </c>
      <c r="H938" s="42" t="n">
        <v>55</v>
      </c>
      <c r="I938" s="42" t="n">
        <v>81</v>
      </c>
      <c r="J938" s="42" t="n">
        <v>5659</v>
      </c>
      <c r="K938" s="42" t="n">
        <v>384</v>
      </c>
      <c r="L938" s="43" t="n">
        <f aca="false">J938-K938</f>
        <v>5275</v>
      </c>
      <c r="M938" s="42" t="n">
        <v>2480</v>
      </c>
      <c r="N938" s="43" t="n">
        <f aca="false">L938-M938</f>
        <v>2795</v>
      </c>
    </row>
    <row r="939" customFormat="false" ht="15" hidden="false" customHeight="false" outlineLevel="0" collapsed="false">
      <c r="A939" s="40" t="n">
        <v>46113</v>
      </c>
      <c r="B939" s="41" t="n">
        <v>2026</v>
      </c>
      <c r="C939" s="41" t="n">
        <v>4</v>
      </c>
      <c r="D939" s="41" t="s">
        <v>49</v>
      </c>
      <c r="E939" s="41" t="s">
        <v>45</v>
      </c>
      <c r="F939" s="41" t="s">
        <v>42</v>
      </c>
      <c r="G939" s="41" t="s">
        <v>39</v>
      </c>
      <c r="H939" s="42" t="n">
        <v>87</v>
      </c>
      <c r="I939" s="42" t="n">
        <v>128</v>
      </c>
      <c r="J939" s="42" t="n">
        <v>6744</v>
      </c>
      <c r="K939" s="42" t="n">
        <v>800</v>
      </c>
      <c r="L939" s="43" t="n">
        <f aca="false">J939-K939</f>
        <v>5944</v>
      </c>
      <c r="M939" s="42" t="n">
        <v>2428</v>
      </c>
      <c r="N939" s="43" t="n">
        <f aca="false">L939-M939</f>
        <v>3516</v>
      </c>
    </row>
    <row r="940" customFormat="false" ht="15" hidden="false" customHeight="false" outlineLevel="0" collapsed="false">
      <c r="A940" s="40" t="n">
        <v>46113</v>
      </c>
      <c r="B940" s="41" t="n">
        <v>2026</v>
      </c>
      <c r="C940" s="41" t="n">
        <v>4</v>
      </c>
      <c r="D940" s="41" t="s">
        <v>49</v>
      </c>
      <c r="E940" s="41" t="s">
        <v>45</v>
      </c>
      <c r="F940" s="41" t="s">
        <v>42</v>
      </c>
      <c r="G940" s="41" t="s">
        <v>40</v>
      </c>
      <c r="H940" s="42" t="n">
        <v>46</v>
      </c>
      <c r="I940" s="42" t="n">
        <v>67</v>
      </c>
      <c r="J940" s="42" t="n">
        <v>5394</v>
      </c>
      <c r="K940" s="42" t="n">
        <v>1039</v>
      </c>
      <c r="L940" s="43" t="n">
        <f aca="false">J940-K940</f>
        <v>4355</v>
      </c>
      <c r="M940" s="42" t="n">
        <v>2510</v>
      </c>
      <c r="N940" s="43" t="n">
        <f aca="false">L940-M940</f>
        <v>1845</v>
      </c>
    </row>
    <row r="941" customFormat="false" ht="15" hidden="false" customHeight="false" outlineLevel="0" collapsed="false">
      <c r="A941" s="40" t="n">
        <v>46113</v>
      </c>
      <c r="B941" s="41" t="n">
        <v>2026</v>
      </c>
      <c r="C941" s="41" t="n">
        <v>4</v>
      </c>
      <c r="D941" s="41" t="s">
        <v>49</v>
      </c>
      <c r="E941" s="41" t="s">
        <v>45</v>
      </c>
      <c r="F941" s="41" t="s">
        <v>42</v>
      </c>
      <c r="G941" s="41" t="s">
        <v>41</v>
      </c>
      <c r="H941" s="42" t="n">
        <v>71</v>
      </c>
      <c r="I941" s="42" t="n">
        <v>111</v>
      </c>
      <c r="J941" s="42" t="n">
        <v>3980</v>
      </c>
      <c r="K941" s="42" t="n">
        <v>176</v>
      </c>
      <c r="L941" s="43" t="n">
        <f aca="false">J941-K941</f>
        <v>3804</v>
      </c>
      <c r="M941" s="42" t="n">
        <v>1930</v>
      </c>
      <c r="N941" s="43" t="n">
        <f aca="false">L941-M941</f>
        <v>1874</v>
      </c>
    </row>
    <row r="942" customFormat="false" ht="15" hidden="false" customHeight="false" outlineLevel="0" collapsed="false">
      <c r="A942" s="40" t="n">
        <v>46113</v>
      </c>
      <c r="B942" s="41" t="n">
        <v>2026</v>
      </c>
      <c r="C942" s="41" t="n">
        <v>4</v>
      </c>
      <c r="D942" s="41" t="s">
        <v>49</v>
      </c>
      <c r="E942" s="41" t="s">
        <v>45</v>
      </c>
      <c r="F942" s="41" t="s">
        <v>43</v>
      </c>
      <c r="G942" s="41" t="s">
        <v>37</v>
      </c>
      <c r="H942" s="42" t="n">
        <v>21</v>
      </c>
      <c r="I942" s="42" t="n">
        <v>26</v>
      </c>
      <c r="J942" s="42" t="n">
        <v>4267</v>
      </c>
      <c r="K942" s="42" t="n">
        <v>96</v>
      </c>
      <c r="L942" s="43" t="n">
        <f aca="false">J942-K942</f>
        <v>4171</v>
      </c>
      <c r="M942" s="42" t="n">
        <v>2259</v>
      </c>
      <c r="N942" s="43" t="n">
        <f aca="false">L942-M942</f>
        <v>1912</v>
      </c>
    </row>
    <row r="943" customFormat="false" ht="15" hidden="false" customHeight="false" outlineLevel="0" collapsed="false">
      <c r="A943" s="40" t="n">
        <v>46113</v>
      </c>
      <c r="B943" s="41" t="n">
        <v>2026</v>
      </c>
      <c r="C943" s="41" t="n">
        <v>4</v>
      </c>
      <c r="D943" s="41" t="s">
        <v>49</v>
      </c>
      <c r="E943" s="41" t="s">
        <v>45</v>
      </c>
      <c r="F943" s="41" t="s">
        <v>43</v>
      </c>
      <c r="G943" s="41" t="s">
        <v>38</v>
      </c>
      <c r="H943" s="42" t="n">
        <v>38</v>
      </c>
      <c r="I943" s="42" t="n">
        <v>54</v>
      </c>
      <c r="J943" s="42" t="n">
        <v>4519</v>
      </c>
      <c r="K943" s="42" t="n">
        <v>143</v>
      </c>
      <c r="L943" s="43" t="n">
        <f aca="false">J943-K943</f>
        <v>4376</v>
      </c>
      <c r="M943" s="42" t="n">
        <v>1952</v>
      </c>
      <c r="N943" s="43" t="n">
        <f aca="false">L943-M943</f>
        <v>2424</v>
      </c>
    </row>
    <row r="944" customFormat="false" ht="15" hidden="false" customHeight="false" outlineLevel="0" collapsed="false">
      <c r="A944" s="40" t="n">
        <v>46113</v>
      </c>
      <c r="B944" s="41" t="n">
        <v>2026</v>
      </c>
      <c r="C944" s="41" t="n">
        <v>4</v>
      </c>
      <c r="D944" s="41" t="s">
        <v>49</v>
      </c>
      <c r="E944" s="41" t="s">
        <v>45</v>
      </c>
      <c r="F944" s="41" t="s">
        <v>43</v>
      </c>
      <c r="G944" s="41" t="s">
        <v>39</v>
      </c>
      <c r="H944" s="42" t="n">
        <v>52</v>
      </c>
      <c r="I944" s="42" t="n">
        <v>75</v>
      </c>
      <c r="J944" s="42" t="n">
        <v>4588</v>
      </c>
      <c r="K944" s="42" t="n">
        <v>384</v>
      </c>
      <c r="L944" s="43" t="n">
        <f aca="false">J944-K944</f>
        <v>4204</v>
      </c>
      <c r="M944" s="42" t="n">
        <v>1620</v>
      </c>
      <c r="N944" s="43" t="n">
        <f aca="false">L944-M944</f>
        <v>2584</v>
      </c>
    </row>
    <row r="945" customFormat="false" ht="15" hidden="false" customHeight="false" outlineLevel="0" collapsed="false">
      <c r="A945" s="40" t="n">
        <v>46113</v>
      </c>
      <c r="B945" s="41" t="n">
        <v>2026</v>
      </c>
      <c r="C945" s="41" t="n">
        <v>4</v>
      </c>
      <c r="D945" s="41" t="s">
        <v>49</v>
      </c>
      <c r="E945" s="41" t="s">
        <v>45</v>
      </c>
      <c r="F945" s="41" t="s">
        <v>43</v>
      </c>
      <c r="G945" s="41" t="s">
        <v>40</v>
      </c>
      <c r="H945" s="42" t="n">
        <v>23</v>
      </c>
      <c r="I945" s="42" t="n">
        <v>28</v>
      </c>
      <c r="J945" s="42" t="n">
        <v>3181</v>
      </c>
      <c r="K945" s="42" t="n">
        <v>252</v>
      </c>
      <c r="L945" s="43" t="n">
        <f aca="false">J945-K945</f>
        <v>2929</v>
      </c>
      <c r="M945" s="42" t="n">
        <v>1650</v>
      </c>
      <c r="N945" s="43" t="n">
        <f aca="false">L945-M945</f>
        <v>1279</v>
      </c>
    </row>
    <row r="946" customFormat="false" ht="15" hidden="false" customHeight="false" outlineLevel="0" collapsed="false">
      <c r="A946" s="40" t="n">
        <v>46113</v>
      </c>
      <c r="B946" s="41" t="n">
        <v>2026</v>
      </c>
      <c r="C946" s="41" t="n">
        <v>4</v>
      </c>
      <c r="D946" s="41" t="s">
        <v>49</v>
      </c>
      <c r="E946" s="41" t="s">
        <v>45</v>
      </c>
      <c r="F946" s="41" t="s">
        <v>43</v>
      </c>
      <c r="G946" s="41" t="s">
        <v>41</v>
      </c>
      <c r="H946" s="42" t="n">
        <v>41</v>
      </c>
      <c r="I946" s="42" t="n">
        <v>56</v>
      </c>
      <c r="J946" s="42" t="n">
        <v>2639</v>
      </c>
      <c r="K946" s="42" t="n">
        <v>47</v>
      </c>
      <c r="L946" s="43" t="n">
        <f aca="false">J946-K946</f>
        <v>2592</v>
      </c>
      <c r="M946" s="42" t="n">
        <v>1215</v>
      </c>
      <c r="N946" s="43" t="n">
        <f aca="false">L946-M946</f>
        <v>1377</v>
      </c>
    </row>
    <row r="947" customFormat="false" ht="15" hidden="false" customHeight="false" outlineLevel="0" collapsed="false">
      <c r="A947" s="40" t="n">
        <v>46113</v>
      </c>
      <c r="B947" s="41" t="n">
        <v>2026</v>
      </c>
      <c r="C947" s="41" t="n">
        <v>4</v>
      </c>
      <c r="D947" s="41" t="s">
        <v>49</v>
      </c>
      <c r="E947" s="41" t="s">
        <v>46</v>
      </c>
      <c r="F947" s="41" t="s">
        <v>36</v>
      </c>
      <c r="G947" s="41" t="s">
        <v>37</v>
      </c>
      <c r="H947" s="42" t="n">
        <v>46</v>
      </c>
      <c r="I947" s="42" t="n">
        <v>69</v>
      </c>
      <c r="J947" s="42" t="n">
        <v>8723</v>
      </c>
      <c r="K947" s="42" t="n">
        <v>345</v>
      </c>
      <c r="L947" s="43" t="n">
        <f aca="false">J947-K947</f>
        <v>8378</v>
      </c>
      <c r="M947" s="42" t="n">
        <v>4571</v>
      </c>
      <c r="N947" s="43" t="n">
        <f aca="false">L947-M947</f>
        <v>3807</v>
      </c>
    </row>
    <row r="948" customFormat="false" ht="15" hidden="false" customHeight="false" outlineLevel="0" collapsed="false">
      <c r="A948" s="40" t="n">
        <v>46113</v>
      </c>
      <c r="B948" s="41" t="n">
        <v>2026</v>
      </c>
      <c r="C948" s="41" t="n">
        <v>4</v>
      </c>
      <c r="D948" s="41" t="s">
        <v>49</v>
      </c>
      <c r="E948" s="41" t="s">
        <v>46</v>
      </c>
      <c r="F948" s="41" t="s">
        <v>36</v>
      </c>
      <c r="G948" s="41" t="s">
        <v>38</v>
      </c>
      <c r="H948" s="42" t="n">
        <v>84</v>
      </c>
      <c r="I948" s="42" t="n">
        <v>127</v>
      </c>
      <c r="J948" s="42" t="n">
        <v>9426</v>
      </c>
      <c r="K948" s="42" t="n">
        <v>467</v>
      </c>
      <c r="L948" s="43" t="n">
        <f aca="false">J948-K948</f>
        <v>8959</v>
      </c>
      <c r="M948" s="42" t="n">
        <v>4109</v>
      </c>
      <c r="N948" s="43" t="n">
        <f aca="false">L948-M948</f>
        <v>4850</v>
      </c>
    </row>
    <row r="949" customFormat="false" ht="15" hidden="false" customHeight="false" outlineLevel="0" collapsed="false">
      <c r="A949" s="40" t="n">
        <v>46113</v>
      </c>
      <c r="B949" s="41" t="n">
        <v>2026</v>
      </c>
      <c r="C949" s="41" t="n">
        <v>4</v>
      </c>
      <c r="D949" s="41" t="s">
        <v>49</v>
      </c>
      <c r="E949" s="41" t="s">
        <v>46</v>
      </c>
      <c r="F949" s="41" t="s">
        <v>36</v>
      </c>
      <c r="G949" s="41" t="s">
        <v>39</v>
      </c>
      <c r="H949" s="42" t="n">
        <v>107</v>
      </c>
      <c r="I949" s="42" t="n">
        <v>128</v>
      </c>
      <c r="J949" s="42" t="n">
        <v>9014</v>
      </c>
      <c r="K949" s="42" t="n">
        <v>924</v>
      </c>
      <c r="L949" s="43" t="n">
        <f aca="false">J949-K949</f>
        <v>8090</v>
      </c>
      <c r="M949" s="42" t="n">
        <v>3157</v>
      </c>
      <c r="N949" s="43" t="n">
        <f aca="false">L949-M949</f>
        <v>4933</v>
      </c>
    </row>
    <row r="950" customFormat="false" ht="15" hidden="false" customHeight="false" outlineLevel="0" collapsed="false">
      <c r="A950" s="40" t="n">
        <v>46113</v>
      </c>
      <c r="B950" s="41" t="n">
        <v>2026</v>
      </c>
      <c r="C950" s="41" t="n">
        <v>4</v>
      </c>
      <c r="D950" s="41" t="s">
        <v>49</v>
      </c>
      <c r="E950" s="41" t="s">
        <v>46</v>
      </c>
      <c r="F950" s="41" t="s">
        <v>36</v>
      </c>
      <c r="G950" s="41" t="s">
        <v>40</v>
      </c>
      <c r="H950" s="42" t="n">
        <v>52</v>
      </c>
      <c r="I950" s="42" t="n">
        <v>66</v>
      </c>
      <c r="J950" s="42" t="n">
        <v>6654</v>
      </c>
      <c r="K950" s="42" t="n">
        <v>646</v>
      </c>
      <c r="L950" s="43" t="n">
        <f aca="false">J950-K950</f>
        <v>6008</v>
      </c>
      <c r="M950" s="42" t="n">
        <v>3386</v>
      </c>
      <c r="N950" s="43" t="n">
        <f aca="false">L950-M950</f>
        <v>2622</v>
      </c>
    </row>
    <row r="951" customFormat="false" ht="15" hidden="false" customHeight="false" outlineLevel="0" collapsed="false">
      <c r="A951" s="40" t="n">
        <v>46113</v>
      </c>
      <c r="B951" s="41" t="n">
        <v>2026</v>
      </c>
      <c r="C951" s="41" t="n">
        <v>4</v>
      </c>
      <c r="D951" s="41" t="s">
        <v>49</v>
      </c>
      <c r="E951" s="41" t="s">
        <v>46</v>
      </c>
      <c r="F951" s="41" t="s">
        <v>36</v>
      </c>
      <c r="G951" s="41" t="s">
        <v>41</v>
      </c>
      <c r="H951" s="42" t="n">
        <v>84</v>
      </c>
      <c r="I951" s="42" t="n">
        <v>132</v>
      </c>
      <c r="J951" s="42" t="n">
        <v>5114</v>
      </c>
      <c r="K951" s="42" t="n">
        <v>183</v>
      </c>
      <c r="L951" s="43" t="n">
        <f aca="false">J951-K951</f>
        <v>4931</v>
      </c>
      <c r="M951" s="42" t="n">
        <v>2358</v>
      </c>
      <c r="N951" s="43" t="n">
        <f aca="false">L951-M951</f>
        <v>2573</v>
      </c>
    </row>
    <row r="952" customFormat="false" ht="15" hidden="false" customHeight="false" outlineLevel="0" collapsed="false">
      <c r="A952" s="40" t="n">
        <v>46113</v>
      </c>
      <c r="B952" s="41" t="n">
        <v>2026</v>
      </c>
      <c r="C952" s="41" t="n">
        <v>4</v>
      </c>
      <c r="D952" s="41" t="s">
        <v>49</v>
      </c>
      <c r="E952" s="41" t="s">
        <v>46</v>
      </c>
      <c r="F952" s="41" t="s">
        <v>42</v>
      </c>
      <c r="G952" s="41" t="s">
        <v>37</v>
      </c>
      <c r="H952" s="42" t="n">
        <v>41</v>
      </c>
      <c r="I952" s="42" t="n">
        <v>54</v>
      </c>
      <c r="J952" s="42" t="n">
        <v>7156</v>
      </c>
      <c r="K952" s="42" t="n">
        <v>435</v>
      </c>
      <c r="L952" s="43" t="n">
        <f aca="false">J952-K952</f>
        <v>6721</v>
      </c>
      <c r="M952" s="42" t="n">
        <v>3764</v>
      </c>
      <c r="N952" s="43" t="n">
        <f aca="false">L952-M952</f>
        <v>2957</v>
      </c>
    </row>
    <row r="953" customFormat="false" ht="15" hidden="false" customHeight="false" outlineLevel="0" collapsed="false">
      <c r="A953" s="40" t="n">
        <v>46113</v>
      </c>
      <c r="B953" s="41" t="n">
        <v>2026</v>
      </c>
      <c r="C953" s="41" t="n">
        <v>4</v>
      </c>
      <c r="D953" s="41" t="s">
        <v>49</v>
      </c>
      <c r="E953" s="41" t="s">
        <v>46</v>
      </c>
      <c r="F953" s="41" t="s">
        <v>42</v>
      </c>
      <c r="G953" s="41" t="s">
        <v>38</v>
      </c>
      <c r="H953" s="42" t="n">
        <v>51</v>
      </c>
      <c r="I953" s="42" t="n">
        <v>59</v>
      </c>
      <c r="J953" s="42" t="n">
        <v>5276</v>
      </c>
      <c r="K953" s="42" t="n">
        <v>315</v>
      </c>
      <c r="L953" s="43" t="n">
        <f aca="false">J953-K953</f>
        <v>4961</v>
      </c>
      <c r="M953" s="42" t="n">
        <v>2354</v>
      </c>
      <c r="N953" s="43" t="n">
        <f aca="false">L953-M953</f>
        <v>2607</v>
      </c>
    </row>
    <row r="954" customFormat="false" ht="15" hidden="false" customHeight="false" outlineLevel="0" collapsed="false">
      <c r="A954" s="40" t="n">
        <v>46113</v>
      </c>
      <c r="B954" s="41" t="n">
        <v>2026</v>
      </c>
      <c r="C954" s="41" t="n">
        <v>4</v>
      </c>
      <c r="D954" s="41" t="s">
        <v>49</v>
      </c>
      <c r="E954" s="41" t="s">
        <v>46</v>
      </c>
      <c r="F954" s="41" t="s">
        <v>42</v>
      </c>
      <c r="G954" s="41" t="s">
        <v>39</v>
      </c>
      <c r="H954" s="42" t="n">
        <v>87</v>
      </c>
      <c r="I954" s="42" t="n">
        <v>100</v>
      </c>
      <c r="J954" s="42" t="n">
        <v>6762</v>
      </c>
      <c r="K954" s="42" t="n">
        <v>1033</v>
      </c>
      <c r="L954" s="43" t="n">
        <f aca="false">J954-K954</f>
        <v>5729</v>
      </c>
      <c r="M954" s="42" t="n">
        <v>2415</v>
      </c>
      <c r="N954" s="43" t="n">
        <f aca="false">L954-M954</f>
        <v>3314</v>
      </c>
    </row>
    <row r="955" customFormat="false" ht="15" hidden="false" customHeight="false" outlineLevel="0" collapsed="false">
      <c r="A955" s="40" t="n">
        <v>46113</v>
      </c>
      <c r="B955" s="41" t="n">
        <v>2026</v>
      </c>
      <c r="C955" s="41" t="n">
        <v>4</v>
      </c>
      <c r="D955" s="41" t="s">
        <v>49</v>
      </c>
      <c r="E955" s="41" t="s">
        <v>46</v>
      </c>
      <c r="F955" s="41" t="s">
        <v>42</v>
      </c>
      <c r="G955" s="41" t="s">
        <v>40</v>
      </c>
      <c r="H955" s="42" t="n">
        <v>42</v>
      </c>
      <c r="I955" s="42" t="n">
        <v>49</v>
      </c>
      <c r="J955" s="42" t="n">
        <v>4988</v>
      </c>
      <c r="K955" s="42" t="n">
        <v>934</v>
      </c>
      <c r="L955" s="43" t="n">
        <f aca="false">J955-K955</f>
        <v>4054</v>
      </c>
      <c r="M955" s="42" t="n">
        <v>2308</v>
      </c>
      <c r="N955" s="43" t="n">
        <f aca="false">L955-M955</f>
        <v>1746</v>
      </c>
    </row>
    <row r="956" customFormat="false" ht="15" hidden="false" customHeight="false" outlineLevel="0" collapsed="false">
      <c r="A956" s="40" t="n">
        <v>46113</v>
      </c>
      <c r="B956" s="41" t="n">
        <v>2026</v>
      </c>
      <c r="C956" s="41" t="n">
        <v>4</v>
      </c>
      <c r="D956" s="41" t="s">
        <v>49</v>
      </c>
      <c r="E956" s="41" t="s">
        <v>46</v>
      </c>
      <c r="F956" s="41" t="s">
        <v>42</v>
      </c>
      <c r="G956" s="41" t="s">
        <v>41</v>
      </c>
      <c r="H956" s="42" t="n">
        <v>53</v>
      </c>
      <c r="I956" s="42" t="n">
        <v>69</v>
      </c>
      <c r="J956" s="42" t="n">
        <v>2956</v>
      </c>
      <c r="K956" s="42" t="n">
        <v>126</v>
      </c>
      <c r="L956" s="43" t="n">
        <f aca="false">J956-K956</f>
        <v>2830</v>
      </c>
      <c r="M956" s="42" t="n">
        <v>1450</v>
      </c>
      <c r="N956" s="43" t="n">
        <f aca="false">L956-M956</f>
        <v>1380</v>
      </c>
    </row>
    <row r="957" customFormat="false" ht="15" hidden="false" customHeight="false" outlineLevel="0" collapsed="false">
      <c r="A957" s="40" t="n">
        <v>46113</v>
      </c>
      <c r="B957" s="41" t="n">
        <v>2026</v>
      </c>
      <c r="C957" s="41" t="n">
        <v>4</v>
      </c>
      <c r="D957" s="41" t="s">
        <v>49</v>
      </c>
      <c r="E957" s="41" t="s">
        <v>46</v>
      </c>
      <c r="F957" s="41" t="s">
        <v>43</v>
      </c>
      <c r="G957" s="41" t="s">
        <v>37</v>
      </c>
      <c r="H957" s="42" t="n">
        <v>23</v>
      </c>
      <c r="I957" s="42" t="n">
        <v>33</v>
      </c>
      <c r="J957" s="42" t="n">
        <v>4599</v>
      </c>
      <c r="K957" s="42" t="n">
        <v>114</v>
      </c>
      <c r="L957" s="43" t="n">
        <f aca="false">J957-K957</f>
        <v>4485</v>
      </c>
      <c r="M957" s="42" t="n">
        <v>2341</v>
      </c>
      <c r="N957" s="43" t="n">
        <f aca="false">L957-M957</f>
        <v>2144</v>
      </c>
    </row>
    <row r="958" customFormat="false" ht="15" hidden="false" customHeight="false" outlineLevel="0" collapsed="false">
      <c r="A958" s="40" t="n">
        <v>46113</v>
      </c>
      <c r="B958" s="41" t="n">
        <v>2026</v>
      </c>
      <c r="C958" s="41" t="n">
        <v>4</v>
      </c>
      <c r="D958" s="41" t="s">
        <v>49</v>
      </c>
      <c r="E958" s="41" t="s">
        <v>46</v>
      </c>
      <c r="F958" s="41" t="s">
        <v>43</v>
      </c>
      <c r="G958" s="41" t="s">
        <v>38</v>
      </c>
      <c r="H958" s="42" t="n">
        <v>38</v>
      </c>
      <c r="I958" s="42" t="n">
        <v>50</v>
      </c>
      <c r="J958" s="42" t="n">
        <v>4501</v>
      </c>
      <c r="K958" s="42" t="n">
        <v>133</v>
      </c>
      <c r="L958" s="43" t="n">
        <f aca="false">J958-K958</f>
        <v>4368</v>
      </c>
      <c r="M958" s="42" t="n">
        <v>1977</v>
      </c>
      <c r="N958" s="43" t="n">
        <f aca="false">L958-M958</f>
        <v>2391</v>
      </c>
    </row>
    <row r="959" customFormat="false" ht="15" hidden="false" customHeight="false" outlineLevel="0" collapsed="false">
      <c r="A959" s="40" t="n">
        <v>46113</v>
      </c>
      <c r="B959" s="41" t="n">
        <v>2026</v>
      </c>
      <c r="C959" s="41" t="n">
        <v>4</v>
      </c>
      <c r="D959" s="41" t="s">
        <v>49</v>
      </c>
      <c r="E959" s="41" t="s">
        <v>46</v>
      </c>
      <c r="F959" s="41" t="s">
        <v>43</v>
      </c>
      <c r="G959" s="41" t="s">
        <v>39</v>
      </c>
      <c r="H959" s="42" t="n">
        <v>48</v>
      </c>
      <c r="I959" s="42" t="n">
        <v>60</v>
      </c>
      <c r="J959" s="42" t="n">
        <v>4308</v>
      </c>
      <c r="K959" s="42" t="n">
        <v>296</v>
      </c>
      <c r="L959" s="43" t="n">
        <f aca="false">J959-K959</f>
        <v>4012</v>
      </c>
      <c r="M959" s="42" t="n">
        <v>1573</v>
      </c>
      <c r="N959" s="43" t="n">
        <f aca="false">L959-M959</f>
        <v>2439</v>
      </c>
    </row>
    <row r="960" customFormat="false" ht="15" hidden="false" customHeight="false" outlineLevel="0" collapsed="false">
      <c r="A960" s="40" t="n">
        <v>46113</v>
      </c>
      <c r="B960" s="41" t="n">
        <v>2026</v>
      </c>
      <c r="C960" s="41" t="n">
        <v>4</v>
      </c>
      <c r="D960" s="41" t="s">
        <v>49</v>
      </c>
      <c r="E960" s="41" t="s">
        <v>46</v>
      </c>
      <c r="F960" s="41" t="s">
        <v>43</v>
      </c>
      <c r="G960" s="41" t="s">
        <v>40</v>
      </c>
      <c r="H960" s="42" t="n">
        <v>27</v>
      </c>
      <c r="I960" s="42" t="n">
        <v>40</v>
      </c>
      <c r="J960" s="42" t="n">
        <v>3597</v>
      </c>
      <c r="K960" s="42" t="n">
        <v>295</v>
      </c>
      <c r="L960" s="43" t="n">
        <f aca="false">J960-K960</f>
        <v>3302</v>
      </c>
      <c r="M960" s="42" t="n">
        <v>1769</v>
      </c>
      <c r="N960" s="43" t="n">
        <f aca="false">L960-M960</f>
        <v>1533</v>
      </c>
    </row>
    <row r="961" customFormat="false" ht="15" hidden="false" customHeight="false" outlineLevel="0" collapsed="false">
      <c r="A961" s="40" t="n">
        <v>46113</v>
      </c>
      <c r="B961" s="41" t="n">
        <v>2026</v>
      </c>
      <c r="C961" s="41" t="n">
        <v>4</v>
      </c>
      <c r="D961" s="41" t="s">
        <v>49</v>
      </c>
      <c r="E961" s="41" t="s">
        <v>46</v>
      </c>
      <c r="F961" s="41" t="s">
        <v>43</v>
      </c>
      <c r="G961" s="41" t="s">
        <v>41</v>
      </c>
      <c r="H961" s="42" t="n">
        <v>38</v>
      </c>
      <c r="I961" s="42" t="n">
        <v>45</v>
      </c>
      <c r="J961" s="42" t="n">
        <v>2455</v>
      </c>
      <c r="K961" s="42" t="n">
        <v>51</v>
      </c>
      <c r="L961" s="43" t="n">
        <f aca="false">J961-K961</f>
        <v>2404</v>
      </c>
      <c r="M961" s="42" t="n">
        <v>1147</v>
      </c>
      <c r="N961" s="43" t="n">
        <f aca="false">L961-M961</f>
        <v>1257</v>
      </c>
    </row>
    <row r="962" customFormat="false" ht="15" hidden="false" customHeight="false" outlineLevel="0" collapsed="false">
      <c r="A962" s="40" t="n">
        <v>46143</v>
      </c>
      <c r="B962" s="41" t="n">
        <v>2026</v>
      </c>
      <c r="C962" s="41" t="n">
        <v>5</v>
      </c>
      <c r="D962" s="41" t="s">
        <v>50</v>
      </c>
      <c r="E962" s="41" t="s">
        <v>35</v>
      </c>
      <c r="F962" s="41" t="s">
        <v>36</v>
      </c>
      <c r="G962" s="41" t="s">
        <v>37</v>
      </c>
      <c r="H962" s="42" t="n">
        <v>116</v>
      </c>
      <c r="I962" s="42" t="n">
        <v>171</v>
      </c>
      <c r="J962" s="42" t="n">
        <v>21895</v>
      </c>
      <c r="K962" s="42" t="n">
        <v>785</v>
      </c>
      <c r="L962" s="43" t="n">
        <f aca="false">J962-K962</f>
        <v>21110</v>
      </c>
      <c r="M962" s="42" t="n">
        <v>11289</v>
      </c>
      <c r="N962" s="43" t="n">
        <f aca="false">L962-M962</f>
        <v>9821</v>
      </c>
    </row>
    <row r="963" customFormat="false" ht="15" hidden="false" customHeight="false" outlineLevel="0" collapsed="false">
      <c r="A963" s="40" t="n">
        <v>46143</v>
      </c>
      <c r="B963" s="41" t="n">
        <v>2026</v>
      </c>
      <c r="C963" s="41" t="n">
        <v>5</v>
      </c>
      <c r="D963" s="41" t="s">
        <v>50</v>
      </c>
      <c r="E963" s="41" t="s">
        <v>35</v>
      </c>
      <c r="F963" s="41" t="s">
        <v>36</v>
      </c>
      <c r="G963" s="41" t="s">
        <v>38</v>
      </c>
      <c r="H963" s="42" t="n">
        <v>172</v>
      </c>
      <c r="I963" s="42" t="n">
        <v>234</v>
      </c>
      <c r="J963" s="42" t="n">
        <v>19256</v>
      </c>
      <c r="K963" s="42" t="n">
        <v>825</v>
      </c>
      <c r="L963" s="43" t="n">
        <f aca="false">J963-K963</f>
        <v>18431</v>
      </c>
      <c r="M963" s="42" t="n">
        <v>8498</v>
      </c>
      <c r="N963" s="43" t="n">
        <f aca="false">L963-M963</f>
        <v>9933</v>
      </c>
    </row>
    <row r="964" customFormat="false" ht="15" hidden="false" customHeight="false" outlineLevel="0" collapsed="false">
      <c r="A964" s="40" t="n">
        <v>46143</v>
      </c>
      <c r="B964" s="41" t="n">
        <v>2026</v>
      </c>
      <c r="C964" s="41" t="n">
        <v>5</v>
      </c>
      <c r="D964" s="41" t="s">
        <v>50</v>
      </c>
      <c r="E964" s="41" t="s">
        <v>35</v>
      </c>
      <c r="F964" s="41" t="s">
        <v>36</v>
      </c>
      <c r="G964" s="41" t="s">
        <v>39</v>
      </c>
      <c r="H964" s="42" t="n">
        <v>266</v>
      </c>
      <c r="I964" s="42" t="n">
        <v>313</v>
      </c>
      <c r="J964" s="42" t="n">
        <v>22358</v>
      </c>
      <c r="K964" s="42" t="n">
        <v>2002</v>
      </c>
      <c r="L964" s="43" t="n">
        <f aca="false">J964-K964</f>
        <v>20356</v>
      </c>
      <c r="M964" s="42" t="n">
        <v>8171</v>
      </c>
      <c r="N964" s="43" t="n">
        <f aca="false">L964-M964</f>
        <v>12185</v>
      </c>
    </row>
    <row r="965" customFormat="false" ht="15" hidden="false" customHeight="false" outlineLevel="0" collapsed="false">
      <c r="A965" s="40" t="n">
        <v>46143</v>
      </c>
      <c r="B965" s="41" t="n">
        <v>2026</v>
      </c>
      <c r="C965" s="41" t="n">
        <v>5</v>
      </c>
      <c r="D965" s="41" t="s">
        <v>50</v>
      </c>
      <c r="E965" s="41" t="s">
        <v>35</v>
      </c>
      <c r="F965" s="41" t="s">
        <v>36</v>
      </c>
      <c r="G965" s="41" t="s">
        <v>40</v>
      </c>
      <c r="H965" s="42" t="n">
        <v>113</v>
      </c>
      <c r="I965" s="42" t="n">
        <v>150</v>
      </c>
      <c r="J965" s="42" t="n">
        <v>14473</v>
      </c>
      <c r="K965" s="42" t="n">
        <v>1937</v>
      </c>
      <c r="L965" s="43" t="n">
        <f aca="false">J965-K965</f>
        <v>12536</v>
      </c>
      <c r="M965" s="42" t="n">
        <v>7029</v>
      </c>
      <c r="N965" s="43" t="n">
        <f aca="false">L965-M965</f>
        <v>5507</v>
      </c>
    </row>
    <row r="966" customFormat="false" ht="15" hidden="false" customHeight="false" outlineLevel="0" collapsed="false">
      <c r="A966" s="40" t="n">
        <v>46143</v>
      </c>
      <c r="B966" s="41" t="n">
        <v>2026</v>
      </c>
      <c r="C966" s="41" t="n">
        <v>5</v>
      </c>
      <c r="D966" s="41" t="s">
        <v>50</v>
      </c>
      <c r="E966" s="41" t="s">
        <v>35</v>
      </c>
      <c r="F966" s="41" t="s">
        <v>36</v>
      </c>
      <c r="G966" s="41" t="s">
        <v>41</v>
      </c>
      <c r="H966" s="42" t="n">
        <v>178</v>
      </c>
      <c r="I966" s="42" t="n">
        <v>264</v>
      </c>
      <c r="J966" s="42" t="n">
        <v>10833</v>
      </c>
      <c r="K966" s="42" t="n">
        <v>265</v>
      </c>
      <c r="L966" s="43" t="n">
        <f aca="false">J966-K966</f>
        <v>10568</v>
      </c>
      <c r="M966" s="42" t="n">
        <v>4949</v>
      </c>
      <c r="N966" s="43" t="n">
        <f aca="false">L966-M966</f>
        <v>5619</v>
      </c>
    </row>
    <row r="967" customFormat="false" ht="15" hidden="false" customHeight="false" outlineLevel="0" collapsed="false">
      <c r="A967" s="40" t="n">
        <v>46143</v>
      </c>
      <c r="B967" s="41" t="n">
        <v>2026</v>
      </c>
      <c r="C967" s="41" t="n">
        <v>5</v>
      </c>
      <c r="D967" s="41" t="s">
        <v>50</v>
      </c>
      <c r="E967" s="41" t="s">
        <v>35</v>
      </c>
      <c r="F967" s="41" t="s">
        <v>42</v>
      </c>
      <c r="G967" s="41" t="s">
        <v>37</v>
      </c>
      <c r="H967" s="42" t="n">
        <v>95</v>
      </c>
      <c r="I967" s="42" t="n">
        <v>144</v>
      </c>
      <c r="J967" s="42" t="n">
        <v>16465</v>
      </c>
      <c r="K967" s="42" t="n">
        <v>725</v>
      </c>
      <c r="L967" s="43" t="n">
        <f aca="false">J967-K967</f>
        <v>15740</v>
      </c>
      <c r="M967" s="42" t="n">
        <v>8404</v>
      </c>
      <c r="N967" s="43" t="n">
        <f aca="false">L967-M967</f>
        <v>7336</v>
      </c>
    </row>
    <row r="968" customFormat="false" ht="15" hidden="false" customHeight="false" outlineLevel="0" collapsed="false">
      <c r="A968" s="40" t="n">
        <v>46143</v>
      </c>
      <c r="B968" s="41" t="n">
        <v>2026</v>
      </c>
      <c r="C968" s="41" t="n">
        <v>5</v>
      </c>
      <c r="D968" s="41" t="s">
        <v>50</v>
      </c>
      <c r="E968" s="41" t="s">
        <v>35</v>
      </c>
      <c r="F968" s="41" t="s">
        <v>42</v>
      </c>
      <c r="G968" s="41" t="s">
        <v>38</v>
      </c>
      <c r="H968" s="42" t="n">
        <v>114</v>
      </c>
      <c r="I968" s="42" t="n">
        <v>179</v>
      </c>
      <c r="J968" s="42" t="n">
        <v>11788</v>
      </c>
      <c r="K968" s="42" t="n">
        <v>706</v>
      </c>
      <c r="L968" s="43" t="n">
        <f aca="false">J968-K968</f>
        <v>11082</v>
      </c>
      <c r="M968" s="42" t="n">
        <v>5284</v>
      </c>
      <c r="N968" s="43" t="n">
        <f aca="false">L968-M968</f>
        <v>5798</v>
      </c>
    </row>
    <row r="969" customFormat="false" ht="15" hidden="false" customHeight="false" outlineLevel="0" collapsed="false">
      <c r="A969" s="40" t="n">
        <v>46143</v>
      </c>
      <c r="B969" s="41" t="n">
        <v>2026</v>
      </c>
      <c r="C969" s="41" t="n">
        <v>5</v>
      </c>
      <c r="D969" s="41" t="s">
        <v>50</v>
      </c>
      <c r="E969" s="41" t="s">
        <v>35</v>
      </c>
      <c r="F969" s="41" t="s">
        <v>42</v>
      </c>
      <c r="G969" s="41" t="s">
        <v>39</v>
      </c>
      <c r="H969" s="42" t="n">
        <v>219</v>
      </c>
      <c r="I969" s="42" t="n">
        <v>315</v>
      </c>
      <c r="J969" s="42" t="n">
        <v>16957</v>
      </c>
      <c r="K969" s="42" t="n">
        <v>2673</v>
      </c>
      <c r="L969" s="43" t="n">
        <f aca="false">J969-K969</f>
        <v>14284</v>
      </c>
      <c r="M969" s="42" t="n">
        <v>5835</v>
      </c>
      <c r="N969" s="43" t="n">
        <f aca="false">L969-M969</f>
        <v>8449</v>
      </c>
    </row>
    <row r="970" customFormat="false" ht="15" hidden="false" customHeight="false" outlineLevel="0" collapsed="false">
      <c r="A970" s="40" t="n">
        <v>46143</v>
      </c>
      <c r="B970" s="41" t="n">
        <v>2026</v>
      </c>
      <c r="C970" s="41" t="n">
        <v>5</v>
      </c>
      <c r="D970" s="41" t="s">
        <v>50</v>
      </c>
      <c r="E970" s="41" t="s">
        <v>35</v>
      </c>
      <c r="F970" s="41" t="s">
        <v>42</v>
      </c>
      <c r="G970" s="41" t="s">
        <v>40</v>
      </c>
      <c r="H970" s="42" t="n">
        <v>84</v>
      </c>
      <c r="I970" s="42" t="n">
        <v>97</v>
      </c>
      <c r="J970" s="42" t="n">
        <v>9839</v>
      </c>
      <c r="K970" s="42" t="n">
        <v>1758</v>
      </c>
      <c r="L970" s="43" t="n">
        <f aca="false">J970-K970</f>
        <v>8081</v>
      </c>
      <c r="M970" s="42" t="n">
        <v>4481</v>
      </c>
      <c r="N970" s="43" t="n">
        <f aca="false">L970-M970</f>
        <v>3600</v>
      </c>
    </row>
    <row r="971" customFormat="false" ht="15" hidden="false" customHeight="false" outlineLevel="0" collapsed="false">
      <c r="A971" s="40" t="n">
        <v>46143</v>
      </c>
      <c r="B971" s="41" t="n">
        <v>2026</v>
      </c>
      <c r="C971" s="41" t="n">
        <v>5</v>
      </c>
      <c r="D971" s="41" t="s">
        <v>50</v>
      </c>
      <c r="E971" s="41" t="s">
        <v>35</v>
      </c>
      <c r="F971" s="41" t="s">
        <v>42</v>
      </c>
      <c r="G971" s="41" t="s">
        <v>41</v>
      </c>
      <c r="H971" s="42" t="n">
        <v>147</v>
      </c>
      <c r="I971" s="42" t="n">
        <v>216</v>
      </c>
      <c r="J971" s="42" t="n">
        <v>8226</v>
      </c>
      <c r="K971" s="42" t="n">
        <v>291</v>
      </c>
      <c r="L971" s="43" t="n">
        <f aca="false">J971-K971</f>
        <v>7935</v>
      </c>
      <c r="M971" s="42" t="n">
        <v>4047</v>
      </c>
      <c r="N971" s="43" t="n">
        <f aca="false">L971-M971</f>
        <v>3888</v>
      </c>
    </row>
    <row r="972" customFormat="false" ht="15" hidden="false" customHeight="false" outlineLevel="0" collapsed="false">
      <c r="A972" s="40" t="n">
        <v>46143</v>
      </c>
      <c r="B972" s="41" t="n">
        <v>2026</v>
      </c>
      <c r="C972" s="41" t="n">
        <v>5</v>
      </c>
      <c r="D972" s="41" t="s">
        <v>50</v>
      </c>
      <c r="E972" s="41" t="s">
        <v>35</v>
      </c>
      <c r="F972" s="41" t="s">
        <v>43</v>
      </c>
      <c r="G972" s="41" t="s">
        <v>37</v>
      </c>
      <c r="H972" s="42" t="n">
        <v>45</v>
      </c>
      <c r="I972" s="42" t="n">
        <v>62</v>
      </c>
      <c r="J972" s="42" t="n">
        <v>9045</v>
      </c>
      <c r="K972" s="42" t="n">
        <v>213</v>
      </c>
      <c r="L972" s="43" t="n">
        <f aca="false">J972-K972</f>
        <v>8832</v>
      </c>
      <c r="M972" s="42" t="n">
        <v>4761</v>
      </c>
      <c r="N972" s="43" t="n">
        <f aca="false">L972-M972</f>
        <v>4071</v>
      </c>
    </row>
    <row r="973" customFormat="false" ht="15" hidden="false" customHeight="false" outlineLevel="0" collapsed="false">
      <c r="A973" s="40" t="n">
        <v>46143</v>
      </c>
      <c r="B973" s="41" t="n">
        <v>2026</v>
      </c>
      <c r="C973" s="41" t="n">
        <v>5</v>
      </c>
      <c r="D973" s="41" t="s">
        <v>50</v>
      </c>
      <c r="E973" s="41" t="s">
        <v>35</v>
      </c>
      <c r="F973" s="41" t="s">
        <v>43</v>
      </c>
      <c r="G973" s="41" t="s">
        <v>38</v>
      </c>
      <c r="H973" s="42" t="n">
        <v>82</v>
      </c>
      <c r="I973" s="42" t="n">
        <v>128</v>
      </c>
      <c r="J973" s="42" t="n">
        <v>9693</v>
      </c>
      <c r="K973" s="42" t="n">
        <v>272</v>
      </c>
      <c r="L973" s="43" t="n">
        <f aca="false">J973-K973</f>
        <v>9421</v>
      </c>
      <c r="M973" s="42" t="n">
        <v>4329</v>
      </c>
      <c r="N973" s="43" t="n">
        <f aca="false">L973-M973</f>
        <v>5092</v>
      </c>
    </row>
    <row r="974" customFormat="false" ht="15" hidden="false" customHeight="false" outlineLevel="0" collapsed="false">
      <c r="A974" s="40" t="n">
        <v>46143</v>
      </c>
      <c r="B974" s="41" t="n">
        <v>2026</v>
      </c>
      <c r="C974" s="41" t="n">
        <v>5</v>
      </c>
      <c r="D974" s="41" t="s">
        <v>50</v>
      </c>
      <c r="E974" s="41" t="s">
        <v>35</v>
      </c>
      <c r="F974" s="41" t="s">
        <v>43</v>
      </c>
      <c r="G974" s="41" t="s">
        <v>39</v>
      </c>
      <c r="H974" s="42" t="n">
        <v>119</v>
      </c>
      <c r="I974" s="42" t="n">
        <v>181</v>
      </c>
      <c r="J974" s="42" t="n">
        <v>10567</v>
      </c>
      <c r="K974" s="42" t="n">
        <v>740</v>
      </c>
      <c r="L974" s="43" t="n">
        <f aca="false">J974-K974</f>
        <v>9827</v>
      </c>
      <c r="M974" s="42" t="n">
        <v>3860</v>
      </c>
      <c r="N974" s="43" t="n">
        <f aca="false">L974-M974</f>
        <v>5967</v>
      </c>
    </row>
    <row r="975" customFormat="false" ht="15" hidden="false" customHeight="false" outlineLevel="0" collapsed="false">
      <c r="A975" s="40" t="n">
        <v>46143</v>
      </c>
      <c r="B975" s="41" t="n">
        <v>2026</v>
      </c>
      <c r="C975" s="41" t="n">
        <v>5</v>
      </c>
      <c r="D975" s="41" t="s">
        <v>50</v>
      </c>
      <c r="E975" s="41" t="s">
        <v>35</v>
      </c>
      <c r="F975" s="41" t="s">
        <v>43</v>
      </c>
      <c r="G975" s="41" t="s">
        <v>40</v>
      </c>
      <c r="H975" s="42" t="n">
        <v>57</v>
      </c>
      <c r="I975" s="42" t="n">
        <v>86</v>
      </c>
      <c r="J975" s="42" t="n">
        <v>7689</v>
      </c>
      <c r="K975" s="42" t="n">
        <v>537</v>
      </c>
      <c r="L975" s="43" t="n">
        <f aca="false">J975-K975</f>
        <v>7152</v>
      </c>
      <c r="M975" s="42" t="n">
        <v>3829</v>
      </c>
      <c r="N975" s="43" t="n">
        <f aca="false">L975-M975</f>
        <v>3323</v>
      </c>
    </row>
    <row r="976" customFormat="false" ht="15" hidden="false" customHeight="false" outlineLevel="0" collapsed="false">
      <c r="A976" s="40" t="n">
        <v>46143</v>
      </c>
      <c r="B976" s="41" t="n">
        <v>2026</v>
      </c>
      <c r="C976" s="41" t="n">
        <v>5</v>
      </c>
      <c r="D976" s="41" t="s">
        <v>50</v>
      </c>
      <c r="E976" s="41" t="s">
        <v>35</v>
      </c>
      <c r="F976" s="41" t="s">
        <v>43</v>
      </c>
      <c r="G976" s="41" t="s">
        <v>41</v>
      </c>
      <c r="H976" s="42" t="n">
        <v>78</v>
      </c>
      <c r="I976" s="42" t="n">
        <v>100</v>
      </c>
      <c r="J976" s="42" t="n">
        <v>5058</v>
      </c>
      <c r="K976" s="42" t="n">
        <v>102</v>
      </c>
      <c r="L976" s="43" t="n">
        <f aca="false">J976-K976</f>
        <v>4956</v>
      </c>
      <c r="M976" s="42" t="n">
        <v>2308</v>
      </c>
      <c r="N976" s="43" t="n">
        <f aca="false">L976-M976</f>
        <v>2648</v>
      </c>
    </row>
    <row r="977" customFormat="false" ht="15" hidden="false" customHeight="false" outlineLevel="0" collapsed="false">
      <c r="A977" s="40" t="n">
        <v>46143</v>
      </c>
      <c r="B977" s="41" t="n">
        <v>2026</v>
      </c>
      <c r="C977" s="41" t="n">
        <v>5</v>
      </c>
      <c r="D977" s="41" t="s">
        <v>50</v>
      </c>
      <c r="E977" s="41" t="s">
        <v>44</v>
      </c>
      <c r="F977" s="41" t="s">
        <v>36</v>
      </c>
      <c r="G977" s="41" t="s">
        <v>37</v>
      </c>
      <c r="H977" s="42" t="n">
        <v>94</v>
      </c>
      <c r="I977" s="42" t="n">
        <v>109</v>
      </c>
      <c r="J977" s="42" t="n">
        <v>17722</v>
      </c>
      <c r="K977" s="42" t="n">
        <v>802</v>
      </c>
      <c r="L977" s="43" t="n">
        <f aca="false">J977-K977</f>
        <v>16920</v>
      </c>
      <c r="M977" s="42" t="n">
        <v>9135</v>
      </c>
      <c r="N977" s="43" t="n">
        <f aca="false">L977-M977</f>
        <v>7785</v>
      </c>
    </row>
    <row r="978" customFormat="false" ht="15" hidden="false" customHeight="false" outlineLevel="0" collapsed="false">
      <c r="A978" s="40" t="n">
        <v>46143</v>
      </c>
      <c r="B978" s="41" t="n">
        <v>2026</v>
      </c>
      <c r="C978" s="41" t="n">
        <v>5</v>
      </c>
      <c r="D978" s="41" t="s">
        <v>50</v>
      </c>
      <c r="E978" s="41" t="s">
        <v>44</v>
      </c>
      <c r="F978" s="41" t="s">
        <v>36</v>
      </c>
      <c r="G978" s="41" t="s">
        <v>38</v>
      </c>
      <c r="H978" s="42" t="n">
        <v>128</v>
      </c>
      <c r="I978" s="42" t="n">
        <v>154</v>
      </c>
      <c r="J978" s="42" t="n">
        <v>14341</v>
      </c>
      <c r="K978" s="42" t="n">
        <v>760</v>
      </c>
      <c r="L978" s="43" t="n">
        <f aca="false">J978-K978</f>
        <v>13581</v>
      </c>
      <c r="M978" s="42" t="n">
        <v>6004</v>
      </c>
      <c r="N978" s="43" t="n">
        <f aca="false">L978-M978</f>
        <v>7577</v>
      </c>
    </row>
    <row r="979" customFormat="false" ht="15" hidden="false" customHeight="false" outlineLevel="0" collapsed="false">
      <c r="A979" s="40" t="n">
        <v>46143</v>
      </c>
      <c r="B979" s="41" t="n">
        <v>2026</v>
      </c>
      <c r="C979" s="41" t="n">
        <v>5</v>
      </c>
      <c r="D979" s="41" t="s">
        <v>50</v>
      </c>
      <c r="E979" s="41" t="s">
        <v>44</v>
      </c>
      <c r="F979" s="41" t="s">
        <v>36</v>
      </c>
      <c r="G979" s="41" t="s">
        <v>39</v>
      </c>
      <c r="H979" s="42" t="n">
        <v>202</v>
      </c>
      <c r="I979" s="42" t="n">
        <v>242</v>
      </c>
      <c r="J979" s="42" t="n">
        <v>16932</v>
      </c>
      <c r="K979" s="42" t="n">
        <v>2016</v>
      </c>
      <c r="L979" s="43" t="n">
        <f aca="false">J979-K979</f>
        <v>14916</v>
      </c>
      <c r="M979" s="42" t="n">
        <v>5833</v>
      </c>
      <c r="N979" s="43" t="n">
        <f aca="false">L979-M979</f>
        <v>9083</v>
      </c>
    </row>
    <row r="980" customFormat="false" ht="15" hidden="false" customHeight="false" outlineLevel="0" collapsed="false">
      <c r="A980" s="40" t="n">
        <v>46143</v>
      </c>
      <c r="B980" s="41" t="n">
        <v>2026</v>
      </c>
      <c r="C980" s="41" t="n">
        <v>5</v>
      </c>
      <c r="D980" s="41" t="s">
        <v>50</v>
      </c>
      <c r="E980" s="41" t="s">
        <v>44</v>
      </c>
      <c r="F980" s="41" t="s">
        <v>36</v>
      </c>
      <c r="G980" s="41" t="s">
        <v>40</v>
      </c>
      <c r="H980" s="42" t="n">
        <v>93</v>
      </c>
      <c r="I980" s="42" t="n">
        <v>111</v>
      </c>
      <c r="J980" s="42" t="n">
        <v>11925</v>
      </c>
      <c r="K980" s="42" t="n">
        <v>1563</v>
      </c>
      <c r="L980" s="43" t="n">
        <f aca="false">J980-K980</f>
        <v>10362</v>
      </c>
      <c r="M980" s="42" t="n">
        <v>5819</v>
      </c>
      <c r="N980" s="43" t="n">
        <f aca="false">L980-M980</f>
        <v>4543</v>
      </c>
    </row>
    <row r="981" customFormat="false" ht="15" hidden="false" customHeight="false" outlineLevel="0" collapsed="false">
      <c r="A981" s="40" t="n">
        <v>46143</v>
      </c>
      <c r="B981" s="41" t="n">
        <v>2026</v>
      </c>
      <c r="C981" s="41" t="n">
        <v>5</v>
      </c>
      <c r="D981" s="41" t="s">
        <v>50</v>
      </c>
      <c r="E981" s="41" t="s">
        <v>44</v>
      </c>
      <c r="F981" s="41" t="s">
        <v>36</v>
      </c>
      <c r="G981" s="41" t="s">
        <v>41</v>
      </c>
      <c r="H981" s="42" t="n">
        <v>149</v>
      </c>
      <c r="I981" s="42" t="n">
        <v>178</v>
      </c>
      <c r="J981" s="42" t="n">
        <v>9101</v>
      </c>
      <c r="K981" s="42" t="n">
        <v>259</v>
      </c>
      <c r="L981" s="43" t="n">
        <f aca="false">J981-K981</f>
        <v>8842</v>
      </c>
      <c r="M981" s="42" t="n">
        <v>4194</v>
      </c>
      <c r="N981" s="43" t="n">
        <f aca="false">L981-M981</f>
        <v>4648</v>
      </c>
    </row>
    <row r="982" customFormat="false" ht="15" hidden="false" customHeight="false" outlineLevel="0" collapsed="false">
      <c r="A982" s="40" t="n">
        <v>46143</v>
      </c>
      <c r="B982" s="41" t="n">
        <v>2026</v>
      </c>
      <c r="C982" s="41" t="n">
        <v>5</v>
      </c>
      <c r="D982" s="41" t="s">
        <v>50</v>
      </c>
      <c r="E982" s="41" t="s">
        <v>44</v>
      </c>
      <c r="F982" s="41" t="s">
        <v>42</v>
      </c>
      <c r="G982" s="41" t="s">
        <v>37</v>
      </c>
      <c r="H982" s="42" t="n">
        <v>71</v>
      </c>
      <c r="I982" s="42" t="n">
        <v>86</v>
      </c>
      <c r="J982" s="42" t="n">
        <v>12385</v>
      </c>
      <c r="K982" s="42" t="n">
        <v>697</v>
      </c>
      <c r="L982" s="43" t="n">
        <f aca="false">J982-K982</f>
        <v>11688</v>
      </c>
      <c r="M982" s="42" t="n">
        <v>6598</v>
      </c>
      <c r="N982" s="43" t="n">
        <f aca="false">L982-M982</f>
        <v>5090</v>
      </c>
    </row>
    <row r="983" customFormat="false" ht="15" hidden="false" customHeight="false" outlineLevel="0" collapsed="false">
      <c r="A983" s="40" t="n">
        <v>46143</v>
      </c>
      <c r="B983" s="41" t="n">
        <v>2026</v>
      </c>
      <c r="C983" s="41" t="n">
        <v>5</v>
      </c>
      <c r="D983" s="41" t="s">
        <v>50</v>
      </c>
      <c r="E983" s="41" t="s">
        <v>44</v>
      </c>
      <c r="F983" s="41" t="s">
        <v>42</v>
      </c>
      <c r="G983" s="41" t="s">
        <v>38</v>
      </c>
      <c r="H983" s="42" t="n">
        <v>105</v>
      </c>
      <c r="I983" s="42" t="n">
        <v>121</v>
      </c>
      <c r="J983" s="42" t="n">
        <v>10855</v>
      </c>
      <c r="K983" s="42" t="n">
        <v>608</v>
      </c>
      <c r="L983" s="43" t="n">
        <f aca="false">J983-K983</f>
        <v>10247</v>
      </c>
      <c r="M983" s="42" t="n">
        <v>4724</v>
      </c>
      <c r="N983" s="43" t="n">
        <f aca="false">L983-M983</f>
        <v>5523</v>
      </c>
    </row>
    <row r="984" customFormat="false" ht="15" hidden="false" customHeight="false" outlineLevel="0" collapsed="false">
      <c r="A984" s="40" t="n">
        <v>46143</v>
      </c>
      <c r="B984" s="41" t="n">
        <v>2026</v>
      </c>
      <c r="C984" s="41" t="n">
        <v>5</v>
      </c>
      <c r="D984" s="41" t="s">
        <v>50</v>
      </c>
      <c r="E984" s="41" t="s">
        <v>44</v>
      </c>
      <c r="F984" s="41" t="s">
        <v>42</v>
      </c>
      <c r="G984" s="41" t="s">
        <v>39</v>
      </c>
      <c r="H984" s="42" t="n">
        <v>164</v>
      </c>
      <c r="I984" s="42" t="n">
        <v>233</v>
      </c>
      <c r="J984" s="42" t="n">
        <v>12665</v>
      </c>
      <c r="K984" s="42" t="n">
        <v>1724</v>
      </c>
      <c r="L984" s="43" t="n">
        <f aca="false">J984-K984</f>
        <v>10941</v>
      </c>
      <c r="M984" s="42" t="n">
        <v>4522</v>
      </c>
      <c r="N984" s="43" t="n">
        <f aca="false">L984-M984</f>
        <v>6419</v>
      </c>
    </row>
    <row r="985" customFormat="false" ht="15" hidden="false" customHeight="false" outlineLevel="0" collapsed="false">
      <c r="A985" s="40" t="n">
        <v>46143</v>
      </c>
      <c r="B985" s="41" t="n">
        <v>2026</v>
      </c>
      <c r="C985" s="41" t="n">
        <v>5</v>
      </c>
      <c r="D985" s="41" t="s">
        <v>50</v>
      </c>
      <c r="E985" s="41" t="s">
        <v>44</v>
      </c>
      <c r="F985" s="41" t="s">
        <v>42</v>
      </c>
      <c r="G985" s="41" t="s">
        <v>40</v>
      </c>
      <c r="H985" s="42" t="n">
        <v>72</v>
      </c>
      <c r="I985" s="42" t="n">
        <v>103</v>
      </c>
      <c r="J985" s="42" t="n">
        <v>8428</v>
      </c>
      <c r="K985" s="42" t="n">
        <v>1447</v>
      </c>
      <c r="L985" s="43" t="n">
        <f aca="false">J985-K985</f>
        <v>6981</v>
      </c>
      <c r="M985" s="42" t="n">
        <v>4065</v>
      </c>
      <c r="N985" s="43" t="n">
        <f aca="false">L985-M985</f>
        <v>2916</v>
      </c>
    </row>
    <row r="986" customFormat="false" ht="15" hidden="false" customHeight="false" outlineLevel="0" collapsed="false">
      <c r="A986" s="40" t="n">
        <v>46143</v>
      </c>
      <c r="B986" s="41" t="n">
        <v>2026</v>
      </c>
      <c r="C986" s="41" t="n">
        <v>5</v>
      </c>
      <c r="D986" s="41" t="s">
        <v>50</v>
      </c>
      <c r="E986" s="41" t="s">
        <v>44</v>
      </c>
      <c r="F986" s="41" t="s">
        <v>42</v>
      </c>
      <c r="G986" s="41" t="s">
        <v>41</v>
      </c>
      <c r="H986" s="42" t="n">
        <v>109</v>
      </c>
      <c r="I986" s="42" t="n">
        <v>164</v>
      </c>
      <c r="J986" s="42" t="n">
        <v>6144</v>
      </c>
      <c r="K986" s="42" t="n">
        <v>290</v>
      </c>
      <c r="L986" s="43" t="n">
        <f aca="false">J986-K986</f>
        <v>5854</v>
      </c>
      <c r="M986" s="42" t="n">
        <v>2991</v>
      </c>
      <c r="N986" s="43" t="n">
        <f aca="false">L986-M986</f>
        <v>2863</v>
      </c>
    </row>
    <row r="987" customFormat="false" ht="15" hidden="false" customHeight="false" outlineLevel="0" collapsed="false">
      <c r="A987" s="40" t="n">
        <v>46143</v>
      </c>
      <c r="B987" s="41" t="n">
        <v>2026</v>
      </c>
      <c r="C987" s="41" t="n">
        <v>5</v>
      </c>
      <c r="D987" s="41" t="s">
        <v>50</v>
      </c>
      <c r="E987" s="41" t="s">
        <v>44</v>
      </c>
      <c r="F987" s="41" t="s">
        <v>43</v>
      </c>
      <c r="G987" s="41" t="s">
        <v>37</v>
      </c>
      <c r="H987" s="42" t="n">
        <v>42</v>
      </c>
      <c r="I987" s="42" t="n">
        <v>49</v>
      </c>
      <c r="J987" s="42" t="n">
        <v>8413</v>
      </c>
      <c r="K987" s="42" t="n">
        <v>253</v>
      </c>
      <c r="L987" s="43" t="n">
        <f aca="false">J987-K987</f>
        <v>8160</v>
      </c>
      <c r="M987" s="42" t="n">
        <v>4416</v>
      </c>
      <c r="N987" s="43" t="n">
        <f aca="false">L987-M987</f>
        <v>3744</v>
      </c>
    </row>
    <row r="988" customFormat="false" ht="15" hidden="false" customHeight="false" outlineLevel="0" collapsed="false">
      <c r="A988" s="40" t="n">
        <v>46143</v>
      </c>
      <c r="B988" s="41" t="n">
        <v>2026</v>
      </c>
      <c r="C988" s="41" t="n">
        <v>5</v>
      </c>
      <c r="D988" s="41" t="s">
        <v>50</v>
      </c>
      <c r="E988" s="41" t="s">
        <v>44</v>
      </c>
      <c r="F988" s="41" t="s">
        <v>43</v>
      </c>
      <c r="G988" s="41" t="s">
        <v>38</v>
      </c>
      <c r="H988" s="42" t="n">
        <v>57</v>
      </c>
      <c r="I988" s="42" t="n">
        <v>88</v>
      </c>
      <c r="J988" s="42" t="n">
        <v>6806</v>
      </c>
      <c r="K988" s="42" t="n">
        <v>208</v>
      </c>
      <c r="L988" s="43" t="n">
        <f aca="false">J988-K988</f>
        <v>6598</v>
      </c>
      <c r="M988" s="42" t="n">
        <v>3048</v>
      </c>
      <c r="N988" s="43" t="n">
        <f aca="false">L988-M988</f>
        <v>3550</v>
      </c>
    </row>
    <row r="989" customFormat="false" ht="15" hidden="false" customHeight="false" outlineLevel="0" collapsed="false">
      <c r="A989" s="40" t="n">
        <v>46143</v>
      </c>
      <c r="B989" s="41" t="n">
        <v>2026</v>
      </c>
      <c r="C989" s="41" t="n">
        <v>5</v>
      </c>
      <c r="D989" s="41" t="s">
        <v>50</v>
      </c>
      <c r="E989" s="41" t="s">
        <v>44</v>
      </c>
      <c r="F989" s="41" t="s">
        <v>43</v>
      </c>
      <c r="G989" s="41" t="s">
        <v>39</v>
      </c>
      <c r="H989" s="42" t="n">
        <v>91</v>
      </c>
      <c r="I989" s="42" t="n">
        <v>134</v>
      </c>
      <c r="J989" s="42" t="n">
        <v>8127</v>
      </c>
      <c r="K989" s="42" t="n">
        <v>513</v>
      </c>
      <c r="L989" s="43" t="n">
        <f aca="false">J989-K989</f>
        <v>7614</v>
      </c>
      <c r="M989" s="42" t="n">
        <v>2934</v>
      </c>
      <c r="N989" s="43" t="n">
        <f aca="false">L989-M989</f>
        <v>4680</v>
      </c>
    </row>
    <row r="990" customFormat="false" ht="15" hidden="false" customHeight="false" outlineLevel="0" collapsed="false">
      <c r="A990" s="40" t="n">
        <v>46143</v>
      </c>
      <c r="B990" s="41" t="n">
        <v>2026</v>
      </c>
      <c r="C990" s="41" t="n">
        <v>5</v>
      </c>
      <c r="D990" s="41" t="s">
        <v>50</v>
      </c>
      <c r="E990" s="41" t="s">
        <v>44</v>
      </c>
      <c r="F990" s="41" t="s">
        <v>43</v>
      </c>
      <c r="G990" s="41" t="s">
        <v>40</v>
      </c>
      <c r="H990" s="42" t="n">
        <v>42</v>
      </c>
      <c r="I990" s="42" t="n">
        <v>54</v>
      </c>
      <c r="J990" s="42" t="n">
        <v>5696</v>
      </c>
      <c r="K990" s="42" t="n">
        <v>401</v>
      </c>
      <c r="L990" s="43" t="n">
        <f aca="false">J990-K990</f>
        <v>5295</v>
      </c>
      <c r="M990" s="42" t="n">
        <v>2902</v>
      </c>
      <c r="N990" s="43" t="n">
        <f aca="false">L990-M990</f>
        <v>2393</v>
      </c>
    </row>
    <row r="991" customFormat="false" ht="15" hidden="false" customHeight="false" outlineLevel="0" collapsed="false">
      <c r="A991" s="40" t="n">
        <v>46143</v>
      </c>
      <c r="B991" s="41" t="n">
        <v>2026</v>
      </c>
      <c r="C991" s="41" t="n">
        <v>5</v>
      </c>
      <c r="D991" s="41" t="s">
        <v>50</v>
      </c>
      <c r="E991" s="41" t="s">
        <v>44</v>
      </c>
      <c r="F991" s="41" t="s">
        <v>43</v>
      </c>
      <c r="G991" s="41" t="s">
        <v>41</v>
      </c>
      <c r="H991" s="42" t="n">
        <v>70</v>
      </c>
      <c r="I991" s="42" t="n">
        <v>101</v>
      </c>
      <c r="J991" s="42" t="n">
        <v>4500</v>
      </c>
      <c r="K991" s="42" t="n">
        <v>111</v>
      </c>
      <c r="L991" s="43" t="n">
        <f aca="false">J991-K991</f>
        <v>4389</v>
      </c>
      <c r="M991" s="42" t="n">
        <v>2140</v>
      </c>
      <c r="N991" s="43" t="n">
        <f aca="false">L991-M991</f>
        <v>2249</v>
      </c>
    </row>
    <row r="992" customFormat="false" ht="15" hidden="false" customHeight="false" outlineLevel="0" collapsed="false">
      <c r="A992" s="40" t="n">
        <v>46143</v>
      </c>
      <c r="B992" s="41" t="n">
        <v>2026</v>
      </c>
      <c r="C992" s="41" t="n">
        <v>5</v>
      </c>
      <c r="D992" s="41" t="s">
        <v>50</v>
      </c>
      <c r="E992" s="41" t="s">
        <v>45</v>
      </c>
      <c r="F992" s="41" t="s">
        <v>36</v>
      </c>
      <c r="G992" s="41" t="s">
        <v>37</v>
      </c>
      <c r="H992" s="42" t="n">
        <v>71</v>
      </c>
      <c r="I992" s="42" t="n">
        <v>113</v>
      </c>
      <c r="J992" s="42" t="n">
        <v>13443</v>
      </c>
      <c r="K992" s="42" t="n">
        <v>592</v>
      </c>
      <c r="L992" s="43" t="n">
        <f aca="false">J992-K992</f>
        <v>12851</v>
      </c>
      <c r="M992" s="42" t="n">
        <v>6719</v>
      </c>
      <c r="N992" s="43" t="n">
        <f aca="false">L992-M992</f>
        <v>6132</v>
      </c>
    </row>
    <row r="993" customFormat="false" ht="15" hidden="false" customHeight="false" outlineLevel="0" collapsed="false">
      <c r="A993" s="40" t="n">
        <v>46143</v>
      </c>
      <c r="B993" s="41" t="n">
        <v>2026</v>
      </c>
      <c r="C993" s="41" t="n">
        <v>5</v>
      </c>
      <c r="D993" s="41" t="s">
        <v>50</v>
      </c>
      <c r="E993" s="41" t="s">
        <v>45</v>
      </c>
      <c r="F993" s="41" t="s">
        <v>36</v>
      </c>
      <c r="G993" s="41" t="s">
        <v>38</v>
      </c>
      <c r="H993" s="42" t="n">
        <v>89</v>
      </c>
      <c r="I993" s="42" t="n">
        <v>119</v>
      </c>
      <c r="J993" s="42" t="n">
        <v>9996</v>
      </c>
      <c r="K993" s="42" t="n">
        <v>404</v>
      </c>
      <c r="L993" s="43" t="n">
        <f aca="false">J993-K993</f>
        <v>9592</v>
      </c>
      <c r="M993" s="42" t="n">
        <v>4247</v>
      </c>
      <c r="N993" s="43" t="n">
        <f aca="false">L993-M993</f>
        <v>5345</v>
      </c>
    </row>
    <row r="994" customFormat="false" ht="15" hidden="false" customHeight="false" outlineLevel="0" collapsed="false">
      <c r="A994" s="40" t="n">
        <v>46143</v>
      </c>
      <c r="B994" s="41" t="n">
        <v>2026</v>
      </c>
      <c r="C994" s="41" t="n">
        <v>5</v>
      </c>
      <c r="D994" s="41" t="s">
        <v>50</v>
      </c>
      <c r="E994" s="41" t="s">
        <v>45</v>
      </c>
      <c r="F994" s="41" t="s">
        <v>36</v>
      </c>
      <c r="G994" s="41" t="s">
        <v>39</v>
      </c>
      <c r="H994" s="42" t="n">
        <v>169</v>
      </c>
      <c r="I994" s="42" t="n">
        <v>264</v>
      </c>
      <c r="J994" s="42" t="n">
        <v>14181</v>
      </c>
      <c r="K994" s="42" t="n">
        <v>1321</v>
      </c>
      <c r="L994" s="43" t="n">
        <f aca="false">J994-K994</f>
        <v>12860</v>
      </c>
      <c r="M994" s="42" t="n">
        <v>5097</v>
      </c>
      <c r="N994" s="43" t="n">
        <f aca="false">L994-M994</f>
        <v>7763</v>
      </c>
    </row>
    <row r="995" customFormat="false" ht="15" hidden="false" customHeight="false" outlineLevel="0" collapsed="false">
      <c r="A995" s="40" t="n">
        <v>46143</v>
      </c>
      <c r="B995" s="41" t="n">
        <v>2026</v>
      </c>
      <c r="C995" s="41" t="n">
        <v>5</v>
      </c>
      <c r="D995" s="41" t="s">
        <v>50</v>
      </c>
      <c r="E995" s="41" t="s">
        <v>45</v>
      </c>
      <c r="F995" s="41" t="s">
        <v>36</v>
      </c>
      <c r="G995" s="41" t="s">
        <v>40</v>
      </c>
      <c r="H995" s="42" t="n">
        <v>78</v>
      </c>
      <c r="I995" s="42" t="n">
        <v>121</v>
      </c>
      <c r="J995" s="42" t="n">
        <v>9923</v>
      </c>
      <c r="K995" s="42" t="n">
        <v>1331</v>
      </c>
      <c r="L995" s="43" t="n">
        <f aca="false">J995-K995</f>
        <v>8592</v>
      </c>
      <c r="M995" s="42" t="n">
        <v>4735</v>
      </c>
      <c r="N995" s="43" t="n">
        <f aca="false">L995-M995</f>
        <v>3857</v>
      </c>
    </row>
    <row r="996" customFormat="false" ht="15" hidden="false" customHeight="false" outlineLevel="0" collapsed="false">
      <c r="A996" s="40" t="n">
        <v>46143</v>
      </c>
      <c r="B996" s="41" t="n">
        <v>2026</v>
      </c>
      <c r="C996" s="41" t="n">
        <v>5</v>
      </c>
      <c r="D996" s="41" t="s">
        <v>50</v>
      </c>
      <c r="E996" s="41" t="s">
        <v>45</v>
      </c>
      <c r="F996" s="41" t="s">
        <v>36</v>
      </c>
      <c r="G996" s="41" t="s">
        <v>41</v>
      </c>
      <c r="H996" s="42" t="n">
        <v>90</v>
      </c>
      <c r="I996" s="42" t="n">
        <v>137</v>
      </c>
      <c r="J996" s="42" t="n">
        <v>5463</v>
      </c>
      <c r="K996" s="42" t="n">
        <v>152</v>
      </c>
      <c r="L996" s="43" t="n">
        <f aca="false">J996-K996</f>
        <v>5311</v>
      </c>
      <c r="M996" s="42" t="n">
        <v>2569</v>
      </c>
      <c r="N996" s="43" t="n">
        <f aca="false">L996-M996</f>
        <v>2742</v>
      </c>
    </row>
    <row r="997" customFormat="false" ht="15" hidden="false" customHeight="false" outlineLevel="0" collapsed="false">
      <c r="A997" s="40" t="n">
        <v>46143</v>
      </c>
      <c r="B997" s="41" t="n">
        <v>2026</v>
      </c>
      <c r="C997" s="41" t="n">
        <v>5</v>
      </c>
      <c r="D997" s="41" t="s">
        <v>50</v>
      </c>
      <c r="E997" s="41" t="s">
        <v>45</v>
      </c>
      <c r="F997" s="41" t="s">
        <v>42</v>
      </c>
      <c r="G997" s="41" t="s">
        <v>37</v>
      </c>
      <c r="H997" s="42" t="n">
        <v>47</v>
      </c>
      <c r="I997" s="42" t="n">
        <v>65</v>
      </c>
      <c r="J997" s="42" t="n">
        <v>8228</v>
      </c>
      <c r="K997" s="42" t="n">
        <v>527</v>
      </c>
      <c r="L997" s="43" t="n">
        <f aca="false">J997-K997</f>
        <v>7701</v>
      </c>
      <c r="M997" s="42" t="n">
        <v>4140</v>
      </c>
      <c r="N997" s="43" t="n">
        <f aca="false">L997-M997</f>
        <v>3561</v>
      </c>
    </row>
    <row r="998" customFormat="false" ht="15" hidden="false" customHeight="false" outlineLevel="0" collapsed="false">
      <c r="A998" s="40" t="n">
        <v>46143</v>
      </c>
      <c r="B998" s="41" t="n">
        <v>2026</v>
      </c>
      <c r="C998" s="41" t="n">
        <v>5</v>
      </c>
      <c r="D998" s="41" t="s">
        <v>50</v>
      </c>
      <c r="E998" s="41" t="s">
        <v>45</v>
      </c>
      <c r="F998" s="41" t="s">
        <v>42</v>
      </c>
      <c r="G998" s="41" t="s">
        <v>38</v>
      </c>
      <c r="H998" s="42" t="n">
        <v>73</v>
      </c>
      <c r="I998" s="42" t="n">
        <v>105</v>
      </c>
      <c r="J998" s="42" t="n">
        <v>7542</v>
      </c>
      <c r="K998" s="42" t="n">
        <v>517</v>
      </c>
      <c r="L998" s="43" t="n">
        <f aca="false">J998-K998</f>
        <v>7025</v>
      </c>
      <c r="M998" s="42" t="n">
        <v>3403</v>
      </c>
      <c r="N998" s="43" t="n">
        <f aca="false">L998-M998</f>
        <v>3622</v>
      </c>
    </row>
    <row r="999" customFormat="false" ht="15" hidden="false" customHeight="false" outlineLevel="0" collapsed="false">
      <c r="A999" s="40" t="n">
        <v>46143</v>
      </c>
      <c r="B999" s="41" t="n">
        <v>2026</v>
      </c>
      <c r="C999" s="41" t="n">
        <v>5</v>
      </c>
      <c r="D999" s="41" t="s">
        <v>50</v>
      </c>
      <c r="E999" s="41" t="s">
        <v>45</v>
      </c>
      <c r="F999" s="41" t="s">
        <v>42</v>
      </c>
      <c r="G999" s="41" t="s">
        <v>39</v>
      </c>
      <c r="H999" s="42" t="n">
        <v>112</v>
      </c>
      <c r="I999" s="42" t="n">
        <v>175</v>
      </c>
      <c r="J999" s="42" t="n">
        <v>8671</v>
      </c>
      <c r="K999" s="42" t="n">
        <v>1260</v>
      </c>
      <c r="L999" s="43" t="n">
        <f aca="false">J999-K999</f>
        <v>7411</v>
      </c>
      <c r="M999" s="42" t="n">
        <v>3158</v>
      </c>
      <c r="N999" s="43" t="n">
        <f aca="false">L999-M999</f>
        <v>4253</v>
      </c>
    </row>
    <row r="1000" customFormat="false" ht="15" hidden="false" customHeight="false" outlineLevel="0" collapsed="false">
      <c r="A1000" s="40" t="n">
        <v>46143</v>
      </c>
      <c r="B1000" s="41" t="n">
        <v>2026</v>
      </c>
      <c r="C1000" s="41" t="n">
        <v>5</v>
      </c>
      <c r="D1000" s="41" t="s">
        <v>50</v>
      </c>
      <c r="E1000" s="41" t="s">
        <v>45</v>
      </c>
      <c r="F1000" s="41" t="s">
        <v>42</v>
      </c>
      <c r="G1000" s="41" t="s">
        <v>40</v>
      </c>
      <c r="H1000" s="42" t="n">
        <v>48</v>
      </c>
      <c r="I1000" s="42" t="n">
        <v>60</v>
      </c>
      <c r="J1000" s="42" t="n">
        <v>5673</v>
      </c>
      <c r="K1000" s="42" t="n">
        <v>841</v>
      </c>
      <c r="L1000" s="43" t="n">
        <f aca="false">J1000-K1000</f>
        <v>4832</v>
      </c>
      <c r="M1000" s="42" t="n">
        <v>2812</v>
      </c>
      <c r="N1000" s="43" t="n">
        <f aca="false">L1000-M1000</f>
        <v>2020</v>
      </c>
    </row>
    <row r="1001" customFormat="false" ht="15" hidden="false" customHeight="false" outlineLevel="0" collapsed="false">
      <c r="A1001" s="40" t="n">
        <v>46143</v>
      </c>
      <c r="B1001" s="41" t="n">
        <v>2026</v>
      </c>
      <c r="C1001" s="41" t="n">
        <v>5</v>
      </c>
      <c r="D1001" s="41" t="s">
        <v>50</v>
      </c>
      <c r="E1001" s="41" t="s">
        <v>45</v>
      </c>
      <c r="F1001" s="41" t="s">
        <v>42</v>
      </c>
      <c r="G1001" s="41" t="s">
        <v>41</v>
      </c>
      <c r="H1001" s="42" t="n">
        <v>66</v>
      </c>
      <c r="I1001" s="42" t="n">
        <v>84</v>
      </c>
      <c r="J1001" s="42" t="n">
        <v>3691</v>
      </c>
      <c r="K1001" s="42" t="n">
        <v>162</v>
      </c>
      <c r="L1001" s="43" t="n">
        <f aca="false">J1001-K1001</f>
        <v>3529</v>
      </c>
      <c r="M1001" s="42" t="n">
        <v>1819</v>
      </c>
      <c r="N1001" s="43" t="n">
        <f aca="false">L1001-M1001</f>
        <v>1710</v>
      </c>
    </row>
    <row r="1002" customFormat="false" ht="15" hidden="false" customHeight="false" outlineLevel="0" collapsed="false">
      <c r="A1002" s="40" t="n">
        <v>46143</v>
      </c>
      <c r="B1002" s="41" t="n">
        <v>2026</v>
      </c>
      <c r="C1002" s="41" t="n">
        <v>5</v>
      </c>
      <c r="D1002" s="41" t="s">
        <v>50</v>
      </c>
      <c r="E1002" s="41" t="s">
        <v>45</v>
      </c>
      <c r="F1002" s="41" t="s">
        <v>43</v>
      </c>
      <c r="G1002" s="41" t="s">
        <v>37</v>
      </c>
      <c r="H1002" s="42" t="n">
        <v>27</v>
      </c>
      <c r="I1002" s="42" t="n">
        <v>36</v>
      </c>
      <c r="J1002" s="42" t="n">
        <v>5343</v>
      </c>
      <c r="K1002" s="42" t="n">
        <v>161</v>
      </c>
      <c r="L1002" s="43" t="n">
        <f aca="false">J1002-K1002</f>
        <v>5182</v>
      </c>
      <c r="M1002" s="42" t="n">
        <v>2778</v>
      </c>
      <c r="N1002" s="43" t="n">
        <f aca="false">L1002-M1002</f>
        <v>2404</v>
      </c>
    </row>
    <row r="1003" customFormat="false" ht="15" hidden="false" customHeight="false" outlineLevel="0" collapsed="false">
      <c r="A1003" s="40" t="n">
        <v>46143</v>
      </c>
      <c r="B1003" s="41" t="n">
        <v>2026</v>
      </c>
      <c r="C1003" s="41" t="n">
        <v>5</v>
      </c>
      <c r="D1003" s="41" t="s">
        <v>50</v>
      </c>
      <c r="E1003" s="41" t="s">
        <v>45</v>
      </c>
      <c r="F1003" s="41" t="s">
        <v>43</v>
      </c>
      <c r="G1003" s="41" t="s">
        <v>38</v>
      </c>
      <c r="H1003" s="42" t="n">
        <v>46</v>
      </c>
      <c r="I1003" s="42" t="n">
        <v>68</v>
      </c>
      <c r="J1003" s="42" t="n">
        <v>5495</v>
      </c>
      <c r="K1003" s="42" t="n">
        <v>173</v>
      </c>
      <c r="L1003" s="43" t="n">
        <f aca="false">J1003-K1003</f>
        <v>5322</v>
      </c>
      <c r="M1003" s="42" t="n">
        <v>2360</v>
      </c>
      <c r="N1003" s="43" t="n">
        <f aca="false">L1003-M1003</f>
        <v>2962</v>
      </c>
    </row>
    <row r="1004" customFormat="false" ht="15" hidden="false" customHeight="false" outlineLevel="0" collapsed="false">
      <c r="A1004" s="40" t="n">
        <v>46143</v>
      </c>
      <c r="B1004" s="41" t="n">
        <v>2026</v>
      </c>
      <c r="C1004" s="41" t="n">
        <v>5</v>
      </c>
      <c r="D1004" s="41" t="s">
        <v>50</v>
      </c>
      <c r="E1004" s="41" t="s">
        <v>45</v>
      </c>
      <c r="F1004" s="41" t="s">
        <v>43</v>
      </c>
      <c r="G1004" s="41" t="s">
        <v>39</v>
      </c>
      <c r="H1004" s="42" t="n">
        <v>60</v>
      </c>
      <c r="I1004" s="42" t="n">
        <v>88</v>
      </c>
      <c r="J1004" s="42" t="n">
        <v>5311</v>
      </c>
      <c r="K1004" s="42" t="n">
        <v>329</v>
      </c>
      <c r="L1004" s="43" t="n">
        <f aca="false">J1004-K1004</f>
        <v>4982</v>
      </c>
      <c r="M1004" s="42" t="n">
        <v>1915</v>
      </c>
      <c r="N1004" s="43" t="n">
        <f aca="false">L1004-M1004</f>
        <v>3067</v>
      </c>
    </row>
    <row r="1005" customFormat="false" ht="15" hidden="false" customHeight="false" outlineLevel="0" collapsed="false">
      <c r="A1005" s="40" t="n">
        <v>46143</v>
      </c>
      <c r="B1005" s="41" t="n">
        <v>2026</v>
      </c>
      <c r="C1005" s="41" t="n">
        <v>5</v>
      </c>
      <c r="D1005" s="41" t="s">
        <v>50</v>
      </c>
      <c r="E1005" s="41" t="s">
        <v>45</v>
      </c>
      <c r="F1005" s="41" t="s">
        <v>43</v>
      </c>
      <c r="G1005" s="41" t="s">
        <v>40</v>
      </c>
      <c r="H1005" s="42" t="n">
        <v>37</v>
      </c>
      <c r="I1005" s="42" t="n">
        <v>53</v>
      </c>
      <c r="J1005" s="42" t="n">
        <v>4979</v>
      </c>
      <c r="K1005" s="42" t="n">
        <v>434</v>
      </c>
      <c r="L1005" s="43" t="n">
        <f aca="false">J1005-K1005</f>
        <v>4545</v>
      </c>
      <c r="M1005" s="42" t="n">
        <v>2524</v>
      </c>
      <c r="N1005" s="43" t="n">
        <f aca="false">L1005-M1005</f>
        <v>2021</v>
      </c>
    </row>
    <row r="1006" customFormat="false" ht="15" hidden="false" customHeight="false" outlineLevel="0" collapsed="false">
      <c r="A1006" s="40" t="n">
        <v>46143</v>
      </c>
      <c r="B1006" s="41" t="n">
        <v>2026</v>
      </c>
      <c r="C1006" s="41" t="n">
        <v>5</v>
      </c>
      <c r="D1006" s="41" t="s">
        <v>50</v>
      </c>
      <c r="E1006" s="41" t="s">
        <v>45</v>
      </c>
      <c r="F1006" s="41" t="s">
        <v>43</v>
      </c>
      <c r="G1006" s="41" t="s">
        <v>41</v>
      </c>
      <c r="H1006" s="42" t="n">
        <v>47</v>
      </c>
      <c r="I1006" s="42" t="n">
        <v>69</v>
      </c>
      <c r="J1006" s="42" t="n">
        <v>3018</v>
      </c>
      <c r="K1006" s="42" t="n">
        <v>58</v>
      </c>
      <c r="L1006" s="43" t="n">
        <f aca="false">J1006-K1006</f>
        <v>2960</v>
      </c>
      <c r="M1006" s="42" t="n">
        <v>1383</v>
      </c>
      <c r="N1006" s="43" t="n">
        <f aca="false">L1006-M1006</f>
        <v>1577</v>
      </c>
    </row>
    <row r="1007" customFormat="false" ht="15" hidden="false" customHeight="false" outlineLevel="0" collapsed="false">
      <c r="A1007" s="40" t="n">
        <v>46143</v>
      </c>
      <c r="B1007" s="41" t="n">
        <v>2026</v>
      </c>
      <c r="C1007" s="41" t="n">
        <v>5</v>
      </c>
      <c r="D1007" s="41" t="s">
        <v>50</v>
      </c>
      <c r="E1007" s="41" t="s">
        <v>46</v>
      </c>
      <c r="F1007" s="41" t="s">
        <v>36</v>
      </c>
      <c r="G1007" s="41" t="s">
        <v>37</v>
      </c>
      <c r="H1007" s="42" t="n">
        <v>54</v>
      </c>
      <c r="I1007" s="42" t="n">
        <v>62</v>
      </c>
      <c r="J1007" s="42" t="n">
        <v>10255</v>
      </c>
      <c r="K1007" s="42" t="n">
        <v>387</v>
      </c>
      <c r="L1007" s="43" t="n">
        <f aca="false">J1007-K1007</f>
        <v>9868</v>
      </c>
      <c r="M1007" s="42" t="n">
        <v>5118</v>
      </c>
      <c r="N1007" s="43" t="n">
        <f aca="false">L1007-M1007</f>
        <v>4750</v>
      </c>
    </row>
    <row r="1008" customFormat="false" ht="15" hidden="false" customHeight="false" outlineLevel="0" collapsed="false">
      <c r="A1008" s="40" t="n">
        <v>46143</v>
      </c>
      <c r="B1008" s="41" t="n">
        <v>2026</v>
      </c>
      <c r="C1008" s="41" t="n">
        <v>5</v>
      </c>
      <c r="D1008" s="41" t="s">
        <v>50</v>
      </c>
      <c r="E1008" s="41" t="s">
        <v>46</v>
      </c>
      <c r="F1008" s="41" t="s">
        <v>36</v>
      </c>
      <c r="G1008" s="41" t="s">
        <v>38</v>
      </c>
      <c r="H1008" s="42" t="n">
        <v>81</v>
      </c>
      <c r="I1008" s="42" t="n">
        <v>111</v>
      </c>
      <c r="J1008" s="42" t="n">
        <v>9105</v>
      </c>
      <c r="K1008" s="42" t="n">
        <v>541</v>
      </c>
      <c r="L1008" s="43" t="n">
        <f aca="false">J1008-K1008</f>
        <v>8564</v>
      </c>
      <c r="M1008" s="42" t="n">
        <v>3897</v>
      </c>
      <c r="N1008" s="43" t="n">
        <f aca="false">L1008-M1008</f>
        <v>4667</v>
      </c>
    </row>
    <row r="1009" customFormat="false" ht="15" hidden="false" customHeight="false" outlineLevel="0" collapsed="false">
      <c r="A1009" s="40" t="n">
        <v>46143</v>
      </c>
      <c r="B1009" s="41" t="n">
        <v>2026</v>
      </c>
      <c r="C1009" s="41" t="n">
        <v>5</v>
      </c>
      <c r="D1009" s="41" t="s">
        <v>50</v>
      </c>
      <c r="E1009" s="41" t="s">
        <v>46</v>
      </c>
      <c r="F1009" s="41" t="s">
        <v>36</v>
      </c>
      <c r="G1009" s="41" t="s">
        <v>39</v>
      </c>
      <c r="H1009" s="42" t="n">
        <v>136</v>
      </c>
      <c r="I1009" s="42" t="n">
        <v>203</v>
      </c>
      <c r="J1009" s="42" t="n">
        <v>11386</v>
      </c>
      <c r="K1009" s="42" t="n">
        <v>992</v>
      </c>
      <c r="L1009" s="43" t="n">
        <f aca="false">J1009-K1009</f>
        <v>10394</v>
      </c>
      <c r="M1009" s="42" t="n">
        <v>3956</v>
      </c>
      <c r="N1009" s="43" t="n">
        <f aca="false">L1009-M1009</f>
        <v>6438</v>
      </c>
    </row>
    <row r="1010" customFormat="false" ht="15" hidden="false" customHeight="false" outlineLevel="0" collapsed="false">
      <c r="A1010" s="40" t="n">
        <v>46143</v>
      </c>
      <c r="B1010" s="41" t="n">
        <v>2026</v>
      </c>
      <c r="C1010" s="41" t="n">
        <v>5</v>
      </c>
      <c r="D1010" s="41" t="s">
        <v>50</v>
      </c>
      <c r="E1010" s="41" t="s">
        <v>46</v>
      </c>
      <c r="F1010" s="41" t="s">
        <v>36</v>
      </c>
      <c r="G1010" s="41" t="s">
        <v>40</v>
      </c>
      <c r="H1010" s="42" t="n">
        <v>65</v>
      </c>
      <c r="I1010" s="42" t="n">
        <v>87</v>
      </c>
      <c r="J1010" s="42" t="n">
        <v>8270</v>
      </c>
      <c r="K1010" s="42" t="n">
        <v>1068</v>
      </c>
      <c r="L1010" s="43" t="n">
        <f aca="false">J1010-K1010</f>
        <v>7202</v>
      </c>
      <c r="M1010" s="42" t="n">
        <v>3948</v>
      </c>
      <c r="N1010" s="43" t="n">
        <f aca="false">L1010-M1010</f>
        <v>3254</v>
      </c>
    </row>
    <row r="1011" customFormat="false" ht="15" hidden="false" customHeight="false" outlineLevel="0" collapsed="false">
      <c r="A1011" s="40" t="n">
        <v>46143</v>
      </c>
      <c r="B1011" s="41" t="n">
        <v>2026</v>
      </c>
      <c r="C1011" s="41" t="n">
        <v>5</v>
      </c>
      <c r="D1011" s="41" t="s">
        <v>50</v>
      </c>
      <c r="E1011" s="41" t="s">
        <v>46</v>
      </c>
      <c r="F1011" s="41" t="s">
        <v>36</v>
      </c>
      <c r="G1011" s="41" t="s">
        <v>41</v>
      </c>
      <c r="H1011" s="42" t="n">
        <v>102</v>
      </c>
      <c r="I1011" s="42" t="n">
        <v>122</v>
      </c>
      <c r="J1011" s="42" t="n">
        <v>6208</v>
      </c>
      <c r="K1011" s="42" t="n">
        <v>218</v>
      </c>
      <c r="L1011" s="43" t="n">
        <f aca="false">J1011-K1011</f>
        <v>5990</v>
      </c>
      <c r="M1011" s="42" t="n">
        <v>2848</v>
      </c>
      <c r="N1011" s="43" t="n">
        <f aca="false">L1011-M1011</f>
        <v>3142</v>
      </c>
    </row>
    <row r="1012" customFormat="false" ht="15" hidden="false" customHeight="false" outlineLevel="0" collapsed="false">
      <c r="A1012" s="40" t="n">
        <v>46143</v>
      </c>
      <c r="B1012" s="41" t="n">
        <v>2026</v>
      </c>
      <c r="C1012" s="41" t="n">
        <v>5</v>
      </c>
      <c r="D1012" s="41" t="s">
        <v>50</v>
      </c>
      <c r="E1012" s="41" t="s">
        <v>46</v>
      </c>
      <c r="F1012" s="41" t="s">
        <v>42</v>
      </c>
      <c r="G1012" s="41" t="s">
        <v>37</v>
      </c>
      <c r="H1012" s="42" t="n">
        <v>51</v>
      </c>
      <c r="I1012" s="42" t="n">
        <v>59</v>
      </c>
      <c r="J1012" s="42" t="n">
        <v>8874</v>
      </c>
      <c r="K1012" s="42" t="n">
        <v>542</v>
      </c>
      <c r="L1012" s="43" t="n">
        <f aca="false">J1012-K1012</f>
        <v>8332</v>
      </c>
      <c r="M1012" s="42" t="n">
        <v>4497</v>
      </c>
      <c r="N1012" s="43" t="n">
        <f aca="false">L1012-M1012</f>
        <v>3835</v>
      </c>
    </row>
    <row r="1013" customFormat="false" ht="15" hidden="false" customHeight="false" outlineLevel="0" collapsed="false">
      <c r="A1013" s="40" t="n">
        <v>46143</v>
      </c>
      <c r="B1013" s="41" t="n">
        <v>2026</v>
      </c>
      <c r="C1013" s="41" t="n">
        <v>5</v>
      </c>
      <c r="D1013" s="41" t="s">
        <v>50</v>
      </c>
      <c r="E1013" s="41" t="s">
        <v>46</v>
      </c>
      <c r="F1013" s="41" t="s">
        <v>42</v>
      </c>
      <c r="G1013" s="41" t="s">
        <v>38</v>
      </c>
      <c r="H1013" s="42" t="n">
        <v>76</v>
      </c>
      <c r="I1013" s="42" t="n">
        <v>115</v>
      </c>
      <c r="J1013" s="42" t="n">
        <v>7810</v>
      </c>
      <c r="K1013" s="42" t="n">
        <v>563</v>
      </c>
      <c r="L1013" s="43" t="n">
        <f aca="false">J1013-K1013</f>
        <v>7247</v>
      </c>
      <c r="M1013" s="42" t="n">
        <v>3375</v>
      </c>
      <c r="N1013" s="43" t="n">
        <f aca="false">L1013-M1013</f>
        <v>3872</v>
      </c>
    </row>
    <row r="1014" customFormat="false" ht="15" hidden="false" customHeight="false" outlineLevel="0" collapsed="false">
      <c r="A1014" s="40" t="n">
        <v>46143</v>
      </c>
      <c r="B1014" s="41" t="n">
        <v>2026</v>
      </c>
      <c r="C1014" s="41" t="n">
        <v>5</v>
      </c>
      <c r="D1014" s="41" t="s">
        <v>50</v>
      </c>
      <c r="E1014" s="41" t="s">
        <v>46</v>
      </c>
      <c r="F1014" s="41" t="s">
        <v>42</v>
      </c>
      <c r="G1014" s="41" t="s">
        <v>39</v>
      </c>
      <c r="H1014" s="42" t="n">
        <v>94</v>
      </c>
      <c r="I1014" s="42" t="n">
        <v>116</v>
      </c>
      <c r="J1014" s="42" t="n">
        <v>7296</v>
      </c>
      <c r="K1014" s="42" t="n">
        <v>1144</v>
      </c>
      <c r="L1014" s="43" t="n">
        <f aca="false">J1014-K1014</f>
        <v>6152</v>
      </c>
      <c r="M1014" s="42" t="n">
        <v>2497</v>
      </c>
      <c r="N1014" s="43" t="n">
        <f aca="false">L1014-M1014</f>
        <v>3655</v>
      </c>
    </row>
    <row r="1015" customFormat="false" ht="15" hidden="false" customHeight="false" outlineLevel="0" collapsed="false">
      <c r="A1015" s="40" t="n">
        <v>46143</v>
      </c>
      <c r="B1015" s="41" t="n">
        <v>2026</v>
      </c>
      <c r="C1015" s="41" t="n">
        <v>5</v>
      </c>
      <c r="D1015" s="41" t="s">
        <v>50</v>
      </c>
      <c r="E1015" s="41" t="s">
        <v>46</v>
      </c>
      <c r="F1015" s="41" t="s">
        <v>42</v>
      </c>
      <c r="G1015" s="41" t="s">
        <v>40</v>
      </c>
      <c r="H1015" s="42" t="n">
        <v>54</v>
      </c>
      <c r="I1015" s="42" t="n">
        <v>76</v>
      </c>
      <c r="J1015" s="42" t="n">
        <v>6360</v>
      </c>
      <c r="K1015" s="42" t="n">
        <v>1097</v>
      </c>
      <c r="L1015" s="43" t="n">
        <f aca="false">J1015-K1015</f>
        <v>5263</v>
      </c>
      <c r="M1015" s="42" t="n">
        <v>2932</v>
      </c>
      <c r="N1015" s="43" t="n">
        <f aca="false">L1015-M1015</f>
        <v>2331</v>
      </c>
    </row>
    <row r="1016" customFormat="false" ht="15" hidden="false" customHeight="false" outlineLevel="0" collapsed="false">
      <c r="A1016" s="40" t="n">
        <v>46143</v>
      </c>
      <c r="B1016" s="41" t="n">
        <v>2026</v>
      </c>
      <c r="C1016" s="41" t="n">
        <v>5</v>
      </c>
      <c r="D1016" s="41" t="s">
        <v>50</v>
      </c>
      <c r="E1016" s="41" t="s">
        <v>46</v>
      </c>
      <c r="F1016" s="41" t="s">
        <v>42</v>
      </c>
      <c r="G1016" s="41" t="s">
        <v>41</v>
      </c>
      <c r="H1016" s="42" t="n">
        <v>65</v>
      </c>
      <c r="I1016" s="42" t="n">
        <v>78</v>
      </c>
      <c r="J1016" s="42" t="n">
        <v>3654</v>
      </c>
      <c r="K1016" s="42" t="n">
        <v>177</v>
      </c>
      <c r="L1016" s="43" t="n">
        <f aca="false">J1016-K1016</f>
        <v>3477</v>
      </c>
      <c r="M1016" s="42" t="n">
        <v>1729</v>
      </c>
      <c r="N1016" s="43" t="n">
        <f aca="false">L1016-M1016</f>
        <v>1748</v>
      </c>
    </row>
    <row r="1017" customFormat="false" ht="15" hidden="false" customHeight="false" outlineLevel="0" collapsed="false">
      <c r="A1017" s="40" t="n">
        <v>46143</v>
      </c>
      <c r="B1017" s="41" t="n">
        <v>2026</v>
      </c>
      <c r="C1017" s="41" t="n">
        <v>5</v>
      </c>
      <c r="D1017" s="41" t="s">
        <v>50</v>
      </c>
      <c r="E1017" s="41" t="s">
        <v>46</v>
      </c>
      <c r="F1017" s="41" t="s">
        <v>43</v>
      </c>
      <c r="G1017" s="41" t="s">
        <v>37</v>
      </c>
      <c r="H1017" s="42" t="n">
        <v>29</v>
      </c>
      <c r="I1017" s="42" t="n">
        <v>41</v>
      </c>
      <c r="J1017" s="42" t="n">
        <v>5819</v>
      </c>
      <c r="K1017" s="42" t="n">
        <v>145</v>
      </c>
      <c r="L1017" s="43" t="n">
        <f aca="false">J1017-K1017</f>
        <v>5674</v>
      </c>
      <c r="M1017" s="42" t="n">
        <v>2929</v>
      </c>
      <c r="N1017" s="43" t="n">
        <f aca="false">L1017-M1017</f>
        <v>2745</v>
      </c>
    </row>
    <row r="1018" customFormat="false" ht="15" hidden="false" customHeight="false" outlineLevel="0" collapsed="false">
      <c r="A1018" s="40" t="n">
        <v>46143</v>
      </c>
      <c r="B1018" s="41" t="n">
        <v>2026</v>
      </c>
      <c r="C1018" s="41" t="n">
        <v>5</v>
      </c>
      <c r="D1018" s="41" t="s">
        <v>50</v>
      </c>
      <c r="E1018" s="41" t="s">
        <v>46</v>
      </c>
      <c r="F1018" s="41" t="s">
        <v>43</v>
      </c>
      <c r="G1018" s="41" t="s">
        <v>38</v>
      </c>
      <c r="H1018" s="42" t="n">
        <v>36</v>
      </c>
      <c r="I1018" s="42" t="n">
        <v>55</v>
      </c>
      <c r="J1018" s="42" t="n">
        <v>4220</v>
      </c>
      <c r="K1018" s="42" t="n">
        <v>126</v>
      </c>
      <c r="L1018" s="43" t="n">
        <f aca="false">J1018-K1018</f>
        <v>4094</v>
      </c>
      <c r="M1018" s="42" t="n">
        <v>1894</v>
      </c>
      <c r="N1018" s="43" t="n">
        <f aca="false">L1018-M1018</f>
        <v>2200</v>
      </c>
    </row>
    <row r="1019" customFormat="false" ht="15" hidden="false" customHeight="false" outlineLevel="0" collapsed="false">
      <c r="A1019" s="40" t="n">
        <v>46143</v>
      </c>
      <c r="B1019" s="41" t="n">
        <v>2026</v>
      </c>
      <c r="C1019" s="41" t="n">
        <v>5</v>
      </c>
      <c r="D1019" s="41" t="s">
        <v>50</v>
      </c>
      <c r="E1019" s="41" t="s">
        <v>46</v>
      </c>
      <c r="F1019" s="41" t="s">
        <v>43</v>
      </c>
      <c r="G1019" s="41" t="s">
        <v>39</v>
      </c>
      <c r="H1019" s="42" t="n">
        <v>63</v>
      </c>
      <c r="I1019" s="42" t="n">
        <v>93</v>
      </c>
      <c r="J1019" s="42" t="n">
        <v>5592</v>
      </c>
      <c r="K1019" s="42" t="n">
        <v>335</v>
      </c>
      <c r="L1019" s="43" t="n">
        <f aca="false">J1019-K1019</f>
        <v>5257</v>
      </c>
      <c r="M1019" s="42" t="n">
        <v>2086</v>
      </c>
      <c r="N1019" s="43" t="n">
        <f aca="false">L1019-M1019</f>
        <v>3171</v>
      </c>
    </row>
    <row r="1020" customFormat="false" ht="15" hidden="false" customHeight="false" outlineLevel="0" collapsed="false">
      <c r="A1020" s="40" t="n">
        <v>46143</v>
      </c>
      <c r="B1020" s="41" t="n">
        <v>2026</v>
      </c>
      <c r="C1020" s="41" t="n">
        <v>5</v>
      </c>
      <c r="D1020" s="41" t="s">
        <v>50</v>
      </c>
      <c r="E1020" s="41" t="s">
        <v>46</v>
      </c>
      <c r="F1020" s="41" t="s">
        <v>43</v>
      </c>
      <c r="G1020" s="41" t="s">
        <v>40</v>
      </c>
      <c r="H1020" s="42" t="n">
        <v>29</v>
      </c>
      <c r="I1020" s="42" t="n">
        <v>38</v>
      </c>
      <c r="J1020" s="42" t="n">
        <v>3895</v>
      </c>
      <c r="K1020" s="42" t="n">
        <v>330</v>
      </c>
      <c r="L1020" s="43" t="n">
        <f aca="false">J1020-K1020</f>
        <v>3565</v>
      </c>
      <c r="M1020" s="42" t="n">
        <v>1915</v>
      </c>
      <c r="N1020" s="43" t="n">
        <f aca="false">L1020-M1020</f>
        <v>1650</v>
      </c>
    </row>
    <row r="1021" customFormat="false" ht="15" hidden="false" customHeight="false" outlineLevel="0" collapsed="false">
      <c r="A1021" s="40" t="n">
        <v>46143</v>
      </c>
      <c r="B1021" s="41" t="n">
        <v>2026</v>
      </c>
      <c r="C1021" s="41" t="n">
        <v>5</v>
      </c>
      <c r="D1021" s="41" t="s">
        <v>50</v>
      </c>
      <c r="E1021" s="41" t="s">
        <v>46</v>
      </c>
      <c r="F1021" s="41" t="s">
        <v>43</v>
      </c>
      <c r="G1021" s="41" t="s">
        <v>41</v>
      </c>
      <c r="H1021" s="42" t="n">
        <v>40</v>
      </c>
      <c r="I1021" s="42" t="n">
        <v>60</v>
      </c>
      <c r="J1021" s="42" t="n">
        <v>2594</v>
      </c>
      <c r="K1021" s="42" t="n">
        <v>50</v>
      </c>
      <c r="L1021" s="43" t="n">
        <f aca="false">J1021-K1021</f>
        <v>2544</v>
      </c>
      <c r="M1021" s="42" t="n">
        <v>1213</v>
      </c>
      <c r="N1021" s="43" t="n">
        <f aca="false">L1021-M1021</f>
        <v>1331</v>
      </c>
    </row>
    <row r="1022" customFormat="false" ht="15" hidden="false" customHeight="false" outlineLevel="0" collapsed="false">
      <c r="A1022" s="40" t="n">
        <v>46174</v>
      </c>
      <c r="B1022" s="41" t="n">
        <v>2026</v>
      </c>
      <c r="C1022" s="41" t="n">
        <v>6</v>
      </c>
      <c r="D1022" s="41" t="s">
        <v>51</v>
      </c>
      <c r="E1022" s="41" t="s">
        <v>35</v>
      </c>
      <c r="F1022" s="41" t="s">
        <v>36</v>
      </c>
      <c r="G1022" s="41" t="s">
        <v>37</v>
      </c>
      <c r="H1022" s="42" t="n">
        <v>133</v>
      </c>
      <c r="I1022" s="42" t="n">
        <v>166</v>
      </c>
      <c r="J1022" s="42" t="n">
        <v>25181</v>
      </c>
      <c r="K1022" s="42" t="n">
        <v>884</v>
      </c>
      <c r="L1022" s="43" t="n">
        <f aca="false">J1022-K1022</f>
        <v>24297</v>
      </c>
      <c r="M1022" s="42" t="n">
        <v>12660</v>
      </c>
      <c r="N1022" s="43" t="n">
        <f aca="false">L1022-M1022</f>
        <v>11637</v>
      </c>
    </row>
    <row r="1023" customFormat="false" ht="15" hidden="false" customHeight="false" outlineLevel="0" collapsed="false">
      <c r="A1023" s="40" t="n">
        <v>46174</v>
      </c>
      <c r="B1023" s="41" t="n">
        <v>2026</v>
      </c>
      <c r="C1023" s="41" t="n">
        <v>6</v>
      </c>
      <c r="D1023" s="41" t="s">
        <v>51</v>
      </c>
      <c r="E1023" s="41" t="s">
        <v>35</v>
      </c>
      <c r="F1023" s="41" t="s">
        <v>36</v>
      </c>
      <c r="G1023" s="41" t="s">
        <v>38</v>
      </c>
      <c r="H1023" s="42" t="n">
        <v>177</v>
      </c>
      <c r="I1023" s="42" t="n">
        <v>233</v>
      </c>
      <c r="J1023" s="42" t="n">
        <v>19847</v>
      </c>
      <c r="K1023" s="42" t="n">
        <v>1049</v>
      </c>
      <c r="L1023" s="43" t="n">
        <f aca="false">J1023-K1023</f>
        <v>18798</v>
      </c>
      <c r="M1023" s="42" t="n">
        <v>8445</v>
      </c>
      <c r="N1023" s="43" t="n">
        <f aca="false">L1023-M1023</f>
        <v>10353</v>
      </c>
    </row>
    <row r="1024" customFormat="false" ht="15" hidden="false" customHeight="false" outlineLevel="0" collapsed="false">
      <c r="A1024" s="40" t="n">
        <v>46174</v>
      </c>
      <c r="B1024" s="41" t="n">
        <v>2026</v>
      </c>
      <c r="C1024" s="41" t="n">
        <v>6</v>
      </c>
      <c r="D1024" s="41" t="s">
        <v>51</v>
      </c>
      <c r="E1024" s="41" t="s">
        <v>35</v>
      </c>
      <c r="F1024" s="41" t="s">
        <v>36</v>
      </c>
      <c r="G1024" s="41" t="s">
        <v>39</v>
      </c>
      <c r="H1024" s="42" t="n">
        <v>321</v>
      </c>
      <c r="I1024" s="42" t="n">
        <v>376</v>
      </c>
      <c r="J1024" s="42" t="n">
        <v>26947</v>
      </c>
      <c r="K1024" s="42" t="n">
        <v>2871</v>
      </c>
      <c r="L1024" s="43" t="n">
        <f aca="false">J1024-K1024</f>
        <v>24076</v>
      </c>
      <c r="M1024" s="42" t="n">
        <v>9579</v>
      </c>
      <c r="N1024" s="43" t="n">
        <f aca="false">L1024-M1024</f>
        <v>14497</v>
      </c>
    </row>
    <row r="1025" customFormat="false" ht="15" hidden="false" customHeight="false" outlineLevel="0" collapsed="false">
      <c r="A1025" s="40" t="n">
        <v>46174</v>
      </c>
      <c r="B1025" s="41" t="n">
        <v>2026</v>
      </c>
      <c r="C1025" s="41" t="n">
        <v>6</v>
      </c>
      <c r="D1025" s="41" t="s">
        <v>51</v>
      </c>
      <c r="E1025" s="41" t="s">
        <v>35</v>
      </c>
      <c r="F1025" s="41" t="s">
        <v>36</v>
      </c>
      <c r="G1025" s="41" t="s">
        <v>40</v>
      </c>
      <c r="H1025" s="42" t="n">
        <v>127</v>
      </c>
      <c r="I1025" s="42" t="n">
        <v>148</v>
      </c>
      <c r="J1025" s="42" t="n">
        <v>16277</v>
      </c>
      <c r="K1025" s="42" t="n">
        <v>1905</v>
      </c>
      <c r="L1025" s="43" t="n">
        <f aca="false">J1025-K1025</f>
        <v>14372</v>
      </c>
      <c r="M1025" s="42" t="n">
        <v>7722</v>
      </c>
      <c r="N1025" s="43" t="n">
        <f aca="false">L1025-M1025</f>
        <v>6650</v>
      </c>
    </row>
    <row r="1026" customFormat="false" ht="15" hidden="false" customHeight="false" outlineLevel="0" collapsed="false">
      <c r="A1026" s="40" t="n">
        <v>46174</v>
      </c>
      <c r="B1026" s="41" t="n">
        <v>2026</v>
      </c>
      <c r="C1026" s="41" t="n">
        <v>6</v>
      </c>
      <c r="D1026" s="41" t="s">
        <v>51</v>
      </c>
      <c r="E1026" s="41" t="s">
        <v>35</v>
      </c>
      <c r="F1026" s="41" t="s">
        <v>36</v>
      </c>
      <c r="G1026" s="41" t="s">
        <v>41</v>
      </c>
      <c r="H1026" s="42" t="n">
        <v>190</v>
      </c>
      <c r="I1026" s="42" t="n">
        <v>279</v>
      </c>
      <c r="J1026" s="42" t="n">
        <v>11590</v>
      </c>
      <c r="K1026" s="42" t="n">
        <v>291</v>
      </c>
      <c r="L1026" s="43" t="n">
        <f aca="false">J1026-K1026</f>
        <v>11299</v>
      </c>
      <c r="M1026" s="42" t="n">
        <v>5299</v>
      </c>
      <c r="N1026" s="43" t="n">
        <f aca="false">L1026-M1026</f>
        <v>6000</v>
      </c>
    </row>
    <row r="1027" customFormat="false" ht="15" hidden="false" customHeight="false" outlineLevel="0" collapsed="false">
      <c r="A1027" s="40" t="n">
        <v>46174</v>
      </c>
      <c r="B1027" s="41" t="n">
        <v>2026</v>
      </c>
      <c r="C1027" s="41" t="n">
        <v>6</v>
      </c>
      <c r="D1027" s="41" t="s">
        <v>51</v>
      </c>
      <c r="E1027" s="41" t="s">
        <v>35</v>
      </c>
      <c r="F1027" s="41" t="s">
        <v>42</v>
      </c>
      <c r="G1027" s="41" t="s">
        <v>37</v>
      </c>
      <c r="H1027" s="42" t="n">
        <v>93</v>
      </c>
      <c r="I1027" s="42" t="n">
        <v>114</v>
      </c>
      <c r="J1027" s="42" t="n">
        <v>16215</v>
      </c>
      <c r="K1027" s="42" t="n">
        <v>781</v>
      </c>
      <c r="L1027" s="43" t="n">
        <f aca="false">J1027-K1027</f>
        <v>15434</v>
      </c>
      <c r="M1027" s="42" t="n">
        <v>8439</v>
      </c>
      <c r="N1027" s="43" t="n">
        <f aca="false">L1027-M1027</f>
        <v>6995</v>
      </c>
    </row>
    <row r="1028" customFormat="false" ht="15" hidden="false" customHeight="false" outlineLevel="0" collapsed="false">
      <c r="A1028" s="40" t="n">
        <v>46174</v>
      </c>
      <c r="B1028" s="41" t="n">
        <v>2026</v>
      </c>
      <c r="C1028" s="41" t="n">
        <v>6</v>
      </c>
      <c r="D1028" s="41" t="s">
        <v>51</v>
      </c>
      <c r="E1028" s="41" t="s">
        <v>35</v>
      </c>
      <c r="F1028" s="41" t="s">
        <v>42</v>
      </c>
      <c r="G1028" s="41" t="s">
        <v>38</v>
      </c>
      <c r="H1028" s="42" t="n">
        <v>124</v>
      </c>
      <c r="I1028" s="42" t="n">
        <v>146</v>
      </c>
      <c r="J1028" s="42" t="n">
        <v>12745</v>
      </c>
      <c r="K1028" s="42" t="n">
        <v>812</v>
      </c>
      <c r="L1028" s="43" t="n">
        <f aca="false">J1028-K1028</f>
        <v>11933</v>
      </c>
      <c r="M1028" s="42" t="n">
        <v>5622</v>
      </c>
      <c r="N1028" s="43" t="n">
        <f aca="false">L1028-M1028</f>
        <v>6311</v>
      </c>
    </row>
    <row r="1029" customFormat="false" ht="15" hidden="false" customHeight="false" outlineLevel="0" collapsed="false">
      <c r="A1029" s="40" t="n">
        <v>46174</v>
      </c>
      <c r="B1029" s="41" t="n">
        <v>2026</v>
      </c>
      <c r="C1029" s="41" t="n">
        <v>6</v>
      </c>
      <c r="D1029" s="41" t="s">
        <v>51</v>
      </c>
      <c r="E1029" s="41" t="s">
        <v>35</v>
      </c>
      <c r="F1029" s="41" t="s">
        <v>42</v>
      </c>
      <c r="G1029" s="41" t="s">
        <v>39</v>
      </c>
      <c r="H1029" s="42" t="n">
        <v>247</v>
      </c>
      <c r="I1029" s="42" t="n">
        <v>346</v>
      </c>
      <c r="J1029" s="42" t="n">
        <v>19064</v>
      </c>
      <c r="K1029" s="42" t="n">
        <v>2133</v>
      </c>
      <c r="L1029" s="43" t="n">
        <f aca="false">J1029-K1029</f>
        <v>16931</v>
      </c>
      <c r="M1029" s="42" t="n">
        <v>6900</v>
      </c>
      <c r="N1029" s="43" t="n">
        <f aca="false">L1029-M1029</f>
        <v>10031</v>
      </c>
    </row>
    <row r="1030" customFormat="false" ht="15" hidden="false" customHeight="false" outlineLevel="0" collapsed="false">
      <c r="A1030" s="40" t="n">
        <v>46174</v>
      </c>
      <c r="B1030" s="41" t="n">
        <v>2026</v>
      </c>
      <c r="C1030" s="41" t="n">
        <v>6</v>
      </c>
      <c r="D1030" s="41" t="s">
        <v>51</v>
      </c>
      <c r="E1030" s="41" t="s">
        <v>35</v>
      </c>
      <c r="F1030" s="41" t="s">
        <v>42</v>
      </c>
      <c r="G1030" s="41" t="s">
        <v>40</v>
      </c>
      <c r="H1030" s="42" t="n">
        <v>111</v>
      </c>
      <c r="I1030" s="42" t="n">
        <v>156</v>
      </c>
      <c r="J1030" s="42" t="n">
        <v>13067</v>
      </c>
      <c r="K1030" s="42" t="n">
        <v>2430</v>
      </c>
      <c r="L1030" s="43" t="n">
        <f aca="false">J1030-K1030</f>
        <v>10637</v>
      </c>
      <c r="M1030" s="42" t="n">
        <v>6209</v>
      </c>
      <c r="N1030" s="43" t="n">
        <f aca="false">L1030-M1030</f>
        <v>4428</v>
      </c>
    </row>
    <row r="1031" customFormat="false" ht="15" hidden="false" customHeight="false" outlineLevel="0" collapsed="false">
      <c r="A1031" s="40" t="n">
        <v>46174</v>
      </c>
      <c r="B1031" s="41" t="n">
        <v>2026</v>
      </c>
      <c r="C1031" s="41" t="n">
        <v>6</v>
      </c>
      <c r="D1031" s="41" t="s">
        <v>51</v>
      </c>
      <c r="E1031" s="41" t="s">
        <v>35</v>
      </c>
      <c r="F1031" s="41" t="s">
        <v>42</v>
      </c>
      <c r="G1031" s="41" t="s">
        <v>41</v>
      </c>
      <c r="H1031" s="42" t="n">
        <v>160</v>
      </c>
      <c r="I1031" s="42" t="n">
        <v>192</v>
      </c>
      <c r="J1031" s="42" t="n">
        <v>8971</v>
      </c>
      <c r="K1031" s="42" t="n">
        <v>428</v>
      </c>
      <c r="L1031" s="43" t="n">
        <f aca="false">J1031-K1031</f>
        <v>8543</v>
      </c>
      <c r="M1031" s="42" t="n">
        <v>4285</v>
      </c>
      <c r="N1031" s="43" t="n">
        <f aca="false">L1031-M1031</f>
        <v>4258</v>
      </c>
    </row>
    <row r="1032" customFormat="false" ht="15" hidden="false" customHeight="false" outlineLevel="0" collapsed="false">
      <c r="A1032" s="40" t="n">
        <v>46174</v>
      </c>
      <c r="B1032" s="41" t="n">
        <v>2026</v>
      </c>
      <c r="C1032" s="41" t="n">
        <v>6</v>
      </c>
      <c r="D1032" s="41" t="s">
        <v>51</v>
      </c>
      <c r="E1032" s="41" t="s">
        <v>35</v>
      </c>
      <c r="F1032" s="41" t="s">
        <v>43</v>
      </c>
      <c r="G1032" s="41" t="s">
        <v>37</v>
      </c>
      <c r="H1032" s="42" t="n">
        <v>52</v>
      </c>
      <c r="I1032" s="42" t="n">
        <v>64</v>
      </c>
      <c r="J1032" s="42" t="n">
        <v>10395</v>
      </c>
      <c r="K1032" s="42" t="n">
        <v>334</v>
      </c>
      <c r="L1032" s="43" t="n">
        <f aca="false">J1032-K1032</f>
        <v>10061</v>
      </c>
      <c r="M1032" s="42" t="n">
        <v>5240</v>
      </c>
      <c r="N1032" s="43" t="n">
        <f aca="false">L1032-M1032</f>
        <v>4821</v>
      </c>
    </row>
    <row r="1033" customFormat="false" ht="15" hidden="false" customHeight="false" outlineLevel="0" collapsed="false">
      <c r="A1033" s="40" t="n">
        <v>46174</v>
      </c>
      <c r="B1033" s="41" t="n">
        <v>2026</v>
      </c>
      <c r="C1033" s="41" t="n">
        <v>6</v>
      </c>
      <c r="D1033" s="41" t="s">
        <v>51</v>
      </c>
      <c r="E1033" s="41" t="s">
        <v>35</v>
      </c>
      <c r="F1033" s="41" t="s">
        <v>43</v>
      </c>
      <c r="G1033" s="41" t="s">
        <v>38</v>
      </c>
      <c r="H1033" s="42" t="n">
        <v>73</v>
      </c>
      <c r="I1033" s="42" t="n">
        <v>93</v>
      </c>
      <c r="J1033" s="42" t="n">
        <v>8665</v>
      </c>
      <c r="K1033" s="42" t="n">
        <v>355</v>
      </c>
      <c r="L1033" s="43" t="n">
        <f aca="false">J1033-K1033</f>
        <v>8310</v>
      </c>
      <c r="M1033" s="42" t="n">
        <v>3731</v>
      </c>
      <c r="N1033" s="43" t="n">
        <f aca="false">L1033-M1033</f>
        <v>4579</v>
      </c>
    </row>
    <row r="1034" customFormat="false" ht="15" hidden="false" customHeight="false" outlineLevel="0" collapsed="false">
      <c r="A1034" s="40" t="n">
        <v>46174</v>
      </c>
      <c r="B1034" s="41" t="n">
        <v>2026</v>
      </c>
      <c r="C1034" s="41" t="n">
        <v>6</v>
      </c>
      <c r="D1034" s="41" t="s">
        <v>51</v>
      </c>
      <c r="E1034" s="41" t="s">
        <v>35</v>
      </c>
      <c r="F1034" s="41" t="s">
        <v>43</v>
      </c>
      <c r="G1034" s="41" t="s">
        <v>39</v>
      </c>
      <c r="H1034" s="42" t="n">
        <v>140</v>
      </c>
      <c r="I1034" s="42" t="n">
        <v>166</v>
      </c>
      <c r="J1034" s="42" t="n">
        <v>12435</v>
      </c>
      <c r="K1034" s="42" t="n">
        <v>854</v>
      </c>
      <c r="L1034" s="43" t="n">
        <f aca="false">J1034-K1034</f>
        <v>11581</v>
      </c>
      <c r="M1034" s="42" t="n">
        <v>4467</v>
      </c>
      <c r="N1034" s="43" t="n">
        <f aca="false">L1034-M1034</f>
        <v>7114</v>
      </c>
    </row>
    <row r="1035" customFormat="false" ht="15" hidden="false" customHeight="false" outlineLevel="0" collapsed="false">
      <c r="A1035" s="40" t="n">
        <v>46174</v>
      </c>
      <c r="B1035" s="41" t="n">
        <v>2026</v>
      </c>
      <c r="C1035" s="41" t="n">
        <v>6</v>
      </c>
      <c r="D1035" s="41" t="s">
        <v>51</v>
      </c>
      <c r="E1035" s="41" t="s">
        <v>35</v>
      </c>
      <c r="F1035" s="41" t="s">
        <v>43</v>
      </c>
      <c r="G1035" s="41" t="s">
        <v>40</v>
      </c>
      <c r="H1035" s="42" t="n">
        <v>57</v>
      </c>
      <c r="I1035" s="42" t="n">
        <v>83</v>
      </c>
      <c r="J1035" s="42" t="n">
        <v>7715</v>
      </c>
      <c r="K1035" s="42" t="n">
        <v>612</v>
      </c>
      <c r="L1035" s="43" t="n">
        <f aca="false">J1035-K1035</f>
        <v>7103</v>
      </c>
      <c r="M1035" s="42" t="n">
        <v>3818</v>
      </c>
      <c r="N1035" s="43" t="n">
        <f aca="false">L1035-M1035</f>
        <v>3285</v>
      </c>
    </row>
    <row r="1036" customFormat="false" ht="15" hidden="false" customHeight="false" outlineLevel="0" collapsed="false">
      <c r="A1036" s="40" t="n">
        <v>46174</v>
      </c>
      <c r="B1036" s="41" t="n">
        <v>2026</v>
      </c>
      <c r="C1036" s="41" t="n">
        <v>6</v>
      </c>
      <c r="D1036" s="41" t="s">
        <v>51</v>
      </c>
      <c r="E1036" s="41" t="s">
        <v>35</v>
      </c>
      <c r="F1036" s="41" t="s">
        <v>43</v>
      </c>
      <c r="G1036" s="41" t="s">
        <v>41</v>
      </c>
      <c r="H1036" s="42" t="n">
        <v>98</v>
      </c>
      <c r="I1036" s="42" t="n">
        <v>134</v>
      </c>
      <c r="J1036" s="42" t="n">
        <v>6366</v>
      </c>
      <c r="K1036" s="42" t="n">
        <v>117</v>
      </c>
      <c r="L1036" s="43" t="n">
        <f aca="false">J1036-K1036</f>
        <v>6249</v>
      </c>
      <c r="M1036" s="42" t="n">
        <v>2912</v>
      </c>
      <c r="N1036" s="43" t="n">
        <f aca="false">L1036-M1036</f>
        <v>3337</v>
      </c>
    </row>
    <row r="1037" customFormat="false" ht="15" hidden="false" customHeight="false" outlineLevel="0" collapsed="false">
      <c r="A1037" s="40" t="n">
        <v>46174</v>
      </c>
      <c r="B1037" s="41" t="n">
        <v>2026</v>
      </c>
      <c r="C1037" s="41" t="n">
        <v>6</v>
      </c>
      <c r="D1037" s="41" t="s">
        <v>51</v>
      </c>
      <c r="E1037" s="41" t="s">
        <v>44</v>
      </c>
      <c r="F1037" s="41" t="s">
        <v>36</v>
      </c>
      <c r="G1037" s="41" t="s">
        <v>37</v>
      </c>
      <c r="H1037" s="42" t="n">
        <v>103</v>
      </c>
      <c r="I1037" s="42" t="n">
        <v>142</v>
      </c>
      <c r="J1037" s="42" t="n">
        <v>19414</v>
      </c>
      <c r="K1037" s="42" t="n">
        <v>629</v>
      </c>
      <c r="L1037" s="43" t="n">
        <f aca="false">J1037-K1037</f>
        <v>18785</v>
      </c>
      <c r="M1037" s="42" t="n">
        <v>9938</v>
      </c>
      <c r="N1037" s="43" t="n">
        <f aca="false">L1037-M1037</f>
        <v>8847</v>
      </c>
    </row>
    <row r="1038" customFormat="false" ht="15" hidden="false" customHeight="false" outlineLevel="0" collapsed="false">
      <c r="A1038" s="40" t="n">
        <v>46174</v>
      </c>
      <c r="B1038" s="41" t="n">
        <v>2026</v>
      </c>
      <c r="C1038" s="41" t="n">
        <v>6</v>
      </c>
      <c r="D1038" s="41" t="s">
        <v>51</v>
      </c>
      <c r="E1038" s="41" t="s">
        <v>44</v>
      </c>
      <c r="F1038" s="41" t="s">
        <v>36</v>
      </c>
      <c r="G1038" s="41" t="s">
        <v>38</v>
      </c>
      <c r="H1038" s="42" t="n">
        <v>155</v>
      </c>
      <c r="I1038" s="42" t="n">
        <v>216</v>
      </c>
      <c r="J1038" s="42" t="n">
        <v>17386</v>
      </c>
      <c r="K1038" s="42" t="n">
        <v>777</v>
      </c>
      <c r="L1038" s="43" t="n">
        <f aca="false">J1038-K1038</f>
        <v>16609</v>
      </c>
      <c r="M1038" s="42" t="n">
        <v>7474</v>
      </c>
      <c r="N1038" s="43" t="n">
        <f aca="false">L1038-M1038</f>
        <v>9135</v>
      </c>
    </row>
    <row r="1039" customFormat="false" ht="15" hidden="false" customHeight="false" outlineLevel="0" collapsed="false">
      <c r="A1039" s="40" t="n">
        <v>46174</v>
      </c>
      <c r="B1039" s="41" t="n">
        <v>2026</v>
      </c>
      <c r="C1039" s="41" t="n">
        <v>6</v>
      </c>
      <c r="D1039" s="41" t="s">
        <v>51</v>
      </c>
      <c r="E1039" s="41" t="s">
        <v>44</v>
      </c>
      <c r="F1039" s="41" t="s">
        <v>36</v>
      </c>
      <c r="G1039" s="41" t="s">
        <v>39</v>
      </c>
      <c r="H1039" s="42" t="n">
        <v>238</v>
      </c>
      <c r="I1039" s="42" t="n">
        <v>343</v>
      </c>
      <c r="J1039" s="42" t="n">
        <v>19962</v>
      </c>
      <c r="K1039" s="42" t="n">
        <v>1713</v>
      </c>
      <c r="L1039" s="43" t="n">
        <f aca="false">J1039-K1039</f>
        <v>18249</v>
      </c>
      <c r="M1039" s="42" t="n">
        <v>7247</v>
      </c>
      <c r="N1039" s="43" t="n">
        <f aca="false">L1039-M1039</f>
        <v>11002</v>
      </c>
    </row>
    <row r="1040" customFormat="false" ht="15" hidden="false" customHeight="false" outlineLevel="0" collapsed="false">
      <c r="A1040" s="40" t="n">
        <v>46174</v>
      </c>
      <c r="B1040" s="41" t="n">
        <v>2026</v>
      </c>
      <c r="C1040" s="41" t="n">
        <v>6</v>
      </c>
      <c r="D1040" s="41" t="s">
        <v>51</v>
      </c>
      <c r="E1040" s="41" t="s">
        <v>44</v>
      </c>
      <c r="F1040" s="41" t="s">
        <v>36</v>
      </c>
      <c r="G1040" s="41" t="s">
        <v>40</v>
      </c>
      <c r="H1040" s="42" t="n">
        <v>123</v>
      </c>
      <c r="I1040" s="42" t="n">
        <v>182</v>
      </c>
      <c r="J1040" s="42" t="n">
        <v>15704</v>
      </c>
      <c r="K1040" s="42" t="n">
        <v>2154</v>
      </c>
      <c r="L1040" s="43" t="n">
        <f aca="false">J1040-K1040</f>
        <v>13550</v>
      </c>
      <c r="M1040" s="42" t="n">
        <v>7394</v>
      </c>
      <c r="N1040" s="43" t="n">
        <f aca="false">L1040-M1040</f>
        <v>6156</v>
      </c>
    </row>
    <row r="1041" customFormat="false" ht="15" hidden="false" customHeight="false" outlineLevel="0" collapsed="false">
      <c r="A1041" s="40" t="n">
        <v>46174</v>
      </c>
      <c r="B1041" s="41" t="n">
        <v>2026</v>
      </c>
      <c r="C1041" s="41" t="n">
        <v>6</v>
      </c>
      <c r="D1041" s="41" t="s">
        <v>51</v>
      </c>
      <c r="E1041" s="41" t="s">
        <v>44</v>
      </c>
      <c r="F1041" s="41" t="s">
        <v>36</v>
      </c>
      <c r="G1041" s="41" t="s">
        <v>41</v>
      </c>
      <c r="H1041" s="42" t="n">
        <v>170</v>
      </c>
      <c r="I1041" s="42" t="n">
        <v>209</v>
      </c>
      <c r="J1041" s="42" t="n">
        <v>10358</v>
      </c>
      <c r="K1041" s="42" t="n">
        <v>277</v>
      </c>
      <c r="L1041" s="43" t="n">
        <f aca="false">J1041-K1041</f>
        <v>10081</v>
      </c>
      <c r="M1041" s="42" t="n">
        <v>4867</v>
      </c>
      <c r="N1041" s="43" t="n">
        <f aca="false">L1041-M1041</f>
        <v>5214</v>
      </c>
    </row>
    <row r="1042" customFormat="false" ht="15" hidden="false" customHeight="false" outlineLevel="0" collapsed="false">
      <c r="A1042" s="40" t="n">
        <v>46174</v>
      </c>
      <c r="B1042" s="41" t="n">
        <v>2026</v>
      </c>
      <c r="C1042" s="41" t="n">
        <v>6</v>
      </c>
      <c r="D1042" s="41" t="s">
        <v>51</v>
      </c>
      <c r="E1042" s="41" t="s">
        <v>44</v>
      </c>
      <c r="F1042" s="41" t="s">
        <v>42</v>
      </c>
      <c r="G1042" s="41" t="s">
        <v>37</v>
      </c>
      <c r="H1042" s="42" t="n">
        <v>83</v>
      </c>
      <c r="I1042" s="42" t="n">
        <v>99</v>
      </c>
      <c r="J1042" s="42" t="n">
        <v>14407</v>
      </c>
      <c r="K1042" s="42" t="n">
        <v>690</v>
      </c>
      <c r="L1042" s="43" t="n">
        <f aca="false">J1042-K1042</f>
        <v>13717</v>
      </c>
      <c r="M1042" s="42" t="n">
        <v>7318</v>
      </c>
      <c r="N1042" s="43" t="n">
        <f aca="false">L1042-M1042</f>
        <v>6399</v>
      </c>
    </row>
    <row r="1043" customFormat="false" ht="15" hidden="false" customHeight="false" outlineLevel="0" collapsed="false">
      <c r="A1043" s="40" t="n">
        <v>46174</v>
      </c>
      <c r="B1043" s="41" t="n">
        <v>2026</v>
      </c>
      <c r="C1043" s="41" t="n">
        <v>6</v>
      </c>
      <c r="D1043" s="41" t="s">
        <v>51</v>
      </c>
      <c r="E1043" s="41" t="s">
        <v>44</v>
      </c>
      <c r="F1043" s="41" t="s">
        <v>42</v>
      </c>
      <c r="G1043" s="41" t="s">
        <v>38</v>
      </c>
      <c r="H1043" s="42" t="n">
        <v>108</v>
      </c>
      <c r="I1043" s="42" t="n">
        <v>131</v>
      </c>
      <c r="J1043" s="42" t="n">
        <v>11138</v>
      </c>
      <c r="K1043" s="42" t="n">
        <v>659</v>
      </c>
      <c r="L1043" s="43" t="n">
        <f aca="false">J1043-K1043</f>
        <v>10479</v>
      </c>
      <c r="M1043" s="42" t="n">
        <v>5020</v>
      </c>
      <c r="N1043" s="43" t="n">
        <f aca="false">L1043-M1043</f>
        <v>5459</v>
      </c>
    </row>
    <row r="1044" customFormat="false" ht="15" hidden="false" customHeight="false" outlineLevel="0" collapsed="false">
      <c r="A1044" s="40" t="n">
        <v>46174</v>
      </c>
      <c r="B1044" s="41" t="n">
        <v>2026</v>
      </c>
      <c r="C1044" s="41" t="n">
        <v>6</v>
      </c>
      <c r="D1044" s="41" t="s">
        <v>51</v>
      </c>
      <c r="E1044" s="41" t="s">
        <v>44</v>
      </c>
      <c r="F1044" s="41" t="s">
        <v>42</v>
      </c>
      <c r="G1044" s="41" t="s">
        <v>39</v>
      </c>
      <c r="H1044" s="42" t="n">
        <v>179</v>
      </c>
      <c r="I1044" s="42" t="n">
        <v>282</v>
      </c>
      <c r="J1044" s="42" t="n">
        <v>13805</v>
      </c>
      <c r="K1044" s="42" t="n">
        <v>1791</v>
      </c>
      <c r="L1044" s="43" t="n">
        <f aca="false">J1044-K1044</f>
        <v>12014</v>
      </c>
      <c r="M1044" s="42" t="n">
        <v>5032</v>
      </c>
      <c r="N1044" s="43" t="n">
        <f aca="false">L1044-M1044</f>
        <v>6982</v>
      </c>
    </row>
    <row r="1045" customFormat="false" ht="15" hidden="false" customHeight="false" outlineLevel="0" collapsed="false">
      <c r="A1045" s="40" t="n">
        <v>46174</v>
      </c>
      <c r="B1045" s="41" t="n">
        <v>2026</v>
      </c>
      <c r="C1045" s="41" t="n">
        <v>6</v>
      </c>
      <c r="D1045" s="41" t="s">
        <v>51</v>
      </c>
      <c r="E1045" s="41" t="s">
        <v>44</v>
      </c>
      <c r="F1045" s="41" t="s">
        <v>42</v>
      </c>
      <c r="G1045" s="41" t="s">
        <v>40</v>
      </c>
      <c r="H1045" s="42" t="n">
        <v>71</v>
      </c>
      <c r="I1045" s="42" t="n">
        <v>112</v>
      </c>
      <c r="J1045" s="42" t="n">
        <v>8387</v>
      </c>
      <c r="K1045" s="42" t="n">
        <v>1214</v>
      </c>
      <c r="L1045" s="43" t="n">
        <f aca="false">J1045-K1045</f>
        <v>7173</v>
      </c>
      <c r="M1045" s="42" t="n">
        <v>4069</v>
      </c>
      <c r="N1045" s="43" t="n">
        <f aca="false">L1045-M1045</f>
        <v>3104</v>
      </c>
    </row>
    <row r="1046" customFormat="false" ht="15" hidden="false" customHeight="false" outlineLevel="0" collapsed="false">
      <c r="A1046" s="40" t="n">
        <v>46174</v>
      </c>
      <c r="B1046" s="41" t="n">
        <v>2026</v>
      </c>
      <c r="C1046" s="41" t="n">
        <v>6</v>
      </c>
      <c r="D1046" s="41" t="s">
        <v>51</v>
      </c>
      <c r="E1046" s="41" t="s">
        <v>44</v>
      </c>
      <c r="F1046" s="41" t="s">
        <v>42</v>
      </c>
      <c r="G1046" s="41" t="s">
        <v>41</v>
      </c>
      <c r="H1046" s="42" t="n">
        <v>116</v>
      </c>
      <c r="I1046" s="42" t="n">
        <v>183</v>
      </c>
      <c r="J1046" s="42" t="n">
        <v>6496</v>
      </c>
      <c r="K1046" s="42" t="n">
        <v>262</v>
      </c>
      <c r="L1046" s="43" t="n">
        <f aca="false">J1046-K1046</f>
        <v>6234</v>
      </c>
      <c r="M1046" s="42" t="n">
        <v>3214</v>
      </c>
      <c r="N1046" s="43" t="n">
        <f aca="false">L1046-M1046</f>
        <v>3020</v>
      </c>
    </row>
    <row r="1047" customFormat="false" ht="15" hidden="false" customHeight="false" outlineLevel="0" collapsed="false">
      <c r="A1047" s="40" t="n">
        <v>46174</v>
      </c>
      <c r="B1047" s="41" t="n">
        <v>2026</v>
      </c>
      <c r="C1047" s="41" t="n">
        <v>6</v>
      </c>
      <c r="D1047" s="41" t="s">
        <v>51</v>
      </c>
      <c r="E1047" s="41" t="s">
        <v>44</v>
      </c>
      <c r="F1047" s="41" t="s">
        <v>43</v>
      </c>
      <c r="G1047" s="41" t="s">
        <v>37</v>
      </c>
      <c r="H1047" s="42" t="n">
        <v>46</v>
      </c>
      <c r="I1047" s="42" t="n">
        <v>57</v>
      </c>
      <c r="J1047" s="42" t="n">
        <v>9206</v>
      </c>
      <c r="K1047" s="42" t="n">
        <v>292</v>
      </c>
      <c r="L1047" s="43" t="n">
        <f aca="false">J1047-K1047</f>
        <v>8914</v>
      </c>
      <c r="M1047" s="42" t="n">
        <v>4640</v>
      </c>
      <c r="N1047" s="43" t="n">
        <f aca="false">L1047-M1047</f>
        <v>4274</v>
      </c>
    </row>
    <row r="1048" customFormat="false" ht="15" hidden="false" customHeight="false" outlineLevel="0" collapsed="false">
      <c r="A1048" s="40" t="n">
        <v>46174</v>
      </c>
      <c r="B1048" s="41" t="n">
        <v>2026</v>
      </c>
      <c r="C1048" s="41" t="n">
        <v>6</v>
      </c>
      <c r="D1048" s="41" t="s">
        <v>51</v>
      </c>
      <c r="E1048" s="41" t="s">
        <v>44</v>
      </c>
      <c r="F1048" s="41" t="s">
        <v>43</v>
      </c>
      <c r="G1048" s="41" t="s">
        <v>38</v>
      </c>
      <c r="H1048" s="42" t="n">
        <v>75</v>
      </c>
      <c r="I1048" s="42" t="n">
        <v>102</v>
      </c>
      <c r="J1048" s="42" t="n">
        <v>8880</v>
      </c>
      <c r="K1048" s="42" t="n">
        <v>277</v>
      </c>
      <c r="L1048" s="43" t="n">
        <f aca="false">J1048-K1048</f>
        <v>8603</v>
      </c>
      <c r="M1048" s="42" t="n">
        <v>3979</v>
      </c>
      <c r="N1048" s="43" t="n">
        <f aca="false">L1048-M1048</f>
        <v>4624</v>
      </c>
    </row>
    <row r="1049" customFormat="false" ht="15" hidden="false" customHeight="false" outlineLevel="0" collapsed="false">
      <c r="A1049" s="40" t="n">
        <v>46174</v>
      </c>
      <c r="B1049" s="41" t="n">
        <v>2026</v>
      </c>
      <c r="C1049" s="41" t="n">
        <v>6</v>
      </c>
      <c r="D1049" s="41" t="s">
        <v>51</v>
      </c>
      <c r="E1049" s="41" t="s">
        <v>44</v>
      </c>
      <c r="F1049" s="41" t="s">
        <v>43</v>
      </c>
      <c r="G1049" s="41" t="s">
        <v>39</v>
      </c>
      <c r="H1049" s="42" t="n">
        <v>99</v>
      </c>
      <c r="I1049" s="42" t="n">
        <v>132</v>
      </c>
      <c r="J1049" s="42" t="n">
        <v>8812</v>
      </c>
      <c r="K1049" s="42" t="n">
        <v>578</v>
      </c>
      <c r="L1049" s="43" t="n">
        <f aca="false">J1049-K1049</f>
        <v>8234</v>
      </c>
      <c r="M1049" s="42" t="n">
        <v>3244</v>
      </c>
      <c r="N1049" s="43" t="n">
        <f aca="false">L1049-M1049</f>
        <v>4990</v>
      </c>
    </row>
    <row r="1050" customFormat="false" ht="15" hidden="false" customHeight="false" outlineLevel="0" collapsed="false">
      <c r="A1050" s="40" t="n">
        <v>46174</v>
      </c>
      <c r="B1050" s="41" t="n">
        <v>2026</v>
      </c>
      <c r="C1050" s="41" t="n">
        <v>6</v>
      </c>
      <c r="D1050" s="41" t="s">
        <v>51</v>
      </c>
      <c r="E1050" s="41" t="s">
        <v>44</v>
      </c>
      <c r="F1050" s="41" t="s">
        <v>43</v>
      </c>
      <c r="G1050" s="41" t="s">
        <v>40</v>
      </c>
      <c r="H1050" s="42" t="n">
        <v>43</v>
      </c>
      <c r="I1050" s="42" t="n">
        <v>57</v>
      </c>
      <c r="J1050" s="42" t="n">
        <v>5786</v>
      </c>
      <c r="K1050" s="42" t="n">
        <v>420</v>
      </c>
      <c r="L1050" s="43" t="n">
        <f aca="false">J1050-K1050</f>
        <v>5366</v>
      </c>
      <c r="M1050" s="42" t="n">
        <v>3009</v>
      </c>
      <c r="N1050" s="43" t="n">
        <f aca="false">L1050-M1050</f>
        <v>2357</v>
      </c>
    </row>
    <row r="1051" customFormat="false" ht="15" hidden="false" customHeight="false" outlineLevel="0" collapsed="false">
      <c r="A1051" s="40" t="n">
        <v>46174</v>
      </c>
      <c r="B1051" s="41" t="n">
        <v>2026</v>
      </c>
      <c r="C1051" s="41" t="n">
        <v>6</v>
      </c>
      <c r="D1051" s="41" t="s">
        <v>51</v>
      </c>
      <c r="E1051" s="41" t="s">
        <v>44</v>
      </c>
      <c r="F1051" s="41" t="s">
        <v>43</v>
      </c>
      <c r="G1051" s="41" t="s">
        <v>41</v>
      </c>
      <c r="H1051" s="42" t="n">
        <v>59</v>
      </c>
      <c r="I1051" s="42" t="n">
        <v>84</v>
      </c>
      <c r="J1051" s="42" t="n">
        <v>3829</v>
      </c>
      <c r="K1051" s="42" t="n">
        <v>73</v>
      </c>
      <c r="L1051" s="43" t="n">
        <f aca="false">J1051-K1051</f>
        <v>3756</v>
      </c>
      <c r="M1051" s="42" t="n">
        <v>1798</v>
      </c>
      <c r="N1051" s="43" t="n">
        <f aca="false">L1051-M1051</f>
        <v>1958</v>
      </c>
    </row>
    <row r="1052" customFormat="false" ht="15" hidden="false" customHeight="false" outlineLevel="0" collapsed="false">
      <c r="A1052" s="40" t="n">
        <v>46174</v>
      </c>
      <c r="B1052" s="41" t="n">
        <v>2026</v>
      </c>
      <c r="C1052" s="41" t="n">
        <v>6</v>
      </c>
      <c r="D1052" s="41" t="s">
        <v>51</v>
      </c>
      <c r="E1052" s="41" t="s">
        <v>45</v>
      </c>
      <c r="F1052" s="41" t="s">
        <v>36</v>
      </c>
      <c r="G1052" s="41" t="s">
        <v>37</v>
      </c>
      <c r="H1052" s="42" t="n">
        <v>74</v>
      </c>
      <c r="I1052" s="42" t="n">
        <v>109</v>
      </c>
      <c r="J1052" s="42" t="n">
        <v>14029</v>
      </c>
      <c r="K1052" s="42" t="n">
        <v>480</v>
      </c>
      <c r="L1052" s="43" t="n">
        <f aca="false">J1052-K1052</f>
        <v>13549</v>
      </c>
      <c r="M1052" s="42" t="n">
        <v>7069</v>
      </c>
      <c r="N1052" s="43" t="n">
        <f aca="false">L1052-M1052</f>
        <v>6480</v>
      </c>
    </row>
    <row r="1053" customFormat="false" ht="15" hidden="false" customHeight="false" outlineLevel="0" collapsed="false">
      <c r="A1053" s="40" t="n">
        <v>46174</v>
      </c>
      <c r="B1053" s="41" t="n">
        <v>2026</v>
      </c>
      <c r="C1053" s="41" t="n">
        <v>6</v>
      </c>
      <c r="D1053" s="41" t="s">
        <v>51</v>
      </c>
      <c r="E1053" s="41" t="s">
        <v>45</v>
      </c>
      <c r="F1053" s="41" t="s">
        <v>36</v>
      </c>
      <c r="G1053" s="41" t="s">
        <v>38</v>
      </c>
      <c r="H1053" s="42" t="n">
        <v>96</v>
      </c>
      <c r="I1053" s="42" t="n">
        <v>152</v>
      </c>
      <c r="J1053" s="42" t="n">
        <v>10784</v>
      </c>
      <c r="K1053" s="42" t="n">
        <v>464</v>
      </c>
      <c r="L1053" s="43" t="n">
        <f aca="false">J1053-K1053</f>
        <v>10320</v>
      </c>
      <c r="M1053" s="42" t="n">
        <v>4543</v>
      </c>
      <c r="N1053" s="43" t="n">
        <f aca="false">L1053-M1053</f>
        <v>5777</v>
      </c>
    </row>
    <row r="1054" customFormat="false" ht="15" hidden="false" customHeight="false" outlineLevel="0" collapsed="false">
      <c r="A1054" s="40" t="n">
        <v>46174</v>
      </c>
      <c r="B1054" s="41" t="n">
        <v>2026</v>
      </c>
      <c r="C1054" s="41" t="n">
        <v>6</v>
      </c>
      <c r="D1054" s="41" t="s">
        <v>51</v>
      </c>
      <c r="E1054" s="41" t="s">
        <v>45</v>
      </c>
      <c r="F1054" s="41" t="s">
        <v>36</v>
      </c>
      <c r="G1054" s="41" t="s">
        <v>39</v>
      </c>
      <c r="H1054" s="42" t="n">
        <v>172</v>
      </c>
      <c r="I1054" s="42" t="n">
        <v>243</v>
      </c>
      <c r="J1054" s="42" t="n">
        <v>14454</v>
      </c>
      <c r="K1054" s="42" t="n">
        <v>1669</v>
      </c>
      <c r="L1054" s="43" t="n">
        <f aca="false">J1054-K1054</f>
        <v>12785</v>
      </c>
      <c r="M1054" s="42" t="n">
        <v>4854</v>
      </c>
      <c r="N1054" s="43" t="n">
        <f aca="false">L1054-M1054</f>
        <v>7931</v>
      </c>
    </row>
    <row r="1055" customFormat="false" ht="15" hidden="false" customHeight="false" outlineLevel="0" collapsed="false">
      <c r="A1055" s="40" t="n">
        <v>46174</v>
      </c>
      <c r="B1055" s="41" t="n">
        <v>2026</v>
      </c>
      <c r="C1055" s="41" t="n">
        <v>6</v>
      </c>
      <c r="D1055" s="41" t="s">
        <v>51</v>
      </c>
      <c r="E1055" s="41" t="s">
        <v>45</v>
      </c>
      <c r="F1055" s="41" t="s">
        <v>36</v>
      </c>
      <c r="G1055" s="41" t="s">
        <v>40</v>
      </c>
      <c r="H1055" s="42" t="n">
        <v>75</v>
      </c>
      <c r="I1055" s="42" t="n">
        <v>92</v>
      </c>
      <c r="J1055" s="42" t="n">
        <v>9573</v>
      </c>
      <c r="K1055" s="42" t="n">
        <v>1188</v>
      </c>
      <c r="L1055" s="43" t="n">
        <f aca="false">J1055-K1055</f>
        <v>8385</v>
      </c>
      <c r="M1055" s="42" t="n">
        <v>4599</v>
      </c>
      <c r="N1055" s="43" t="n">
        <f aca="false">L1055-M1055</f>
        <v>3786</v>
      </c>
    </row>
    <row r="1056" customFormat="false" ht="15" hidden="false" customHeight="false" outlineLevel="0" collapsed="false">
      <c r="A1056" s="40" t="n">
        <v>46174</v>
      </c>
      <c r="B1056" s="41" t="n">
        <v>2026</v>
      </c>
      <c r="C1056" s="41" t="n">
        <v>6</v>
      </c>
      <c r="D1056" s="41" t="s">
        <v>51</v>
      </c>
      <c r="E1056" s="41" t="s">
        <v>45</v>
      </c>
      <c r="F1056" s="41" t="s">
        <v>36</v>
      </c>
      <c r="G1056" s="41" t="s">
        <v>41</v>
      </c>
      <c r="H1056" s="42" t="n">
        <v>110</v>
      </c>
      <c r="I1056" s="42" t="n">
        <v>170</v>
      </c>
      <c r="J1056" s="42" t="n">
        <v>6719</v>
      </c>
      <c r="K1056" s="42" t="n">
        <v>215</v>
      </c>
      <c r="L1056" s="43" t="n">
        <f aca="false">J1056-K1056</f>
        <v>6504</v>
      </c>
      <c r="M1056" s="42" t="n">
        <v>3190</v>
      </c>
      <c r="N1056" s="43" t="n">
        <f aca="false">L1056-M1056</f>
        <v>3314</v>
      </c>
    </row>
    <row r="1057" customFormat="false" ht="15" hidden="false" customHeight="false" outlineLevel="0" collapsed="false">
      <c r="A1057" s="40" t="n">
        <v>46174</v>
      </c>
      <c r="B1057" s="41" t="n">
        <v>2026</v>
      </c>
      <c r="C1057" s="41" t="n">
        <v>6</v>
      </c>
      <c r="D1057" s="41" t="s">
        <v>51</v>
      </c>
      <c r="E1057" s="41" t="s">
        <v>45</v>
      </c>
      <c r="F1057" s="41" t="s">
        <v>42</v>
      </c>
      <c r="G1057" s="41" t="s">
        <v>37</v>
      </c>
      <c r="H1057" s="42" t="n">
        <v>62</v>
      </c>
      <c r="I1057" s="42" t="n">
        <v>79</v>
      </c>
      <c r="J1057" s="42" t="n">
        <v>10820</v>
      </c>
      <c r="K1057" s="42" t="n">
        <v>688</v>
      </c>
      <c r="L1057" s="43" t="n">
        <f aca="false">J1057-K1057</f>
        <v>10132</v>
      </c>
      <c r="M1057" s="42" t="n">
        <v>5530</v>
      </c>
      <c r="N1057" s="43" t="n">
        <f aca="false">L1057-M1057</f>
        <v>4602</v>
      </c>
    </row>
    <row r="1058" customFormat="false" ht="15" hidden="false" customHeight="false" outlineLevel="0" collapsed="false">
      <c r="A1058" s="40" t="n">
        <v>46174</v>
      </c>
      <c r="B1058" s="41" t="n">
        <v>2026</v>
      </c>
      <c r="C1058" s="41" t="n">
        <v>6</v>
      </c>
      <c r="D1058" s="41" t="s">
        <v>51</v>
      </c>
      <c r="E1058" s="41" t="s">
        <v>45</v>
      </c>
      <c r="F1058" s="41" t="s">
        <v>42</v>
      </c>
      <c r="G1058" s="41" t="s">
        <v>38</v>
      </c>
      <c r="H1058" s="42" t="n">
        <v>71</v>
      </c>
      <c r="I1058" s="42" t="n">
        <v>111</v>
      </c>
      <c r="J1058" s="42" t="n">
        <v>7340</v>
      </c>
      <c r="K1058" s="42" t="n">
        <v>417</v>
      </c>
      <c r="L1058" s="43" t="n">
        <f aca="false">J1058-K1058</f>
        <v>6923</v>
      </c>
      <c r="M1058" s="42" t="n">
        <v>3173</v>
      </c>
      <c r="N1058" s="43" t="n">
        <f aca="false">L1058-M1058</f>
        <v>3750</v>
      </c>
    </row>
    <row r="1059" customFormat="false" ht="15" hidden="false" customHeight="false" outlineLevel="0" collapsed="false">
      <c r="A1059" s="40" t="n">
        <v>46174</v>
      </c>
      <c r="B1059" s="41" t="n">
        <v>2026</v>
      </c>
      <c r="C1059" s="41" t="n">
        <v>6</v>
      </c>
      <c r="D1059" s="41" t="s">
        <v>51</v>
      </c>
      <c r="E1059" s="41" t="s">
        <v>45</v>
      </c>
      <c r="F1059" s="41" t="s">
        <v>42</v>
      </c>
      <c r="G1059" s="41" t="s">
        <v>39</v>
      </c>
      <c r="H1059" s="42" t="n">
        <v>122</v>
      </c>
      <c r="I1059" s="42" t="n">
        <v>156</v>
      </c>
      <c r="J1059" s="42" t="n">
        <v>9404</v>
      </c>
      <c r="K1059" s="42" t="n">
        <v>1507</v>
      </c>
      <c r="L1059" s="43" t="n">
        <f aca="false">J1059-K1059</f>
        <v>7897</v>
      </c>
      <c r="M1059" s="42" t="n">
        <v>3345</v>
      </c>
      <c r="N1059" s="43" t="n">
        <f aca="false">L1059-M1059</f>
        <v>4552</v>
      </c>
    </row>
    <row r="1060" customFormat="false" ht="15" hidden="false" customHeight="false" outlineLevel="0" collapsed="false">
      <c r="A1060" s="40" t="n">
        <v>46174</v>
      </c>
      <c r="B1060" s="41" t="n">
        <v>2026</v>
      </c>
      <c r="C1060" s="41" t="n">
        <v>6</v>
      </c>
      <c r="D1060" s="41" t="s">
        <v>51</v>
      </c>
      <c r="E1060" s="41" t="s">
        <v>45</v>
      </c>
      <c r="F1060" s="41" t="s">
        <v>42</v>
      </c>
      <c r="G1060" s="41" t="s">
        <v>40</v>
      </c>
      <c r="H1060" s="42" t="n">
        <v>60</v>
      </c>
      <c r="I1060" s="42" t="n">
        <v>83</v>
      </c>
      <c r="J1060" s="42" t="n">
        <v>7034</v>
      </c>
      <c r="K1060" s="42" t="n">
        <v>1298</v>
      </c>
      <c r="L1060" s="43" t="n">
        <f aca="false">J1060-K1060</f>
        <v>5736</v>
      </c>
      <c r="M1060" s="42" t="n">
        <v>3318</v>
      </c>
      <c r="N1060" s="43" t="n">
        <f aca="false">L1060-M1060</f>
        <v>2418</v>
      </c>
    </row>
    <row r="1061" customFormat="false" ht="15" hidden="false" customHeight="false" outlineLevel="0" collapsed="false">
      <c r="A1061" s="40" t="n">
        <v>46174</v>
      </c>
      <c r="B1061" s="41" t="n">
        <v>2026</v>
      </c>
      <c r="C1061" s="41" t="n">
        <v>6</v>
      </c>
      <c r="D1061" s="41" t="s">
        <v>51</v>
      </c>
      <c r="E1061" s="41" t="s">
        <v>45</v>
      </c>
      <c r="F1061" s="41" t="s">
        <v>42</v>
      </c>
      <c r="G1061" s="41" t="s">
        <v>41</v>
      </c>
      <c r="H1061" s="42" t="n">
        <v>89</v>
      </c>
      <c r="I1061" s="42" t="n">
        <v>123</v>
      </c>
      <c r="J1061" s="42" t="n">
        <v>5003</v>
      </c>
      <c r="K1061" s="42" t="n">
        <v>172</v>
      </c>
      <c r="L1061" s="43" t="n">
        <f aca="false">J1061-K1061</f>
        <v>4831</v>
      </c>
      <c r="M1061" s="42" t="n">
        <v>2382</v>
      </c>
      <c r="N1061" s="43" t="n">
        <f aca="false">L1061-M1061</f>
        <v>2449</v>
      </c>
    </row>
    <row r="1062" customFormat="false" ht="15" hidden="false" customHeight="false" outlineLevel="0" collapsed="false">
      <c r="A1062" s="40" t="n">
        <v>46174</v>
      </c>
      <c r="B1062" s="41" t="n">
        <v>2026</v>
      </c>
      <c r="C1062" s="41" t="n">
        <v>6</v>
      </c>
      <c r="D1062" s="41" t="s">
        <v>51</v>
      </c>
      <c r="E1062" s="41" t="s">
        <v>45</v>
      </c>
      <c r="F1062" s="41" t="s">
        <v>43</v>
      </c>
      <c r="G1062" s="41" t="s">
        <v>37</v>
      </c>
      <c r="H1062" s="42" t="n">
        <v>34</v>
      </c>
      <c r="I1062" s="42" t="n">
        <v>48</v>
      </c>
      <c r="J1062" s="42" t="n">
        <v>6887</v>
      </c>
      <c r="K1062" s="42" t="n">
        <v>216</v>
      </c>
      <c r="L1062" s="43" t="n">
        <f aca="false">J1062-K1062</f>
        <v>6671</v>
      </c>
      <c r="M1062" s="42" t="n">
        <v>3620</v>
      </c>
      <c r="N1062" s="43" t="n">
        <f aca="false">L1062-M1062</f>
        <v>3051</v>
      </c>
    </row>
    <row r="1063" customFormat="false" ht="15" hidden="false" customHeight="false" outlineLevel="0" collapsed="false">
      <c r="A1063" s="40" t="n">
        <v>46174</v>
      </c>
      <c r="B1063" s="41" t="n">
        <v>2026</v>
      </c>
      <c r="C1063" s="41" t="n">
        <v>6</v>
      </c>
      <c r="D1063" s="41" t="s">
        <v>51</v>
      </c>
      <c r="E1063" s="41" t="s">
        <v>45</v>
      </c>
      <c r="F1063" s="41" t="s">
        <v>43</v>
      </c>
      <c r="G1063" s="41" t="s">
        <v>38</v>
      </c>
      <c r="H1063" s="42" t="n">
        <v>55</v>
      </c>
      <c r="I1063" s="42" t="n">
        <v>68</v>
      </c>
      <c r="J1063" s="42" t="n">
        <v>6518</v>
      </c>
      <c r="K1063" s="42" t="n">
        <v>189</v>
      </c>
      <c r="L1063" s="43" t="n">
        <f aca="false">J1063-K1063</f>
        <v>6329</v>
      </c>
      <c r="M1063" s="42" t="n">
        <v>2916</v>
      </c>
      <c r="N1063" s="43" t="n">
        <f aca="false">L1063-M1063</f>
        <v>3413</v>
      </c>
    </row>
    <row r="1064" customFormat="false" ht="15" hidden="false" customHeight="false" outlineLevel="0" collapsed="false">
      <c r="A1064" s="40" t="n">
        <v>46174</v>
      </c>
      <c r="B1064" s="41" t="n">
        <v>2026</v>
      </c>
      <c r="C1064" s="41" t="n">
        <v>6</v>
      </c>
      <c r="D1064" s="41" t="s">
        <v>51</v>
      </c>
      <c r="E1064" s="41" t="s">
        <v>45</v>
      </c>
      <c r="F1064" s="41" t="s">
        <v>43</v>
      </c>
      <c r="G1064" s="41" t="s">
        <v>39</v>
      </c>
      <c r="H1064" s="42" t="n">
        <v>79</v>
      </c>
      <c r="I1064" s="42" t="n">
        <v>97</v>
      </c>
      <c r="J1064" s="42" t="n">
        <v>7005</v>
      </c>
      <c r="K1064" s="42" t="n">
        <v>528</v>
      </c>
      <c r="L1064" s="43" t="n">
        <f aca="false">J1064-K1064</f>
        <v>6477</v>
      </c>
      <c r="M1064" s="42" t="n">
        <v>2489</v>
      </c>
      <c r="N1064" s="43" t="n">
        <f aca="false">L1064-M1064</f>
        <v>3988</v>
      </c>
    </row>
    <row r="1065" customFormat="false" ht="15" hidden="false" customHeight="false" outlineLevel="0" collapsed="false">
      <c r="A1065" s="40" t="n">
        <v>46174</v>
      </c>
      <c r="B1065" s="41" t="n">
        <v>2026</v>
      </c>
      <c r="C1065" s="41" t="n">
        <v>6</v>
      </c>
      <c r="D1065" s="41" t="s">
        <v>51</v>
      </c>
      <c r="E1065" s="41" t="s">
        <v>45</v>
      </c>
      <c r="F1065" s="41" t="s">
        <v>43</v>
      </c>
      <c r="G1065" s="41" t="s">
        <v>40</v>
      </c>
      <c r="H1065" s="42" t="n">
        <v>34</v>
      </c>
      <c r="I1065" s="42" t="n">
        <v>45</v>
      </c>
      <c r="J1065" s="42" t="n">
        <v>4582</v>
      </c>
      <c r="K1065" s="42" t="n">
        <v>389</v>
      </c>
      <c r="L1065" s="43" t="n">
        <f aca="false">J1065-K1065</f>
        <v>4193</v>
      </c>
      <c r="M1065" s="42" t="n">
        <v>2331</v>
      </c>
      <c r="N1065" s="43" t="n">
        <f aca="false">L1065-M1065</f>
        <v>1862</v>
      </c>
    </row>
    <row r="1066" customFormat="false" ht="15" hidden="false" customHeight="false" outlineLevel="0" collapsed="false">
      <c r="A1066" s="40" t="n">
        <v>46174</v>
      </c>
      <c r="B1066" s="41" t="n">
        <v>2026</v>
      </c>
      <c r="C1066" s="41" t="n">
        <v>6</v>
      </c>
      <c r="D1066" s="41" t="s">
        <v>51</v>
      </c>
      <c r="E1066" s="41" t="s">
        <v>45</v>
      </c>
      <c r="F1066" s="41" t="s">
        <v>43</v>
      </c>
      <c r="G1066" s="41" t="s">
        <v>41</v>
      </c>
      <c r="H1066" s="42" t="n">
        <v>45</v>
      </c>
      <c r="I1066" s="42" t="n">
        <v>67</v>
      </c>
      <c r="J1066" s="42" t="n">
        <v>2904</v>
      </c>
      <c r="K1066" s="42" t="n">
        <v>64</v>
      </c>
      <c r="L1066" s="43" t="n">
        <f aca="false">J1066-K1066</f>
        <v>2840</v>
      </c>
      <c r="M1066" s="42" t="n">
        <v>1361</v>
      </c>
      <c r="N1066" s="43" t="n">
        <f aca="false">L1066-M1066</f>
        <v>1479</v>
      </c>
    </row>
    <row r="1067" customFormat="false" ht="15" hidden="false" customHeight="false" outlineLevel="0" collapsed="false">
      <c r="A1067" s="40" t="n">
        <v>46174</v>
      </c>
      <c r="B1067" s="41" t="n">
        <v>2026</v>
      </c>
      <c r="C1067" s="41" t="n">
        <v>6</v>
      </c>
      <c r="D1067" s="41" t="s">
        <v>51</v>
      </c>
      <c r="E1067" s="41" t="s">
        <v>46</v>
      </c>
      <c r="F1067" s="41" t="s">
        <v>36</v>
      </c>
      <c r="G1067" s="41" t="s">
        <v>37</v>
      </c>
      <c r="H1067" s="42" t="n">
        <v>73</v>
      </c>
      <c r="I1067" s="42" t="n">
        <v>110</v>
      </c>
      <c r="J1067" s="42" t="n">
        <v>13732</v>
      </c>
      <c r="K1067" s="42" t="n">
        <v>442</v>
      </c>
      <c r="L1067" s="43" t="n">
        <f aca="false">J1067-K1067</f>
        <v>13290</v>
      </c>
      <c r="M1067" s="42" t="n">
        <v>7033</v>
      </c>
      <c r="N1067" s="43" t="n">
        <f aca="false">L1067-M1067</f>
        <v>6257</v>
      </c>
    </row>
    <row r="1068" customFormat="false" ht="15" hidden="false" customHeight="false" outlineLevel="0" collapsed="false">
      <c r="A1068" s="40" t="n">
        <v>46174</v>
      </c>
      <c r="B1068" s="41" t="n">
        <v>2026</v>
      </c>
      <c r="C1068" s="41" t="n">
        <v>6</v>
      </c>
      <c r="D1068" s="41" t="s">
        <v>51</v>
      </c>
      <c r="E1068" s="41" t="s">
        <v>46</v>
      </c>
      <c r="F1068" s="41" t="s">
        <v>36</v>
      </c>
      <c r="G1068" s="41" t="s">
        <v>38</v>
      </c>
      <c r="H1068" s="42" t="n">
        <v>107</v>
      </c>
      <c r="I1068" s="42" t="n">
        <v>157</v>
      </c>
      <c r="J1068" s="42" t="n">
        <v>12034</v>
      </c>
      <c r="K1068" s="42" t="n">
        <v>637</v>
      </c>
      <c r="L1068" s="43" t="n">
        <f aca="false">J1068-K1068</f>
        <v>11397</v>
      </c>
      <c r="M1068" s="42" t="n">
        <v>5030</v>
      </c>
      <c r="N1068" s="43" t="n">
        <f aca="false">L1068-M1068</f>
        <v>6367</v>
      </c>
    </row>
    <row r="1069" customFormat="false" ht="15" hidden="false" customHeight="false" outlineLevel="0" collapsed="false">
      <c r="A1069" s="40" t="n">
        <v>46174</v>
      </c>
      <c r="B1069" s="41" t="n">
        <v>2026</v>
      </c>
      <c r="C1069" s="41" t="n">
        <v>6</v>
      </c>
      <c r="D1069" s="41" t="s">
        <v>51</v>
      </c>
      <c r="E1069" s="41" t="s">
        <v>46</v>
      </c>
      <c r="F1069" s="41" t="s">
        <v>36</v>
      </c>
      <c r="G1069" s="41" t="s">
        <v>39</v>
      </c>
      <c r="H1069" s="42" t="n">
        <v>183</v>
      </c>
      <c r="I1069" s="42" t="n">
        <v>275</v>
      </c>
      <c r="J1069" s="42" t="n">
        <v>15398</v>
      </c>
      <c r="K1069" s="42" t="n">
        <v>1375</v>
      </c>
      <c r="L1069" s="43" t="n">
        <f aca="false">J1069-K1069</f>
        <v>14023</v>
      </c>
      <c r="M1069" s="42" t="n">
        <v>5446</v>
      </c>
      <c r="N1069" s="43" t="n">
        <f aca="false">L1069-M1069</f>
        <v>8577</v>
      </c>
    </row>
    <row r="1070" customFormat="false" ht="15" hidden="false" customHeight="false" outlineLevel="0" collapsed="false">
      <c r="A1070" s="40" t="n">
        <v>46174</v>
      </c>
      <c r="B1070" s="41" t="n">
        <v>2026</v>
      </c>
      <c r="C1070" s="41" t="n">
        <v>6</v>
      </c>
      <c r="D1070" s="41" t="s">
        <v>51</v>
      </c>
      <c r="E1070" s="41" t="s">
        <v>46</v>
      </c>
      <c r="F1070" s="41" t="s">
        <v>36</v>
      </c>
      <c r="G1070" s="41" t="s">
        <v>40</v>
      </c>
      <c r="H1070" s="42" t="n">
        <v>87</v>
      </c>
      <c r="I1070" s="42" t="n">
        <v>108</v>
      </c>
      <c r="J1070" s="42" t="n">
        <v>11085</v>
      </c>
      <c r="K1070" s="42" t="n">
        <v>1282</v>
      </c>
      <c r="L1070" s="43" t="n">
        <f aca="false">J1070-K1070</f>
        <v>9803</v>
      </c>
      <c r="M1070" s="42" t="n">
        <v>5541</v>
      </c>
      <c r="N1070" s="43" t="n">
        <f aca="false">L1070-M1070</f>
        <v>4262</v>
      </c>
    </row>
    <row r="1071" customFormat="false" ht="15" hidden="false" customHeight="false" outlineLevel="0" collapsed="false">
      <c r="A1071" s="40" t="n">
        <v>46174</v>
      </c>
      <c r="B1071" s="41" t="n">
        <v>2026</v>
      </c>
      <c r="C1071" s="41" t="n">
        <v>6</v>
      </c>
      <c r="D1071" s="41" t="s">
        <v>51</v>
      </c>
      <c r="E1071" s="41" t="s">
        <v>46</v>
      </c>
      <c r="F1071" s="41" t="s">
        <v>36</v>
      </c>
      <c r="G1071" s="41" t="s">
        <v>41</v>
      </c>
      <c r="H1071" s="42" t="n">
        <v>119</v>
      </c>
      <c r="I1071" s="42" t="n">
        <v>149</v>
      </c>
      <c r="J1071" s="42" t="n">
        <v>7284</v>
      </c>
      <c r="K1071" s="42" t="n">
        <v>239</v>
      </c>
      <c r="L1071" s="43" t="n">
        <f aca="false">J1071-K1071</f>
        <v>7045</v>
      </c>
      <c r="M1071" s="42" t="n">
        <v>3353</v>
      </c>
      <c r="N1071" s="43" t="n">
        <f aca="false">L1071-M1071</f>
        <v>3692</v>
      </c>
    </row>
    <row r="1072" customFormat="false" ht="15" hidden="false" customHeight="false" outlineLevel="0" collapsed="false">
      <c r="A1072" s="40" t="n">
        <v>46174</v>
      </c>
      <c r="B1072" s="41" t="n">
        <v>2026</v>
      </c>
      <c r="C1072" s="41" t="n">
        <v>6</v>
      </c>
      <c r="D1072" s="41" t="s">
        <v>51</v>
      </c>
      <c r="E1072" s="41" t="s">
        <v>46</v>
      </c>
      <c r="F1072" s="41" t="s">
        <v>42</v>
      </c>
      <c r="G1072" s="41" t="s">
        <v>37</v>
      </c>
      <c r="H1072" s="42" t="n">
        <v>55</v>
      </c>
      <c r="I1072" s="42" t="n">
        <v>82</v>
      </c>
      <c r="J1072" s="42" t="n">
        <v>9530</v>
      </c>
      <c r="K1072" s="42" t="n">
        <v>438</v>
      </c>
      <c r="L1072" s="43" t="n">
        <f aca="false">J1072-K1072</f>
        <v>9092</v>
      </c>
      <c r="M1072" s="42" t="n">
        <v>4907</v>
      </c>
      <c r="N1072" s="43" t="n">
        <f aca="false">L1072-M1072</f>
        <v>4185</v>
      </c>
    </row>
    <row r="1073" customFormat="false" ht="15" hidden="false" customHeight="false" outlineLevel="0" collapsed="false">
      <c r="A1073" s="40" t="n">
        <v>46174</v>
      </c>
      <c r="B1073" s="41" t="n">
        <v>2026</v>
      </c>
      <c r="C1073" s="41" t="n">
        <v>6</v>
      </c>
      <c r="D1073" s="41" t="s">
        <v>51</v>
      </c>
      <c r="E1073" s="41" t="s">
        <v>46</v>
      </c>
      <c r="F1073" s="41" t="s">
        <v>42</v>
      </c>
      <c r="G1073" s="41" t="s">
        <v>38</v>
      </c>
      <c r="H1073" s="42" t="n">
        <v>71</v>
      </c>
      <c r="I1073" s="42" t="n">
        <v>90</v>
      </c>
      <c r="J1073" s="42" t="n">
        <v>7338</v>
      </c>
      <c r="K1073" s="42" t="n">
        <v>403</v>
      </c>
      <c r="L1073" s="43" t="n">
        <f aca="false">J1073-K1073</f>
        <v>6935</v>
      </c>
      <c r="M1073" s="42" t="n">
        <v>3202</v>
      </c>
      <c r="N1073" s="43" t="n">
        <f aca="false">L1073-M1073</f>
        <v>3733</v>
      </c>
    </row>
    <row r="1074" customFormat="false" ht="15" hidden="false" customHeight="false" outlineLevel="0" collapsed="false">
      <c r="A1074" s="40" t="n">
        <v>46174</v>
      </c>
      <c r="B1074" s="41" t="n">
        <v>2026</v>
      </c>
      <c r="C1074" s="41" t="n">
        <v>6</v>
      </c>
      <c r="D1074" s="41" t="s">
        <v>51</v>
      </c>
      <c r="E1074" s="41" t="s">
        <v>46</v>
      </c>
      <c r="F1074" s="41" t="s">
        <v>42</v>
      </c>
      <c r="G1074" s="41" t="s">
        <v>39</v>
      </c>
      <c r="H1074" s="42" t="n">
        <v>120</v>
      </c>
      <c r="I1074" s="42" t="n">
        <v>161</v>
      </c>
      <c r="J1074" s="42" t="n">
        <v>9244</v>
      </c>
      <c r="K1074" s="42" t="n">
        <v>1037</v>
      </c>
      <c r="L1074" s="43" t="n">
        <f aca="false">J1074-K1074</f>
        <v>8207</v>
      </c>
      <c r="M1074" s="42" t="n">
        <v>3418</v>
      </c>
      <c r="N1074" s="43" t="n">
        <f aca="false">L1074-M1074</f>
        <v>4789</v>
      </c>
    </row>
    <row r="1075" customFormat="false" ht="15" hidden="false" customHeight="false" outlineLevel="0" collapsed="false">
      <c r="A1075" s="40" t="n">
        <v>46174</v>
      </c>
      <c r="B1075" s="41" t="n">
        <v>2026</v>
      </c>
      <c r="C1075" s="41" t="n">
        <v>6</v>
      </c>
      <c r="D1075" s="41" t="s">
        <v>51</v>
      </c>
      <c r="E1075" s="41" t="s">
        <v>46</v>
      </c>
      <c r="F1075" s="41" t="s">
        <v>42</v>
      </c>
      <c r="G1075" s="41" t="s">
        <v>40</v>
      </c>
      <c r="H1075" s="42" t="n">
        <v>65</v>
      </c>
      <c r="I1075" s="42" t="n">
        <v>92</v>
      </c>
      <c r="J1075" s="42" t="n">
        <v>7682</v>
      </c>
      <c r="K1075" s="42" t="n">
        <v>1173</v>
      </c>
      <c r="L1075" s="43" t="n">
        <f aca="false">J1075-K1075</f>
        <v>6509</v>
      </c>
      <c r="M1075" s="42" t="n">
        <v>3742</v>
      </c>
      <c r="N1075" s="43" t="n">
        <f aca="false">L1075-M1075</f>
        <v>2767</v>
      </c>
    </row>
    <row r="1076" customFormat="false" ht="15" hidden="false" customHeight="false" outlineLevel="0" collapsed="false">
      <c r="A1076" s="40" t="n">
        <v>46174</v>
      </c>
      <c r="B1076" s="41" t="n">
        <v>2026</v>
      </c>
      <c r="C1076" s="41" t="n">
        <v>6</v>
      </c>
      <c r="D1076" s="41" t="s">
        <v>51</v>
      </c>
      <c r="E1076" s="41" t="s">
        <v>46</v>
      </c>
      <c r="F1076" s="41" t="s">
        <v>42</v>
      </c>
      <c r="G1076" s="41" t="s">
        <v>41</v>
      </c>
      <c r="H1076" s="42" t="n">
        <v>80</v>
      </c>
      <c r="I1076" s="42" t="n">
        <v>98</v>
      </c>
      <c r="J1076" s="42" t="n">
        <v>4477</v>
      </c>
      <c r="K1076" s="42" t="n">
        <v>180</v>
      </c>
      <c r="L1076" s="43" t="n">
        <f aca="false">J1076-K1076</f>
        <v>4297</v>
      </c>
      <c r="M1076" s="42" t="n">
        <v>2089</v>
      </c>
      <c r="N1076" s="43" t="n">
        <f aca="false">L1076-M1076</f>
        <v>2208</v>
      </c>
    </row>
    <row r="1077" customFormat="false" ht="15" hidden="false" customHeight="false" outlineLevel="0" collapsed="false">
      <c r="A1077" s="40" t="n">
        <v>46174</v>
      </c>
      <c r="B1077" s="41" t="n">
        <v>2026</v>
      </c>
      <c r="C1077" s="41" t="n">
        <v>6</v>
      </c>
      <c r="D1077" s="41" t="s">
        <v>51</v>
      </c>
      <c r="E1077" s="41" t="s">
        <v>46</v>
      </c>
      <c r="F1077" s="41" t="s">
        <v>43</v>
      </c>
      <c r="G1077" s="41" t="s">
        <v>37</v>
      </c>
      <c r="H1077" s="42" t="n">
        <v>33</v>
      </c>
      <c r="I1077" s="42" t="n">
        <v>40</v>
      </c>
      <c r="J1077" s="42" t="n">
        <v>6574</v>
      </c>
      <c r="K1077" s="42" t="n">
        <v>174</v>
      </c>
      <c r="L1077" s="43" t="n">
        <f aca="false">J1077-K1077</f>
        <v>6400</v>
      </c>
      <c r="M1077" s="42" t="n">
        <v>3486</v>
      </c>
      <c r="N1077" s="43" t="n">
        <f aca="false">L1077-M1077</f>
        <v>2914</v>
      </c>
    </row>
    <row r="1078" customFormat="false" ht="15" hidden="false" customHeight="false" outlineLevel="0" collapsed="false">
      <c r="A1078" s="40" t="n">
        <v>46174</v>
      </c>
      <c r="B1078" s="41" t="n">
        <v>2026</v>
      </c>
      <c r="C1078" s="41" t="n">
        <v>6</v>
      </c>
      <c r="D1078" s="41" t="s">
        <v>51</v>
      </c>
      <c r="E1078" s="41" t="s">
        <v>46</v>
      </c>
      <c r="F1078" s="41" t="s">
        <v>43</v>
      </c>
      <c r="G1078" s="41" t="s">
        <v>38</v>
      </c>
      <c r="H1078" s="42" t="n">
        <v>50</v>
      </c>
      <c r="I1078" s="42" t="n">
        <v>76</v>
      </c>
      <c r="J1078" s="42" t="n">
        <v>5892</v>
      </c>
      <c r="K1078" s="42" t="n">
        <v>218</v>
      </c>
      <c r="L1078" s="43" t="n">
        <f aca="false">J1078-K1078</f>
        <v>5674</v>
      </c>
      <c r="M1078" s="42" t="n">
        <v>2574</v>
      </c>
      <c r="N1078" s="43" t="n">
        <f aca="false">L1078-M1078</f>
        <v>3100</v>
      </c>
    </row>
    <row r="1079" customFormat="false" ht="15" hidden="false" customHeight="false" outlineLevel="0" collapsed="false">
      <c r="A1079" s="40" t="n">
        <v>46174</v>
      </c>
      <c r="B1079" s="41" t="n">
        <v>2026</v>
      </c>
      <c r="C1079" s="41" t="n">
        <v>6</v>
      </c>
      <c r="D1079" s="41" t="s">
        <v>51</v>
      </c>
      <c r="E1079" s="41" t="s">
        <v>46</v>
      </c>
      <c r="F1079" s="41" t="s">
        <v>43</v>
      </c>
      <c r="G1079" s="41" t="s">
        <v>39</v>
      </c>
      <c r="H1079" s="42" t="n">
        <v>78</v>
      </c>
      <c r="I1079" s="42" t="n">
        <v>124</v>
      </c>
      <c r="J1079" s="42" t="n">
        <v>6901</v>
      </c>
      <c r="K1079" s="42" t="n">
        <v>424</v>
      </c>
      <c r="L1079" s="43" t="n">
        <f aca="false">J1079-K1079</f>
        <v>6477</v>
      </c>
      <c r="M1079" s="42" t="n">
        <v>2566</v>
      </c>
      <c r="N1079" s="43" t="n">
        <f aca="false">L1079-M1079</f>
        <v>3911</v>
      </c>
    </row>
    <row r="1080" customFormat="false" ht="15" hidden="false" customHeight="false" outlineLevel="0" collapsed="false">
      <c r="A1080" s="40" t="n">
        <v>46174</v>
      </c>
      <c r="B1080" s="41" t="n">
        <v>2026</v>
      </c>
      <c r="C1080" s="41" t="n">
        <v>6</v>
      </c>
      <c r="D1080" s="41" t="s">
        <v>51</v>
      </c>
      <c r="E1080" s="41" t="s">
        <v>46</v>
      </c>
      <c r="F1080" s="41" t="s">
        <v>43</v>
      </c>
      <c r="G1080" s="41" t="s">
        <v>40</v>
      </c>
      <c r="H1080" s="42" t="n">
        <v>33</v>
      </c>
      <c r="I1080" s="42" t="n">
        <v>42</v>
      </c>
      <c r="J1080" s="42" t="n">
        <v>4437</v>
      </c>
      <c r="K1080" s="42" t="n">
        <v>421</v>
      </c>
      <c r="L1080" s="43" t="n">
        <f aca="false">J1080-K1080</f>
        <v>4016</v>
      </c>
      <c r="M1080" s="42" t="n">
        <v>2222</v>
      </c>
      <c r="N1080" s="43" t="n">
        <f aca="false">L1080-M1080</f>
        <v>1794</v>
      </c>
    </row>
    <row r="1081" customFormat="false" ht="15" hidden="false" customHeight="false" outlineLevel="0" collapsed="false">
      <c r="A1081" s="40" t="n">
        <v>46174</v>
      </c>
      <c r="B1081" s="41" t="n">
        <v>2026</v>
      </c>
      <c r="C1081" s="41" t="n">
        <v>6</v>
      </c>
      <c r="D1081" s="41" t="s">
        <v>51</v>
      </c>
      <c r="E1081" s="41" t="s">
        <v>46</v>
      </c>
      <c r="F1081" s="41" t="s">
        <v>43</v>
      </c>
      <c r="G1081" s="41" t="s">
        <v>41</v>
      </c>
      <c r="H1081" s="42" t="n">
        <v>53</v>
      </c>
      <c r="I1081" s="42" t="n">
        <v>82</v>
      </c>
      <c r="J1081" s="42" t="n">
        <v>3439</v>
      </c>
      <c r="K1081" s="42" t="n">
        <v>75</v>
      </c>
      <c r="L1081" s="43" t="n">
        <f aca="false">J1081-K1081</f>
        <v>3364</v>
      </c>
      <c r="M1081" s="42" t="n">
        <v>1586</v>
      </c>
      <c r="N1081" s="43" t="n">
        <f aca="false">L1081-M1081</f>
        <v>1778</v>
      </c>
    </row>
    <row r="1082" customFormat="false" ht="15" hidden="false" customHeight="false" outlineLevel="0" collapsed="false">
      <c r="A1082" s="40" t="n">
        <v>46204</v>
      </c>
      <c r="B1082" s="41" t="n">
        <v>2026</v>
      </c>
      <c r="C1082" s="41" t="n">
        <v>7</v>
      </c>
      <c r="D1082" s="41" t="s">
        <v>52</v>
      </c>
      <c r="E1082" s="41" t="s">
        <v>35</v>
      </c>
      <c r="F1082" s="41" t="s">
        <v>36</v>
      </c>
      <c r="G1082" s="41" t="s">
        <v>37</v>
      </c>
      <c r="H1082" s="42" t="n">
        <v>111</v>
      </c>
      <c r="I1082" s="42" t="n">
        <v>154</v>
      </c>
      <c r="J1082" s="42" t="n">
        <v>20946</v>
      </c>
      <c r="K1082" s="42" t="n">
        <v>913</v>
      </c>
      <c r="L1082" s="43" t="n">
        <f aca="false">J1082-K1082</f>
        <v>20033</v>
      </c>
      <c r="M1082" s="42" t="n">
        <v>10472</v>
      </c>
      <c r="N1082" s="43" t="n">
        <f aca="false">L1082-M1082</f>
        <v>9561</v>
      </c>
    </row>
    <row r="1083" customFormat="false" ht="15" hidden="false" customHeight="false" outlineLevel="0" collapsed="false">
      <c r="A1083" s="40" t="n">
        <v>46204</v>
      </c>
      <c r="B1083" s="41" t="n">
        <v>2026</v>
      </c>
      <c r="C1083" s="41" t="n">
        <v>7</v>
      </c>
      <c r="D1083" s="41" t="s">
        <v>52</v>
      </c>
      <c r="E1083" s="41" t="s">
        <v>35</v>
      </c>
      <c r="F1083" s="41" t="s">
        <v>36</v>
      </c>
      <c r="G1083" s="41" t="s">
        <v>38</v>
      </c>
      <c r="H1083" s="42" t="n">
        <v>167</v>
      </c>
      <c r="I1083" s="42" t="n">
        <v>192</v>
      </c>
      <c r="J1083" s="42" t="n">
        <v>18654</v>
      </c>
      <c r="K1083" s="42" t="n">
        <v>811</v>
      </c>
      <c r="L1083" s="43" t="n">
        <f aca="false">J1083-K1083</f>
        <v>17843</v>
      </c>
      <c r="M1083" s="42" t="n">
        <v>8124</v>
      </c>
      <c r="N1083" s="43" t="n">
        <f aca="false">L1083-M1083</f>
        <v>9719</v>
      </c>
    </row>
    <row r="1084" customFormat="false" ht="15" hidden="false" customHeight="false" outlineLevel="0" collapsed="false">
      <c r="A1084" s="40" t="n">
        <v>46204</v>
      </c>
      <c r="B1084" s="41" t="n">
        <v>2026</v>
      </c>
      <c r="C1084" s="41" t="n">
        <v>7</v>
      </c>
      <c r="D1084" s="41" t="s">
        <v>52</v>
      </c>
      <c r="E1084" s="41" t="s">
        <v>35</v>
      </c>
      <c r="F1084" s="41" t="s">
        <v>36</v>
      </c>
      <c r="G1084" s="41" t="s">
        <v>39</v>
      </c>
      <c r="H1084" s="42" t="n">
        <v>259</v>
      </c>
      <c r="I1084" s="42" t="n">
        <v>325</v>
      </c>
      <c r="J1084" s="42" t="n">
        <v>21740</v>
      </c>
      <c r="K1084" s="42" t="n">
        <v>1970</v>
      </c>
      <c r="L1084" s="43" t="n">
        <f aca="false">J1084-K1084</f>
        <v>19770</v>
      </c>
      <c r="M1084" s="42" t="n">
        <v>7808</v>
      </c>
      <c r="N1084" s="43" t="n">
        <f aca="false">L1084-M1084</f>
        <v>11962</v>
      </c>
    </row>
    <row r="1085" customFormat="false" ht="15" hidden="false" customHeight="false" outlineLevel="0" collapsed="false">
      <c r="A1085" s="40" t="n">
        <v>46204</v>
      </c>
      <c r="B1085" s="41" t="n">
        <v>2026</v>
      </c>
      <c r="C1085" s="41" t="n">
        <v>7</v>
      </c>
      <c r="D1085" s="41" t="s">
        <v>52</v>
      </c>
      <c r="E1085" s="41" t="s">
        <v>35</v>
      </c>
      <c r="F1085" s="41" t="s">
        <v>36</v>
      </c>
      <c r="G1085" s="41" t="s">
        <v>40</v>
      </c>
      <c r="H1085" s="42" t="n">
        <v>161</v>
      </c>
      <c r="I1085" s="42" t="n">
        <v>187</v>
      </c>
      <c r="J1085" s="42" t="n">
        <v>20658</v>
      </c>
      <c r="K1085" s="42" t="n">
        <v>2096</v>
      </c>
      <c r="L1085" s="43" t="n">
        <f aca="false">J1085-K1085</f>
        <v>18562</v>
      </c>
      <c r="M1085" s="42" t="n">
        <v>10475</v>
      </c>
      <c r="N1085" s="43" t="n">
        <f aca="false">L1085-M1085</f>
        <v>8087</v>
      </c>
    </row>
    <row r="1086" customFormat="false" ht="15" hidden="false" customHeight="false" outlineLevel="0" collapsed="false">
      <c r="A1086" s="40" t="n">
        <v>46204</v>
      </c>
      <c r="B1086" s="41" t="n">
        <v>2026</v>
      </c>
      <c r="C1086" s="41" t="n">
        <v>7</v>
      </c>
      <c r="D1086" s="41" t="s">
        <v>52</v>
      </c>
      <c r="E1086" s="41" t="s">
        <v>35</v>
      </c>
      <c r="F1086" s="41" t="s">
        <v>36</v>
      </c>
      <c r="G1086" s="41" t="s">
        <v>41</v>
      </c>
      <c r="H1086" s="42" t="n">
        <v>225</v>
      </c>
      <c r="I1086" s="42" t="n">
        <v>274</v>
      </c>
      <c r="J1086" s="42" t="n">
        <v>13713</v>
      </c>
      <c r="K1086" s="42" t="n">
        <v>384</v>
      </c>
      <c r="L1086" s="43" t="n">
        <f aca="false">J1086-K1086</f>
        <v>13329</v>
      </c>
      <c r="M1086" s="42" t="n">
        <v>6406</v>
      </c>
      <c r="N1086" s="43" t="n">
        <f aca="false">L1086-M1086</f>
        <v>6923</v>
      </c>
    </row>
    <row r="1087" customFormat="false" ht="15" hidden="false" customHeight="false" outlineLevel="0" collapsed="false">
      <c r="A1087" s="40" t="n">
        <v>46204</v>
      </c>
      <c r="B1087" s="41" t="n">
        <v>2026</v>
      </c>
      <c r="C1087" s="41" t="n">
        <v>7</v>
      </c>
      <c r="D1087" s="41" t="s">
        <v>52</v>
      </c>
      <c r="E1087" s="41" t="s">
        <v>35</v>
      </c>
      <c r="F1087" s="41" t="s">
        <v>42</v>
      </c>
      <c r="G1087" s="41" t="s">
        <v>37</v>
      </c>
      <c r="H1087" s="42" t="n">
        <v>92</v>
      </c>
      <c r="I1087" s="42" t="n">
        <v>123</v>
      </c>
      <c r="J1087" s="42" t="n">
        <v>16012</v>
      </c>
      <c r="K1087" s="42" t="n">
        <v>857</v>
      </c>
      <c r="L1087" s="43" t="n">
        <f aca="false">J1087-K1087</f>
        <v>15155</v>
      </c>
      <c r="M1087" s="42" t="n">
        <v>8196</v>
      </c>
      <c r="N1087" s="43" t="n">
        <f aca="false">L1087-M1087</f>
        <v>6959</v>
      </c>
    </row>
    <row r="1088" customFormat="false" ht="15" hidden="false" customHeight="false" outlineLevel="0" collapsed="false">
      <c r="A1088" s="40" t="n">
        <v>46204</v>
      </c>
      <c r="B1088" s="41" t="n">
        <v>2026</v>
      </c>
      <c r="C1088" s="41" t="n">
        <v>7</v>
      </c>
      <c r="D1088" s="41" t="s">
        <v>52</v>
      </c>
      <c r="E1088" s="41" t="s">
        <v>35</v>
      </c>
      <c r="F1088" s="41" t="s">
        <v>42</v>
      </c>
      <c r="G1088" s="41" t="s">
        <v>38</v>
      </c>
      <c r="H1088" s="42" t="n">
        <v>125</v>
      </c>
      <c r="I1088" s="42" t="n">
        <v>148</v>
      </c>
      <c r="J1088" s="42" t="n">
        <v>12915</v>
      </c>
      <c r="K1088" s="42" t="n">
        <v>754</v>
      </c>
      <c r="L1088" s="43" t="n">
        <f aca="false">J1088-K1088</f>
        <v>12161</v>
      </c>
      <c r="M1088" s="42" t="n">
        <v>5599</v>
      </c>
      <c r="N1088" s="43" t="n">
        <f aca="false">L1088-M1088</f>
        <v>6562</v>
      </c>
    </row>
    <row r="1089" customFormat="false" ht="15" hidden="false" customHeight="false" outlineLevel="0" collapsed="false">
      <c r="A1089" s="40" t="n">
        <v>46204</v>
      </c>
      <c r="B1089" s="41" t="n">
        <v>2026</v>
      </c>
      <c r="C1089" s="41" t="n">
        <v>7</v>
      </c>
      <c r="D1089" s="41" t="s">
        <v>52</v>
      </c>
      <c r="E1089" s="41" t="s">
        <v>35</v>
      </c>
      <c r="F1089" s="41" t="s">
        <v>42</v>
      </c>
      <c r="G1089" s="41" t="s">
        <v>39</v>
      </c>
      <c r="H1089" s="42" t="n">
        <v>235</v>
      </c>
      <c r="I1089" s="42" t="n">
        <v>344</v>
      </c>
      <c r="J1089" s="42" t="n">
        <v>18173</v>
      </c>
      <c r="K1089" s="42" t="n">
        <v>2221</v>
      </c>
      <c r="L1089" s="43" t="n">
        <f aca="false">J1089-K1089</f>
        <v>15952</v>
      </c>
      <c r="M1089" s="42" t="n">
        <v>6726</v>
      </c>
      <c r="N1089" s="43" t="n">
        <f aca="false">L1089-M1089</f>
        <v>9226</v>
      </c>
    </row>
    <row r="1090" customFormat="false" ht="15" hidden="false" customHeight="false" outlineLevel="0" collapsed="false">
      <c r="A1090" s="40" t="n">
        <v>46204</v>
      </c>
      <c r="B1090" s="41" t="n">
        <v>2026</v>
      </c>
      <c r="C1090" s="41" t="n">
        <v>7</v>
      </c>
      <c r="D1090" s="41" t="s">
        <v>52</v>
      </c>
      <c r="E1090" s="41" t="s">
        <v>35</v>
      </c>
      <c r="F1090" s="41" t="s">
        <v>42</v>
      </c>
      <c r="G1090" s="41" t="s">
        <v>40</v>
      </c>
      <c r="H1090" s="42" t="n">
        <v>114</v>
      </c>
      <c r="I1090" s="42" t="n">
        <v>149</v>
      </c>
      <c r="J1090" s="42" t="n">
        <v>13455</v>
      </c>
      <c r="K1090" s="42" t="n">
        <v>2173</v>
      </c>
      <c r="L1090" s="43" t="n">
        <f aca="false">J1090-K1090</f>
        <v>11282</v>
      </c>
      <c r="M1090" s="42" t="n">
        <v>6289</v>
      </c>
      <c r="N1090" s="43" t="n">
        <f aca="false">L1090-M1090</f>
        <v>4993</v>
      </c>
    </row>
    <row r="1091" customFormat="false" ht="15" hidden="false" customHeight="false" outlineLevel="0" collapsed="false">
      <c r="A1091" s="40" t="n">
        <v>46204</v>
      </c>
      <c r="B1091" s="41" t="n">
        <v>2026</v>
      </c>
      <c r="C1091" s="41" t="n">
        <v>7</v>
      </c>
      <c r="D1091" s="41" t="s">
        <v>52</v>
      </c>
      <c r="E1091" s="41" t="s">
        <v>35</v>
      </c>
      <c r="F1091" s="41" t="s">
        <v>42</v>
      </c>
      <c r="G1091" s="41" t="s">
        <v>41</v>
      </c>
      <c r="H1091" s="42" t="n">
        <v>168</v>
      </c>
      <c r="I1091" s="42" t="n">
        <v>236</v>
      </c>
      <c r="J1091" s="42" t="n">
        <v>9443</v>
      </c>
      <c r="K1091" s="42" t="n">
        <v>314</v>
      </c>
      <c r="L1091" s="43" t="n">
        <f aca="false">J1091-K1091</f>
        <v>9129</v>
      </c>
      <c r="M1091" s="42" t="n">
        <v>4477</v>
      </c>
      <c r="N1091" s="43" t="n">
        <f aca="false">L1091-M1091</f>
        <v>4652</v>
      </c>
    </row>
    <row r="1092" customFormat="false" ht="15" hidden="false" customHeight="false" outlineLevel="0" collapsed="false">
      <c r="A1092" s="40" t="n">
        <v>46204</v>
      </c>
      <c r="B1092" s="41" t="n">
        <v>2026</v>
      </c>
      <c r="C1092" s="41" t="n">
        <v>7</v>
      </c>
      <c r="D1092" s="41" t="s">
        <v>52</v>
      </c>
      <c r="E1092" s="41" t="s">
        <v>35</v>
      </c>
      <c r="F1092" s="41" t="s">
        <v>43</v>
      </c>
      <c r="G1092" s="41" t="s">
        <v>37</v>
      </c>
      <c r="H1092" s="42" t="n">
        <v>61</v>
      </c>
      <c r="I1092" s="42" t="n">
        <v>81</v>
      </c>
      <c r="J1092" s="42" t="n">
        <v>12217</v>
      </c>
      <c r="K1092" s="42" t="n">
        <v>372</v>
      </c>
      <c r="L1092" s="43" t="n">
        <f aca="false">J1092-K1092</f>
        <v>11845</v>
      </c>
      <c r="M1092" s="42" t="n">
        <v>6176</v>
      </c>
      <c r="N1092" s="43" t="n">
        <f aca="false">L1092-M1092</f>
        <v>5669</v>
      </c>
    </row>
    <row r="1093" customFormat="false" ht="15" hidden="false" customHeight="false" outlineLevel="0" collapsed="false">
      <c r="A1093" s="40" t="n">
        <v>46204</v>
      </c>
      <c r="B1093" s="41" t="n">
        <v>2026</v>
      </c>
      <c r="C1093" s="41" t="n">
        <v>7</v>
      </c>
      <c r="D1093" s="41" t="s">
        <v>52</v>
      </c>
      <c r="E1093" s="41" t="s">
        <v>35</v>
      </c>
      <c r="F1093" s="41" t="s">
        <v>43</v>
      </c>
      <c r="G1093" s="41" t="s">
        <v>38</v>
      </c>
      <c r="H1093" s="42" t="n">
        <v>93</v>
      </c>
      <c r="I1093" s="42" t="n">
        <v>141</v>
      </c>
      <c r="J1093" s="42" t="n">
        <v>10987</v>
      </c>
      <c r="K1093" s="42" t="n">
        <v>322</v>
      </c>
      <c r="L1093" s="43" t="n">
        <f aca="false">J1093-K1093</f>
        <v>10665</v>
      </c>
      <c r="M1093" s="42" t="n">
        <v>4824</v>
      </c>
      <c r="N1093" s="43" t="n">
        <f aca="false">L1093-M1093</f>
        <v>5841</v>
      </c>
    </row>
    <row r="1094" customFormat="false" ht="15" hidden="false" customHeight="false" outlineLevel="0" collapsed="false">
      <c r="A1094" s="40" t="n">
        <v>46204</v>
      </c>
      <c r="B1094" s="41" t="n">
        <v>2026</v>
      </c>
      <c r="C1094" s="41" t="n">
        <v>7</v>
      </c>
      <c r="D1094" s="41" t="s">
        <v>52</v>
      </c>
      <c r="E1094" s="41" t="s">
        <v>35</v>
      </c>
      <c r="F1094" s="41" t="s">
        <v>43</v>
      </c>
      <c r="G1094" s="41" t="s">
        <v>39</v>
      </c>
      <c r="H1094" s="42" t="n">
        <v>124</v>
      </c>
      <c r="I1094" s="42" t="n">
        <v>182</v>
      </c>
      <c r="J1094" s="42" t="n">
        <v>11031</v>
      </c>
      <c r="K1094" s="42" t="n">
        <v>866</v>
      </c>
      <c r="L1094" s="43" t="n">
        <f aca="false">J1094-K1094</f>
        <v>10165</v>
      </c>
      <c r="M1094" s="42" t="n">
        <v>4034</v>
      </c>
      <c r="N1094" s="43" t="n">
        <f aca="false">L1094-M1094</f>
        <v>6131</v>
      </c>
    </row>
    <row r="1095" customFormat="false" ht="15" hidden="false" customHeight="false" outlineLevel="0" collapsed="false">
      <c r="A1095" s="40" t="n">
        <v>46204</v>
      </c>
      <c r="B1095" s="41" t="n">
        <v>2026</v>
      </c>
      <c r="C1095" s="41" t="n">
        <v>7</v>
      </c>
      <c r="D1095" s="41" t="s">
        <v>52</v>
      </c>
      <c r="E1095" s="41" t="s">
        <v>35</v>
      </c>
      <c r="F1095" s="41" t="s">
        <v>43</v>
      </c>
      <c r="G1095" s="41" t="s">
        <v>40</v>
      </c>
      <c r="H1095" s="42" t="n">
        <v>59</v>
      </c>
      <c r="I1095" s="42" t="n">
        <v>70</v>
      </c>
      <c r="J1095" s="42" t="n">
        <v>8039</v>
      </c>
      <c r="K1095" s="42" t="n">
        <v>719</v>
      </c>
      <c r="L1095" s="43" t="n">
        <f aca="false">J1095-K1095</f>
        <v>7320</v>
      </c>
      <c r="M1095" s="42" t="n">
        <v>4042</v>
      </c>
      <c r="N1095" s="43" t="n">
        <f aca="false">L1095-M1095</f>
        <v>3278</v>
      </c>
    </row>
    <row r="1096" customFormat="false" ht="15" hidden="false" customHeight="false" outlineLevel="0" collapsed="false">
      <c r="A1096" s="40" t="n">
        <v>46204</v>
      </c>
      <c r="B1096" s="41" t="n">
        <v>2026</v>
      </c>
      <c r="C1096" s="41" t="n">
        <v>7</v>
      </c>
      <c r="D1096" s="41" t="s">
        <v>52</v>
      </c>
      <c r="E1096" s="41" t="s">
        <v>35</v>
      </c>
      <c r="F1096" s="41" t="s">
        <v>43</v>
      </c>
      <c r="G1096" s="41" t="s">
        <v>41</v>
      </c>
      <c r="H1096" s="42" t="n">
        <v>81</v>
      </c>
      <c r="I1096" s="42" t="n">
        <v>100</v>
      </c>
      <c r="J1096" s="42" t="n">
        <v>5209</v>
      </c>
      <c r="K1096" s="42" t="n">
        <v>113</v>
      </c>
      <c r="L1096" s="43" t="n">
        <f aca="false">J1096-K1096</f>
        <v>5096</v>
      </c>
      <c r="M1096" s="42" t="n">
        <v>2388</v>
      </c>
      <c r="N1096" s="43" t="n">
        <f aca="false">L1096-M1096</f>
        <v>2708</v>
      </c>
    </row>
    <row r="1097" customFormat="false" ht="15" hidden="false" customHeight="false" outlineLevel="0" collapsed="false">
      <c r="A1097" s="40" t="n">
        <v>46204</v>
      </c>
      <c r="B1097" s="41" t="n">
        <v>2026</v>
      </c>
      <c r="C1097" s="41" t="n">
        <v>7</v>
      </c>
      <c r="D1097" s="41" t="s">
        <v>52</v>
      </c>
      <c r="E1097" s="41" t="s">
        <v>44</v>
      </c>
      <c r="F1097" s="41" t="s">
        <v>36</v>
      </c>
      <c r="G1097" s="41" t="s">
        <v>37</v>
      </c>
      <c r="H1097" s="42" t="n">
        <v>106</v>
      </c>
      <c r="I1097" s="42" t="n">
        <v>133</v>
      </c>
      <c r="J1097" s="42" t="n">
        <v>19969</v>
      </c>
      <c r="K1097" s="42" t="n">
        <v>722</v>
      </c>
      <c r="L1097" s="43" t="n">
        <f aca="false">J1097-K1097</f>
        <v>19247</v>
      </c>
      <c r="M1097" s="42" t="n">
        <v>10154</v>
      </c>
      <c r="N1097" s="43" t="n">
        <f aca="false">L1097-M1097</f>
        <v>9093</v>
      </c>
    </row>
    <row r="1098" customFormat="false" ht="15" hidden="false" customHeight="false" outlineLevel="0" collapsed="false">
      <c r="A1098" s="40" t="n">
        <v>46204</v>
      </c>
      <c r="B1098" s="41" t="n">
        <v>2026</v>
      </c>
      <c r="C1098" s="41" t="n">
        <v>7</v>
      </c>
      <c r="D1098" s="41" t="s">
        <v>52</v>
      </c>
      <c r="E1098" s="41" t="s">
        <v>44</v>
      </c>
      <c r="F1098" s="41" t="s">
        <v>36</v>
      </c>
      <c r="G1098" s="41" t="s">
        <v>38</v>
      </c>
      <c r="H1098" s="42" t="n">
        <v>152</v>
      </c>
      <c r="I1098" s="42" t="n">
        <v>224</v>
      </c>
      <c r="J1098" s="42" t="n">
        <v>16997</v>
      </c>
      <c r="K1098" s="42" t="n">
        <v>690</v>
      </c>
      <c r="L1098" s="43" t="n">
        <f aca="false">J1098-K1098</f>
        <v>16307</v>
      </c>
      <c r="M1098" s="42" t="n">
        <v>7437</v>
      </c>
      <c r="N1098" s="43" t="n">
        <f aca="false">L1098-M1098</f>
        <v>8870</v>
      </c>
    </row>
    <row r="1099" customFormat="false" ht="15" hidden="false" customHeight="false" outlineLevel="0" collapsed="false">
      <c r="A1099" s="40" t="n">
        <v>46204</v>
      </c>
      <c r="B1099" s="41" t="n">
        <v>2026</v>
      </c>
      <c r="C1099" s="41" t="n">
        <v>7</v>
      </c>
      <c r="D1099" s="41" t="s">
        <v>52</v>
      </c>
      <c r="E1099" s="41" t="s">
        <v>44</v>
      </c>
      <c r="F1099" s="41" t="s">
        <v>36</v>
      </c>
      <c r="G1099" s="41" t="s">
        <v>39</v>
      </c>
      <c r="H1099" s="42" t="n">
        <v>220</v>
      </c>
      <c r="I1099" s="42" t="n">
        <v>282</v>
      </c>
      <c r="J1099" s="42" t="n">
        <v>18483</v>
      </c>
      <c r="K1099" s="42" t="n">
        <v>1952</v>
      </c>
      <c r="L1099" s="43" t="n">
        <f aca="false">J1099-K1099</f>
        <v>16531</v>
      </c>
      <c r="M1099" s="42" t="n">
        <v>6521</v>
      </c>
      <c r="N1099" s="43" t="n">
        <f aca="false">L1099-M1099</f>
        <v>10010</v>
      </c>
    </row>
    <row r="1100" customFormat="false" ht="15" hidden="false" customHeight="false" outlineLevel="0" collapsed="false">
      <c r="A1100" s="40" t="n">
        <v>46204</v>
      </c>
      <c r="B1100" s="41" t="n">
        <v>2026</v>
      </c>
      <c r="C1100" s="41" t="n">
        <v>7</v>
      </c>
      <c r="D1100" s="41" t="s">
        <v>52</v>
      </c>
      <c r="E1100" s="41" t="s">
        <v>44</v>
      </c>
      <c r="F1100" s="41" t="s">
        <v>36</v>
      </c>
      <c r="G1100" s="41" t="s">
        <v>40</v>
      </c>
      <c r="H1100" s="42" t="n">
        <v>116</v>
      </c>
      <c r="I1100" s="42" t="n">
        <v>180</v>
      </c>
      <c r="J1100" s="42" t="n">
        <v>14899</v>
      </c>
      <c r="K1100" s="42" t="n">
        <v>1577</v>
      </c>
      <c r="L1100" s="43" t="n">
        <f aca="false">J1100-K1100</f>
        <v>13322</v>
      </c>
      <c r="M1100" s="42" t="n">
        <v>7244</v>
      </c>
      <c r="N1100" s="43" t="n">
        <f aca="false">L1100-M1100</f>
        <v>6078</v>
      </c>
    </row>
    <row r="1101" customFormat="false" ht="15" hidden="false" customHeight="false" outlineLevel="0" collapsed="false">
      <c r="A1101" s="40" t="n">
        <v>46204</v>
      </c>
      <c r="B1101" s="41" t="n">
        <v>2026</v>
      </c>
      <c r="C1101" s="41" t="n">
        <v>7</v>
      </c>
      <c r="D1101" s="41" t="s">
        <v>52</v>
      </c>
      <c r="E1101" s="41" t="s">
        <v>44</v>
      </c>
      <c r="F1101" s="41" t="s">
        <v>36</v>
      </c>
      <c r="G1101" s="41" t="s">
        <v>41</v>
      </c>
      <c r="H1101" s="42" t="n">
        <v>165</v>
      </c>
      <c r="I1101" s="42" t="n">
        <v>209</v>
      </c>
      <c r="J1101" s="42" t="n">
        <v>10061</v>
      </c>
      <c r="K1101" s="42" t="n">
        <v>260</v>
      </c>
      <c r="L1101" s="43" t="n">
        <f aca="false">J1101-K1101</f>
        <v>9801</v>
      </c>
      <c r="M1101" s="42" t="n">
        <v>4627</v>
      </c>
      <c r="N1101" s="43" t="n">
        <f aca="false">L1101-M1101</f>
        <v>5174</v>
      </c>
    </row>
    <row r="1102" customFormat="false" ht="15" hidden="false" customHeight="false" outlineLevel="0" collapsed="false">
      <c r="A1102" s="40" t="n">
        <v>46204</v>
      </c>
      <c r="B1102" s="41" t="n">
        <v>2026</v>
      </c>
      <c r="C1102" s="41" t="n">
        <v>7</v>
      </c>
      <c r="D1102" s="41" t="s">
        <v>52</v>
      </c>
      <c r="E1102" s="41" t="s">
        <v>44</v>
      </c>
      <c r="F1102" s="41" t="s">
        <v>42</v>
      </c>
      <c r="G1102" s="41" t="s">
        <v>37</v>
      </c>
      <c r="H1102" s="42" t="n">
        <v>83</v>
      </c>
      <c r="I1102" s="42" t="n">
        <v>126</v>
      </c>
      <c r="J1102" s="42" t="n">
        <v>14406</v>
      </c>
      <c r="K1102" s="42" t="n">
        <v>845</v>
      </c>
      <c r="L1102" s="43" t="n">
        <f aca="false">J1102-K1102</f>
        <v>13561</v>
      </c>
      <c r="M1102" s="42" t="n">
        <v>7647</v>
      </c>
      <c r="N1102" s="43" t="n">
        <f aca="false">L1102-M1102</f>
        <v>5914</v>
      </c>
    </row>
    <row r="1103" customFormat="false" ht="15" hidden="false" customHeight="false" outlineLevel="0" collapsed="false">
      <c r="A1103" s="40" t="n">
        <v>46204</v>
      </c>
      <c r="B1103" s="41" t="n">
        <v>2026</v>
      </c>
      <c r="C1103" s="41" t="n">
        <v>7</v>
      </c>
      <c r="D1103" s="41" t="s">
        <v>52</v>
      </c>
      <c r="E1103" s="41" t="s">
        <v>44</v>
      </c>
      <c r="F1103" s="41" t="s">
        <v>42</v>
      </c>
      <c r="G1103" s="41" t="s">
        <v>38</v>
      </c>
      <c r="H1103" s="42" t="n">
        <v>123</v>
      </c>
      <c r="I1103" s="42" t="n">
        <v>159</v>
      </c>
      <c r="J1103" s="42" t="n">
        <v>12681</v>
      </c>
      <c r="K1103" s="42" t="n">
        <v>793</v>
      </c>
      <c r="L1103" s="43" t="n">
        <f aca="false">J1103-K1103</f>
        <v>11888</v>
      </c>
      <c r="M1103" s="42" t="n">
        <v>5686</v>
      </c>
      <c r="N1103" s="43" t="n">
        <f aca="false">L1103-M1103</f>
        <v>6202</v>
      </c>
    </row>
    <row r="1104" customFormat="false" ht="15" hidden="false" customHeight="false" outlineLevel="0" collapsed="false">
      <c r="A1104" s="40" t="n">
        <v>46204</v>
      </c>
      <c r="B1104" s="41" t="n">
        <v>2026</v>
      </c>
      <c r="C1104" s="41" t="n">
        <v>7</v>
      </c>
      <c r="D1104" s="41" t="s">
        <v>52</v>
      </c>
      <c r="E1104" s="41" t="s">
        <v>44</v>
      </c>
      <c r="F1104" s="41" t="s">
        <v>42</v>
      </c>
      <c r="G1104" s="41" t="s">
        <v>39</v>
      </c>
      <c r="H1104" s="42" t="n">
        <v>158</v>
      </c>
      <c r="I1104" s="42" t="n">
        <v>225</v>
      </c>
      <c r="J1104" s="42" t="n">
        <v>12212</v>
      </c>
      <c r="K1104" s="42" t="n">
        <v>1378</v>
      </c>
      <c r="L1104" s="43" t="n">
        <f aca="false">J1104-K1104</f>
        <v>10834</v>
      </c>
      <c r="M1104" s="42" t="n">
        <v>4368</v>
      </c>
      <c r="N1104" s="43" t="n">
        <f aca="false">L1104-M1104</f>
        <v>6466</v>
      </c>
    </row>
    <row r="1105" customFormat="false" ht="15" hidden="false" customHeight="false" outlineLevel="0" collapsed="false">
      <c r="A1105" s="40" t="n">
        <v>46204</v>
      </c>
      <c r="B1105" s="41" t="n">
        <v>2026</v>
      </c>
      <c r="C1105" s="41" t="n">
        <v>7</v>
      </c>
      <c r="D1105" s="41" t="s">
        <v>52</v>
      </c>
      <c r="E1105" s="41" t="s">
        <v>44</v>
      </c>
      <c r="F1105" s="41" t="s">
        <v>42</v>
      </c>
      <c r="G1105" s="41" t="s">
        <v>40</v>
      </c>
      <c r="H1105" s="42" t="n">
        <v>86</v>
      </c>
      <c r="I1105" s="42" t="n">
        <v>105</v>
      </c>
      <c r="J1105" s="42" t="n">
        <v>10081</v>
      </c>
      <c r="K1105" s="42" t="n">
        <v>1915</v>
      </c>
      <c r="L1105" s="43" t="n">
        <f aca="false">J1105-K1105</f>
        <v>8166</v>
      </c>
      <c r="M1105" s="42" t="n">
        <v>4743</v>
      </c>
      <c r="N1105" s="43" t="n">
        <f aca="false">L1105-M1105</f>
        <v>3423</v>
      </c>
    </row>
    <row r="1106" customFormat="false" ht="15" hidden="false" customHeight="false" outlineLevel="0" collapsed="false">
      <c r="A1106" s="40" t="n">
        <v>46204</v>
      </c>
      <c r="B1106" s="41" t="n">
        <v>2026</v>
      </c>
      <c r="C1106" s="41" t="n">
        <v>7</v>
      </c>
      <c r="D1106" s="41" t="s">
        <v>52</v>
      </c>
      <c r="E1106" s="41" t="s">
        <v>44</v>
      </c>
      <c r="F1106" s="41" t="s">
        <v>42</v>
      </c>
      <c r="G1106" s="41" t="s">
        <v>41</v>
      </c>
      <c r="H1106" s="42" t="n">
        <v>118</v>
      </c>
      <c r="I1106" s="42" t="n">
        <v>146</v>
      </c>
      <c r="J1106" s="42" t="n">
        <v>6623</v>
      </c>
      <c r="K1106" s="42" t="n">
        <v>227</v>
      </c>
      <c r="L1106" s="43" t="n">
        <f aca="false">J1106-K1106</f>
        <v>6396</v>
      </c>
      <c r="M1106" s="42" t="n">
        <v>3204</v>
      </c>
      <c r="N1106" s="43" t="n">
        <f aca="false">L1106-M1106</f>
        <v>3192</v>
      </c>
    </row>
    <row r="1107" customFormat="false" ht="15" hidden="false" customHeight="false" outlineLevel="0" collapsed="false">
      <c r="A1107" s="40" t="n">
        <v>46204</v>
      </c>
      <c r="B1107" s="41" t="n">
        <v>2026</v>
      </c>
      <c r="C1107" s="41" t="n">
        <v>7</v>
      </c>
      <c r="D1107" s="41" t="s">
        <v>52</v>
      </c>
      <c r="E1107" s="41" t="s">
        <v>44</v>
      </c>
      <c r="F1107" s="41" t="s">
        <v>43</v>
      </c>
      <c r="G1107" s="41" t="s">
        <v>37</v>
      </c>
      <c r="H1107" s="42" t="n">
        <v>46</v>
      </c>
      <c r="I1107" s="42" t="n">
        <v>60</v>
      </c>
      <c r="J1107" s="42" t="n">
        <v>9260</v>
      </c>
      <c r="K1107" s="42" t="n">
        <v>282</v>
      </c>
      <c r="L1107" s="43" t="n">
        <f aca="false">J1107-K1107</f>
        <v>8978</v>
      </c>
      <c r="M1107" s="42" t="n">
        <v>4767</v>
      </c>
      <c r="N1107" s="43" t="n">
        <f aca="false">L1107-M1107</f>
        <v>4211</v>
      </c>
    </row>
    <row r="1108" customFormat="false" ht="15" hidden="false" customHeight="false" outlineLevel="0" collapsed="false">
      <c r="A1108" s="40" t="n">
        <v>46204</v>
      </c>
      <c r="B1108" s="41" t="n">
        <v>2026</v>
      </c>
      <c r="C1108" s="41" t="n">
        <v>7</v>
      </c>
      <c r="D1108" s="41" t="s">
        <v>52</v>
      </c>
      <c r="E1108" s="41" t="s">
        <v>44</v>
      </c>
      <c r="F1108" s="41" t="s">
        <v>43</v>
      </c>
      <c r="G1108" s="41" t="s">
        <v>38</v>
      </c>
      <c r="H1108" s="42" t="n">
        <v>73</v>
      </c>
      <c r="I1108" s="42" t="n">
        <v>87</v>
      </c>
      <c r="J1108" s="42" t="n">
        <v>8676</v>
      </c>
      <c r="K1108" s="42" t="n">
        <v>251</v>
      </c>
      <c r="L1108" s="43" t="n">
        <f aca="false">J1108-K1108</f>
        <v>8425</v>
      </c>
      <c r="M1108" s="42" t="n">
        <v>3765</v>
      </c>
      <c r="N1108" s="43" t="n">
        <f aca="false">L1108-M1108</f>
        <v>4660</v>
      </c>
    </row>
    <row r="1109" customFormat="false" ht="15" hidden="false" customHeight="false" outlineLevel="0" collapsed="false">
      <c r="A1109" s="40" t="n">
        <v>46204</v>
      </c>
      <c r="B1109" s="41" t="n">
        <v>2026</v>
      </c>
      <c r="C1109" s="41" t="n">
        <v>7</v>
      </c>
      <c r="D1109" s="41" t="s">
        <v>52</v>
      </c>
      <c r="E1109" s="41" t="s">
        <v>44</v>
      </c>
      <c r="F1109" s="41" t="s">
        <v>43</v>
      </c>
      <c r="G1109" s="41" t="s">
        <v>39</v>
      </c>
      <c r="H1109" s="42" t="n">
        <v>107</v>
      </c>
      <c r="I1109" s="42" t="n">
        <v>135</v>
      </c>
      <c r="J1109" s="42" t="n">
        <v>9544</v>
      </c>
      <c r="K1109" s="42" t="n">
        <v>713</v>
      </c>
      <c r="L1109" s="43" t="n">
        <f aca="false">J1109-K1109</f>
        <v>8831</v>
      </c>
      <c r="M1109" s="42" t="n">
        <v>3387</v>
      </c>
      <c r="N1109" s="43" t="n">
        <f aca="false">L1109-M1109</f>
        <v>5444</v>
      </c>
    </row>
    <row r="1110" customFormat="false" ht="15" hidden="false" customHeight="false" outlineLevel="0" collapsed="false">
      <c r="A1110" s="40" t="n">
        <v>46204</v>
      </c>
      <c r="B1110" s="41" t="n">
        <v>2026</v>
      </c>
      <c r="C1110" s="41" t="n">
        <v>7</v>
      </c>
      <c r="D1110" s="41" t="s">
        <v>52</v>
      </c>
      <c r="E1110" s="41" t="s">
        <v>44</v>
      </c>
      <c r="F1110" s="41" t="s">
        <v>43</v>
      </c>
      <c r="G1110" s="41" t="s">
        <v>40</v>
      </c>
      <c r="H1110" s="42" t="n">
        <v>48</v>
      </c>
      <c r="I1110" s="42" t="n">
        <v>66</v>
      </c>
      <c r="J1110" s="42" t="n">
        <v>6552</v>
      </c>
      <c r="K1110" s="42" t="n">
        <v>597</v>
      </c>
      <c r="L1110" s="43" t="n">
        <f aca="false">J1110-K1110</f>
        <v>5955</v>
      </c>
      <c r="M1110" s="42" t="n">
        <v>3329</v>
      </c>
      <c r="N1110" s="43" t="n">
        <f aca="false">L1110-M1110</f>
        <v>2626</v>
      </c>
    </row>
    <row r="1111" customFormat="false" ht="15" hidden="false" customHeight="false" outlineLevel="0" collapsed="false">
      <c r="A1111" s="40" t="n">
        <v>46204</v>
      </c>
      <c r="B1111" s="41" t="n">
        <v>2026</v>
      </c>
      <c r="C1111" s="41" t="n">
        <v>7</v>
      </c>
      <c r="D1111" s="41" t="s">
        <v>52</v>
      </c>
      <c r="E1111" s="41" t="s">
        <v>44</v>
      </c>
      <c r="F1111" s="41" t="s">
        <v>43</v>
      </c>
      <c r="G1111" s="41" t="s">
        <v>41</v>
      </c>
      <c r="H1111" s="42" t="n">
        <v>69</v>
      </c>
      <c r="I1111" s="42" t="n">
        <v>93</v>
      </c>
      <c r="J1111" s="42" t="n">
        <v>4437</v>
      </c>
      <c r="K1111" s="42" t="n">
        <v>109</v>
      </c>
      <c r="L1111" s="43" t="n">
        <f aca="false">J1111-K1111</f>
        <v>4328</v>
      </c>
      <c r="M1111" s="42" t="n">
        <v>2132</v>
      </c>
      <c r="N1111" s="43" t="n">
        <f aca="false">L1111-M1111</f>
        <v>2196</v>
      </c>
    </row>
    <row r="1112" customFormat="false" ht="15" hidden="false" customHeight="false" outlineLevel="0" collapsed="false">
      <c r="A1112" s="40" t="n">
        <v>46204</v>
      </c>
      <c r="B1112" s="41" t="n">
        <v>2026</v>
      </c>
      <c r="C1112" s="41" t="n">
        <v>7</v>
      </c>
      <c r="D1112" s="41" t="s">
        <v>52</v>
      </c>
      <c r="E1112" s="41" t="s">
        <v>45</v>
      </c>
      <c r="F1112" s="41" t="s">
        <v>36</v>
      </c>
      <c r="G1112" s="41" t="s">
        <v>37</v>
      </c>
      <c r="H1112" s="42" t="n">
        <v>78</v>
      </c>
      <c r="I1112" s="42" t="n">
        <v>93</v>
      </c>
      <c r="J1112" s="42" t="n">
        <v>14731</v>
      </c>
      <c r="K1112" s="42" t="n">
        <v>579</v>
      </c>
      <c r="L1112" s="43" t="n">
        <f aca="false">J1112-K1112</f>
        <v>14152</v>
      </c>
      <c r="M1112" s="42" t="n">
        <v>7562</v>
      </c>
      <c r="N1112" s="43" t="n">
        <f aca="false">L1112-M1112</f>
        <v>6590</v>
      </c>
    </row>
    <row r="1113" customFormat="false" ht="15" hidden="false" customHeight="false" outlineLevel="0" collapsed="false">
      <c r="A1113" s="40" t="n">
        <v>46204</v>
      </c>
      <c r="B1113" s="41" t="n">
        <v>2026</v>
      </c>
      <c r="C1113" s="41" t="n">
        <v>7</v>
      </c>
      <c r="D1113" s="41" t="s">
        <v>52</v>
      </c>
      <c r="E1113" s="41" t="s">
        <v>45</v>
      </c>
      <c r="F1113" s="41" t="s">
        <v>36</v>
      </c>
      <c r="G1113" s="41" t="s">
        <v>38</v>
      </c>
      <c r="H1113" s="42" t="n">
        <v>104</v>
      </c>
      <c r="I1113" s="42" t="n">
        <v>121</v>
      </c>
      <c r="J1113" s="42" t="n">
        <v>11702</v>
      </c>
      <c r="K1113" s="42" t="n">
        <v>698</v>
      </c>
      <c r="L1113" s="43" t="n">
        <f aca="false">J1113-K1113</f>
        <v>11004</v>
      </c>
      <c r="M1113" s="42" t="n">
        <v>5073</v>
      </c>
      <c r="N1113" s="43" t="n">
        <f aca="false">L1113-M1113</f>
        <v>5931</v>
      </c>
    </row>
    <row r="1114" customFormat="false" ht="15" hidden="false" customHeight="false" outlineLevel="0" collapsed="false">
      <c r="A1114" s="40" t="n">
        <v>46204</v>
      </c>
      <c r="B1114" s="41" t="n">
        <v>2026</v>
      </c>
      <c r="C1114" s="41" t="n">
        <v>7</v>
      </c>
      <c r="D1114" s="41" t="s">
        <v>52</v>
      </c>
      <c r="E1114" s="41" t="s">
        <v>45</v>
      </c>
      <c r="F1114" s="41" t="s">
        <v>36</v>
      </c>
      <c r="G1114" s="41" t="s">
        <v>39</v>
      </c>
      <c r="H1114" s="42" t="n">
        <v>158</v>
      </c>
      <c r="I1114" s="42" t="n">
        <v>215</v>
      </c>
      <c r="J1114" s="42" t="n">
        <v>13308</v>
      </c>
      <c r="K1114" s="42" t="n">
        <v>1394</v>
      </c>
      <c r="L1114" s="43" t="n">
        <f aca="false">J1114-K1114</f>
        <v>11914</v>
      </c>
      <c r="M1114" s="42" t="n">
        <v>4591</v>
      </c>
      <c r="N1114" s="43" t="n">
        <f aca="false">L1114-M1114</f>
        <v>7323</v>
      </c>
    </row>
    <row r="1115" customFormat="false" ht="15" hidden="false" customHeight="false" outlineLevel="0" collapsed="false">
      <c r="A1115" s="40" t="n">
        <v>46204</v>
      </c>
      <c r="B1115" s="41" t="n">
        <v>2026</v>
      </c>
      <c r="C1115" s="41" t="n">
        <v>7</v>
      </c>
      <c r="D1115" s="41" t="s">
        <v>52</v>
      </c>
      <c r="E1115" s="41" t="s">
        <v>45</v>
      </c>
      <c r="F1115" s="41" t="s">
        <v>36</v>
      </c>
      <c r="G1115" s="41" t="s">
        <v>40</v>
      </c>
      <c r="H1115" s="42" t="n">
        <v>73</v>
      </c>
      <c r="I1115" s="42" t="n">
        <v>109</v>
      </c>
      <c r="J1115" s="42" t="n">
        <v>9401</v>
      </c>
      <c r="K1115" s="42" t="n">
        <v>1250</v>
      </c>
      <c r="L1115" s="43" t="n">
        <f aca="false">J1115-K1115</f>
        <v>8151</v>
      </c>
      <c r="M1115" s="42" t="n">
        <v>4466</v>
      </c>
      <c r="N1115" s="43" t="n">
        <f aca="false">L1115-M1115</f>
        <v>3685</v>
      </c>
    </row>
    <row r="1116" customFormat="false" ht="15" hidden="false" customHeight="false" outlineLevel="0" collapsed="false">
      <c r="A1116" s="40" t="n">
        <v>46204</v>
      </c>
      <c r="B1116" s="41" t="n">
        <v>2026</v>
      </c>
      <c r="C1116" s="41" t="n">
        <v>7</v>
      </c>
      <c r="D1116" s="41" t="s">
        <v>52</v>
      </c>
      <c r="E1116" s="41" t="s">
        <v>45</v>
      </c>
      <c r="F1116" s="41" t="s">
        <v>36</v>
      </c>
      <c r="G1116" s="41" t="s">
        <v>41</v>
      </c>
      <c r="H1116" s="42" t="n">
        <v>103</v>
      </c>
      <c r="I1116" s="42" t="n">
        <v>137</v>
      </c>
      <c r="J1116" s="42" t="n">
        <v>6302</v>
      </c>
      <c r="K1116" s="42" t="n">
        <v>158</v>
      </c>
      <c r="L1116" s="43" t="n">
        <f aca="false">J1116-K1116</f>
        <v>6144</v>
      </c>
      <c r="M1116" s="42" t="n">
        <v>3031</v>
      </c>
      <c r="N1116" s="43" t="n">
        <f aca="false">L1116-M1116</f>
        <v>3113</v>
      </c>
    </row>
    <row r="1117" customFormat="false" ht="15" hidden="false" customHeight="false" outlineLevel="0" collapsed="false">
      <c r="A1117" s="40" t="n">
        <v>46204</v>
      </c>
      <c r="B1117" s="41" t="n">
        <v>2026</v>
      </c>
      <c r="C1117" s="41" t="n">
        <v>7</v>
      </c>
      <c r="D1117" s="41" t="s">
        <v>52</v>
      </c>
      <c r="E1117" s="41" t="s">
        <v>45</v>
      </c>
      <c r="F1117" s="41" t="s">
        <v>42</v>
      </c>
      <c r="G1117" s="41" t="s">
        <v>37</v>
      </c>
      <c r="H1117" s="42" t="n">
        <v>50</v>
      </c>
      <c r="I1117" s="42" t="n">
        <v>64</v>
      </c>
      <c r="J1117" s="42" t="n">
        <v>8672</v>
      </c>
      <c r="K1117" s="42" t="n">
        <v>518</v>
      </c>
      <c r="L1117" s="43" t="n">
        <f aca="false">J1117-K1117</f>
        <v>8154</v>
      </c>
      <c r="M1117" s="42" t="n">
        <v>4377</v>
      </c>
      <c r="N1117" s="43" t="n">
        <f aca="false">L1117-M1117</f>
        <v>3777</v>
      </c>
    </row>
    <row r="1118" customFormat="false" ht="15" hidden="false" customHeight="false" outlineLevel="0" collapsed="false">
      <c r="A1118" s="40" t="n">
        <v>46204</v>
      </c>
      <c r="B1118" s="41" t="n">
        <v>2026</v>
      </c>
      <c r="C1118" s="41" t="n">
        <v>7</v>
      </c>
      <c r="D1118" s="41" t="s">
        <v>52</v>
      </c>
      <c r="E1118" s="41" t="s">
        <v>45</v>
      </c>
      <c r="F1118" s="41" t="s">
        <v>42</v>
      </c>
      <c r="G1118" s="41" t="s">
        <v>38</v>
      </c>
      <c r="H1118" s="42" t="n">
        <v>75</v>
      </c>
      <c r="I1118" s="42" t="n">
        <v>89</v>
      </c>
      <c r="J1118" s="42" t="n">
        <v>7722</v>
      </c>
      <c r="K1118" s="42" t="n">
        <v>451</v>
      </c>
      <c r="L1118" s="43" t="n">
        <f aca="false">J1118-K1118</f>
        <v>7271</v>
      </c>
      <c r="M1118" s="42" t="n">
        <v>3438</v>
      </c>
      <c r="N1118" s="43" t="n">
        <f aca="false">L1118-M1118</f>
        <v>3833</v>
      </c>
    </row>
    <row r="1119" customFormat="false" ht="15" hidden="false" customHeight="false" outlineLevel="0" collapsed="false">
      <c r="A1119" s="40" t="n">
        <v>46204</v>
      </c>
      <c r="B1119" s="41" t="n">
        <v>2026</v>
      </c>
      <c r="C1119" s="41" t="n">
        <v>7</v>
      </c>
      <c r="D1119" s="41" t="s">
        <v>52</v>
      </c>
      <c r="E1119" s="41" t="s">
        <v>45</v>
      </c>
      <c r="F1119" s="41" t="s">
        <v>42</v>
      </c>
      <c r="G1119" s="41" t="s">
        <v>39</v>
      </c>
      <c r="H1119" s="42" t="n">
        <v>146</v>
      </c>
      <c r="I1119" s="42" t="n">
        <v>179</v>
      </c>
      <c r="J1119" s="42" t="n">
        <v>11295</v>
      </c>
      <c r="K1119" s="42" t="n">
        <v>1326</v>
      </c>
      <c r="L1119" s="43" t="n">
        <f aca="false">J1119-K1119</f>
        <v>9969</v>
      </c>
      <c r="M1119" s="42" t="n">
        <v>4197</v>
      </c>
      <c r="N1119" s="43" t="n">
        <f aca="false">L1119-M1119</f>
        <v>5772</v>
      </c>
    </row>
    <row r="1120" customFormat="false" ht="15" hidden="false" customHeight="false" outlineLevel="0" collapsed="false">
      <c r="A1120" s="40" t="n">
        <v>46204</v>
      </c>
      <c r="B1120" s="41" t="n">
        <v>2026</v>
      </c>
      <c r="C1120" s="41" t="n">
        <v>7</v>
      </c>
      <c r="D1120" s="41" t="s">
        <v>52</v>
      </c>
      <c r="E1120" s="41" t="s">
        <v>45</v>
      </c>
      <c r="F1120" s="41" t="s">
        <v>42</v>
      </c>
      <c r="G1120" s="41" t="s">
        <v>40</v>
      </c>
      <c r="H1120" s="42" t="n">
        <v>62</v>
      </c>
      <c r="I1120" s="42" t="n">
        <v>81</v>
      </c>
      <c r="J1120" s="42" t="n">
        <v>7284</v>
      </c>
      <c r="K1120" s="42" t="n">
        <v>1002</v>
      </c>
      <c r="L1120" s="43" t="n">
        <f aca="false">J1120-K1120</f>
        <v>6282</v>
      </c>
      <c r="M1120" s="42" t="n">
        <v>3513</v>
      </c>
      <c r="N1120" s="43" t="n">
        <f aca="false">L1120-M1120</f>
        <v>2769</v>
      </c>
    </row>
    <row r="1121" customFormat="false" ht="15" hidden="false" customHeight="false" outlineLevel="0" collapsed="false">
      <c r="A1121" s="40" t="n">
        <v>46204</v>
      </c>
      <c r="B1121" s="41" t="n">
        <v>2026</v>
      </c>
      <c r="C1121" s="41" t="n">
        <v>7</v>
      </c>
      <c r="D1121" s="41" t="s">
        <v>52</v>
      </c>
      <c r="E1121" s="41" t="s">
        <v>45</v>
      </c>
      <c r="F1121" s="41" t="s">
        <v>42</v>
      </c>
      <c r="G1121" s="41" t="s">
        <v>41</v>
      </c>
      <c r="H1121" s="42" t="n">
        <v>100</v>
      </c>
      <c r="I1121" s="42" t="n">
        <v>120</v>
      </c>
      <c r="J1121" s="42" t="n">
        <v>5614</v>
      </c>
      <c r="K1121" s="42" t="n">
        <v>206</v>
      </c>
      <c r="L1121" s="43" t="n">
        <f aca="false">J1121-K1121</f>
        <v>5408</v>
      </c>
      <c r="M1121" s="42" t="n">
        <v>2748</v>
      </c>
      <c r="N1121" s="43" t="n">
        <f aca="false">L1121-M1121</f>
        <v>2660</v>
      </c>
    </row>
    <row r="1122" customFormat="false" ht="15" hidden="false" customHeight="false" outlineLevel="0" collapsed="false">
      <c r="A1122" s="40" t="n">
        <v>46204</v>
      </c>
      <c r="B1122" s="41" t="n">
        <v>2026</v>
      </c>
      <c r="C1122" s="41" t="n">
        <v>7</v>
      </c>
      <c r="D1122" s="41" t="s">
        <v>52</v>
      </c>
      <c r="E1122" s="41" t="s">
        <v>45</v>
      </c>
      <c r="F1122" s="41" t="s">
        <v>43</v>
      </c>
      <c r="G1122" s="41" t="s">
        <v>37</v>
      </c>
      <c r="H1122" s="42" t="n">
        <v>38</v>
      </c>
      <c r="I1122" s="42" t="n">
        <v>59</v>
      </c>
      <c r="J1122" s="42" t="n">
        <v>7567</v>
      </c>
      <c r="K1122" s="42" t="n">
        <v>210</v>
      </c>
      <c r="L1122" s="43" t="n">
        <f aca="false">J1122-K1122</f>
        <v>7357</v>
      </c>
      <c r="M1122" s="42" t="n">
        <v>4006</v>
      </c>
      <c r="N1122" s="43" t="n">
        <f aca="false">L1122-M1122</f>
        <v>3351</v>
      </c>
    </row>
    <row r="1123" customFormat="false" ht="15" hidden="false" customHeight="false" outlineLevel="0" collapsed="false">
      <c r="A1123" s="40" t="n">
        <v>46204</v>
      </c>
      <c r="B1123" s="41" t="n">
        <v>2026</v>
      </c>
      <c r="C1123" s="41" t="n">
        <v>7</v>
      </c>
      <c r="D1123" s="41" t="s">
        <v>52</v>
      </c>
      <c r="E1123" s="41" t="s">
        <v>45</v>
      </c>
      <c r="F1123" s="41" t="s">
        <v>43</v>
      </c>
      <c r="G1123" s="41" t="s">
        <v>38</v>
      </c>
      <c r="H1123" s="42" t="n">
        <v>52</v>
      </c>
      <c r="I1123" s="42" t="n">
        <v>67</v>
      </c>
      <c r="J1123" s="42" t="n">
        <v>6140</v>
      </c>
      <c r="K1123" s="42" t="n">
        <v>212</v>
      </c>
      <c r="L1123" s="43" t="n">
        <f aca="false">J1123-K1123</f>
        <v>5928</v>
      </c>
      <c r="M1123" s="42" t="n">
        <v>2702</v>
      </c>
      <c r="N1123" s="43" t="n">
        <f aca="false">L1123-M1123</f>
        <v>3226</v>
      </c>
    </row>
    <row r="1124" customFormat="false" ht="15" hidden="false" customHeight="false" outlineLevel="0" collapsed="false">
      <c r="A1124" s="40" t="n">
        <v>46204</v>
      </c>
      <c r="B1124" s="41" t="n">
        <v>2026</v>
      </c>
      <c r="C1124" s="41" t="n">
        <v>7</v>
      </c>
      <c r="D1124" s="41" t="s">
        <v>52</v>
      </c>
      <c r="E1124" s="41" t="s">
        <v>45</v>
      </c>
      <c r="F1124" s="41" t="s">
        <v>43</v>
      </c>
      <c r="G1124" s="41" t="s">
        <v>39</v>
      </c>
      <c r="H1124" s="42" t="n">
        <v>85</v>
      </c>
      <c r="I1124" s="42" t="n">
        <v>103</v>
      </c>
      <c r="J1124" s="42" t="n">
        <v>7568</v>
      </c>
      <c r="K1124" s="42" t="n">
        <v>465</v>
      </c>
      <c r="L1124" s="43" t="n">
        <f aca="false">J1124-K1124</f>
        <v>7103</v>
      </c>
      <c r="M1124" s="42" t="n">
        <v>2846</v>
      </c>
      <c r="N1124" s="43" t="n">
        <f aca="false">L1124-M1124</f>
        <v>4257</v>
      </c>
    </row>
    <row r="1125" customFormat="false" ht="15" hidden="false" customHeight="false" outlineLevel="0" collapsed="false">
      <c r="A1125" s="40" t="n">
        <v>46204</v>
      </c>
      <c r="B1125" s="41" t="n">
        <v>2026</v>
      </c>
      <c r="C1125" s="41" t="n">
        <v>7</v>
      </c>
      <c r="D1125" s="41" t="s">
        <v>52</v>
      </c>
      <c r="E1125" s="41" t="s">
        <v>45</v>
      </c>
      <c r="F1125" s="41" t="s">
        <v>43</v>
      </c>
      <c r="G1125" s="41" t="s">
        <v>40</v>
      </c>
      <c r="H1125" s="42" t="n">
        <v>34</v>
      </c>
      <c r="I1125" s="42" t="n">
        <v>52</v>
      </c>
      <c r="J1125" s="42" t="n">
        <v>4551</v>
      </c>
      <c r="K1125" s="42" t="n">
        <v>358</v>
      </c>
      <c r="L1125" s="43" t="n">
        <f aca="false">J1125-K1125</f>
        <v>4193</v>
      </c>
      <c r="M1125" s="42" t="n">
        <v>2272</v>
      </c>
      <c r="N1125" s="43" t="n">
        <f aca="false">L1125-M1125</f>
        <v>1921</v>
      </c>
    </row>
    <row r="1126" customFormat="false" ht="15" hidden="false" customHeight="false" outlineLevel="0" collapsed="false">
      <c r="A1126" s="40" t="n">
        <v>46204</v>
      </c>
      <c r="B1126" s="41" t="n">
        <v>2026</v>
      </c>
      <c r="C1126" s="41" t="n">
        <v>7</v>
      </c>
      <c r="D1126" s="41" t="s">
        <v>52</v>
      </c>
      <c r="E1126" s="41" t="s">
        <v>45</v>
      </c>
      <c r="F1126" s="41" t="s">
        <v>43</v>
      </c>
      <c r="G1126" s="41" t="s">
        <v>41</v>
      </c>
      <c r="H1126" s="42" t="n">
        <v>49</v>
      </c>
      <c r="I1126" s="42" t="n">
        <v>67</v>
      </c>
      <c r="J1126" s="42" t="n">
        <v>3176</v>
      </c>
      <c r="K1126" s="42" t="n">
        <v>80</v>
      </c>
      <c r="L1126" s="43" t="n">
        <f aca="false">J1126-K1126</f>
        <v>3096</v>
      </c>
      <c r="M1126" s="42" t="n">
        <v>1455</v>
      </c>
      <c r="N1126" s="43" t="n">
        <f aca="false">L1126-M1126</f>
        <v>1641</v>
      </c>
    </row>
    <row r="1127" customFormat="false" ht="15" hidden="false" customHeight="false" outlineLevel="0" collapsed="false">
      <c r="A1127" s="40" t="n">
        <v>46204</v>
      </c>
      <c r="B1127" s="41" t="n">
        <v>2026</v>
      </c>
      <c r="C1127" s="41" t="n">
        <v>7</v>
      </c>
      <c r="D1127" s="41" t="s">
        <v>52</v>
      </c>
      <c r="E1127" s="41" t="s">
        <v>46</v>
      </c>
      <c r="F1127" s="41" t="s">
        <v>36</v>
      </c>
      <c r="G1127" s="41" t="s">
        <v>37</v>
      </c>
      <c r="H1127" s="42" t="n">
        <v>79</v>
      </c>
      <c r="I1127" s="42" t="n">
        <v>102</v>
      </c>
      <c r="J1127" s="42" t="n">
        <v>14889</v>
      </c>
      <c r="K1127" s="42" t="n">
        <v>518</v>
      </c>
      <c r="L1127" s="43" t="n">
        <f aca="false">J1127-K1127</f>
        <v>14371</v>
      </c>
      <c r="M1127" s="42" t="n">
        <v>7729</v>
      </c>
      <c r="N1127" s="43" t="n">
        <f aca="false">L1127-M1127</f>
        <v>6642</v>
      </c>
    </row>
    <row r="1128" customFormat="false" ht="15" hidden="false" customHeight="false" outlineLevel="0" collapsed="false">
      <c r="A1128" s="40" t="n">
        <v>46204</v>
      </c>
      <c r="B1128" s="41" t="n">
        <v>2026</v>
      </c>
      <c r="C1128" s="41" t="n">
        <v>7</v>
      </c>
      <c r="D1128" s="41" t="s">
        <v>52</v>
      </c>
      <c r="E1128" s="41" t="s">
        <v>46</v>
      </c>
      <c r="F1128" s="41" t="s">
        <v>36</v>
      </c>
      <c r="G1128" s="41" t="s">
        <v>38</v>
      </c>
      <c r="H1128" s="42" t="n">
        <v>101</v>
      </c>
      <c r="I1128" s="42" t="n">
        <v>125</v>
      </c>
      <c r="J1128" s="42" t="n">
        <v>11326</v>
      </c>
      <c r="K1128" s="42" t="n">
        <v>548</v>
      </c>
      <c r="L1128" s="43" t="n">
        <f aca="false">J1128-K1128</f>
        <v>10778</v>
      </c>
      <c r="M1128" s="42" t="n">
        <v>4944</v>
      </c>
      <c r="N1128" s="43" t="n">
        <f aca="false">L1128-M1128</f>
        <v>5834</v>
      </c>
    </row>
    <row r="1129" customFormat="false" ht="15" hidden="false" customHeight="false" outlineLevel="0" collapsed="false">
      <c r="A1129" s="40" t="n">
        <v>46204</v>
      </c>
      <c r="B1129" s="41" t="n">
        <v>2026</v>
      </c>
      <c r="C1129" s="41" t="n">
        <v>7</v>
      </c>
      <c r="D1129" s="41" t="s">
        <v>52</v>
      </c>
      <c r="E1129" s="41" t="s">
        <v>46</v>
      </c>
      <c r="F1129" s="41" t="s">
        <v>36</v>
      </c>
      <c r="G1129" s="41" t="s">
        <v>39</v>
      </c>
      <c r="H1129" s="42" t="n">
        <v>185</v>
      </c>
      <c r="I1129" s="42" t="n">
        <v>261</v>
      </c>
      <c r="J1129" s="42" t="n">
        <v>15543</v>
      </c>
      <c r="K1129" s="42" t="n">
        <v>1250</v>
      </c>
      <c r="L1129" s="43" t="n">
        <f aca="false">J1129-K1129</f>
        <v>14293</v>
      </c>
      <c r="M1129" s="42" t="n">
        <v>5662</v>
      </c>
      <c r="N1129" s="43" t="n">
        <f aca="false">L1129-M1129</f>
        <v>8631</v>
      </c>
    </row>
    <row r="1130" customFormat="false" ht="15" hidden="false" customHeight="false" outlineLevel="0" collapsed="false">
      <c r="A1130" s="40" t="n">
        <v>46204</v>
      </c>
      <c r="B1130" s="41" t="n">
        <v>2026</v>
      </c>
      <c r="C1130" s="41" t="n">
        <v>7</v>
      </c>
      <c r="D1130" s="41" t="s">
        <v>52</v>
      </c>
      <c r="E1130" s="41" t="s">
        <v>46</v>
      </c>
      <c r="F1130" s="41" t="s">
        <v>36</v>
      </c>
      <c r="G1130" s="41" t="s">
        <v>40</v>
      </c>
      <c r="H1130" s="42" t="n">
        <v>82</v>
      </c>
      <c r="I1130" s="42" t="n">
        <v>127</v>
      </c>
      <c r="J1130" s="42" t="n">
        <v>10461</v>
      </c>
      <c r="K1130" s="42" t="n">
        <v>1482</v>
      </c>
      <c r="L1130" s="43" t="n">
        <f aca="false">J1130-K1130</f>
        <v>8979</v>
      </c>
      <c r="M1130" s="42" t="n">
        <v>4887</v>
      </c>
      <c r="N1130" s="43" t="n">
        <f aca="false">L1130-M1130</f>
        <v>4092</v>
      </c>
    </row>
    <row r="1131" customFormat="false" ht="15" hidden="false" customHeight="false" outlineLevel="0" collapsed="false">
      <c r="A1131" s="40" t="n">
        <v>46204</v>
      </c>
      <c r="B1131" s="41" t="n">
        <v>2026</v>
      </c>
      <c r="C1131" s="41" t="n">
        <v>7</v>
      </c>
      <c r="D1131" s="41" t="s">
        <v>52</v>
      </c>
      <c r="E1131" s="41" t="s">
        <v>46</v>
      </c>
      <c r="F1131" s="41" t="s">
        <v>36</v>
      </c>
      <c r="G1131" s="41" t="s">
        <v>41</v>
      </c>
      <c r="H1131" s="42" t="n">
        <v>122</v>
      </c>
      <c r="I1131" s="42" t="n">
        <v>185</v>
      </c>
      <c r="J1131" s="42" t="n">
        <v>7433</v>
      </c>
      <c r="K1131" s="42" t="n">
        <v>202</v>
      </c>
      <c r="L1131" s="43" t="n">
        <f aca="false">J1131-K1131</f>
        <v>7231</v>
      </c>
      <c r="M1131" s="42" t="n">
        <v>3443</v>
      </c>
      <c r="N1131" s="43" t="n">
        <f aca="false">L1131-M1131</f>
        <v>3788</v>
      </c>
    </row>
    <row r="1132" customFormat="false" ht="15" hidden="false" customHeight="false" outlineLevel="0" collapsed="false">
      <c r="A1132" s="40" t="n">
        <v>46204</v>
      </c>
      <c r="B1132" s="41" t="n">
        <v>2026</v>
      </c>
      <c r="C1132" s="41" t="n">
        <v>7</v>
      </c>
      <c r="D1132" s="41" t="s">
        <v>52</v>
      </c>
      <c r="E1132" s="41" t="s">
        <v>46</v>
      </c>
      <c r="F1132" s="41" t="s">
        <v>42</v>
      </c>
      <c r="G1132" s="41" t="s">
        <v>37</v>
      </c>
      <c r="H1132" s="42" t="n">
        <v>52</v>
      </c>
      <c r="I1132" s="42" t="n">
        <v>68</v>
      </c>
      <c r="J1132" s="42" t="n">
        <v>9091</v>
      </c>
      <c r="K1132" s="42" t="n">
        <v>467</v>
      </c>
      <c r="L1132" s="43" t="n">
        <f aca="false">J1132-K1132</f>
        <v>8624</v>
      </c>
      <c r="M1132" s="42" t="n">
        <v>4622</v>
      </c>
      <c r="N1132" s="43" t="n">
        <f aca="false">L1132-M1132</f>
        <v>4002</v>
      </c>
    </row>
    <row r="1133" customFormat="false" ht="15" hidden="false" customHeight="false" outlineLevel="0" collapsed="false">
      <c r="A1133" s="40" t="n">
        <v>46204</v>
      </c>
      <c r="B1133" s="41" t="n">
        <v>2026</v>
      </c>
      <c r="C1133" s="41" t="n">
        <v>7</v>
      </c>
      <c r="D1133" s="41" t="s">
        <v>52</v>
      </c>
      <c r="E1133" s="41" t="s">
        <v>46</v>
      </c>
      <c r="F1133" s="41" t="s">
        <v>42</v>
      </c>
      <c r="G1133" s="41" t="s">
        <v>38</v>
      </c>
      <c r="H1133" s="42" t="n">
        <v>74</v>
      </c>
      <c r="I1133" s="42" t="n">
        <v>115</v>
      </c>
      <c r="J1133" s="42" t="n">
        <v>7614</v>
      </c>
      <c r="K1133" s="42" t="n">
        <v>496</v>
      </c>
      <c r="L1133" s="43" t="n">
        <f aca="false">J1133-K1133</f>
        <v>7118</v>
      </c>
      <c r="M1133" s="42" t="n">
        <v>3387</v>
      </c>
      <c r="N1133" s="43" t="n">
        <f aca="false">L1133-M1133</f>
        <v>3731</v>
      </c>
    </row>
    <row r="1134" customFormat="false" ht="15" hidden="false" customHeight="false" outlineLevel="0" collapsed="false">
      <c r="A1134" s="40" t="n">
        <v>46204</v>
      </c>
      <c r="B1134" s="41" t="n">
        <v>2026</v>
      </c>
      <c r="C1134" s="41" t="n">
        <v>7</v>
      </c>
      <c r="D1134" s="41" t="s">
        <v>52</v>
      </c>
      <c r="E1134" s="41" t="s">
        <v>46</v>
      </c>
      <c r="F1134" s="41" t="s">
        <v>42</v>
      </c>
      <c r="G1134" s="41" t="s">
        <v>39</v>
      </c>
      <c r="H1134" s="42" t="n">
        <v>141</v>
      </c>
      <c r="I1134" s="42" t="n">
        <v>210</v>
      </c>
      <c r="J1134" s="42" t="n">
        <v>10879</v>
      </c>
      <c r="K1134" s="42" t="n">
        <v>1318</v>
      </c>
      <c r="L1134" s="43" t="n">
        <f aca="false">J1134-K1134</f>
        <v>9561</v>
      </c>
      <c r="M1134" s="42" t="n">
        <v>4062</v>
      </c>
      <c r="N1134" s="43" t="n">
        <f aca="false">L1134-M1134</f>
        <v>5499</v>
      </c>
    </row>
    <row r="1135" customFormat="false" ht="15" hidden="false" customHeight="false" outlineLevel="0" collapsed="false">
      <c r="A1135" s="40" t="n">
        <v>46204</v>
      </c>
      <c r="B1135" s="41" t="n">
        <v>2026</v>
      </c>
      <c r="C1135" s="41" t="n">
        <v>7</v>
      </c>
      <c r="D1135" s="41" t="s">
        <v>52</v>
      </c>
      <c r="E1135" s="41" t="s">
        <v>46</v>
      </c>
      <c r="F1135" s="41" t="s">
        <v>42</v>
      </c>
      <c r="G1135" s="41" t="s">
        <v>40</v>
      </c>
      <c r="H1135" s="42" t="n">
        <v>65</v>
      </c>
      <c r="I1135" s="42" t="n">
        <v>104</v>
      </c>
      <c r="J1135" s="42" t="n">
        <v>7668</v>
      </c>
      <c r="K1135" s="42" t="n">
        <v>1356</v>
      </c>
      <c r="L1135" s="43" t="n">
        <f aca="false">J1135-K1135</f>
        <v>6312</v>
      </c>
      <c r="M1135" s="42" t="n">
        <v>3640</v>
      </c>
      <c r="N1135" s="43" t="n">
        <f aca="false">L1135-M1135</f>
        <v>2672</v>
      </c>
    </row>
    <row r="1136" customFormat="false" ht="15" hidden="false" customHeight="false" outlineLevel="0" collapsed="false">
      <c r="A1136" s="40" t="n">
        <v>46204</v>
      </c>
      <c r="B1136" s="41" t="n">
        <v>2026</v>
      </c>
      <c r="C1136" s="41" t="n">
        <v>7</v>
      </c>
      <c r="D1136" s="41" t="s">
        <v>52</v>
      </c>
      <c r="E1136" s="41" t="s">
        <v>46</v>
      </c>
      <c r="F1136" s="41" t="s">
        <v>42</v>
      </c>
      <c r="G1136" s="41" t="s">
        <v>41</v>
      </c>
      <c r="H1136" s="42" t="n">
        <v>91</v>
      </c>
      <c r="I1136" s="42" t="n">
        <v>115</v>
      </c>
      <c r="J1136" s="42" t="n">
        <v>5124</v>
      </c>
      <c r="K1136" s="42" t="n">
        <v>220</v>
      </c>
      <c r="L1136" s="43" t="n">
        <f aca="false">J1136-K1136</f>
        <v>4904</v>
      </c>
      <c r="M1136" s="42" t="n">
        <v>2438</v>
      </c>
      <c r="N1136" s="43" t="n">
        <f aca="false">L1136-M1136</f>
        <v>2466</v>
      </c>
    </row>
    <row r="1137" customFormat="false" ht="15" hidden="false" customHeight="false" outlineLevel="0" collapsed="false">
      <c r="A1137" s="40" t="n">
        <v>46204</v>
      </c>
      <c r="B1137" s="41" t="n">
        <v>2026</v>
      </c>
      <c r="C1137" s="41" t="n">
        <v>7</v>
      </c>
      <c r="D1137" s="41" t="s">
        <v>52</v>
      </c>
      <c r="E1137" s="41" t="s">
        <v>46</v>
      </c>
      <c r="F1137" s="41" t="s">
        <v>43</v>
      </c>
      <c r="G1137" s="41" t="s">
        <v>37</v>
      </c>
      <c r="H1137" s="42" t="n">
        <v>35</v>
      </c>
      <c r="I1137" s="42" t="n">
        <v>42</v>
      </c>
      <c r="J1137" s="42" t="n">
        <v>7094</v>
      </c>
      <c r="K1137" s="42" t="n">
        <v>202</v>
      </c>
      <c r="L1137" s="43" t="n">
        <f aca="false">J1137-K1137</f>
        <v>6892</v>
      </c>
      <c r="M1137" s="42" t="n">
        <v>3617</v>
      </c>
      <c r="N1137" s="43" t="n">
        <f aca="false">L1137-M1137</f>
        <v>3275</v>
      </c>
    </row>
    <row r="1138" customFormat="false" ht="15" hidden="false" customHeight="false" outlineLevel="0" collapsed="false">
      <c r="A1138" s="40" t="n">
        <v>46204</v>
      </c>
      <c r="B1138" s="41" t="n">
        <v>2026</v>
      </c>
      <c r="C1138" s="41" t="n">
        <v>7</v>
      </c>
      <c r="D1138" s="41" t="s">
        <v>52</v>
      </c>
      <c r="E1138" s="41" t="s">
        <v>46</v>
      </c>
      <c r="F1138" s="41" t="s">
        <v>43</v>
      </c>
      <c r="G1138" s="41" t="s">
        <v>38</v>
      </c>
      <c r="H1138" s="42" t="n">
        <v>52</v>
      </c>
      <c r="I1138" s="42" t="n">
        <v>68</v>
      </c>
      <c r="J1138" s="42" t="n">
        <v>6177</v>
      </c>
      <c r="K1138" s="42" t="n">
        <v>246</v>
      </c>
      <c r="L1138" s="43" t="n">
        <f aca="false">J1138-K1138</f>
        <v>5931</v>
      </c>
      <c r="M1138" s="42" t="n">
        <v>2725</v>
      </c>
      <c r="N1138" s="43" t="n">
        <f aca="false">L1138-M1138</f>
        <v>3206</v>
      </c>
    </row>
    <row r="1139" customFormat="false" ht="15" hidden="false" customHeight="false" outlineLevel="0" collapsed="false">
      <c r="A1139" s="40" t="n">
        <v>46204</v>
      </c>
      <c r="B1139" s="41" t="n">
        <v>2026</v>
      </c>
      <c r="C1139" s="41" t="n">
        <v>7</v>
      </c>
      <c r="D1139" s="41" t="s">
        <v>52</v>
      </c>
      <c r="E1139" s="41" t="s">
        <v>46</v>
      </c>
      <c r="F1139" s="41" t="s">
        <v>43</v>
      </c>
      <c r="G1139" s="41" t="s">
        <v>39</v>
      </c>
      <c r="H1139" s="42" t="n">
        <v>84</v>
      </c>
      <c r="I1139" s="42" t="n">
        <v>102</v>
      </c>
      <c r="J1139" s="42" t="n">
        <v>7463</v>
      </c>
      <c r="K1139" s="42" t="n">
        <v>614</v>
      </c>
      <c r="L1139" s="43" t="n">
        <f aca="false">J1139-K1139</f>
        <v>6849</v>
      </c>
      <c r="M1139" s="42" t="n">
        <v>2710</v>
      </c>
      <c r="N1139" s="43" t="n">
        <f aca="false">L1139-M1139</f>
        <v>4139</v>
      </c>
    </row>
    <row r="1140" customFormat="false" ht="15" hidden="false" customHeight="false" outlineLevel="0" collapsed="false">
      <c r="A1140" s="40" t="n">
        <v>46204</v>
      </c>
      <c r="B1140" s="41" t="n">
        <v>2026</v>
      </c>
      <c r="C1140" s="41" t="n">
        <v>7</v>
      </c>
      <c r="D1140" s="41" t="s">
        <v>52</v>
      </c>
      <c r="E1140" s="41" t="s">
        <v>46</v>
      </c>
      <c r="F1140" s="41" t="s">
        <v>43</v>
      </c>
      <c r="G1140" s="41" t="s">
        <v>40</v>
      </c>
      <c r="H1140" s="42" t="n">
        <v>38</v>
      </c>
      <c r="I1140" s="42" t="n">
        <v>55</v>
      </c>
      <c r="J1140" s="42" t="n">
        <v>5099</v>
      </c>
      <c r="K1140" s="42" t="n">
        <v>351</v>
      </c>
      <c r="L1140" s="43" t="n">
        <f aca="false">J1140-K1140</f>
        <v>4748</v>
      </c>
      <c r="M1140" s="42" t="n">
        <v>2669</v>
      </c>
      <c r="N1140" s="43" t="n">
        <f aca="false">L1140-M1140</f>
        <v>2079</v>
      </c>
    </row>
    <row r="1141" customFormat="false" ht="15" hidden="false" customHeight="false" outlineLevel="0" collapsed="false">
      <c r="A1141" s="40" t="n">
        <v>46204</v>
      </c>
      <c r="B1141" s="41" t="n">
        <v>2026</v>
      </c>
      <c r="C1141" s="41" t="n">
        <v>7</v>
      </c>
      <c r="D1141" s="41" t="s">
        <v>52</v>
      </c>
      <c r="E1141" s="41" t="s">
        <v>46</v>
      </c>
      <c r="F1141" s="41" t="s">
        <v>43</v>
      </c>
      <c r="G1141" s="41" t="s">
        <v>41</v>
      </c>
      <c r="H1141" s="42" t="n">
        <v>51</v>
      </c>
      <c r="I1141" s="42" t="n">
        <v>69</v>
      </c>
      <c r="J1141" s="42" t="n">
        <v>3282</v>
      </c>
      <c r="K1141" s="42" t="n">
        <v>64</v>
      </c>
      <c r="L1141" s="43" t="n">
        <f aca="false">J1141-K1141</f>
        <v>3218</v>
      </c>
      <c r="M1141" s="42" t="n">
        <v>1571</v>
      </c>
      <c r="N1141" s="43" t="n">
        <f aca="false">L1141-M1141</f>
        <v>1647</v>
      </c>
    </row>
    <row r="1142" customFormat="false" ht="15" hidden="false" customHeight="false" outlineLevel="0" collapsed="false">
      <c r="A1142" s="40" t="n">
        <v>46235</v>
      </c>
      <c r="B1142" s="41" t="n">
        <v>2026</v>
      </c>
      <c r="C1142" s="41" t="n">
        <v>8</v>
      </c>
      <c r="D1142" s="41" t="s">
        <v>53</v>
      </c>
      <c r="E1142" s="41" t="s">
        <v>35</v>
      </c>
      <c r="F1142" s="41" t="s">
        <v>36</v>
      </c>
      <c r="G1142" s="41" t="s">
        <v>37</v>
      </c>
      <c r="H1142" s="42" t="n">
        <v>127</v>
      </c>
      <c r="I1142" s="42" t="n">
        <v>196</v>
      </c>
      <c r="J1142" s="42" t="n">
        <v>23927</v>
      </c>
      <c r="K1142" s="42" t="n">
        <v>848</v>
      </c>
      <c r="L1142" s="43" t="n">
        <f aca="false">J1142-K1142</f>
        <v>23079</v>
      </c>
      <c r="M1142" s="42" t="n">
        <v>12115</v>
      </c>
      <c r="N1142" s="43" t="n">
        <f aca="false">L1142-M1142</f>
        <v>10964</v>
      </c>
    </row>
    <row r="1143" customFormat="false" ht="15" hidden="false" customHeight="false" outlineLevel="0" collapsed="false">
      <c r="A1143" s="40" t="n">
        <v>46235</v>
      </c>
      <c r="B1143" s="41" t="n">
        <v>2026</v>
      </c>
      <c r="C1143" s="41" t="n">
        <v>8</v>
      </c>
      <c r="D1143" s="41" t="s">
        <v>53</v>
      </c>
      <c r="E1143" s="41" t="s">
        <v>35</v>
      </c>
      <c r="F1143" s="41" t="s">
        <v>36</v>
      </c>
      <c r="G1143" s="41" t="s">
        <v>38</v>
      </c>
      <c r="H1143" s="42" t="n">
        <v>161</v>
      </c>
      <c r="I1143" s="42" t="n">
        <v>192</v>
      </c>
      <c r="J1143" s="42" t="n">
        <v>18041</v>
      </c>
      <c r="K1143" s="42" t="n">
        <v>840</v>
      </c>
      <c r="L1143" s="43" t="n">
        <f aca="false">J1143-K1143</f>
        <v>17201</v>
      </c>
      <c r="M1143" s="42" t="n">
        <v>7521</v>
      </c>
      <c r="N1143" s="43" t="n">
        <f aca="false">L1143-M1143</f>
        <v>9680</v>
      </c>
    </row>
    <row r="1144" customFormat="false" ht="15" hidden="false" customHeight="false" outlineLevel="0" collapsed="false">
      <c r="A1144" s="40" t="n">
        <v>46235</v>
      </c>
      <c r="B1144" s="41" t="n">
        <v>2026</v>
      </c>
      <c r="C1144" s="41" t="n">
        <v>8</v>
      </c>
      <c r="D1144" s="41" t="s">
        <v>53</v>
      </c>
      <c r="E1144" s="41" t="s">
        <v>35</v>
      </c>
      <c r="F1144" s="41" t="s">
        <v>36</v>
      </c>
      <c r="G1144" s="41" t="s">
        <v>39</v>
      </c>
      <c r="H1144" s="42" t="n">
        <v>298</v>
      </c>
      <c r="I1144" s="42" t="n">
        <v>373</v>
      </c>
      <c r="J1144" s="42" t="n">
        <v>25017</v>
      </c>
      <c r="K1144" s="42" t="n">
        <v>2072</v>
      </c>
      <c r="L1144" s="43" t="n">
        <f aca="false">J1144-K1144</f>
        <v>22945</v>
      </c>
      <c r="M1144" s="42" t="n">
        <v>8716</v>
      </c>
      <c r="N1144" s="43" t="n">
        <f aca="false">L1144-M1144</f>
        <v>14229</v>
      </c>
    </row>
    <row r="1145" customFormat="false" ht="15" hidden="false" customHeight="false" outlineLevel="0" collapsed="false">
      <c r="A1145" s="40" t="n">
        <v>46235</v>
      </c>
      <c r="B1145" s="41" t="n">
        <v>2026</v>
      </c>
      <c r="C1145" s="41" t="n">
        <v>8</v>
      </c>
      <c r="D1145" s="41" t="s">
        <v>53</v>
      </c>
      <c r="E1145" s="41" t="s">
        <v>35</v>
      </c>
      <c r="F1145" s="41" t="s">
        <v>36</v>
      </c>
      <c r="G1145" s="41" t="s">
        <v>40</v>
      </c>
      <c r="H1145" s="42" t="n">
        <v>139</v>
      </c>
      <c r="I1145" s="42" t="n">
        <v>172</v>
      </c>
      <c r="J1145" s="42" t="n">
        <v>17754</v>
      </c>
      <c r="K1145" s="42" t="n">
        <v>2098</v>
      </c>
      <c r="L1145" s="43" t="n">
        <f aca="false">J1145-K1145</f>
        <v>15656</v>
      </c>
      <c r="M1145" s="42" t="n">
        <v>8560</v>
      </c>
      <c r="N1145" s="43" t="n">
        <f aca="false">L1145-M1145</f>
        <v>7096</v>
      </c>
    </row>
    <row r="1146" customFormat="false" ht="15" hidden="false" customHeight="false" outlineLevel="0" collapsed="false">
      <c r="A1146" s="40" t="n">
        <v>46235</v>
      </c>
      <c r="B1146" s="41" t="n">
        <v>2026</v>
      </c>
      <c r="C1146" s="41" t="n">
        <v>8</v>
      </c>
      <c r="D1146" s="41" t="s">
        <v>53</v>
      </c>
      <c r="E1146" s="41" t="s">
        <v>35</v>
      </c>
      <c r="F1146" s="41" t="s">
        <v>36</v>
      </c>
      <c r="G1146" s="41" t="s">
        <v>41</v>
      </c>
      <c r="H1146" s="42" t="n">
        <v>197</v>
      </c>
      <c r="I1146" s="42" t="n">
        <v>311</v>
      </c>
      <c r="J1146" s="42" t="n">
        <v>12026</v>
      </c>
      <c r="K1146" s="42" t="n">
        <v>333</v>
      </c>
      <c r="L1146" s="43" t="n">
        <f aca="false">J1146-K1146</f>
        <v>11693</v>
      </c>
      <c r="M1146" s="42" t="n">
        <v>5657</v>
      </c>
      <c r="N1146" s="43" t="n">
        <f aca="false">L1146-M1146</f>
        <v>6036</v>
      </c>
    </row>
    <row r="1147" customFormat="false" ht="15" hidden="false" customHeight="false" outlineLevel="0" collapsed="false">
      <c r="A1147" s="40" t="n">
        <v>46235</v>
      </c>
      <c r="B1147" s="41" t="n">
        <v>2026</v>
      </c>
      <c r="C1147" s="41" t="n">
        <v>8</v>
      </c>
      <c r="D1147" s="41" t="s">
        <v>53</v>
      </c>
      <c r="E1147" s="41" t="s">
        <v>35</v>
      </c>
      <c r="F1147" s="41" t="s">
        <v>42</v>
      </c>
      <c r="G1147" s="41" t="s">
        <v>37</v>
      </c>
      <c r="H1147" s="42" t="n">
        <v>99</v>
      </c>
      <c r="I1147" s="42" t="n">
        <v>135</v>
      </c>
      <c r="J1147" s="42" t="n">
        <v>17131</v>
      </c>
      <c r="K1147" s="42" t="n">
        <v>1073</v>
      </c>
      <c r="L1147" s="43" t="n">
        <f aca="false">J1147-K1147</f>
        <v>16058</v>
      </c>
      <c r="M1147" s="42" t="n">
        <v>8936</v>
      </c>
      <c r="N1147" s="43" t="n">
        <f aca="false">L1147-M1147</f>
        <v>7122</v>
      </c>
    </row>
    <row r="1148" customFormat="false" ht="15" hidden="false" customHeight="false" outlineLevel="0" collapsed="false">
      <c r="A1148" s="40" t="n">
        <v>46235</v>
      </c>
      <c r="B1148" s="41" t="n">
        <v>2026</v>
      </c>
      <c r="C1148" s="41" t="n">
        <v>8</v>
      </c>
      <c r="D1148" s="41" t="s">
        <v>53</v>
      </c>
      <c r="E1148" s="41" t="s">
        <v>35</v>
      </c>
      <c r="F1148" s="41" t="s">
        <v>42</v>
      </c>
      <c r="G1148" s="41" t="s">
        <v>38</v>
      </c>
      <c r="H1148" s="42" t="n">
        <v>124</v>
      </c>
      <c r="I1148" s="42" t="n">
        <v>191</v>
      </c>
      <c r="J1148" s="42" t="n">
        <v>12785</v>
      </c>
      <c r="K1148" s="42" t="n">
        <v>888</v>
      </c>
      <c r="L1148" s="43" t="n">
        <f aca="false">J1148-K1148</f>
        <v>11897</v>
      </c>
      <c r="M1148" s="42" t="n">
        <v>5483</v>
      </c>
      <c r="N1148" s="43" t="n">
        <f aca="false">L1148-M1148</f>
        <v>6414</v>
      </c>
    </row>
    <row r="1149" customFormat="false" ht="15" hidden="false" customHeight="false" outlineLevel="0" collapsed="false">
      <c r="A1149" s="40" t="n">
        <v>46235</v>
      </c>
      <c r="B1149" s="41" t="n">
        <v>2026</v>
      </c>
      <c r="C1149" s="41" t="n">
        <v>8</v>
      </c>
      <c r="D1149" s="41" t="s">
        <v>53</v>
      </c>
      <c r="E1149" s="41" t="s">
        <v>35</v>
      </c>
      <c r="F1149" s="41" t="s">
        <v>42</v>
      </c>
      <c r="G1149" s="41" t="s">
        <v>39</v>
      </c>
      <c r="H1149" s="42" t="n">
        <v>213</v>
      </c>
      <c r="I1149" s="42" t="n">
        <v>324</v>
      </c>
      <c r="J1149" s="42" t="n">
        <v>16462</v>
      </c>
      <c r="K1149" s="42" t="n">
        <v>2239</v>
      </c>
      <c r="L1149" s="43" t="n">
        <f aca="false">J1149-K1149</f>
        <v>14223</v>
      </c>
      <c r="M1149" s="42" t="n">
        <v>5889</v>
      </c>
      <c r="N1149" s="43" t="n">
        <f aca="false">L1149-M1149</f>
        <v>8334</v>
      </c>
    </row>
    <row r="1150" customFormat="false" ht="15" hidden="false" customHeight="false" outlineLevel="0" collapsed="false">
      <c r="A1150" s="40" t="n">
        <v>46235</v>
      </c>
      <c r="B1150" s="41" t="n">
        <v>2026</v>
      </c>
      <c r="C1150" s="41" t="n">
        <v>8</v>
      </c>
      <c r="D1150" s="41" t="s">
        <v>53</v>
      </c>
      <c r="E1150" s="41" t="s">
        <v>35</v>
      </c>
      <c r="F1150" s="41" t="s">
        <v>42</v>
      </c>
      <c r="G1150" s="41" t="s">
        <v>40</v>
      </c>
      <c r="H1150" s="42" t="n">
        <v>96</v>
      </c>
      <c r="I1150" s="42" t="n">
        <v>148</v>
      </c>
      <c r="J1150" s="42" t="n">
        <v>11299</v>
      </c>
      <c r="K1150" s="42" t="n">
        <v>1952</v>
      </c>
      <c r="L1150" s="43" t="n">
        <f aca="false">J1150-K1150</f>
        <v>9347</v>
      </c>
      <c r="M1150" s="42" t="n">
        <v>5216</v>
      </c>
      <c r="N1150" s="43" t="n">
        <f aca="false">L1150-M1150</f>
        <v>4131</v>
      </c>
    </row>
    <row r="1151" customFormat="false" ht="15" hidden="false" customHeight="false" outlineLevel="0" collapsed="false">
      <c r="A1151" s="40" t="n">
        <v>46235</v>
      </c>
      <c r="B1151" s="41" t="n">
        <v>2026</v>
      </c>
      <c r="C1151" s="41" t="n">
        <v>8</v>
      </c>
      <c r="D1151" s="41" t="s">
        <v>53</v>
      </c>
      <c r="E1151" s="41" t="s">
        <v>35</v>
      </c>
      <c r="F1151" s="41" t="s">
        <v>42</v>
      </c>
      <c r="G1151" s="41" t="s">
        <v>41</v>
      </c>
      <c r="H1151" s="42" t="n">
        <v>132</v>
      </c>
      <c r="I1151" s="42" t="n">
        <v>173</v>
      </c>
      <c r="J1151" s="42" t="n">
        <v>7416</v>
      </c>
      <c r="K1151" s="42" t="n">
        <v>355</v>
      </c>
      <c r="L1151" s="43" t="n">
        <f aca="false">J1151-K1151</f>
        <v>7061</v>
      </c>
      <c r="M1151" s="42" t="n">
        <v>3577</v>
      </c>
      <c r="N1151" s="43" t="n">
        <f aca="false">L1151-M1151</f>
        <v>3484</v>
      </c>
    </row>
    <row r="1152" customFormat="false" ht="15" hidden="false" customHeight="false" outlineLevel="0" collapsed="false">
      <c r="A1152" s="40" t="n">
        <v>46235</v>
      </c>
      <c r="B1152" s="41" t="n">
        <v>2026</v>
      </c>
      <c r="C1152" s="41" t="n">
        <v>8</v>
      </c>
      <c r="D1152" s="41" t="s">
        <v>53</v>
      </c>
      <c r="E1152" s="41" t="s">
        <v>35</v>
      </c>
      <c r="F1152" s="41" t="s">
        <v>43</v>
      </c>
      <c r="G1152" s="41" t="s">
        <v>37</v>
      </c>
      <c r="H1152" s="42" t="n">
        <v>47</v>
      </c>
      <c r="I1152" s="42" t="n">
        <v>73</v>
      </c>
      <c r="J1152" s="42" t="n">
        <v>9491</v>
      </c>
      <c r="K1152" s="42" t="n">
        <v>216</v>
      </c>
      <c r="L1152" s="43" t="n">
        <f aca="false">J1152-K1152</f>
        <v>9275</v>
      </c>
      <c r="M1152" s="42" t="n">
        <v>4943</v>
      </c>
      <c r="N1152" s="43" t="n">
        <f aca="false">L1152-M1152</f>
        <v>4332</v>
      </c>
    </row>
    <row r="1153" customFormat="false" ht="15" hidden="false" customHeight="false" outlineLevel="0" collapsed="false">
      <c r="A1153" s="40" t="n">
        <v>46235</v>
      </c>
      <c r="B1153" s="41" t="n">
        <v>2026</v>
      </c>
      <c r="C1153" s="41" t="n">
        <v>8</v>
      </c>
      <c r="D1153" s="41" t="s">
        <v>53</v>
      </c>
      <c r="E1153" s="41" t="s">
        <v>35</v>
      </c>
      <c r="F1153" s="41" t="s">
        <v>43</v>
      </c>
      <c r="G1153" s="41" t="s">
        <v>38</v>
      </c>
      <c r="H1153" s="42" t="n">
        <v>77</v>
      </c>
      <c r="I1153" s="42" t="n">
        <v>113</v>
      </c>
      <c r="J1153" s="42" t="n">
        <v>9104</v>
      </c>
      <c r="K1153" s="42" t="n">
        <v>310</v>
      </c>
      <c r="L1153" s="43" t="n">
        <f aca="false">J1153-K1153</f>
        <v>8794</v>
      </c>
      <c r="M1153" s="42" t="n">
        <v>3861</v>
      </c>
      <c r="N1153" s="43" t="n">
        <f aca="false">L1153-M1153</f>
        <v>4933</v>
      </c>
    </row>
    <row r="1154" customFormat="false" ht="15" hidden="false" customHeight="false" outlineLevel="0" collapsed="false">
      <c r="A1154" s="40" t="n">
        <v>46235</v>
      </c>
      <c r="B1154" s="41" t="n">
        <v>2026</v>
      </c>
      <c r="C1154" s="41" t="n">
        <v>8</v>
      </c>
      <c r="D1154" s="41" t="s">
        <v>53</v>
      </c>
      <c r="E1154" s="41" t="s">
        <v>35</v>
      </c>
      <c r="F1154" s="41" t="s">
        <v>43</v>
      </c>
      <c r="G1154" s="41" t="s">
        <v>39</v>
      </c>
      <c r="H1154" s="42" t="n">
        <v>125</v>
      </c>
      <c r="I1154" s="42" t="n">
        <v>190</v>
      </c>
      <c r="J1154" s="42" t="n">
        <v>11120</v>
      </c>
      <c r="K1154" s="42" t="n">
        <v>868</v>
      </c>
      <c r="L1154" s="43" t="n">
        <f aca="false">J1154-K1154</f>
        <v>10252</v>
      </c>
      <c r="M1154" s="42" t="n">
        <v>3964</v>
      </c>
      <c r="N1154" s="43" t="n">
        <f aca="false">L1154-M1154</f>
        <v>6288</v>
      </c>
    </row>
    <row r="1155" customFormat="false" ht="15" hidden="false" customHeight="false" outlineLevel="0" collapsed="false">
      <c r="A1155" s="40" t="n">
        <v>46235</v>
      </c>
      <c r="B1155" s="41" t="n">
        <v>2026</v>
      </c>
      <c r="C1155" s="41" t="n">
        <v>8</v>
      </c>
      <c r="D1155" s="41" t="s">
        <v>53</v>
      </c>
      <c r="E1155" s="41" t="s">
        <v>35</v>
      </c>
      <c r="F1155" s="41" t="s">
        <v>43</v>
      </c>
      <c r="G1155" s="41" t="s">
        <v>40</v>
      </c>
      <c r="H1155" s="42" t="n">
        <v>54</v>
      </c>
      <c r="I1155" s="42" t="n">
        <v>80</v>
      </c>
      <c r="J1155" s="42" t="n">
        <v>7336</v>
      </c>
      <c r="K1155" s="42" t="n">
        <v>691</v>
      </c>
      <c r="L1155" s="43" t="n">
        <f aca="false">J1155-K1155</f>
        <v>6645</v>
      </c>
      <c r="M1155" s="42" t="n">
        <v>3593</v>
      </c>
      <c r="N1155" s="43" t="n">
        <f aca="false">L1155-M1155</f>
        <v>3052</v>
      </c>
    </row>
    <row r="1156" customFormat="false" ht="15" hidden="false" customHeight="false" outlineLevel="0" collapsed="false">
      <c r="A1156" s="40" t="n">
        <v>46235</v>
      </c>
      <c r="B1156" s="41" t="n">
        <v>2026</v>
      </c>
      <c r="C1156" s="41" t="n">
        <v>8</v>
      </c>
      <c r="D1156" s="41" t="s">
        <v>53</v>
      </c>
      <c r="E1156" s="41" t="s">
        <v>35</v>
      </c>
      <c r="F1156" s="41" t="s">
        <v>43</v>
      </c>
      <c r="G1156" s="41" t="s">
        <v>41</v>
      </c>
      <c r="H1156" s="42" t="n">
        <v>91</v>
      </c>
      <c r="I1156" s="42" t="n">
        <v>145</v>
      </c>
      <c r="J1156" s="42" t="n">
        <v>5871</v>
      </c>
      <c r="K1156" s="42" t="n">
        <v>120</v>
      </c>
      <c r="L1156" s="43" t="n">
        <f aca="false">J1156-K1156</f>
        <v>5751</v>
      </c>
      <c r="M1156" s="42" t="n">
        <v>2741</v>
      </c>
      <c r="N1156" s="43" t="n">
        <f aca="false">L1156-M1156</f>
        <v>3010</v>
      </c>
    </row>
    <row r="1157" customFormat="false" ht="15" hidden="false" customHeight="false" outlineLevel="0" collapsed="false">
      <c r="A1157" s="40" t="n">
        <v>46235</v>
      </c>
      <c r="B1157" s="41" t="n">
        <v>2026</v>
      </c>
      <c r="C1157" s="41" t="n">
        <v>8</v>
      </c>
      <c r="D1157" s="41" t="s">
        <v>53</v>
      </c>
      <c r="E1157" s="41" t="s">
        <v>44</v>
      </c>
      <c r="F1157" s="41" t="s">
        <v>36</v>
      </c>
      <c r="G1157" s="41" t="s">
        <v>37</v>
      </c>
      <c r="H1157" s="42" t="n">
        <v>99</v>
      </c>
      <c r="I1157" s="42" t="n">
        <v>155</v>
      </c>
      <c r="J1157" s="42" t="n">
        <v>18644</v>
      </c>
      <c r="K1157" s="42" t="n">
        <v>657</v>
      </c>
      <c r="L1157" s="43" t="n">
        <f aca="false">J1157-K1157</f>
        <v>17987</v>
      </c>
      <c r="M1157" s="42" t="n">
        <v>9420</v>
      </c>
      <c r="N1157" s="43" t="n">
        <f aca="false">L1157-M1157</f>
        <v>8567</v>
      </c>
    </row>
    <row r="1158" customFormat="false" ht="15" hidden="false" customHeight="false" outlineLevel="0" collapsed="false">
      <c r="A1158" s="40" t="n">
        <v>46235</v>
      </c>
      <c r="B1158" s="41" t="n">
        <v>2026</v>
      </c>
      <c r="C1158" s="41" t="n">
        <v>8</v>
      </c>
      <c r="D1158" s="41" t="s">
        <v>53</v>
      </c>
      <c r="E1158" s="41" t="s">
        <v>44</v>
      </c>
      <c r="F1158" s="41" t="s">
        <v>36</v>
      </c>
      <c r="G1158" s="41" t="s">
        <v>38</v>
      </c>
      <c r="H1158" s="42" t="n">
        <v>131</v>
      </c>
      <c r="I1158" s="42" t="n">
        <v>194</v>
      </c>
      <c r="J1158" s="42" t="n">
        <v>14671</v>
      </c>
      <c r="K1158" s="42" t="n">
        <v>642</v>
      </c>
      <c r="L1158" s="43" t="n">
        <f aca="false">J1158-K1158</f>
        <v>14029</v>
      </c>
      <c r="M1158" s="42" t="n">
        <v>6331</v>
      </c>
      <c r="N1158" s="43" t="n">
        <f aca="false">L1158-M1158</f>
        <v>7698</v>
      </c>
    </row>
    <row r="1159" customFormat="false" ht="15" hidden="false" customHeight="false" outlineLevel="0" collapsed="false">
      <c r="A1159" s="40" t="n">
        <v>46235</v>
      </c>
      <c r="B1159" s="41" t="n">
        <v>2026</v>
      </c>
      <c r="C1159" s="41" t="n">
        <v>8</v>
      </c>
      <c r="D1159" s="41" t="s">
        <v>53</v>
      </c>
      <c r="E1159" s="41" t="s">
        <v>44</v>
      </c>
      <c r="F1159" s="41" t="s">
        <v>36</v>
      </c>
      <c r="G1159" s="41" t="s">
        <v>39</v>
      </c>
      <c r="H1159" s="42" t="n">
        <v>218</v>
      </c>
      <c r="I1159" s="42" t="n">
        <v>316</v>
      </c>
      <c r="J1159" s="42" t="n">
        <v>18345</v>
      </c>
      <c r="K1159" s="42" t="n">
        <v>1573</v>
      </c>
      <c r="L1159" s="43" t="n">
        <f aca="false">J1159-K1159</f>
        <v>16772</v>
      </c>
      <c r="M1159" s="42" t="n">
        <v>6720</v>
      </c>
      <c r="N1159" s="43" t="n">
        <f aca="false">L1159-M1159</f>
        <v>10052</v>
      </c>
    </row>
    <row r="1160" customFormat="false" ht="15" hidden="false" customHeight="false" outlineLevel="0" collapsed="false">
      <c r="A1160" s="40" t="n">
        <v>46235</v>
      </c>
      <c r="B1160" s="41" t="n">
        <v>2026</v>
      </c>
      <c r="C1160" s="41" t="n">
        <v>8</v>
      </c>
      <c r="D1160" s="41" t="s">
        <v>53</v>
      </c>
      <c r="E1160" s="41" t="s">
        <v>44</v>
      </c>
      <c r="F1160" s="41" t="s">
        <v>36</v>
      </c>
      <c r="G1160" s="41" t="s">
        <v>40</v>
      </c>
      <c r="H1160" s="42" t="n">
        <v>118</v>
      </c>
      <c r="I1160" s="42" t="n">
        <v>165</v>
      </c>
      <c r="J1160" s="42" t="n">
        <v>15056</v>
      </c>
      <c r="K1160" s="42" t="n">
        <v>2020</v>
      </c>
      <c r="L1160" s="43" t="n">
        <f aca="false">J1160-K1160</f>
        <v>13036</v>
      </c>
      <c r="M1160" s="42" t="n">
        <v>7033</v>
      </c>
      <c r="N1160" s="43" t="n">
        <f aca="false">L1160-M1160</f>
        <v>6003</v>
      </c>
    </row>
    <row r="1161" customFormat="false" ht="15" hidden="false" customHeight="false" outlineLevel="0" collapsed="false">
      <c r="A1161" s="40" t="n">
        <v>46235</v>
      </c>
      <c r="B1161" s="41" t="n">
        <v>2026</v>
      </c>
      <c r="C1161" s="41" t="n">
        <v>8</v>
      </c>
      <c r="D1161" s="41" t="s">
        <v>53</v>
      </c>
      <c r="E1161" s="41" t="s">
        <v>44</v>
      </c>
      <c r="F1161" s="41" t="s">
        <v>36</v>
      </c>
      <c r="G1161" s="41" t="s">
        <v>41</v>
      </c>
      <c r="H1161" s="42" t="n">
        <v>161</v>
      </c>
      <c r="I1161" s="42" t="n">
        <v>225</v>
      </c>
      <c r="J1161" s="42" t="n">
        <v>9816</v>
      </c>
      <c r="K1161" s="42" t="n">
        <v>325</v>
      </c>
      <c r="L1161" s="43" t="n">
        <f aca="false">J1161-K1161</f>
        <v>9491</v>
      </c>
      <c r="M1161" s="42" t="n">
        <v>4656</v>
      </c>
      <c r="N1161" s="43" t="n">
        <f aca="false">L1161-M1161</f>
        <v>4835</v>
      </c>
    </row>
    <row r="1162" customFormat="false" ht="15" hidden="false" customHeight="false" outlineLevel="0" collapsed="false">
      <c r="A1162" s="40" t="n">
        <v>46235</v>
      </c>
      <c r="B1162" s="41" t="n">
        <v>2026</v>
      </c>
      <c r="C1162" s="41" t="n">
        <v>8</v>
      </c>
      <c r="D1162" s="41" t="s">
        <v>53</v>
      </c>
      <c r="E1162" s="41" t="s">
        <v>44</v>
      </c>
      <c r="F1162" s="41" t="s">
        <v>42</v>
      </c>
      <c r="G1162" s="41" t="s">
        <v>37</v>
      </c>
      <c r="H1162" s="42" t="n">
        <v>68</v>
      </c>
      <c r="I1162" s="42" t="n">
        <v>106</v>
      </c>
      <c r="J1162" s="42" t="n">
        <v>11776</v>
      </c>
      <c r="K1162" s="42" t="n">
        <v>561</v>
      </c>
      <c r="L1162" s="43" t="n">
        <f aca="false">J1162-K1162</f>
        <v>11215</v>
      </c>
      <c r="M1162" s="42" t="n">
        <v>5978</v>
      </c>
      <c r="N1162" s="43" t="n">
        <f aca="false">L1162-M1162</f>
        <v>5237</v>
      </c>
    </row>
    <row r="1163" customFormat="false" ht="15" hidden="false" customHeight="false" outlineLevel="0" collapsed="false">
      <c r="A1163" s="40" t="n">
        <v>46235</v>
      </c>
      <c r="B1163" s="41" t="n">
        <v>2026</v>
      </c>
      <c r="C1163" s="41" t="n">
        <v>8</v>
      </c>
      <c r="D1163" s="41" t="s">
        <v>53</v>
      </c>
      <c r="E1163" s="41" t="s">
        <v>44</v>
      </c>
      <c r="F1163" s="41" t="s">
        <v>42</v>
      </c>
      <c r="G1163" s="41" t="s">
        <v>38</v>
      </c>
      <c r="H1163" s="42" t="n">
        <v>104</v>
      </c>
      <c r="I1163" s="42" t="n">
        <v>162</v>
      </c>
      <c r="J1163" s="42" t="n">
        <v>10726</v>
      </c>
      <c r="K1163" s="42" t="n">
        <v>840</v>
      </c>
      <c r="L1163" s="43" t="n">
        <f aca="false">J1163-K1163</f>
        <v>9886</v>
      </c>
      <c r="M1163" s="42" t="n">
        <v>4794</v>
      </c>
      <c r="N1163" s="43" t="n">
        <f aca="false">L1163-M1163</f>
        <v>5092</v>
      </c>
    </row>
    <row r="1164" customFormat="false" ht="15" hidden="false" customHeight="false" outlineLevel="0" collapsed="false">
      <c r="A1164" s="40" t="n">
        <v>46235</v>
      </c>
      <c r="B1164" s="41" t="n">
        <v>2026</v>
      </c>
      <c r="C1164" s="41" t="n">
        <v>8</v>
      </c>
      <c r="D1164" s="41" t="s">
        <v>53</v>
      </c>
      <c r="E1164" s="41" t="s">
        <v>44</v>
      </c>
      <c r="F1164" s="41" t="s">
        <v>42</v>
      </c>
      <c r="G1164" s="41" t="s">
        <v>39</v>
      </c>
      <c r="H1164" s="42" t="n">
        <v>166</v>
      </c>
      <c r="I1164" s="42" t="n">
        <v>261</v>
      </c>
      <c r="J1164" s="42" t="n">
        <v>12799</v>
      </c>
      <c r="K1164" s="42" t="n">
        <v>1769</v>
      </c>
      <c r="L1164" s="43" t="n">
        <f aca="false">J1164-K1164</f>
        <v>11030</v>
      </c>
      <c r="M1164" s="42" t="n">
        <v>4473</v>
      </c>
      <c r="N1164" s="43" t="n">
        <f aca="false">L1164-M1164</f>
        <v>6557</v>
      </c>
    </row>
    <row r="1165" customFormat="false" ht="15" hidden="false" customHeight="false" outlineLevel="0" collapsed="false">
      <c r="A1165" s="40" t="n">
        <v>46235</v>
      </c>
      <c r="B1165" s="41" t="n">
        <v>2026</v>
      </c>
      <c r="C1165" s="41" t="n">
        <v>8</v>
      </c>
      <c r="D1165" s="41" t="s">
        <v>53</v>
      </c>
      <c r="E1165" s="41" t="s">
        <v>44</v>
      </c>
      <c r="F1165" s="41" t="s">
        <v>42</v>
      </c>
      <c r="G1165" s="41" t="s">
        <v>40</v>
      </c>
      <c r="H1165" s="42" t="n">
        <v>81</v>
      </c>
      <c r="I1165" s="42" t="n">
        <v>122</v>
      </c>
      <c r="J1165" s="42" t="n">
        <v>9525</v>
      </c>
      <c r="K1165" s="42" t="n">
        <v>1496</v>
      </c>
      <c r="L1165" s="43" t="n">
        <f aca="false">J1165-K1165</f>
        <v>8029</v>
      </c>
      <c r="M1165" s="42" t="n">
        <v>4588</v>
      </c>
      <c r="N1165" s="43" t="n">
        <f aca="false">L1165-M1165</f>
        <v>3441</v>
      </c>
    </row>
    <row r="1166" customFormat="false" ht="15" hidden="false" customHeight="false" outlineLevel="0" collapsed="false">
      <c r="A1166" s="40" t="n">
        <v>46235</v>
      </c>
      <c r="B1166" s="41" t="n">
        <v>2026</v>
      </c>
      <c r="C1166" s="41" t="n">
        <v>8</v>
      </c>
      <c r="D1166" s="41" t="s">
        <v>53</v>
      </c>
      <c r="E1166" s="41" t="s">
        <v>44</v>
      </c>
      <c r="F1166" s="41" t="s">
        <v>42</v>
      </c>
      <c r="G1166" s="41" t="s">
        <v>41</v>
      </c>
      <c r="H1166" s="42" t="n">
        <v>102</v>
      </c>
      <c r="I1166" s="42" t="n">
        <v>130</v>
      </c>
      <c r="J1166" s="42" t="n">
        <v>5712</v>
      </c>
      <c r="K1166" s="42" t="n">
        <v>224</v>
      </c>
      <c r="L1166" s="43" t="n">
        <f aca="false">J1166-K1166</f>
        <v>5488</v>
      </c>
      <c r="M1166" s="42" t="n">
        <v>2751</v>
      </c>
      <c r="N1166" s="43" t="n">
        <f aca="false">L1166-M1166</f>
        <v>2737</v>
      </c>
    </row>
    <row r="1167" customFormat="false" ht="15" hidden="false" customHeight="false" outlineLevel="0" collapsed="false">
      <c r="A1167" s="40" t="n">
        <v>46235</v>
      </c>
      <c r="B1167" s="41" t="n">
        <v>2026</v>
      </c>
      <c r="C1167" s="41" t="n">
        <v>8</v>
      </c>
      <c r="D1167" s="41" t="s">
        <v>53</v>
      </c>
      <c r="E1167" s="41" t="s">
        <v>44</v>
      </c>
      <c r="F1167" s="41" t="s">
        <v>43</v>
      </c>
      <c r="G1167" s="41" t="s">
        <v>37</v>
      </c>
      <c r="H1167" s="42" t="n">
        <v>42</v>
      </c>
      <c r="I1167" s="42" t="n">
        <v>50</v>
      </c>
      <c r="J1167" s="42" t="n">
        <v>8347</v>
      </c>
      <c r="K1167" s="42" t="n">
        <v>188</v>
      </c>
      <c r="L1167" s="43" t="n">
        <f aca="false">J1167-K1167</f>
        <v>8159</v>
      </c>
      <c r="M1167" s="42" t="n">
        <v>4283</v>
      </c>
      <c r="N1167" s="43" t="n">
        <f aca="false">L1167-M1167</f>
        <v>3876</v>
      </c>
    </row>
    <row r="1168" customFormat="false" ht="15" hidden="false" customHeight="false" outlineLevel="0" collapsed="false">
      <c r="A1168" s="40" t="n">
        <v>46235</v>
      </c>
      <c r="B1168" s="41" t="n">
        <v>2026</v>
      </c>
      <c r="C1168" s="41" t="n">
        <v>8</v>
      </c>
      <c r="D1168" s="41" t="s">
        <v>53</v>
      </c>
      <c r="E1168" s="41" t="s">
        <v>44</v>
      </c>
      <c r="F1168" s="41" t="s">
        <v>43</v>
      </c>
      <c r="G1168" s="41" t="s">
        <v>38</v>
      </c>
      <c r="H1168" s="42" t="n">
        <v>66</v>
      </c>
      <c r="I1168" s="42" t="n">
        <v>98</v>
      </c>
      <c r="J1168" s="42" t="n">
        <v>7817</v>
      </c>
      <c r="K1168" s="42" t="n">
        <v>245</v>
      </c>
      <c r="L1168" s="43" t="n">
        <f aca="false">J1168-K1168</f>
        <v>7572</v>
      </c>
      <c r="M1168" s="42" t="n">
        <v>3357</v>
      </c>
      <c r="N1168" s="43" t="n">
        <f aca="false">L1168-M1168</f>
        <v>4215</v>
      </c>
    </row>
    <row r="1169" customFormat="false" ht="15" hidden="false" customHeight="false" outlineLevel="0" collapsed="false">
      <c r="A1169" s="40" t="n">
        <v>46235</v>
      </c>
      <c r="B1169" s="41" t="n">
        <v>2026</v>
      </c>
      <c r="C1169" s="41" t="n">
        <v>8</v>
      </c>
      <c r="D1169" s="41" t="s">
        <v>53</v>
      </c>
      <c r="E1169" s="41" t="s">
        <v>44</v>
      </c>
      <c r="F1169" s="41" t="s">
        <v>43</v>
      </c>
      <c r="G1169" s="41" t="s">
        <v>39</v>
      </c>
      <c r="H1169" s="42" t="n">
        <v>99</v>
      </c>
      <c r="I1169" s="42" t="n">
        <v>122</v>
      </c>
      <c r="J1169" s="42" t="n">
        <v>8814</v>
      </c>
      <c r="K1169" s="42" t="n">
        <v>642</v>
      </c>
      <c r="L1169" s="43" t="n">
        <f aca="false">J1169-K1169</f>
        <v>8172</v>
      </c>
      <c r="M1169" s="42" t="n">
        <v>3264</v>
      </c>
      <c r="N1169" s="43" t="n">
        <f aca="false">L1169-M1169</f>
        <v>4908</v>
      </c>
    </row>
    <row r="1170" customFormat="false" ht="15" hidden="false" customHeight="false" outlineLevel="0" collapsed="false">
      <c r="A1170" s="40" t="n">
        <v>46235</v>
      </c>
      <c r="B1170" s="41" t="n">
        <v>2026</v>
      </c>
      <c r="C1170" s="41" t="n">
        <v>8</v>
      </c>
      <c r="D1170" s="41" t="s">
        <v>53</v>
      </c>
      <c r="E1170" s="41" t="s">
        <v>44</v>
      </c>
      <c r="F1170" s="41" t="s">
        <v>43</v>
      </c>
      <c r="G1170" s="41" t="s">
        <v>40</v>
      </c>
      <c r="H1170" s="42" t="n">
        <v>43</v>
      </c>
      <c r="I1170" s="42" t="n">
        <v>61</v>
      </c>
      <c r="J1170" s="42" t="n">
        <v>5789</v>
      </c>
      <c r="K1170" s="42" t="n">
        <v>529</v>
      </c>
      <c r="L1170" s="43" t="n">
        <f aca="false">J1170-K1170</f>
        <v>5260</v>
      </c>
      <c r="M1170" s="42" t="n">
        <v>2936</v>
      </c>
      <c r="N1170" s="43" t="n">
        <f aca="false">L1170-M1170</f>
        <v>2324</v>
      </c>
    </row>
    <row r="1171" customFormat="false" ht="15" hidden="false" customHeight="false" outlineLevel="0" collapsed="false">
      <c r="A1171" s="40" t="n">
        <v>46235</v>
      </c>
      <c r="B1171" s="41" t="n">
        <v>2026</v>
      </c>
      <c r="C1171" s="41" t="n">
        <v>8</v>
      </c>
      <c r="D1171" s="41" t="s">
        <v>53</v>
      </c>
      <c r="E1171" s="41" t="s">
        <v>44</v>
      </c>
      <c r="F1171" s="41" t="s">
        <v>43</v>
      </c>
      <c r="G1171" s="41" t="s">
        <v>41</v>
      </c>
      <c r="H1171" s="42" t="n">
        <v>69</v>
      </c>
      <c r="I1171" s="42" t="n">
        <v>101</v>
      </c>
      <c r="J1171" s="42" t="n">
        <v>4461</v>
      </c>
      <c r="K1171" s="42" t="n">
        <v>85</v>
      </c>
      <c r="L1171" s="43" t="n">
        <f aca="false">J1171-K1171</f>
        <v>4376</v>
      </c>
      <c r="M1171" s="42" t="n">
        <v>2143</v>
      </c>
      <c r="N1171" s="43" t="n">
        <f aca="false">L1171-M1171</f>
        <v>2233</v>
      </c>
    </row>
    <row r="1172" customFormat="false" ht="15" hidden="false" customHeight="false" outlineLevel="0" collapsed="false">
      <c r="A1172" s="40" t="n">
        <v>46235</v>
      </c>
      <c r="B1172" s="41" t="n">
        <v>2026</v>
      </c>
      <c r="C1172" s="41" t="n">
        <v>8</v>
      </c>
      <c r="D1172" s="41" t="s">
        <v>53</v>
      </c>
      <c r="E1172" s="41" t="s">
        <v>45</v>
      </c>
      <c r="F1172" s="41" t="s">
        <v>36</v>
      </c>
      <c r="G1172" s="41" t="s">
        <v>37</v>
      </c>
      <c r="H1172" s="42" t="n">
        <v>77</v>
      </c>
      <c r="I1172" s="42" t="n">
        <v>90</v>
      </c>
      <c r="J1172" s="42" t="n">
        <v>14597</v>
      </c>
      <c r="K1172" s="42" t="n">
        <v>688</v>
      </c>
      <c r="L1172" s="43" t="n">
        <f aca="false">J1172-K1172</f>
        <v>13909</v>
      </c>
      <c r="M1172" s="42" t="n">
        <v>7346</v>
      </c>
      <c r="N1172" s="43" t="n">
        <f aca="false">L1172-M1172</f>
        <v>6563</v>
      </c>
    </row>
    <row r="1173" customFormat="false" ht="15" hidden="false" customHeight="false" outlineLevel="0" collapsed="false">
      <c r="A1173" s="40" t="n">
        <v>46235</v>
      </c>
      <c r="B1173" s="41" t="n">
        <v>2026</v>
      </c>
      <c r="C1173" s="41" t="n">
        <v>8</v>
      </c>
      <c r="D1173" s="41" t="s">
        <v>53</v>
      </c>
      <c r="E1173" s="41" t="s">
        <v>45</v>
      </c>
      <c r="F1173" s="41" t="s">
        <v>36</v>
      </c>
      <c r="G1173" s="41" t="s">
        <v>38</v>
      </c>
      <c r="H1173" s="42" t="n">
        <v>90</v>
      </c>
      <c r="I1173" s="42" t="n">
        <v>106</v>
      </c>
      <c r="J1173" s="42" t="n">
        <v>10092</v>
      </c>
      <c r="K1173" s="42" t="n">
        <v>564</v>
      </c>
      <c r="L1173" s="43" t="n">
        <f aca="false">J1173-K1173</f>
        <v>9528</v>
      </c>
      <c r="M1173" s="42" t="n">
        <v>4333</v>
      </c>
      <c r="N1173" s="43" t="n">
        <f aca="false">L1173-M1173</f>
        <v>5195</v>
      </c>
    </row>
    <row r="1174" customFormat="false" ht="15" hidden="false" customHeight="false" outlineLevel="0" collapsed="false">
      <c r="A1174" s="40" t="n">
        <v>46235</v>
      </c>
      <c r="B1174" s="41" t="n">
        <v>2026</v>
      </c>
      <c r="C1174" s="41" t="n">
        <v>8</v>
      </c>
      <c r="D1174" s="41" t="s">
        <v>53</v>
      </c>
      <c r="E1174" s="41" t="s">
        <v>45</v>
      </c>
      <c r="F1174" s="41" t="s">
        <v>36</v>
      </c>
      <c r="G1174" s="41" t="s">
        <v>39</v>
      </c>
      <c r="H1174" s="42" t="n">
        <v>146</v>
      </c>
      <c r="I1174" s="42" t="n">
        <v>198</v>
      </c>
      <c r="J1174" s="42" t="n">
        <v>12226</v>
      </c>
      <c r="K1174" s="42" t="n">
        <v>1290</v>
      </c>
      <c r="L1174" s="43" t="n">
        <f aca="false">J1174-K1174</f>
        <v>10936</v>
      </c>
      <c r="M1174" s="42" t="n">
        <v>4392</v>
      </c>
      <c r="N1174" s="43" t="n">
        <f aca="false">L1174-M1174</f>
        <v>6544</v>
      </c>
    </row>
    <row r="1175" customFormat="false" ht="15" hidden="false" customHeight="false" outlineLevel="0" collapsed="false">
      <c r="A1175" s="40" t="n">
        <v>46235</v>
      </c>
      <c r="B1175" s="41" t="n">
        <v>2026</v>
      </c>
      <c r="C1175" s="41" t="n">
        <v>8</v>
      </c>
      <c r="D1175" s="41" t="s">
        <v>53</v>
      </c>
      <c r="E1175" s="41" t="s">
        <v>45</v>
      </c>
      <c r="F1175" s="41" t="s">
        <v>36</v>
      </c>
      <c r="G1175" s="41" t="s">
        <v>40</v>
      </c>
      <c r="H1175" s="42" t="n">
        <v>73</v>
      </c>
      <c r="I1175" s="42" t="n">
        <v>109</v>
      </c>
      <c r="J1175" s="42" t="n">
        <v>9334</v>
      </c>
      <c r="K1175" s="42" t="n">
        <v>1006</v>
      </c>
      <c r="L1175" s="43" t="n">
        <f aca="false">J1175-K1175</f>
        <v>8328</v>
      </c>
      <c r="M1175" s="42" t="n">
        <v>4498</v>
      </c>
      <c r="N1175" s="43" t="n">
        <f aca="false">L1175-M1175</f>
        <v>3830</v>
      </c>
    </row>
    <row r="1176" customFormat="false" ht="15" hidden="false" customHeight="false" outlineLevel="0" collapsed="false">
      <c r="A1176" s="40" t="n">
        <v>46235</v>
      </c>
      <c r="B1176" s="41" t="n">
        <v>2026</v>
      </c>
      <c r="C1176" s="41" t="n">
        <v>8</v>
      </c>
      <c r="D1176" s="41" t="s">
        <v>53</v>
      </c>
      <c r="E1176" s="41" t="s">
        <v>45</v>
      </c>
      <c r="F1176" s="41" t="s">
        <v>36</v>
      </c>
      <c r="G1176" s="41" t="s">
        <v>41</v>
      </c>
      <c r="H1176" s="42" t="n">
        <v>97</v>
      </c>
      <c r="I1176" s="42" t="n">
        <v>129</v>
      </c>
      <c r="J1176" s="42" t="n">
        <v>5903</v>
      </c>
      <c r="K1176" s="42" t="n">
        <v>185</v>
      </c>
      <c r="L1176" s="43" t="n">
        <f aca="false">J1176-K1176</f>
        <v>5718</v>
      </c>
      <c r="M1176" s="42" t="n">
        <v>2712</v>
      </c>
      <c r="N1176" s="43" t="n">
        <f aca="false">L1176-M1176</f>
        <v>3006</v>
      </c>
    </row>
    <row r="1177" customFormat="false" ht="15" hidden="false" customHeight="false" outlineLevel="0" collapsed="false">
      <c r="A1177" s="40" t="n">
        <v>46235</v>
      </c>
      <c r="B1177" s="41" t="n">
        <v>2026</v>
      </c>
      <c r="C1177" s="41" t="n">
        <v>8</v>
      </c>
      <c r="D1177" s="41" t="s">
        <v>53</v>
      </c>
      <c r="E1177" s="41" t="s">
        <v>45</v>
      </c>
      <c r="F1177" s="41" t="s">
        <v>42</v>
      </c>
      <c r="G1177" s="41" t="s">
        <v>37</v>
      </c>
      <c r="H1177" s="42" t="n">
        <v>47</v>
      </c>
      <c r="I1177" s="42" t="n">
        <v>59</v>
      </c>
      <c r="J1177" s="42" t="n">
        <v>8215</v>
      </c>
      <c r="K1177" s="42" t="n">
        <v>370</v>
      </c>
      <c r="L1177" s="43" t="n">
        <f aca="false">J1177-K1177</f>
        <v>7845</v>
      </c>
      <c r="M1177" s="42" t="n">
        <v>4226</v>
      </c>
      <c r="N1177" s="43" t="n">
        <f aca="false">L1177-M1177</f>
        <v>3619</v>
      </c>
    </row>
    <row r="1178" customFormat="false" ht="15" hidden="false" customHeight="false" outlineLevel="0" collapsed="false">
      <c r="A1178" s="40" t="n">
        <v>46235</v>
      </c>
      <c r="B1178" s="41" t="n">
        <v>2026</v>
      </c>
      <c r="C1178" s="41" t="n">
        <v>8</v>
      </c>
      <c r="D1178" s="41" t="s">
        <v>53</v>
      </c>
      <c r="E1178" s="41" t="s">
        <v>45</v>
      </c>
      <c r="F1178" s="41" t="s">
        <v>42</v>
      </c>
      <c r="G1178" s="41" t="s">
        <v>38</v>
      </c>
      <c r="H1178" s="42" t="n">
        <v>73</v>
      </c>
      <c r="I1178" s="42" t="n">
        <v>101</v>
      </c>
      <c r="J1178" s="42" t="n">
        <v>7530</v>
      </c>
      <c r="K1178" s="42" t="n">
        <v>444</v>
      </c>
      <c r="L1178" s="43" t="n">
        <f aca="false">J1178-K1178</f>
        <v>7086</v>
      </c>
      <c r="M1178" s="42" t="n">
        <v>3341</v>
      </c>
      <c r="N1178" s="43" t="n">
        <f aca="false">L1178-M1178</f>
        <v>3745</v>
      </c>
    </row>
    <row r="1179" customFormat="false" ht="15" hidden="false" customHeight="false" outlineLevel="0" collapsed="false">
      <c r="A1179" s="40" t="n">
        <v>46235</v>
      </c>
      <c r="B1179" s="41" t="n">
        <v>2026</v>
      </c>
      <c r="C1179" s="41" t="n">
        <v>8</v>
      </c>
      <c r="D1179" s="41" t="s">
        <v>53</v>
      </c>
      <c r="E1179" s="41" t="s">
        <v>45</v>
      </c>
      <c r="F1179" s="41" t="s">
        <v>42</v>
      </c>
      <c r="G1179" s="41" t="s">
        <v>39</v>
      </c>
      <c r="H1179" s="42" t="n">
        <v>120</v>
      </c>
      <c r="I1179" s="42" t="n">
        <v>191</v>
      </c>
      <c r="J1179" s="42" t="n">
        <v>9293</v>
      </c>
      <c r="K1179" s="42" t="n">
        <v>1248</v>
      </c>
      <c r="L1179" s="43" t="n">
        <f aca="false">J1179-K1179</f>
        <v>8045</v>
      </c>
      <c r="M1179" s="42" t="n">
        <v>3423</v>
      </c>
      <c r="N1179" s="43" t="n">
        <f aca="false">L1179-M1179</f>
        <v>4622</v>
      </c>
    </row>
    <row r="1180" customFormat="false" ht="15" hidden="false" customHeight="false" outlineLevel="0" collapsed="false">
      <c r="A1180" s="40" t="n">
        <v>46235</v>
      </c>
      <c r="B1180" s="41" t="n">
        <v>2026</v>
      </c>
      <c r="C1180" s="41" t="n">
        <v>8</v>
      </c>
      <c r="D1180" s="41" t="s">
        <v>53</v>
      </c>
      <c r="E1180" s="41" t="s">
        <v>45</v>
      </c>
      <c r="F1180" s="41" t="s">
        <v>42</v>
      </c>
      <c r="G1180" s="41" t="s">
        <v>40</v>
      </c>
      <c r="H1180" s="42" t="n">
        <v>57</v>
      </c>
      <c r="I1180" s="42" t="n">
        <v>71</v>
      </c>
      <c r="J1180" s="42" t="n">
        <v>6751</v>
      </c>
      <c r="K1180" s="42" t="n">
        <v>1134</v>
      </c>
      <c r="L1180" s="43" t="n">
        <f aca="false">J1180-K1180</f>
        <v>5617</v>
      </c>
      <c r="M1180" s="42" t="n">
        <v>3123</v>
      </c>
      <c r="N1180" s="43" t="n">
        <f aca="false">L1180-M1180</f>
        <v>2494</v>
      </c>
    </row>
    <row r="1181" customFormat="false" ht="15" hidden="false" customHeight="false" outlineLevel="0" collapsed="false">
      <c r="A1181" s="40" t="n">
        <v>46235</v>
      </c>
      <c r="B1181" s="41" t="n">
        <v>2026</v>
      </c>
      <c r="C1181" s="41" t="n">
        <v>8</v>
      </c>
      <c r="D1181" s="41" t="s">
        <v>53</v>
      </c>
      <c r="E1181" s="41" t="s">
        <v>45</v>
      </c>
      <c r="F1181" s="41" t="s">
        <v>42</v>
      </c>
      <c r="G1181" s="41" t="s">
        <v>41</v>
      </c>
      <c r="H1181" s="42" t="n">
        <v>73</v>
      </c>
      <c r="I1181" s="42" t="n">
        <v>86</v>
      </c>
      <c r="J1181" s="42" t="n">
        <v>4117</v>
      </c>
      <c r="K1181" s="42" t="n">
        <v>180</v>
      </c>
      <c r="L1181" s="43" t="n">
        <f aca="false">J1181-K1181</f>
        <v>3937</v>
      </c>
      <c r="M1181" s="42" t="n">
        <v>2027</v>
      </c>
      <c r="N1181" s="43" t="n">
        <f aca="false">L1181-M1181</f>
        <v>1910</v>
      </c>
    </row>
    <row r="1182" customFormat="false" ht="15" hidden="false" customHeight="false" outlineLevel="0" collapsed="false">
      <c r="A1182" s="40" t="n">
        <v>46235</v>
      </c>
      <c r="B1182" s="41" t="n">
        <v>2026</v>
      </c>
      <c r="C1182" s="41" t="n">
        <v>8</v>
      </c>
      <c r="D1182" s="41" t="s">
        <v>53</v>
      </c>
      <c r="E1182" s="41" t="s">
        <v>45</v>
      </c>
      <c r="F1182" s="41" t="s">
        <v>43</v>
      </c>
      <c r="G1182" s="41" t="s">
        <v>37</v>
      </c>
      <c r="H1182" s="42" t="n">
        <v>30</v>
      </c>
      <c r="I1182" s="42" t="n">
        <v>39</v>
      </c>
      <c r="J1182" s="42" t="n">
        <v>6070</v>
      </c>
      <c r="K1182" s="42" t="n">
        <v>165</v>
      </c>
      <c r="L1182" s="43" t="n">
        <f aca="false">J1182-K1182</f>
        <v>5905</v>
      </c>
      <c r="M1182" s="42" t="n">
        <v>3102</v>
      </c>
      <c r="N1182" s="43" t="n">
        <f aca="false">L1182-M1182</f>
        <v>2803</v>
      </c>
    </row>
    <row r="1183" customFormat="false" ht="15" hidden="false" customHeight="false" outlineLevel="0" collapsed="false">
      <c r="A1183" s="40" t="n">
        <v>46235</v>
      </c>
      <c r="B1183" s="41" t="n">
        <v>2026</v>
      </c>
      <c r="C1183" s="41" t="n">
        <v>8</v>
      </c>
      <c r="D1183" s="41" t="s">
        <v>53</v>
      </c>
      <c r="E1183" s="41" t="s">
        <v>45</v>
      </c>
      <c r="F1183" s="41" t="s">
        <v>43</v>
      </c>
      <c r="G1183" s="41" t="s">
        <v>38</v>
      </c>
      <c r="H1183" s="42" t="n">
        <v>48</v>
      </c>
      <c r="I1183" s="42" t="n">
        <v>64</v>
      </c>
      <c r="J1183" s="42" t="n">
        <v>5750</v>
      </c>
      <c r="K1183" s="42" t="n">
        <v>173</v>
      </c>
      <c r="L1183" s="43" t="n">
        <f aca="false">J1183-K1183</f>
        <v>5577</v>
      </c>
      <c r="M1183" s="42" t="n">
        <v>2564</v>
      </c>
      <c r="N1183" s="43" t="n">
        <f aca="false">L1183-M1183</f>
        <v>3013</v>
      </c>
    </row>
    <row r="1184" customFormat="false" ht="15" hidden="false" customHeight="false" outlineLevel="0" collapsed="false">
      <c r="A1184" s="40" t="n">
        <v>46235</v>
      </c>
      <c r="B1184" s="41" t="n">
        <v>2026</v>
      </c>
      <c r="C1184" s="41" t="n">
        <v>8</v>
      </c>
      <c r="D1184" s="41" t="s">
        <v>53</v>
      </c>
      <c r="E1184" s="41" t="s">
        <v>45</v>
      </c>
      <c r="F1184" s="41" t="s">
        <v>43</v>
      </c>
      <c r="G1184" s="41" t="s">
        <v>39</v>
      </c>
      <c r="H1184" s="42" t="n">
        <v>74</v>
      </c>
      <c r="I1184" s="42" t="n">
        <v>85</v>
      </c>
      <c r="J1184" s="42" t="n">
        <v>6630</v>
      </c>
      <c r="K1184" s="42" t="n">
        <v>529</v>
      </c>
      <c r="L1184" s="43" t="n">
        <f aca="false">J1184-K1184</f>
        <v>6101</v>
      </c>
      <c r="M1184" s="42" t="n">
        <v>2412</v>
      </c>
      <c r="N1184" s="43" t="n">
        <f aca="false">L1184-M1184</f>
        <v>3689</v>
      </c>
    </row>
    <row r="1185" customFormat="false" ht="15" hidden="false" customHeight="false" outlineLevel="0" collapsed="false">
      <c r="A1185" s="40" t="n">
        <v>46235</v>
      </c>
      <c r="B1185" s="41" t="n">
        <v>2026</v>
      </c>
      <c r="C1185" s="41" t="n">
        <v>8</v>
      </c>
      <c r="D1185" s="41" t="s">
        <v>53</v>
      </c>
      <c r="E1185" s="41" t="s">
        <v>45</v>
      </c>
      <c r="F1185" s="41" t="s">
        <v>43</v>
      </c>
      <c r="G1185" s="41" t="s">
        <v>40</v>
      </c>
      <c r="H1185" s="42" t="n">
        <v>33</v>
      </c>
      <c r="I1185" s="42" t="n">
        <v>47</v>
      </c>
      <c r="J1185" s="42" t="n">
        <v>4488</v>
      </c>
      <c r="K1185" s="42" t="n">
        <v>440</v>
      </c>
      <c r="L1185" s="43" t="n">
        <f aca="false">J1185-K1185</f>
        <v>4048</v>
      </c>
      <c r="M1185" s="42" t="n">
        <v>2213</v>
      </c>
      <c r="N1185" s="43" t="n">
        <f aca="false">L1185-M1185</f>
        <v>1835</v>
      </c>
    </row>
    <row r="1186" customFormat="false" ht="15" hidden="false" customHeight="false" outlineLevel="0" collapsed="false">
      <c r="A1186" s="40" t="n">
        <v>46235</v>
      </c>
      <c r="B1186" s="41" t="n">
        <v>2026</v>
      </c>
      <c r="C1186" s="41" t="n">
        <v>8</v>
      </c>
      <c r="D1186" s="41" t="s">
        <v>53</v>
      </c>
      <c r="E1186" s="41" t="s">
        <v>45</v>
      </c>
      <c r="F1186" s="41" t="s">
        <v>43</v>
      </c>
      <c r="G1186" s="41" t="s">
        <v>41</v>
      </c>
      <c r="H1186" s="42" t="n">
        <v>47</v>
      </c>
      <c r="I1186" s="42" t="n">
        <v>60</v>
      </c>
      <c r="J1186" s="42" t="n">
        <v>3060</v>
      </c>
      <c r="K1186" s="42" t="n">
        <v>66</v>
      </c>
      <c r="L1186" s="43" t="n">
        <f aca="false">J1186-K1186</f>
        <v>2994</v>
      </c>
      <c r="M1186" s="42" t="n">
        <v>1451</v>
      </c>
      <c r="N1186" s="43" t="n">
        <f aca="false">L1186-M1186</f>
        <v>1543</v>
      </c>
    </row>
    <row r="1187" customFormat="false" ht="15" hidden="false" customHeight="false" outlineLevel="0" collapsed="false">
      <c r="A1187" s="40" t="n">
        <v>46235</v>
      </c>
      <c r="B1187" s="41" t="n">
        <v>2026</v>
      </c>
      <c r="C1187" s="41" t="n">
        <v>8</v>
      </c>
      <c r="D1187" s="41" t="s">
        <v>53</v>
      </c>
      <c r="E1187" s="41" t="s">
        <v>46</v>
      </c>
      <c r="F1187" s="41" t="s">
        <v>36</v>
      </c>
      <c r="G1187" s="41" t="s">
        <v>37</v>
      </c>
      <c r="H1187" s="42" t="n">
        <v>70</v>
      </c>
      <c r="I1187" s="42" t="n">
        <v>110</v>
      </c>
      <c r="J1187" s="42" t="n">
        <v>13207</v>
      </c>
      <c r="K1187" s="42" t="n">
        <v>453</v>
      </c>
      <c r="L1187" s="43" t="n">
        <f aca="false">J1187-K1187</f>
        <v>12754</v>
      </c>
      <c r="M1187" s="42" t="n">
        <v>6705</v>
      </c>
      <c r="N1187" s="43" t="n">
        <f aca="false">L1187-M1187</f>
        <v>6049</v>
      </c>
    </row>
    <row r="1188" customFormat="false" ht="15" hidden="false" customHeight="false" outlineLevel="0" collapsed="false">
      <c r="A1188" s="40" t="n">
        <v>46235</v>
      </c>
      <c r="B1188" s="41" t="n">
        <v>2026</v>
      </c>
      <c r="C1188" s="41" t="n">
        <v>8</v>
      </c>
      <c r="D1188" s="41" t="s">
        <v>53</v>
      </c>
      <c r="E1188" s="41" t="s">
        <v>46</v>
      </c>
      <c r="F1188" s="41" t="s">
        <v>36</v>
      </c>
      <c r="G1188" s="41" t="s">
        <v>38</v>
      </c>
      <c r="H1188" s="42" t="n">
        <v>106</v>
      </c>
      <c r="I1188" s="42" t="n">
        <v>160</v>
      </c>
      <c r="J1188" s="42" t="n">
        <v>11910</v>
      </c>
      <c r="K1188" s="42" t="n">
        <v>617</v>
      </c>
      <c r="L1188" s="43" t="n">
        <f aca="false">J1188-K1188</f>
        <v>11293</v>
      </c>
      <c r="M1188" s="42" t="n">
        <v>5136</v>
      </c>
      <c r="N1188" s="43" t="n">
        <f aca="false">L1188-M1188</f>
        <v>6157</v>
      </c>
    </row>
    <row r="1189" customFormat="false" ht="15" hidden="false" customHeight="false" outlineLevel="0" collapsed="false">
      <c r="A1189" s="40" t="n">
        <v>46235</v>
      </c>
      <c r="B1189" s="41" t="n">
        <v>2026</v>
      </c>
      <c r="C1189" s="41" t="n">
        <v>8</v>
      </c>
      <c r="D1189" s="41" t="s">
        <v>53</v>
      </c>
      <c r="E1189" s="41" t="s">
        <v>46</v>
      </c>
      <c r="F1189" s="41" t="s">
        <v>36</v>
      </c>
      <c r="G1189" s="41" t="s">
        <v>39</v>
      </c>
      <c r="H1189" s="42" t="n">
        <v>147</v>
      </c>
      <c r="I1189" s="42" t="n">
        <v>232</v>
      </c>
      <c r="J1189" s="42" t="n">
        <v>12330</v>
      </c>
      <c r="K1189" s="42" t="n">
        <v>1257</v>
      </c>
      <c r="L1189" s="43" t="n">
        <f aca="false">J1189-K1189</f>
        <v>11073</v>
      </c>
      <c r="M1189" s="42" t="n">
        <v>4293</v>
      </c>
      <c r="N1189" s="43" t="n">
        <f aca="false">L1189-M1189</f>
        <v>6780</v>
      </c>
    </row>
    <row r="1190" customFormat="false" ht="15" hidden="false" customHeight="false" outlineLevel="0" collapsed="false">
      <c r="A1190" s="40" t="n">
        <v>46235</v>
      </c>
      <c r="B1190" s="41" t="n">
        <v>2026</v>
      </c>
      <c r="C1190" s="41" t="n">
        <v>8</v>
      </c>
      <c r="D1190" s="41" t="s">
        <v>53</v>
      </c>
      <c r="E1190" s="41" t="s">
        <v>46</v>
      </c>
      <c r="F1190" s="41" t="s">
        <v>36</v>
      </c>
      <c r="G1190" s="41" t="s">
        <v>40</v>
      </c>
      <c r="H1190" s="42" t="n">
        <v>66</v>
      </c>
      <c r="I1190" s="42" t="n">
        <v>79</v>
      </c>
      <c r="J1190" s="42" t="n">
        <v>8467</v>
      </c>
      <c r="K1190" s="42" t="n">
        <v>1178</v>
      </c>
      <c r="L1190" s="43" t="n">
        <f aca="false">J1190-K1190</f>
        <v>7289</v>
      </c>
      <c r="M1190" s="42" t="n">
        <v>4082</v>
      </c>
      <c r="N1190" s="43" t="n">
        <f aca="false">L1190-M1190</f>
        <v>3207</v>
      </c>
    </row>
    <row r="1191" customFormat="false" ht="15" hidden="false" customHeight="false" outlineLevel="0" collapsed="false">
      <c r="A1191" s="40" t="n">
        <v>46235</v>
      </c>
      <c r="B1191" s="41" t="n">
        <v>2026</v>
      </c>
      <c r="C1191" s="41" t="n">
        <v>8</v>
      </c>
      <c r="D1191" s="41" t="s">
        <v>53</v>
      </c>
      <c r="E1191" s="41" t="s">
        <v>46</v>
      </c>
      <c r="F1191" s="41" t="s">
        <v>36</v>
      </c>
      <c r="G1191" s="41" t="s">
        <v>41</v>
      </c>
      <c r="H1191" s="42" t="n">
        <v>88</v>
      </c>
      <c r="I1191" s="42" t="n">
        <v>114</v>
      </c>
      <c r="J1191" s="42" t="n">
        <v>5375</v>
      </c>
      <c r="K1191" s="42" t="n">
        <v>160</v>
      </c>
      <c r="L1191" s="43" t="n">
        <f aca="false">J1191-K1191</f>
        <v>5215</v>
      </c>
      <c r="M1191" s="42" t="n">
        <v>2503</v>
      </c>
      <c r="N1191" s="43" t="n">
        <f aca="false">L1191-M1191</f>
        <v>2712</v>
      </c>
    </row>
    <row r="1192" customFormat="false" ht="15" hidden="false" customHeight="false" outlineLevel="0" collapsed="false">
      <c r="A1192" s="40" t="n">
        <v>46235</v>
      </c>
      <c r="B1192" s="41" t="n">
        <v>2026</v>
      </c>
      <c r="C1192" s="41" t="n">
        <v>8</v>
      </c>
      <c r="D1192" s="41" t="s">
        <v>53</v>
      </c>
      <c r="E1192" s="41" t="s">
        <v>46</v>
      </c>
      <c r="F1192" s="41" t="s">
        <v>42</v>
      </c>
      <c r="G1192" s="41" t="s">
        <v>37</v>
      </c>
      <c r="H1192" s="42" t="n">
        <v>48</v>
      </c>
      <c r="I1192" s="42" t="n">
        <v>75</v>
      </c>
      <c r="J1192" s="42" t="n">
        <v>8291</v>
      </c>
      <c r="K1192" s="42" t="n">
        <v>421</v>
      </c>
      <c r="L1192" s="43" t="n">
        <f aca="false">J1192-K1192</f>
        <v>7870</v>
      </c>
      <c r="M1192" s="42" t="n">
        <v>4327</v>
      </c>
      <c r="N1192" s="43" t="n">
        <f aca="false">L1192-M1192</f>
        <v>3543</v>
      </c>
    </row>
    <row r="1193" customFormat="false" ht="15" hidden="false" customHeight="false" outlineLevel="0" collapsed="false">
      <c r="A1193" s="40" t="n">
        <v>46235</v>
      </c>
      <c r="B1193" s="41" t="n">
        <v>2026</v>
      </c>
      <c r="C1193" s="41" t="n">
        <v>8</v>
      </c>
      <c r="D1193" s="41" t="s">
        <v>53</v>
      </c>
      <c r="E1193" s="41" t="s">
        <v>46</v>
      </c>
      <c r="F1193" s="41" t="s">
        <v>42</v>
      </c>
      <c r="G1193" s="41" t="s">
        <v>38</v>
      </c>
      <c r="H1193" s="42" t="n">
        <v>82</v>
      </c>
      <c r="I1193" s="42" t="n">
        <v>118</v>
      </c>
      <c r="J1193" s="42" t="n">
        <v>8450</v>
      </c>
      <c r="K1193" s="42" t="n">
        <v>565</v>
      </c>
      <c r="L1193" s="43" t="n">
        <f aca="false">J1193-K1193</f>
        <v>7885</v>
      </c>
      <c r="M1193" s="42" t="n">
        <v>3684</v>
      </c>
      <c r="N1193" s="43" t="n">
        <f aca="false">L1193-M1193</f>
        <v>4201</v>
      </c>
    </row>
    <row r="1194" customFormat="false" ht="15" hidden="false" customHeight="false" outlineLevel="0" collapsed="false">
      <c r="A1194" s="40" t="n">
        <v>46235</v>
      </c>
      <c r="B1194" s="41" t="n">
        <v>2026</v>
      </c>
      <c r="C1194" s="41" t="n">
        <v>8</v>
      </c>
      <c r="D1194" s="41" t="s">
        <v>53</v>
      </c>
      <c r="E1194" s="41" t="s">
        <v>46</v>
      </c>
      <c r="F1194" s="41" t="s">
        <v>42</v>
      </c>
      <c r="G1194" s="41" t="s">
        <v>39</v>
      </c>
      <c r="H1194" s="42" t="n">
        <v>113</v>
      </c>
      <c r="I1194" s="42" t="n">
        <v>161</v>
      </c>
      <c r="J1194" s="42" t="n">
        <v>8696</v>
      </c>
      <c r="K1194" s="42" t="n">
        <v>1308</v>
      </c>
      <c r="L1194" s="43" t="n">
        <f aca="false">J1194-K1194</f>
        <v>7388</v>
      </c>
      <c r="M1194" s="42" t="n">
        <v>3017</v>
      </c>
      <c r="N1194" s="43" t="n">
        <f aca="false">L1194-M1194</f>
        <v>4371</v>
      </c>
    </row>
    <row r="1195" customFormat="false" ht="15" hidden="false" customHeight="false" outlineLevel="0" collapsed="false">
      <c r="A1195" s="40" t="n">
        <v>46235</v>
      </c>
      <c r="B1195" s="41" t="n">
        <v>2026</v>
      </c>
      <c r="C1195" s="41" t="n">
        <v>8</v>
      </c>
      <c r="D1195" s="41" t="s">
        <v>53</v>
      </c>
      <c r="E1195" s="41" t="s">
        <v>46</v>
      </c>
      <c r="F1195" s="41" t="s">
        <v>42</v>
      </c>
      <c r="G1195" s="41" t="s">
        <v>40</v>
      </c>
      <c r="H1195" s="42" t="n">
        <v>53</v>
      </c>
      <c r="I1195" s="42" t="n">
        <v>70</v>
      </c>
      <c r="J1195" s="42" t="n">
        <v>6231</v>
      </c>
      <c r="K1195" s="42" t="n">
        <v>954</v>
      </c>
      <c r="L1195" s="43" t="n">
        <f aca="false">J1195-K1195</f>
        <v>5277</v>
      </c>
      <c r="M1195" s="42" t="n">
        <v>3071</v>
      </c>
      <c r="N1195" s="43" t="n">
        <f aca="false">L1195-M1195</f>
        <v>2206</v>
      </c>
    </row>
    <row r="1196" customFormat="false" ht="15" hidden="false" customHeight="false" outlineLevel="0" collapsed="false">
      <c r="A1196" s="40" t="n">
        <v>46235</v>
      </c>
      <c r="B1196" s="41" t="n">
        <v>2026</v>
      </c>
      <c r="C1196" s="41" t="n">
        <v>8</v>
      </c>
      <c r="D1196" s="41" t="s">
        <v>53</v>
      </c>
      <c r="E1196" s="41" t="s">
        <v>46</v>
      </c>
      <c r="F1196" s="41" t="s">
        <v>42</v>
      </c>
      <c r="G1196" s="41" t="s">
        <v>41</v>
      </c>
      <c r="H1196" s="42" t="n">
        <v>78</v>
      </c>
      <c r="I1196" s="42" t="n">
        <v>99</v>
      </c>
      <c r="J1196" s="42" t="n">
        <v>4357</v>
      </c>
      <c r="K1196" s="42" t="n">
        <v>165</v>
      </c>
      <c r="L1196" s="43" t="n">
        <f aca="false">J1196-K1196</f>
        <v>4192</v>
      </c>
      <c r="M1196" s="42" t="n">
        <v>2140</v>
      </c>
      <c r="N1196" s="43" t="n">
        <f aca="false">L1196-M1196</f>
        <v>2052</v>
      </c>
    </row>
    <row r="1197" customFormat="false" ht="15" hidden="false" customHeight="false" outlineLevel="0" collapsed="false">
      <c r="A1197" s="40" t="n">
        <v>46235</v>
      </c>
      <c r="B1197" s="41" t="n">
        <v>2026</v>
      </c>
      <c r="C1197" s="41" t="n">
        <v>8</v>
      </c>
      <c r="D1197" s="41" t="s">
        <v>53</v>
      </c>
      <c r="E1197" s="41" t="s">
        <v>46</v>
      </c>
      <c r="F1197" s="41" t="s">
        <v>43</v>
      </c>
      <c r="G1197" s="41" t="s">
        <v>37</v>
      </c>
      <c r="H1197" s="42" t="n">
        <v>27</v>
      </c>
      <c r="I1197" s="42" t="n">
        <v>39</v>
      </c>
      <c r="J1197" s="42" t="n">
        <v>5363</v>
      </c>
      <c r="K1197" s="42" t="n">
        <v>121</v>
      </c>
      <c r="L1197" s="43" t="n">
        <f aca="false">J1197-K1197</f>
        <v>5242</v>
      </c>
      <c r="M1197" s="42" t="n">
        <v>2727</v>
      </c>
      <c r="N1197" s="43" t="n">
        <f aca="false">L1197-M1197</f>
        <v>2515</v>
      </c>
    </row>
    <row r="1198" customFormat="false" ht="15" hidden="false" customHeight="false" outlineLevel="0" collapsed="false">
      <c r="A1198" s="40" t="n">
        <v>46235</v>
      </c>
      <c r="B1198" s="41" t="n">
        <v>2026</v>
      </c>
      <c r="C1198" s="41" t="n">
        <v>8</v>
      </c>
      <c r="D1198" s="41" t="s">
        <v>53</v>
      </c>
      <c r="E1198" s="41" t="s">
        <v>46</v>
      </c>
      <c r="F1198" s="41" t="s">
        <v>43</v>
      </c>
      <c r="G1198" s="41" t="s">
        <v>38</v>
      </c>
      <c r="H1198" s="42" t="n">
        <v>38</v>
      </c>
      <c r="I1198" s="42" t="n">
        <v>57</v>
      </c>
      <c r="J1198" s="42" t="n">
        <v>4546</v>
      </c>
      <c r="K1198" s="42" t="n">
        <v>137</v>
      </c>
      <c r="L1198" s="43" t="n">
        <f aca="false">J1198-K1198</f>
        <v>4409</v>
      </c>
      <c r="M1198" s="42" t="n">
        <v>1952</v>
      </c>
      <c r="N1198" s="43" t="n">
        <f aca="false">L1198-M1198</f>
        <v>2457</v>
      </c>
    </row>
    <row r="1199" customFormat="false" ht="15" hidden="false" customHeight="false" outlineLevel="0" collapsed="false">
      <c r="A1199" s="40" t="n">
        <v>46235</v>
      </c>
      <c r="B1199" s="41" t="n">
        <v>2026</v>
      </c>
      <c r="C1199" s="41" t="n">
        <v>8</v>
      </c>
      <c r="D1199" s="41" t="s">
        <v>53</v>
      </c>
      <c r="E1199" s="41" t="s">
        <v>46</v>
      </c>
      <c r="F1199" s="41" t="s">
        <v>43</v>
      </c>
      <c r="G1199" s="41" t="s">
        <v>39</v>
      </c>
      <c r="H1199" s="42" t="n">
        <v>61</v>
      </c>
      <c r="I1199" s="42" t="n">
        <v>77</v>
      </c>
      <c r="J1199" s="42" t="n">
        <v>5409</v>
      </c>
      <c r="K1199" s="42" t="n">
        <v>414</v>
      </c>
      <c r="L1199" s="43" t="n">
        <f aca="false">J1199-K1199</f>
        <v>4995</v>
      </c>
      <c r="M1199" s="42" t="n">
        <v>1974</v>
      </c>
      <c r="N1199" s="43" t="n">
        <f aca="false">L1199-M1199</f>
        <v>3021</v>
      </c>
    </row>
    <row r="1200" customFormat="false" ht="15" hidden="false" customHeight="false" outlineLevel="0" collapsed="false">
      <c r="A1200" s="40" t="n">
        <v>46235</v>
      </c>
      <c r="B1200" s="41" t="n">
        <v>2026</v>
      </c>
      <c r="C1200" s="41" t="n">
        <v>8</v>
      </c>
      <c r="D1200" s="41" t="s">
        <v>53</v>
      </c>
      <c r="E1200" s="41" t="s">
        <v>46</v>
      </c>
      <c r="F1200" s="41" t="s">
        <v>43</v>
      </c>
      <c r="G1200" s="41" t="s">
        <v>40</v>
      </c>
      <c r="H1200" s="42" t="n">
        <v>37</v>
      </c>
      <c r="I1200" s="42" t="n">
        <v>58</v>
      </c>
      <c r="J1200" s="42" t="n">
        <v>4956</v>
      </c>
      <c r="K1200" s="42" t="n">
        <v>425</v>
      </c>
      <c r="L1200" s="43" t="n">
        <f aca="false">J1200-K1200</f>
        <v>4531</v>
      </c>
      <c r="M1200" s="42" t="n">
        <v>2555</v>
      </c>
      <c r="N1200" s="43" t="n">
        <f aca="false">L1200-M1200</f>
        <v>1976</v>
      </c>
    </row>
    <row r="1201" customFormat="false" ht="15" hidden="false" customHeight="false" outlineLevel="0" collapsed="false">
      <c r="A1201" s="40" t="n">
        <v>46235</v>
      </c>
      <c r="B1201" s="41" t="n">
        <v>2026</v>
      </c>
      <c r="C1201" s="41" t="n">
        <v>8</v>
      </c>
      <c r="D1201" s="41" t="s">
        <v>53</v>
      </c>
      <c r="E1201" s="41" t="s">
        <v>46</v>
      </c>
      <c r="F1201" s="41" t="s">
        <v>43</v>
      </c>
      <c r="G1201" s="41" t="s">
        <v>41</v>
      </c>
      <c r="H1201" s="42" t="n">
        <v>41</v>
      </c>
      <c r="I1201" s="42" t="n">
        <v>64</v>
      </c>
      <c r="J1201" s="42" t="n">
        <v>2623</v>
      </c>
      <c r="K1201" s="42" t="n">
        <v>54</v>
      </c>
      <c r="L1201" s="43" t="n">
        <f aca="false">J1201-K1201</f>
        <v>2569</v>
      </c>
      <c r="M1201" s="42" t="n">
        <v>1210</v>
      </c>
      <c r="N1201" s="43" t="n">
        <f aca="false">L1201-M1201</f>
        <v>1359</v>
      </c>
    </row>
    <row r="1202" customFormat="false" ht="15" hidden="false" customHeight="false" outlineLevel="0" collapsed="false">
      <c r="A1202" s="40" t="n">
        <v>46266</v>
      </c>
      <c r="B1202" s="41" t="n">
        <v>2026</v>
      </c>
      <c r="C1202" s="41" t="n">
        <v>9</v>
      </c>
      <c r="D1202" s="41" t="s">
        <v>54</v>
      </c>
      <c r="E1202" s="41" t="s">
        <v>35</v>
      </c>
      <c r="F1202" s="41" t="s">
        <v>36</v>
      </c>
      <c r="G1202" s="41" t="s">
        <v>37</v>
      </c>
      <c r="H1202" s="42" t="n">
        <v>100</v>
      </c>
      <c r="I1202" s="42" t="n">
        <v>154</v>
      </c>
      <c r="J1202" s="42" t="n">
        <v>18807</v>
      </c>
      <c r="K1202" s="42" t="n">
        <v>718</v>
      </c>
      <c r="L1202" s="43" t="n">
        <f aca="false">J1202-K1202</f>
        <v>18089</v>
      </c>
      <c r="M1202" s="42" t="n">
        <v>9353</v>
      </c>
      <c r="N1202" s="43" t="n">
        <f aca="false">L1202-M1202</f>
        <v>8736</v>
      </c>
    </row>
    <row r="1203" customFormat="false" ht="15" hidden="false" customHeight="false" outlineLevel="0" collapsed="false">
      <c r="A1203" s="40" t="n">
        <v>46266</v>
      </c>
      <c r="B1203" s="41" t="n">
        <v>2026</v>
      </c>
      <c r="C1203" s="41" t="n">
        <v>9</v>
      </c>
      <c r="D1203" s="41" t="s">
        <v>54</v>
      </c>
      <c r="E1203" s="41" t="s">
        <v>35</v>
      </c>
      <c r="F1203" s="41" t="s">
        <v>36</v>
      </c>
      <c r="G1203" s="41" t="s">
        <v>38</v>
      </c>
      <c r="H1203" s="42" t="n">
        <v>152</v>
      </c>
      <c r="I1203" s="42" t="n">
        <v>226</v>
      </c>
      <c r="J1203" s="42" t="n">
        <v>16994</v>
      </c>
      <c r="K1203" s="42" t="n">
        <v>883</v>
      </c>
      <c r="L1203" s="43" t="n">
        <f aca="false">J1203-K1203</f>
        <v>16111</v>
      </c>
      <c r="M1203" s="42" t="n">
        <v>7458</v>
      </c>
      <c r="N1203" s="43" t="n">
        <f aca="false">L1203-M1203</f>
        <v>8653</v>
      </c>
    </row>
    <row r="1204" customFormat="false" ht="15" hidden="false" customHeight="false" outlineLevel="0" collapsed="false">
      <c r="A1204" s="40" t="n">
        <v>46266</v>
      </c>
      <c r="B1204" s="41" t="n">
        <v>2026</v>
      </c>
      <c r="C1204" s="41" t="n">
        <v>9</v>
      </c>
      <c r="D1204" s="41" t="s">
        <v>54</v>
      </c>
      <c r="E1204" s="41" t="s">
        <v>35</v>
      </c>
      <c r="F1204" s="41" t="s">
        <v>36</v>
      </c>
      <c r="G1204" s="41" t="s">
        <v>39</v>
      </c>
      <c r="H1204" s="42" t="n">
        <v>190</v>
      </c>
      <c r="I1204" s="42" t="n">
        <v>223</v>
      </c>
      <c r="J1204" s="42" t="n">
        <v>15949</v>
      </c>
      <c r="K1204" s="42" t="n">
        <v>1355</v>
      </c>
      <c r="L1204" s="43" t="n">
        <f aca="false">J1204-K1204</f>
        <v>14594</v>
      </c>
      <c r="M1204" s="42" t="n">
        <v>5528</v>
      </c>
      <c r="N1204" s="43" t="n">
        <f aca="false">L1204-M1204</f>
        <v>9066</v>
      </c>
    </row>
    <row r="1205" customFormat="false" ht="15" hidden="false" customHeight="false" outlineLevel="0" collapsed="false">
      <c r="A1205" s="40" t="n">
        <v>46266</v>
      </c>
      <c r="B1205" s="41" t="n">
        <v>2026</v>
      </c>
      <c r="C1205" s="41" t="n">
        <v>9</v>
      </c>
      <c r="D1205" s="41" t="s">
        <v>54</v>
      </c>
      <c r="E1205" s="41" t="s">
        <v>35</v>
      </c>
      <c r="F1205" s="41" t="s">
        <v>36</v>
      </c>
      <c r="G1205" s="41" t="s">
        <v>40</v>
      </c>
      <c r="H1205" s="42" t="n">
        <v>109</v>
      </c>
      <c r="I1205" s="42" t="n">
        <v>156</v>
      </c>
      <c r="J1205" s="42" t="n">
        <v>13958</v>
      </c>
      <c r="K1205" s="42" t="n">
        <v>1415</v>
      </c>
      <c r="L1205" s="43" t="n">
        <f aca="false">J1205-K1205</f>
        <v>12543</v>
      </c>
      <c r="M1205" s="42" t="n">
        <v>6759</v>
      </c>
      <c r="N1205" s="43" t="n">
        <f aca="false">L1205-M1205</f>
        <v>5784</v>
      </c>
    </row>
    <row r="1206" customFormat="false" ht="15" hidden="false" customHeight="false" outlineLevel="0" collapsed="false">
      <c r="A1206" s="40" t="n">
        <v>46266</v>
      </c>
      <c r="B1206" s="41" t="n">
        <v>2026</v>
      </c>
      <c r="C1206" s="41" t="n">
        <v>9</v>
      </c>
      <c r="D1206" s="41" t="s">
        <v>54</v>
      </c>
      <c r="E1206" s="41" t="s">
        <v>35</v>
      </c>
      <c r="F1206" s="41" t="s">
        <v>36</v>
      </c>
      <c r="G1206" s="41" t="s">
        <v>41</v>
      </c>
      <c r="H1206" s="42" t="n">
        <v>131</v>
      </c>
      <c r="I1206" s="42" t="n">
        <v>187</v>
      </c>
      <c r="J1206" s="42" t="n">
        <v>8007</v>
      </c>
      <c r="K1206" s="42" t="n">
        <v>257</v>
      </c>
      <c r="L1206" s="43" t="n">
        <f aca="false">J1206-K1206</f>
        <v>7750</v>
      </c>
      <c r="M1206" s="42" t="n">
        <v>3825</v>
      </c>
      <c r="N1206" s="43" t="n">
        <f aca="false">L1206-M1206</f>
        <v>3925</v>
      </c>
    </row>
    <row r="1207" customFormat="false" ht="15" hidden="false" customHeight="false" outlineLevel="0" collapsed="false">
      <c r="A1207" s="40" t="n">
        <v>46266</v>
      </c>
      <c r="B1207" s="41" t="n">
        <v>2026</v>
      </c>
      <c r="C1207" s="41" t="n">
        <v>9</v>
      </c>
      <c r="D1207" s="41" t="s">
        <v>54</v>
      </c>
      <c r="E1207" s="41" t="s">
        <v>35</v>
      </c>
      <c r="F1207" s="41" t="s">
        <v>42</v>
      </c>
      <c r="G1207" s="41" t="s">
        <v>37</v>
      </c>
      <c r="H1207" s="42" t="n">
        <v>68</v>
      </c>
      <c r="I1207" s="42" t="n">
        <v>108</v>
      </c>
      <c r="J1207" s="42" t="n">
        <v>11756</v>
      </c>
      <c r="K1207" s="42" t="n">
        <v>618</v>
      </c>
      <c r="L1207" s="43" t="n">
        <f aca="false">J1207-K1207</f>
        <v>11138</v>
      </c>
      <c r="M1207" s="42" t="n">
        <v>6072</v>
      </c>
      <c r="N1207" s="43" t="n">
        <f aca="false">L1207-M1207</f>
        <v>5066</v>
      </c>
    </row>
    <row r="1208" customFormat="false" ht="15" hidden="false" customHeight="false" outlineLevel="0" collapsed="false">
      <c r="A1208" s="40" t="n">
        <v>46266</v>
      </c>
      <c r="B1208" s="41" t="n">
        <v>2026</v>
      </c>
      <c r="C1208" s="41" t="n">
        <v>9</v>
      </c>
      <c r="D1208" s="41" t="s">
        <v>54</v>
      </c>
      <c r="E1208" s="41" t="s">
        <v>35</v>
      </c>
      <c r="F1208" s="41" t="s">
        <v>42</v>
      </c>
      <c r="G1208" s="41" t="s">
        <v>38</v>
      </c>
      <c r="H1208" s="42" t="n">
        <v>97</v>
      </c>
      <c r="I1208" s="42" t="n">
        <v>122</v>
      </c>
      <c r="J1208" s="42" t="n">
        <v>9965</v>
      </c>
      <c r="K1208" s="42" t="n">
        <v>800</v>
      </c>
      <c r="L1208" s="43" t="n">
        <f aca="false">J1208-K1208</f>
        <v>9165</v>
      </c>
      <c r="M1208" s="42" t="n">
        <v>4454</v>
      </c>
      <c r="N1208" s="43" t="n">
        <f aca="false">L1208-M1208</f>
        <v>4711</v>
      </c>
    </row>
    <row r="1209" customFormat="false" ht="15" hidden="false" customHeight="false" outlineLevel="0" collapsed="false">
      <c r="A1209" s="40" t="n">
        <v>46266</v>
      </c>
      <c r="B1209" s="41" t="n">
        <v>2026</v>
      </c>
      <c r="C1209" s="41" t="n">
        <v>9</v>
      </c>
      <c r="D1209" s="41" t="s">
        <v>54</v>
      </c>
      <c r="E1209" s="41" t="s">
        <v>35</v>
      </c>
      <c r="F1209" s="41" t="s">
        <v>42</v>
      </c>
      <c r="G1209" s="41" t="s">
        <v>39</v>
      </c>
      <c r="H1209" s="42" t="n">
        <v>174</v>
      </c>
      <c r="I1209" s="42" t="n">
        <v>214</v>
      </c>
      <c r="J1209" s="42" t="n">
        <v>13478</v>
      </c>
      <c r="K1209" s="42" t="n">
        <v>1587</v>
      </c>
      <c r="L1209" s="43" t="n">
        <f aca="false">J1209-K1209</f>
        <v>11891</v>
      </c>
      <c r="M1209" s="42" t="n">
        <v>4825</v>
      </c>
      <c r="N1209" s="43" t="n">
        <f aca="false">L1209-M1209</f>
        <v>7066</v>
      </c>
    </row>
    <row r="1210" customFormat="false" ht="15" hidden="false" customHeight="false" outlineLevel="0" collapsed="false">
      <c r="A1210" s="40" t="n">
        <v>46266</v>
      </c>
      <c r="B1210" s="41" t="n">
        <v>2026</v>
      </c>
      <c r="C1210" s="41" t="n">
        <v>9</v>
      </c>
      <c r="D1210" s="41" t="s">
        <v>54</v>
      </c>
      <c r="E1210" s="41" t="s">
        <v>35</v>
      </c>
      <c r="F1210" s="41" t="s">
        <v>42</v>
      </c>
      <c r="G1210" s="41" t="s">
        <v>40</v>
      </c>
      <c r="H1210" s="42" t="n">
        <v>75</v>
      </c>
      <c r="I1210" s="42" t="n">
        <v>111</v>
      </c>
      <c r="J1210" s="42" t="n">
        <v>8792</v>
      </c>
      <c r="K1210" s="42" t="n">
        <v>1173</v>
      </c>
      <c r="L1210" s="43" t="n">
        <f aca="false">J1210-K1210</f>
        <v>7619</v>
      </c>
      <c r="M1210" s="42" t="n">
        <v>4336</v>
      </c>
      <c r="N1210" s="43" t="n">
        <f aca="false">L1210-M1210</f>
        <v>3283</v>
      </c>
    </row>
    <row r="1211" customFormat="false" ht="15" hidden="false" customHeight="false" outlineLevel="0" collapsed="false">
      <c r="A1211" s="40" t="n">
        <v>46266</v>
      </c>
      <c r="B1211" s="41" t="n">
        <v>2026</v>
      </c>
      <c r="C1211" s="41" t="n">
        <v>9</v>
      </c>
      <c r="D1211" s="41" t="s">
        <v>54</v>
      </c>
      <c r="E1211" s="41" t="s">
        <v>35</v>
      </c>
      <c r="F1211" s="41" t="s">
        <v>42</v>
      </c>
      <c r="G1211" s="41" t="s">
        <v>41</v>
      </c>
      <c r="H1211" s="42" t="n">
        <v>115</v>
      </c>
      <c r="I1211" s="42" t="n">
        <v>134</v>
      </c>
      <c r="J1211" s="42" t="n">
        <v>6426</v>
      </c>
      <c r="K1211" s="42" t="n">
        <v>254</v>
      </c>
      <c r="L1211" s="43" t="n">
        <f aca="false">J1211-K1211</f>
        <v>6172</v>
      </c>
      <c r="M1211" s="42" t="n">
        <v>3145</v>
      </c>
      <c r="N1211" s="43" t="n">
        <f aca="false">L1211-M1211</f>
        <v>3027</v>
      </c>
    </row>
    <row r="1212" customFormat="false" ht="15" hidden="false" customHeight="false" outlineLevel="0" collapsed="false">
      <c r="A1212" s="40" t="n">
        <v>46266</v>
      </c>
      <c r="B1212" s="41" t="n">
        <v>2026</v>
      </c>
      <c r="C1212" s="41" t="n">
        <v>9</v>
      </c>
      <c r="D1212" s="41" t="s">
        <v>54</v>
      </c>
      <c r="E1212" s="41" t="s">
        <v>35</v>
      </c>
      <c r="F1212" s="41" t="s">
        <v>43</v>
      </c>
      <c r="G1212" s="41" t="s">
        <v>37</v>
      </c>
      <c r="H1212" s="42" t="n">
        <v>43</v>
      </c>
      <c r="I1212" s="42" t="n">
        <v>58</v>
      </c>
      <c r="J1212" s="42" t="n">
        <v>8589</v>
      </c>
      <c r="K1212" s="42" t="n">
        <v>277</v>
      </c>
      <c r="L1212" s="43" t="n">
        <f aca="false">J1212-K1212</f>
        <v>8312</v>
      </c>
      <c r="M1212" s="42" t="n">
        <v>4432</v>
      </c>
      <c r="N1212" s="43" t="n">
        <f aca="false">L1212-M1212</f>
        <v>3880</v>
      </c>
    </row>
    <row r="1213" customFormat="false" ht="15" hidden="false" customHeight="false" outlineLevel="0" collapsed="false">
      <c r="A1213" s="40" t="n">
        <v>46266</v>
      </c>
      <c r="B1213" s="41" t="n">
        <v>2026</v>
      </c>
      <c r="C1213" s="41" t="n">
        <v>9</v>
      </c>
      <c r="D1213" s="41" t="s">
        <v>54</v>
      </c>
      <c r="E1213" s="41" t="s">
        <v>35</v>
      </c>
      <c r="F1213" s="41" t="s">
        <v>43</v>
      </c>
      <c r="G1213" s="41" t="s">
        <v>38</v>
      </c>
      <c r="H1213" s="42" t="n">
        <v>59</v>
      </c>
      <c r="I1213" s="42" t="n">
        <v>78</v>
      </c>
      <c r="J1213" s="42" t="n">
        <v>7023</v>
      </c>
      <c r="K1213" s="42" t="n">
        <v>289</v>
      </c>
      <c r="L1213" s="43" t="n">
        <f aca="false">J1213-K1213</f>
        <v>6734</v>
      </c>
      <c r="M1213" s="42" t="n">
        <v>3096</v>
      </c>
      <c r="N1213" s="43" t="n">
        <f aca="false">L1213-M1213</f>
        <v>3638</v>
      </c>
    </row>
    <row r="1214" customFormat="false" ht="15" hidden="false" customHeight="false" outlineLevel="0" collapsed="false">
      <c r="A1214" s="40" t="n">
        <v>46266</v>
      </c>
      <c r="B1214" s="41" t="n">
        <v>2026</v>
      </c>
      <c r="C1214" s="41" t="n">
        <v>9</v>
      </c>
      <c r="D1214" s="41" t="s">
        <v>54</v>
      </c>
      <c r="E1214" s="41" t="s">
        <v>35</v>
      </c>
      <c r="F1214" s="41" t="s">
        <v>43</v>
      </c>
      <c r="G1214" s="41" t="s">
        <v>39</v>
      </c>
      <c r="H1214" s="42" t="n">
        <v>110</v>
      </c>
      <c r="I1214" s="42" t="n">
        <v>154</v>
      </c>
      <c r="J1214" s="42" t="n">
        <v>9779</v>
      </c>
      <c r="K1214" s="42" t="n">
        <v>587</v>
      </c>
      <c r="L1214" s="43" t="n">
        <f aca="false">J1214-K1214</f>
        <v>9192</v>
      </c>
      <c r="M1214" s="42" t="n">
        <v>3515</v>
      </c>
      <c r="N1214" s="43" t="n">
        <f aca="false">L1214-M1214</f>
        <v>5677</v>
      </c>
    </row>
    <row r="1215" customFormat="false" ht="15" hidden="false" customHeight="false" outlineLevel="0" collapsed="false">
      <c r="A1215" s="40" t="n">
        <v>46266</v>
      </c>
      <c r="B1215" s="41" t="n">
        <v>2026</v>
      </c>
      <c r="C1215" s="41" t="n">
        <v>9</v>
      </c>
      <c r="D1215" s="41" t="s">
        <v>54</v>
      </c>
      <c r="E1215" s="41" t="s">
        <v>35</v>
      </c>
      <c r="F1215" s="41" t="s">
        <v>43</v>
      </c>
      <c r="G1215" s="41" t="s">
        <v>40</v>
      </c>
      <c r="H1215" s="42" t="n">
        <v>45</v>
      </c>
      <c r="I1215" s="42" t="n">
        <v>66</v>
      </c>
      <c r="J1215" s="42" t="n">
        <v>6102</v>
      </c>
      <c r="K1215" s="42" t="n">
        <v>411</v>
      </c>
      <c r="L1215" s="43" t="n">
        <f aca="false">J1215-K1215</f>
        <v>5691</v>
      </c>
      <c r="M1215" s="42" t="n">
        <v>3187</v>
      </c>
      <c r="N1215" s="43" t="n">
        <f aca="false">L1215-M1215</f>
        <v>2504</v>
      </c>
    </row>
    <row r="1216" customFormat="false" ht="15" hidden="false" customHeight="false" outlineLevel="0" collapsed="false">
      <c r="A1216" s="40" t="n">
        <v>46266</v>
      </c>
      <c r="B1216" s="41" t="n">
        <v>2026</v>
      </c>
      <c r="C1216" s="41" t="n">
        <v>9</v>
      </c>
      <c r="D1216" s="41" t="s">
        <v>54</v>
      </c>
      <c r="E1216" s="41" t="s">
        <v>35</v>
      </c>
      <c r="F1216" s="41" t="s">
        <v>43</v>
      </c>
      <c r="G1216" s="41" t="s">
        <v>41</v>
      </c>
      <c r="H1216" s="42" t="n">
        <v>70</v>
      </c>
      <c r="I1216" s="42" t="n">
        <v>97</v>
      </c>
      <c r="J1216" s="42" t="n">
        <v>4542</v>
      </c>
      <c r="K1216" s="42" t="n">
        <v>77</v>
      </c>
      <c r="L1216" s="43" t="n">
        <f aca="false">J1216-K1216</f>
        <v>4465</v>
      </c>
      <c r="M1216" s="42" t="n">
        <v>2182</v>
      </c>
      <c r="N1216" s="43" t="n">
        <f aca="false">L1216-M1216</f>
        <v>2283</v>
      </c>
    </row>
    <row r="1217" customFormat="false" ht="15" hidden="false" customHeight="false" outlineLevel="0" collapsed="false">
      <c r="A1217" s="40" t="n">
        <v>46266</v>
      </c>
      <c r="B1217" s="41" t="n">
        <v>2026</v>
      </c>
      <c r="C1217" s="41" t="n">
        <v>9</v>
      </c>
      <c r="D1217" s="41" t="s">
        <v>54</v>
      </c>
      <c r="E1217" s="41" t="s">
        <v>44</v>
      </c>
      <c r="F1217" s="41" t="s">
        <v>36</v>
      </c>
      <c r="G1217" s="41" t="s">
        <v>37</v>
      </c>
      <c r="H1217" s="42" t="n">
        <v>72</v>
      </c>
      <c r="I1217" s="42" t="n">
        <v>104</v>
      </c>
      <c r="J1217" s="42" t="n">
        <v>13629</v>
      </c>
      <c r="K1217" s="42" t="n">
        <v>560</v>
      </c>
      <c r="L1217" s="43" t="n">
        <f aca="false">J1217-K1217</f>
        <v>13069</v>
      </c>
      <c r="M1217" s="42" t="n">
        <v>7021</v>
      </c>
      <c r="N1217" s="43" t="n">
        <f aca="false">L1217-M1217</f>
        <v>6048</v>
      </c>
    </row>
    <row r="1218" customFormat="false" ht="15" hidden="false" customHeight="false" outlineLevel="0" collapsed="false">
      <c r="A1218" s="40" t="n">
        <v>46266</v>
      </c>
      <c r="B1218" s="41" t="n">
        <v>2026</v>
      </c>
      <c r="C1218" s="41" t="n">
        <v>9</v>
      </c>
      <c r="D1218" s="41" t="s">
        <v>54</v>
      </c>
      <c r="E1218" s="41" t="s">
        <v>44</v>
      </c>
      <c r="F1218" s="41" t="s">
        <v>36</v>
      </c>
      <c r="G1218" s="41" t="s">
        <v>38</v>
      </c>
      <c r="H1218" s="42" t="n">
        <v>106</v>
      </c>
      <c r="I1218" s="42" t="n">
        <v>168</v>
      </c>
      <c r="J1218" s="42" t="n">
        <v>11907</v>
      </c>
      <c r="K1218" s="42" t="n">
        <v>704</v>
      </c>
      <c r="L1218" s="43" t="n">
        <f aca="false">J1218-K1218</f>
        <v>11203</v>
      </c>
      <c r="M1218" s="42" t="n">
        <v>5171</v>
      </c>
      <c r="N1218" s="43" t="n">
        <f aca="false">L1218-M1218</f>
        <v>6032</v>
      </c>
    </row>
    <row r="1219" customFormat="false" ht="15" hidden="false" customHeight="false" outlineLevel="0" collapsed="false">
      <c r="A1219" s="40" t="n">
        <v>46266</v>
      </c>
      <c r="B1219" s="41" t="n">
        <v>2026</v>
      </c>
      <c r="C1219" s="41" t="n">
        <v>9</v>
      </c>
      <c r="D1219" s="41" t="s">
        <v>54</v>
      </c>
      <c r="E1219" s="41" t="s">
        <v>44</v>
      </c>
      <c r="F1219" s="41" t="s">
        <v>36</v>
      </c>
      <c r="G1219" s="41" t="s">
        <v>39</v>
      </c>
      <c r="H1219" s="42" t="n">
        <v>179</v>
      </c>
      <c r="I1219" s="42" t="n">
        <v>231</v>
      </c>
      <c r="J1219" s="42" t="n">
        <v>15016</v>
      </c>
      <c r="K1219" s="42" t="n">
        <v>1427</v>
      </c>
      <c r="L1219" s="43" t="n">
        <f aca="false">J1219-K1219</f>
        <v>13589</v>
      </c>
      <c r="M1219" s="42" t="n">
        <v>5226</v>
      </c>
      <c r="N1219" s="43" t="n">
        <f aca="false">L1219-M1219</f>
        <v>8363</v>
      </c>
    </row>
    <row r="1220" customFormat="false" ht="15" hidden="false" customHeight="false" outlineLevel="0" collapsed="false">
      <c r="A1220" s="40" t="n">
        <v>46266</v>
      </c>
      <c r="B1220" s="41" t="n">
        <v>2026</v>
      </c>
      <c r="C1220" s="41" t="n">
        <v>9</v>
      </c>
      <c r="D1220" s="41" t="s">
        <v>54</v>
      </c>
      <c r="E1220" s="41" t="s">
        <v>44</v>
      </c>
      <c r="F1220" s="41" t="s">
        <v>36</v>
      </c>
      <c r="G1220" s="41" t="s">
        <v>40</v>
      </c>
      <c r="H1220" s="42" t="n">
        <v>91</v>
      </c>
      <c r="I1220" s="42" t="n">
        <v>137</v>
      </c>
      <c r="J1220" s="42" t="n">
        <v>11658</v>
      </c>
      <c r="K1220" s="42" t="n">
        <v>1560</v>
      </c>
      <c r="L1220" s="43" t="n">
        <f aca="false">J1220-K1220</f>
        <v>10098</v>
      </c>
      <c r="M1220" s="42" t="n">
        <v>5661</v>
      </c>
      <c r="N1220" s="43" t="n">
        <f aca="false">L1220-M1220</f>
        <v>4437</v>
      </c>
    </row>
    <row r="1221" customFormat="false" ht="15" hidden="false" customHeight="false" outlineLevel="0" collapsed="false">
      <c r="A1221" s="40" t="n">
        <v>46266</v>
      </c>
      <c r="B1221" s="41" t="n">
        <v>2026</v>
      </c>
      <c r="C1221" s="41" t="n">
        <v>9</v>
      </c>
      <c r="D1221" s="41" t="s">
        <v>54</v>
      </c>
      <c r="E1221" s="41" t="s">
        <v>44</v>
      </c>
      <c r="F1221" s="41" t="s">
        <v>36</v>
      </c>
      <c r="G1221" s="41" t="s">
        <v>41</v>
      </c>
      <c r="H1221" s="42" t="n">
        <v>130</v>
      </c>
      <c r="I1221" s="42" t="n">
        <v>190</v>
      </c>
      <c r="J1221" s="42" t="n">
        <v>7942</v>
      </c>
      <c r="K1221" s="42" t="n">
        <v>221</v>
      </c>
      <c r="L1221" s="43" t="n">
        <f aca="false">J1221-K1221</f>
        <v>7721</v>
      </c>
      <c r="M1221" s="42" t="n">
        <v>3763</v>
      </c>
      <c r="N1221" s="43" t="n">
        <f aca="false">L1221-M1221</f>
        <v>3958</v>
      </c>
    </row>
    <row r="1222" customFormat="false" ht="15" hidden="false" customHeight="false" outlineLevel="0" collapsed="false">
      <c r="A1222" s="40" t="n">
        <v>46266</v>
      </c>
      <c r="B1222" s="41" t="n">
        <v>2026</v>
      </c>
      <c r="C1222" s="41" t="n">
        <v>9</v>
      </c>
      <c r="D1222" s="41" t="s">
        <v>54</v>
      </c>
      <c r="E1222" s="41" t="s">
        <v>44</v>
      </c>
      <c r="F1222" s="41" t="s">
        <v>42</v>
      </c>
      <c r="G1222" s="41" t="s">
        <v>37</v>
      </c>
      <c r="H1222" s="42" t="n">
        <v>52</v>
      </c>
      <c r="I1222" s="42" t="n">
        <v>74</v>
      </c>
      <c r="J1222" s="42" t="n">
        <v>9068</v>
      </c>
      <c r="K1222" s="42" t="n">
        <v>423</v>
      </c>
      <c r="L1222" s="43" t="n">
        <f aca="false">J1222-K1222</f>
        <v>8645</v>
      </c>
      <c r="M1222" s="42" t="n">
        <v>4846</v>
      </c>
      <c r="N1222" s="43" t="n">
        <f aca="false">L1222-M1222</f>
        <v>3799</v>
      </c>
    </row>
    <row r="1223" customFormat="false" ht="15" hidden="false" customHeight="false" outlineLevel="0" collapsed="false">
      <c r="A1223" s="40" t="n">
        <v>46266</v>
      </c>
      <c r="B1223" s="41" t="n">
        <v>2026</v>
      </c>
      <c r="C1223" s="41" t="n">
        <v>9</v>
      </c>
      <c r="D1223" s="41" t="s">
        <v>54</v>
      </c>
      <c r="E1223" s="41" t="s">
        <v>44</v>
      </c>
      <c r="F1223" s="41" t="s">
        <v>42</v>
      </c>
      <c r="G1223" s="41" t="s">
        <v>38</v>
      </c>
      <c r="H1223" s="42" t="n">
        <v>82</v>
      </c>
      <c r="I1223" s="42" t="n">
        <v>104</v>
      </c>
      <c r="J1223" s="42" t="n">
        <v>8474</v>
      </c>
      <c r="K1223" s="42" t="n">
        <v>669</v>
      </c>
      <c r="L1223" s="43" t="n">
        <f aca="false">J1223-K1223</f>
        <v>7805</v>
      </c>
      <c r="M1223" s="42" t="n">
        <v>3592</v>
      </c>
      <c r="N1223" s="43" t="n">
        <f aca="false">L1223-M1223</f>
        <v>4213</v>
      </c>
    </row>
    <row r="1224" customFormat="false" ht="15" hidden="false" customHeight="false" outlineLevel="0" collapsed="false">
      <c r="A1224" s="40" t="n">
        <v>46266</v>
      </c>
      <c r="B1224" s="41" t="n">
        <v>2026</v>
      </c>
      <c r="C1224" s="41" t="n">
        <v>9</v>
      </c>
      <c r="D1224" s="41" t="s">
        <v>54</v>
      </c>
      <c r="E1224" s="41" t="s">
        <v>44</v>
      </c>
      <c r="F1224" s="41" t="s">
        <v>42</v>
      </c>
      <c r="G1224" s="41" t="s">
        <v>39</v>
      </c>
      <c r="H1224" s="42" t="n">
        <v>147</v>
      </c>
      <c r="I1224" s="42" t="n">
        <v>219</v>
      </c>
      <c r="J1224" s="42" t="n">
        <v>11339</v>
      </c>
      <c r="K1224" s="42" t="n">
        <v>1316</v>
      </c>
      <c r="L1224" s="43" t="n">
        <f aca="false">J1224-K1224</f>
        <v>10023</v>
      </c>
      <c r="M1224" s="42" t="n">
        <v>4218</v>
      </c>
      <c r="N1224" s="43" t="n">
        <f aca="false">L1224-M1224</f>
        <v>5805</v>
      </c>
    </row>
    <row r="1225" customFormat="false" ht="15" hidden="false" customHeight="false" outlineLevel="0" collapsed="false">
      <c r="A1225" s="40" t="n">
        <v>46266</v>
      </c>
      <c r="B1225" s="41" t="n">
        <v>2026</v>
      </c>
      <c r="C1225" s="41" t="n">
        <v>9</v>
      </c>
      <c r="D1225" s="41" t="s">
        <v>54</v>
      </c>
      <c r="E1225" s="41" t="s">
        <v>44</v>
      </c>
      <c r="F1225" s="41" t="s">
        <v>42</v>
      </c>
      <c r="G1225" s="41" t="s">
        <v>40</v>
      </c>
      <c r="H1225" s="42" t="n">
        <v>63</v>
      </c>
      <c r="I1225" s="42" t="n">
        <v>98</v>
      </c>
      <c r="J1225" s="42" t="n">
        <v>7436</v>
      </c>
      <c r="K1225" s="42" t="n">
        <v>1246</v>
      </c>
      <c r="L1225" s="43" t="n">
        <f aca="false">J1225-K1225</f>
        <v>6190</v>
      </c>
      <c r="M1225" s="42" t="n">
        <v>3500</v>
      </c>
      <c r="N1225" s="43" t="n">
        <f aca="false">L1225-M1225</f>
        <v>2690</v>
      </c>
    </row>
    <row r="1226" customFormat="false" ht="15" hidden="false" customHeight="false" outlineLevel="0" collapsed="false">
      <c r="A1226" s="40" t="n">
        <v>46266</v>
      </c>
      <c r="B1226" s="41" t="n">
        <v>2026</v>
      </c>
      <c r="C1226" s="41" t="n">
        <v>9</v>
      </c>
      <c r="D1226" s="41" t="s">
        <v>54</v>
      </c>
      <c r="E1226" s="41" t="s">
        <v>44</v>
      </c>
      <c r="F1226" s="41" t="s">
        <v>42</v>
      </c>
      <c r="G1226" s="41" t="s">
        <v>41</v>
      </c>
      <c r="H1226" s="42" t="n">
        <v>97</v>
      </c>
      <c r="I1226" s="42" t="n">
        <v>115</v>
      </c>
      <c r="J1226" s="42" t="n">
        <v>5447</v>
      </c>
      <c r="K1226" s="42" t="n">
        <v>245</v>
      </c>
      <c r="L1226" s="43" t="n">
        <f aca="false">J1226-K1226</f>
        <v>5202</v>
      </c>
      <c r="M1226" s="42" t="n">
        <v>2543</v>
      </c>
      <c r="N1226" s="43" t="n">
        <f aca="false">L1226-M1226</f>
        <v>2659</v>
      </c>
    </row>
    <row r="1227" customFormat="false" ht="15" hidden="false" customHeight="false" outlineLevel="0" collapsed="false">
      <c r="A1227" s="40" t="n">
        <v>46266</v>
      </c>
      <c r="B1227" s="41" t="n">
        <v>2026</v>
      </c>
      <c r="C1227" s="41" t="n">
        <v>9</v>
      </c>
      <c r="D1227" s="41" t="s">
        <v>54</v>
      </c>
      <c r="E1227" s="41" t="s">
        <v>44</v>
      </c>
      <c r="F1227" s="41" t="s">
        <v>43</v>
      </c>
      <c r="G1227" s="41" t="s">
        <v>37</v>
      </c>
      <c r="H1227" s="42" t="n">
        <v>31</v>
      </c>
      <c r="I1227" s="42" t="n">
        <v>37</v>
      </c>
      <c r="J1227" s="42" t="n">
        <v>6261</v>
      </c>
      <c r="K1227" s="42" t="n">
        <v>201</v>
      </c>
      <c r="L1227" s="43" t="n">
        <f aca="false">J1227-K1227</f>
        <v>6060</v>
      </c>
      <c r="M1227" s="42" t="n">
        <v>3201</v>
      </c>
      <c r="N1227" s="43" t="n">
        <f aca="false">L1227-M1227</f>
        <v>2859</v>
      </c>
    </row>
    <row r="1228" customFormat="false" ht="15" hidden="false" customHeight="false" outlineLevel="0" collapsed="false">
      <c r="A1228" s="40" t="n">
        <v>46266</v>
      </c>
      <c r="B1228" s="41" t="n">
        <v>2026</v>
      </c>
      <c r="C1228" s="41" t="n">
        <v>9</v>
      </c>
      <c r="D1228" s="41" t="s">
        <v>54</v>
      </c>
      <c r="E1228" s="41" t="s">
        <v>44</v>
      </c>
      <c r="F1228" s="41" t="s">
        <v>43</v>
      </c>
      <c r="G1228" s="41" t="s">
        <v>38</v>
      </c>
      <c r="H1228" s="42" t="n">
        <v>52</v>
      </c>
      <c r="I1228" s="42" t="n">
        <v>66</v>
      </c>
      <c r="J1228" s="42" t="n">
        <v>6214</v>
      </c>
      <c r="K1228" s="42" t="n">
        <v>238</v>
      </c>
      <c r="L1228" s="43" t="n">
        <f aca="false">J1228-K1228</f>
        <v>5976</v>
      </c>
      <c r="M1228" s="42" t="n">
        <v>2714</v>
      </c>
      <c r="N1228" s="43" t="n">
        <f aca="false">L1228-M1228</f>
        <v>3262</v>
      </c>
    </row>
    <row r="1229" customFormat="false" ht="15" hidden="false" customHeight="false" outlineLevel="0" collapsed="false">
      <c r="A1229" s="40" t="n">
        <v>46266</v>
      </c>
      <c r="B1229" s="41" t="n">
        <v>2026</v>
      </c>
      <c r="C1229" s="41" t="n">
        <v>9</v>
      </c>
      <c r="D1229" s="41" t="s">
        <v>54</v>
      </c>
      <c r="E1229" s="41" t="s">
        <v>44</v>
      </c>
      <c r="F1229" s="41" t="s">
        <v>43</v>
      </c>
      <c r="G1229" s="41" t="s">
        <v>39</v>
      </c>
      <c r="H1229" s="42" t="n">
        <v>69</v>
      </c>
      <c r="I1229" s="42" t="n">
        <v>95</v>
      </c>
      <c r="J1229" s="42" t="n">
        <v>6173</v>
      </c>
      <c r="K1229" s="42" t="n">
        <v>470</v>
      </c>
      <c r="L1229" s="43" t="n">
        <f aca="false">J1229-K1229</f>
        <v>5703</v>
      </c>
      <c r="M1229" s="42" t="n">
        <v>2186</v>
      </c>
      <c r="N1229" s="43" t="n">
        <f aca="false">L1229-M1229</f>
        <v>3517</v>
      </c>
    </row>
    <row r="1230" customFormat="false" ht="15" hidden="false" customHeight="false" outlineLevel="0" collapsed="false">
      <c r="A1230" s="40" t="n">
        <v>46266</v>
      </c>
      <c r="B1230" s="41" t="n">
        <v>2026</v>
      </c>
      <c r="C1230" s="41" t="n">
        <v>9</v>
      </c>
      <c r="D1230" s="41" t="s">
        <v>54</v>
      </c>
      <c r="E1230" s="41" t="s">
        <v>44</v>
      </c>
      <c r="F1230" s="41" t="s">
        <v>43</v>
      </c>
      <c r="G1230" s="41" t="s">
        <v>40</v>
      </c>
      <c r="H1230" s="42" t="n">
        <v>39</v>
      </c>
      <c r="I1230" s="42" t="n">
        <v>50</v>
      </c>
      <c r="J1230" s="42" t="n">
        <v>5226</v>
      </c>
      <c r="K1230" s="42" t="n">
        <v>416</v>
      </c>
      <c r="L1230" s="43" t="n">
        <f aca="false">J1230-K1230</f>
        <v>4810</v>
      </c>
      <c r="M1230" s="42" t="n">
        <v>2712</v>
      </c>
      <c r="N1230" s="43" t="n">
        <f aca="false">L1230-M1230</f>
        <v>2098</v>
      </c>
    </row>
    <row r="1231" customFormat="false" ht="15" hidden="false" customHeight="false" outlineLevel="0" collapsed="false">
      <c r="A1231" s="40" t="n">
        <v>46266</v>
      </c>
      <c r="B1231" s="41" t="n">
        <v>2026</v>
      </c>
      <c r="C1231" s="41" t="n">
        <v>9</v>
      </c>
      <c r="D1231" s="41" t="s">
        <v>54</v>
      </c>
      <c r="E1231" s="41" t="s">
        <v>44</v>
      </c>
      <c r="F1231" s="41" t="s">
        <v>43</v>
      </c>
      <c r="G1231" s="41" t="s">
        <v>41</v>
      </c>
      <c r="H1231" s="42" t="n">
        <v>58</v>
      </c>
      <c r="I1231" s="42" t="n">
        <v>93</v>
      </c>
      <c r="J1231" s="42" t="n">
        <v>3754</v>
      </c>
      <c r="K1231" s="42" t="n">
        <v>77</v>
      </c>
      <c r="L1231" s="43" t="n">
        <f aca="false">J1231-K1231</f>
        <v>3677</v>
      </c>
      <c r="M1231" s="42" t="n">
        <v>1773</v>
      </c>
      <c r="N1231" s="43" t="n">
        <f aca="false">L1231-M1231</f>
        <v>1904</v>
      </c>
    </row>
    <row r="1232" customFormat="false" ht="15" hidden="false" customHeight="false" outlineLevel="0" collapsed="false">
      <c r="A1232" s="40" t="n">
        <v>46266</v>
      </c>
      <c r="B1232" s="41" t="n">
        <v>2026</v>
      </c>
      <c r="C1232" s="41" t="n">
        <v>9</v>
      </c>
      <c r="D1232" s="41" t="s">
        <v>54</v>
      </c>
      <c r="E1232" s="41" t="s">
        <v>45</v>
      </c>
      <c r="F1232" s="41" t="s">
        <v>36</v>
      </c>
      <c r="G1232" s="41" t="s">
        <v>37</v>
      </c>
      <c r="H1232" s="42" t="n">
        <v>59</v>
      </c>
      <c r="I1232" s="42" t="n">
        <v>88</v>
      </c>
      <c r="J1232" s="42" t="n">
        <v>11238</v>
      </c>
      <c r="K1232" s="42" t="n">
        <v>442</v>
      </c>
      <c r="L1232" s="43" t="n">
        <f aca="false">J1232-K1232</f>
        <v>10796</v>
      </c>
      <c r="M1232" s="42" t="n">
        <v>5847</v>
      </c>
      <c r="N1232" s="43" t="n">
        <f aca="false">L1232-M1232</f>
        <v>4949</v>
      </c>
    </row>
    <row r="1233" customFormat="false" ht="15" hidden="false" customHeight="false" outlineLevel="0" collapsed="false">
      <c r="A1233" s="40" t="n">
        <v>46266</v>
      </c>
      <c r="B1233" s="41" t="n">
        <v>2026</v>
      </c>
      <c r="C1233" s="41" t="n">
        <v>9</v>
      </c>
      <c r="D1233" s="41" t="s">
        <v>54</v>
      </c>
      <c r="E1233" s="41" t="s">
        <v>45</v>
      </c>
      <c r="F1233" s="41" t="s">
        <v>36</v>
      </c>
      <c r="G1233" s="41" t="s">
        <v>38</v>
      </c>
      <c r="H1233" s="42" t="n">
        <v>79</v>
      </c>
      <c r="I1233" s="42" t="n">
        <v>125</v>
      </c>
      <c r="J1233" s="42" t="n">
        <v>8801</v>
      </c>
      <c r="K1233" s="42" t="n">
        <v>435</v>
      </c>
      <c r="L1233" s="43" t="n">
        <f aca="false">J1233-K1233</f>
        <v>8366</v>
      </c>
      <c r="M1233" s="42" t="n">
        <v>3678</v>
      </c>
      <c r="N1233" s="43" t="n">
        <f aca="false">L1233-M1233</f>
        <v>4688</v>
      </c>
    </row>
    <row r="1234" customFormat="false" ht="15" hidden="false" customHeight="false" outlineLevel="0" collapsed="false">
      <c r="A1234" s="40" t="n">
        <v>46266</v>
      </c>
      <c r="B1234" s="41" t="n">
        <v>2026</v>
      </c>
      <c r="C1234" s="41" t="n">
        <v>9</v>
      </c>
      <c r="D1234" s="41" t="s">
        <v>54</v>
      </c>
      <c r="E1234" s="41" t="s">
        <v>45</v>
      </c>
      <c r="F1234" s="41" t="s">
        <v>36</v>
      </c>
      <c r="G1234" s="41" t="s">
        <v>39</v>
      </c>
      <c r="H1234" s="42" t="n">
        <v>137</v>
      </c>
      <c r="I1234" s="42" t="n">
        <v>166</v>
      </c>
      <c r="J1234" s="42" t="n">
        <v>11527</v>
      </c>
      <c r="K1234" s="42" t="n">
        <v>1235</v>
      </c>
      <c r="L1234" s="43" t="n">
        <f aca="false">J1234-K1234</f>
        <v>10292</v>
      </c>
      <c r="M1234" s="42" t="n">
        <v>3906</v>
      </c>
      <c r="N1234" s="43" t="n">
        <f aca="false">L1234-M1234</f>
        <v>6386</v>
      </c>
    </row>
    <row r="1235" customFormat="false" ht="15" hidden="false" customHeight="false" outlineLevel="0" collapsed="false">
      <c r="A1235" s="40" t="n">
        <v>46266</v>
      </c>
      <c r="B1235" s="41" t="n">
        <v>2026</v>
      </c>
      <c r="C1235" s="41" t="n">
        <v>9</v>
      </c>
      <c r="D1235" s="41" t="s">
        <v>54</v>
      </c>
      <c r="E1235" s="41" t="s">
        <v>45</v>
      </c>
      <c r="F1235" s="41" t="s">
        <v>36</v>
      </c>
      <c r="G1235" s="41" t="s">
        <v>40</v>
      </c>
      <c r="H1235" s="42" t="n">
        <v>69</v>
      </c>
      <c r="I1235" s="42" t="n">
        <v>96</v>
      </c>
      <c r="J1235" s="42" t="n">
        <v>8819</v>
      </c>
      <c r="K1235" s="42" t="n">
        <v>1160</v>
      </c>
      <c r="L1235" s="43" t="n">
        <f aca="false">J1235-K1235</f>
        <v>7659</v>
      </c>
      <c r="M1235" s="42" t="n">
        <v>4119</v>
      </c>
      <c r="N1235" s="43" t="n">
        <f aca="false">L1235-M1235</f>
        <v>3540</v>
      </c>
    </row>
    <row r="1236" customFormat="false" ht="15" hidden="false" customHeight="false" outlineLevel="0" collapsed="false">
      <c r="A1236" s="40" t="n">
        <v>46266</v>
      </c>
      <c r="B1236" s="41" t="n">
        <v>2026</v>
      </c>
      <c r="C1236" s="41" t="n">
        <v>9</v>
      </c>
      <c r="D1236" s="41" t="s">
        <v>54</v>
      </c>
      <c r="E1236" s="41" t="s">
        <v>45</v>
      </c>
      <c r="F1236" s="41" t="s">
        <v>36</v>
      </c>
      <c r="G1236" s="41" t="s">
        <v>41</v>
      </c>
      <c r="H1236" s="42" t="n">
        <v>88</v>
      </c>
      <c r="I1236" s="42" t="n">
        <v>116</v>
      </c>
      <c r="J1236" s="42" t="n">
        <v>5370</v>
      </c>
      <c r="K1236" s="42" t="n">
        <v>145</v>
      </c>
      <c r="L1236" s="43" t="n">
        <f aca="false">J1236-K1236</f>
        <v>5225</v>
      </c>
      <c r="M1236" s="42" t="n">
        <v>2556</v>
      </c>
      <c r="N1236" s="43" t="n">
        <f aca="false">L1236-M1236</f>
        <v>2669</v>
      </c>
    </row>
    <row r="1237" customFormat="false" ht="15" hidden="false" customHeight="false" outlineLevel="0" collapsed="false">
      <c r="A1237" s="40" t="n">
        <v>46266</v>
      </c>
      <c r="B1237" s="41" t="n">
        <v>2026</v>
      </c>
      <c r="C1237" s="41" t="n">
        <v>9</v>
      </c>
      <c r="D1237" s="41" t="s">
        <v>54</v>
      </c>
      <c r="E1237" s="41" t="s">
        <v>45</v>
      </c>
      <c r="F1237" s="41" t="s">
        <v>42</v>
      </c>
      <c r="G1237" s="41" t="s">
        <v>37</v>
      </c>
      <c r="H1237" s="42" t="n">
        <v>36</v>
      </c>
      <c r="I1237" s="42" t="n">
        <v>49</v>
      </c>
      <c r="J1237" s="42" t="n">
        <v>6256</v>
      </c>
      <c r="K1237" s="42" t="n">
        <v>282</v>
      </c>
      <c r="L1237" s="43" t="n">
        <f aca="false">J1237-K1237</f>
        <v>5974</v>
      </c>
      <c r="M1237" s="42" t="n">
        <v>3347</v>
      </c>
      <c r="N1237" s="43" t="n">
        <f aca="false">L1237-M1237</f>
        <v>2627</v>
      </c>
    </row>
    <row r="1238" customFormat="false" ht="15" hidden="false" customHeight="false" outlineLevel="0" collapsed="false">
      <c r="A1238" s="40" t="n">
        <v>46266</v>
      </c>
      <c r="B1238" s="41" t="n">
        <v>2026</v>
      </c>
      <c r="C1238" s="41" t="n">
        <v>9</v>
      </c>
      <c r="D1238" s="41" t="s">
        <v>54</v>
      </c>
      <c r="E1238" s="41" t="s">
        <v>45</v>
      </c>
      <c r="F1238" s="41" t="s">
        <v>42</v>
      </c>
      <c r="G1238" s="41" t="s">
        <v>38</v>
      </c>
      <c r="H1238" s="42" t="n">
        <v>68</v>
      </c>
      <c r="I1238" s="42" t="n">
        <v>79</v>
      </c>
      <c r="J1238" s="42" t="n">
        <v>6990</v>
      </c>
      <c r="K1238" s="42" t="n">
        <v>465</v>
      </c>
      <c r="L1238" s="43" t="n">
        <f aca="false">J1238-K1238</f>
        <v>6525</v>
      </c>
      <c r="M1238" s="42" t="n">
        <v>3074</v>
      </c>
      <c r="N1238" s="43" t="n">
        <f aca="false">L1238-M1238</f>
        <v>3451</v>
      </c>
    </row>
    <row r="1239" customFormat="false" ht="15" hidden="false" customHeight="false" outlineLevel="0" collapsed="false">
      <c r="A1239" s="40" t="n">
        <v>46266</v>
      </c>
      <c r="B1239" s="41" t="n">
        <v>2026</v>
      </c>
      <c r="C1239" s="41" t="n">
        <v>9</v>
      </c>
      <c r="D1239" s="41" t="s">
        <v>54</v>
      </c>
      <c r="E1239" s="41" t="s">
        <v>45</v>
      </c>
      <c r="F1239" s="41" t="s">
        <v>42</v>
      </c>
      <c r="G1239" s="41" t="s">
        <v>39</v>
      </c>
      <c r="H1239" s="42" t="n">
        <v>103</v>
      </c>
      <c r="I1239" s="42" t="n">
        <v>152</v>
      </c>
      <c r="J1239" s="42" t="n">
        <v>7955</v>
      </c>
      <c r="K1239" s="42" t="n">
        <v>1007</v>
      </c>
      <c r="L1239" s="43" t="n">
        <f aca="false">J1239-K1239</f>
        <v>6948</v>
      </c>
      <c r="M1239" s="42" t="n">
        <v>2954</v>
      </c>
      <c r="N1239" s="43" t="n">
        <f aca="false">L1239-M1239</f>
        <v>3994</v>
      </c>
    </row>
    <row r="1240" customFormat="false" ht="15" hidden="false" customHeight="false" outlineLevel="0" collapsed="false">
      <c r="A1240" s="40" t="n">
        <v>46266</v>
      </c>
      <c r="B1240" s="41" t="n">
        <v>2026</v>
      </c>
      <c r="C1240" s="41" t="n">
        <v>9</v>
      </c>
      <c r="D1240" s="41" t="s">
        <v>54</v>
      </c>
      <c r="E1240" s="41" t="s">
        <v>45</v>
      </c>
      <c r="F1240" s="41" t="s">
        <v>42</v>
      </c>
      <c r="G1240" s="41" t="s">
        <v>40</v>
      </c>
      <c r="H1240" s="42" t="n">
        <v>42</v>
      </c>
      <c r="I1240" s="42" t="n">
        <v>51</v>
      </c>
      <c r="J1240" s="42" t="n">
        <v>4922</v>
      </c>
      <c r="K1240" s="42" t="n">
        <v>898</v>
      </c>
      <c r="L1240" s="43" t="n">
        <f aca="false">J1240-K1240</f>
        <v>4024</v>
      </c>
      <c r="M1240" s="42" t="n">
        <v>2233</v>
      </c>
      <c r="N1240" s="43" t="n">
        <f aca="false">L1240-M1240</f>
        <v>1791</v>
      </c>
    </row>
    <row r="1241" customFormat="false" ht="15" hidden="false" customHeight="false" outlineLevel="0" collapsed="false">
      <c r="A1241" s="40" t="n">
        <v>46266</v>
      </c>
      <c r="B1241" s="41" t="n">
        <v>2026</v>
      </c>
      <c r="C1241" s="41" t="n">
        <v>9</v>
      </c>
      <c r="D1241" s="41" t="s">
        <v>54</v>
      </c>
      <c r="E1241" s="41" t="s">
        <v>45</v>
      </c>
      <c r="F1241" s="41" t="s">
        <v>42</v>
      </c>
      <c r="G1241" s="41" t="s">
        <v>41</v>
      </c>
      <c r="H1241" s="42" t="n">
        <v>58</v>
      </c>
      <c r="I1241" s="42" t="n">
        <v>80</v>
      </c>
      <c r="J1241" s="42" t="n">
        <v>3282</v>
      </c>
      <c r="K1241" s="42" t="n">
        <v>124</v>
      </c>
      <c r="L1241" s="43" t="n">
        <f aca="false">J1241-K1241</f>
        <v>3158</v>
      </c>
      <c r="M1241" s="42" t="n">
        <v>1549</v>
      </c>
      <c r="N1241" s="43" t="n">
        <f aca="false">L1241-M1241</f>
        <v>1609</v>
      </c>
    </row>
    <row r="1242" customFormat="false" ht="15" hidden="false" customHeight="false" outlineLevel="0" collapsed="false">
      <c r="A1242" s="40" t="n">
        <v>46266</v>
      </c>
      <c r="B1242" s="41" t="n">
        <v>2026</v>
      </c>
      <c r="C1242" s="41" t="n">
        <v>9</v>
      </c>
      <c r="D1242" s="41" t="s">
        <v>54</v>
      </c>
      <c r="E1242" s="41" t="s">
        <v>45</v>
      </c>
      <c r="F1242" s="41" t="s">
        <v>43</v>
      </c>
      <c r="G1242" s="41" t="s">
        <v>37</v>
      </c>
      <c r="H1242" s="42" t="n">
        <v>28</v>
      </c>
      <c r="I1242" s="42" t="n">
        <v>38</v>
      </c>
      <c r="J1242" s="42" t="n">
        <v>5543</v>
      </c>
      <c r="K1242" s="42" t="n">
        <v>173</v>
      </c>
      <c r="L1242" s="43" t="n">
        <f aca="false">J1242-K1242</f>
        <v>5370</v>
      </c>
      <c r="M1242" s="42" t="n">
        <v>2803</v>
      </c>
      <c r="N1242" s="43" t="n">
        <f aca="false">L1242-M1242</f>
        <v>2567</v>
      </c>
    </row>
    <row r="1243" customFormat="false" ht="15" hidden="false" customHeight="false" outlineLevel="0" collapsed="false">
      <c r="A1243" s="40" t="n">
        <v>46266</v>
      </c>
      <c r="B1243" s="41" t="n">
        <v>2026</v>
      </c>
      <c r="C1243" s="41" t="n">
        <v>9</v>
      </c>
      <c r="D1243" s="41" t="s">
        <v>54</v>
      </c>
      <c r="E1243" s="41" t="s">
        <v>45</v>
      </c>
      <c r="F1243" s="41" t="s">
        <v>43</v>
      </c>
      <c r="G1243" s="41" t="s">
        <v>38</v>
      </c>
      <c r="H1243" s="42" t="n">
        <v>41</v>
      </c>
      <c r="I1243" s="42" t="n">
        <v>51</v>
      </c>
      <c r="J1243" s="42" t="n">
        <v>4829</v>
      </c>
      <c r="K1243" s="42" t="n">
        <v>196</v>
      </c>
      <c r="L1243" s="43" t="n">
        <f aca="false">J1243-K1243</f>
        <v>4633</v>
      </c>
      <c r="M1243" s="42" t="n">
        <v>2099</v>
      </c>
      <c r="N1243" s="43" t="n">
        <f aca="false">L1243-M1243</f>
        <v>2534</v>
      </c>
    </row>
    <row r="1244" customFormat="false" ht="15" hidden="false" customHeight="false" outlineLevel="0" collapsed="false">
      <c r="A1244" s="40" t="n">
        <v>46266</v>
      </c>
      <c r="B1244" s="41" t="n">
        <v>2026</v>
      </c>
      <c r="C1244" s="41" t="n">
        <v>9</v>
      </c>
      <c r="D1244" s="41" t="s">
        <v>54</v>
      </c>
      <c r="E1244" s="41" t="s">
        <v>45</v>
      </c>
      <c r="F1244" s="41" t="s">
        <v>43</v>
      </c>
      <c r="G1244" s="41" t="s">
        <v>39</v>
      </c>
      <c r="H1244" s="42" t="n">
        <v>66</v>
      </c>
      <c r="I1244" s="42" t="n">
        <v>99</v>
      </c>
      <c r="J1244" s="42" t="n">
        <v>5833</v>
      </c>
      <c r="K1244" s="42" t="n">
        <v>430</v>
      </c>
      <c r="L1244" s="43" t="n">
        <f aca="false">J1244-K1244</f>
        <v>5403</v>
      </c>
      <c r="M1244" s="42" t="n">
        <v>2112</v>
      </c>
      <c r="N1244" s="43" t="n">
        <f aca="false">L1244-M1244</f>
        <v>3291</v>
      </c>
    </row>
    <row r="1245" customFormat="false" ht="15" hidden="false" customHeight="false" outlineLevel="0" collapsed="false">
      <c r="A1245" s="40" t="n">
        <v>46266</v>
      </c>
      <c r="B1245" s="41" t="n">
        <v>2026</v>
      </c>
      <c r="C1245" s="41" t="n">
        <v>9</v>
      </c>
      <c r="D1245" s="41" t="s">
        <v>54</v>
      </c>
      <c r="E1245" s="41" t="s">
        <v>45</v>
      </c>
      <c r="F1245" s="41" t="s">
        <v>43</v>
      </c>
      <c r="G1245" s="41" t="s">
        <v>40</v>
      </c>
      <c r="H1245" s="42" t="n">
        <v>30</v>
      </c>
      <c r="I1245" s="42" t="n">
        <v>40</v>
      </c>
      <c r="J1245" s="42" t="n">
        <v>4079</v>
      </c>
      <c r="K1245" s="42" t="n">
        <v>288</v>
      </c>
      <c r="L1245" s="43" t="n">
        <f aca="false">J1245-K1245</f>
        <v>3791</v>
      </c>
      <c r="M1245" s="42" t="n">
        <v>2137</v>
      </c>
      <c r="N1245" s="43" t="n">
        <f aca="false">L1245-M1245</f>
        <v>1654</v>
      </c>
    </row>
    <row r="1246" customFormat="false" ht="15" hidden="false" customHeight="false" outlineLevel="0" collapsed="false">
      <c r="A1246" s="40" t="n">
        <v>46266</v>
      </c>
      <c r="B1246" s="41" t="n">
        <v>2026</v>
      </c>
      <c r="C1246" s="41" t="n">
        <v>9</v>
      </c>
      <c r="D1246" s="41" t="s">
        <v>54</v>
      </c>
      <c r="E1246" s="41" t="s">
        <v>45</v>
      </c>
      <c r="F1246" s="41" t="s">
        <v>43</v>
      </c>
      <c r="G1246" s="41" t="s">
        <v>41</v>
      </c>
      <c r="H1246" s="42" t="n">
        <v>42</v>
      </c>
      <c r="I1246" s="42" t="n">
        <v>61</v>
      </c>
      <c r="J1246" s="42" t="n">
        <v>2685</v>
      </c>
      <c r="K1246" s="42" t="n">
        <v>62</v>
      </c>
      <c r="L1246" s="43" t="n">
        <f aca="false">J1246-K1246</f>
        <v>2623</v>
      </c>
      <c r="M1246" s="42" t="n">
        <v>1239</v>
      </c>
      <c r="N1246" s="43" t="n">
        <f aca="false">L1246-M1246</f>
        <v>1384</v>
      </c>
    </row>
    <row r="1247" customFormat="false" ht="15" hidden="false" customHeight="false" outlineLevel="0" collapsed="false">
      <c r="A1247" s="40" t="n">
        <v>46266</v>
      </c>
      <c r="B1247" s="41" t="n">
        <v>2026</v>
      </c>
      <c r="C1247" s="41" t="n">
        <v>9</v>
      </c>
      <c r="D1247" s="41" t="s">
        <v>54</v>
      </c>
      <c r="E1247" s="41" t="s">
        <v>46</v>
      </c>
      <c r="F1247" s="41" t="s">
        <v>36</v>
      </c>
      <c r="G1247" s="41" t="s">
        <v>37</v>
      </c>
      <c r="H1247" s="42" t="n">
        <v>51</v>
      </c>
      <c r="I1247" s="42" t="n">
        <v>78</v>
      </c>
      <c r="J1247" s="42" t="n">
        <v>9726</v>
      </c>
      <c r="K1247" s="42" t="n">
        <v>461</v>
      </c>
      <c r="L1247" s="43" t="n">
        <f aca="false">J1247-K1247</f>
        <v>9265</v>
      </c>
      <c r="M1247" s="42" t="n">
        <v>5035</v>
      </c>
      <c r="N1247" s="43" t="n">
        <f aca="false">L1247-M1247</f>
        <v>4230</v>
      </c>
    </row>
    <row r="1248" customFormat="false" ht="15" hidden="false" customHeight="false" outlineLevel="0" collapsed="false">
      <c r="A1248" s="40" t="n">
        <v>46266</v>
      </c>
      <c r="B1248" s="41" t="n">
        <v>2026</v>
      </c>
      <c r="C1248" s="41" t="n">
        <v>9</v>
      </c>
      <c r="D1248" s="41" t="s">
        <v>54</v>
      </c>
      <c r="E1248" s="41" t="s">
        <v>46</v>
      </c>
      <c r="F1248" s="41" t="s">
        <v>36</v>
      </c>
      <c r="G1248" s="41" t="s">
        <v>38</v>
      </c>
      <c r="H1248" s="42" t="n">
        <v>69</v>
      </c>
      <c r="I1248" s="42" t="n">
        <v>101</v>
      </c>
      <c r="J1248" s="42" t="n">
        <v>7781</v>
      </c>
      <c r="K1248" s="42" t="n">
        <v>397</v>
      </c>
      <c r="L1248" s="43" t="n">
        <f aca="false">J1248-K1248</f>
        <v>7384</v>
      </c>
      <c r="M1248" s="42" t="n">
        <v>3304</v>
      </c>
      <c r="N1248" s="43" t="n">
        <f aca="false">L1248-M1248</f>
        <v>4080</v>
      </c>
    </row>
    <row r="1249" customFormat="false" ht="15" hidden="false" customHeight="false" outlineLevel="0" collapsed="false">
      <c r="A1249" s="40" t="n">
        <v>46266</v>
      </c>
      <c r="B1249" s="41" t="n">
        <v>2026</v>
      </c>
      <c r="C1249" s="41" t="n">
        <v>9</v>
      </c>
      <c r="D1249" s="41" t="s">
        <v>54</v>
      </c>
      <c r="E1249" s="41" t="s">
        <v>46</v>
      </c>
      <c r="F1249" s="41" t="s">
        <v>36</v>
      </c>
      <c r="G1249" s="41" t="s">
        <v>39</v>
      </c>
      <c r="H1249" s="42" t="n">
        <v>111</v>
      </c>
      <c r="I1249" s="42" t="n">
        <v>134</v>
      </c>
      <c r="J1249" s="42" t="n">
        <v>9284</v>
      </c>
      <c r="K1249" s="42" t="n">
        <v>917</v>
      </c>
      <c r="L1249" s="43" t="n">
        <f aca="false">J1249-K1249</f>
        <v>8367</v>
      </c>
      <c r="M1249" s="42" t="n">
        <v>3262</v>
      </c>
      <c r="N1249" s="43" t="n">
        <f aca="false">L1249-M1249</f>
        <v>5105</v>
      </c>
    </row>
    <row r="1250" customFormat="false" ht="15" hidden="false" customHeight="false" outlineLevel="0" collapsed="false">
      <c r="A1250" s="40" t="n">
        <v>46266</v>
      </c>
      <c r="B1250" s="41" t="n">
        <v>2026</v>
      </c>
      <c r="C1250" s="41" t="n">
        <v>9</v>
      </c>
      <c r="D1250" s="41" t="s">
        <v>54</v>
      </c>
      <c r="E1250" s="41" t="s">
        <v>46</v>
      </c>
      <c r="F1250" s="41" t="s">
        <v>36</v>
      </c>
      <c r="G1250" s="41" t="s">
        <v>40</v>
      </c>
      <c r="H1250" s="42" t="n">
        <v>54</v>
      </c>
      <c r="I1250" s="42" t="n">
        <v>71</v>
      </c>
      <c r="J1250" s="42" t="n">
        <v>6891</v>
      </c>
      <c r="K1250" s="42" t="n">
        <v>845</v>
      </c>
      <c r="L1250" s="43" t="n">
        <f aca="false">J1250-K1250</f>
        <v>6046</v>
      </c>
      <c r="M1250" s="42" t="n">
        <v>3378</v>
      </c>
      <c r="N1250" s="43" t="n">
        <f aca="false">L1250-M1250</f>
        <v>2668</v>
      </c>
    </row>
    <row r="1251" customFormat="false" ht="15" hidden="false" customHeight="false" outlineLevel="0" collapsed="false">
      <c r="A1251" s="40" t="n">
        <v>46266</v>
      </c>
      <c r="B1251" s="41" t="n">
        <v>2026</v>
      </c>
      <c r="C1251" s="41" t="n">
        <v>9</v>
      </c>
      <c r="D1251" s="41" t="s">
        <v>54</v>
      </c>
      <c r="E1251" s="41" t="s">
        <v>46</v>
      </c>
      <c r="F1251" s="41" t="s">
        <v>36</v>
      </c>
      <c r="G1251" s="41" t="s">
        <v>41</v>
      </c>
      <c r="H1251" s="42" t="n">
        <v>83</v>
      </c>
      <c r="I1251" s="42" t="n">
        <v>102</v>
      </c>
      <c r="J1251" s="42" t="n">
        <v>5037</v>
      </c>
      <c r="K1251" s="42" t="n">
        <v>174</v>
      </c>
      <c r="L1251" s="43" t="n">
        <f aca="false">J1251-K1251</f>
        <v>4863</v>
      </c>
      <c r="M1251" s="42" t="n">
        <v>2315</v>
      </c>
      <c r="N1251" s="43" t="n">
        <f aca="false">L1251-M1251</f>
        <v>2548</v>
      </c>
    </row>
    <row r="1252" customFormat="false" ht="15" hidden="false" customHeight="false" outlineLevel="0" collapsed="false">
      <c r="A1252" s="40" t="n">
        <v>46266</v>
      </c>
      <c r="B1252" s="41" t="n">
        <v>2026</v>
      </c>
      <c r="C1252" s="41" t="n">
        <v>9</v>
      </c>
      <c r="D1252" s="41" t="s">
        <v>54</v>
      </c>
      <c r="E1252" s="41" t="s">
        <v>46</v>
      </c>
      <c r="F1252" s="41" t="s">
        <v>42</v>
      </c>
      <c r="G1252" s="41" t="s">
        <v>37</v>
      </c>
      <c r="H1252" s="42" t="n">
        <v>44</v>
      </c>
      <c r="I1252" s="42" t="n">
        <v>70</v>
      </c>
      <c r="J1252" s="42" t="n">
        <v>7716</v>
      </c>
      <c r="K1252" s="42" t="n">
        <v>357</v>
      </c>
      <c r="L1252" s="43" t="n">
        <f aca="false">J1252-K1252</f>
        <v>7359</v>
      </c>
      <c r="M1252" s="42" t="n">
        <v>4059</v>
      </c>
      <c r="N1252" s="43" t="n">
        <f aca="false">L1252-M1252</f>
        <v>3300</v>
      </c>
    </row>
    <row r="1253" customFormat="false" ht="15" hidden="false" customHeight="false" outlineLevel="0" collapsed="false">
      <c r="A1253" s="40" t="n">
        <v>46266</v>
      </c>
      <c r="B1253" s="41" t="n">
        <v>2026</v>
      </c>
      <c r="C1253" s="41" t="n">
        <v>9</v>
      </c>
      <c r="D1253" s="41" t="s">
        <v>54</v>
      </c>
      <c r="E1253" s="41" t="s">
        <v>46</v>
      </c>
      <c r="F1253" s="41" t="s">
        <v>42</v>
      </c>
      <c r="G1253" s="41" t="s">
        <v>38</v>
      </c>
      <c r="H1253" s="42" t="n">
        <v>66</v>
      </c>
      <c r="I1253" s="42" t="n">
        <v>87</v>
      </c>
      <c r="J1253" s="42" t="n">
        <v>6764</v>
      </c>
      <c r="K1253" s="42" t="n">
        <v>465</v>
      </c>
      <c r="L1253" s="43" t="n">
        <f aca="false">J1253-K1253</f>
        <v>6299</v>
      </c>
      <c r="M1253" s="42" t="n">
        <v>2940</v>
      </c>
      <c r="N1253" s="43" t="n">
        <f aca="false">L1253-M1253</f>
        <v>3359</v>
      </c>
    </row>
    <row r="1254" customFormat="false" ht="15" hidden="false" customHeight="false" outlineLevel="0" collapsed="false">
      <c r="A1254" s="40" t="n">
        <v>46266</v>
      </c>
      <c r="B1254" s="41" t="n">
        <v>2026</v>
      </c>
      <c r="C1254" s="41" t="n">
        <v>9</v>
      </c>
      <c r="D1254" s="41" t="s">
        <v>54</v>
      </c>
      <c r="E1254" s="41" t="s">
        <v>46</v>
      </c>
      <c r="F1254" s="41" t="s">
        <v>42</v>
      </c>
      <c r="G1254" s="41" t="s">
        <v>39</v>
      </c>
      <c r="H1254" s="42" t="n">
        <v>80</v>
      </c>
      <c r="I1254" s="42" t="n">
        <v>99</v>
      </c>
      <c r="J1254" s="42" t="n">
        <v>6181</v>
      </c>
      <c r="K1254" s="42" t="n">
        <v>709</v>
      </c>
      <c r="L1254" s="43" t="n">
        <f aca="false">J1254-K1254</f>
        <v>5472</v>
      </c>
      <c r="M1254" s="42" t="n">
        <v>2238</v>
      </c>
      <c r="N1254" s="43" t="n">
        <f aca="false">L1254-M1254</f>
        <v>3234</v>
      </c>
    </row>
    <row r="1255" customFormat="false" ht="15" hidden="false" customHeight="false" outlineLevel="0" collapsed="false">
      <c r="A1255" s="40" t="n">
        <v>46266</v>
      </c>
      <c r="B1255" s="41" t="n">
        <v>2026</v>
      </c>
      <c r="C1255" s="41" t="n">
        <v>9</v>
      </c>
      <c r="D1255" s="41" t="s">
        <v>54</v>
      </c>
      <c r="E1255" s="41" t="s">
        <v>46</v>
      </c>
      <c r="F1255" s="41" t="s">
        <v>42</v>
      </c>
      <c r="G1255" s="41" t="s">
        <v>40</v>
      </c>
      <c r="H1255" s="42" t="n">
        <v>45</v>
      </c>
      <c r="I1255" s="42" t="n">
        <v>63</v>
      </c>
      <c r="J1255" s="42" t="n">
        <v>5313</v>
      </c>
      <c r="K1255" s="42" t="n">
        <v>1015</v>
      </c>
      <c r="L1255" s="43" t="n">
        <f aca="false">J1255-K1255</f>
        <v>4298</v>
      </c>
      <c r="M1255" s="42" t="n">
        <v>2468</v>
      </c>
      <c r="N1255" s="43" t="n">
        <f aca="false">L1255-M1255</f>
        <v>1830</v>
      </c>
    </row>
    <row r="1256" customFormat="false" ht="15" hidden="false" customHeight="false" outlineLevel="0" collapsed="false">
      <c r="A1256" s="40" t="n">
        <v>46266</v>
      </c>
      <c r="B1256" s="41" t="n">
        <v>2026</v>
      </c>
      <c r="C1256" s="41" t="n">
        <v>9</v>
      </c>
      <c r="D1256" s="41" t="s">
        <v>54</v>
      </c>
      <c r="E1256" s="41" t="s">
        <v>46</v>
      </c>
      <c r="F1256" s="41" t="s">
        <v>42</v>
      </c>
      <c r="G1256" s="41" t="s">
        <v>41</v>
      </c>
      <c r="H1256" s="42" t="n">
        <v>59</v>
      </c>
      <c r="I1256" s="42" t="n">
        <v>93</v>
      </c>
      <c r="J1256" s="42" t="n">
        <v>3286</v>
      </c>
      <c r="K1256" s="42" t="n">
        <v>140</v>
      </c>
      <c r="L1256" s="43" t="n">
        <f aca="false">J1256-K1256</f>
        <v>3146</v>
      </c>
      <c r="M1256" s="42" t="n">
        <v>1580</v>
      </c>
      <c r="N1256" s="43" t="n">
        <f aca="false">L1256-M1256</f>
        <v>1566</v>
      </c>
    </row>
    <row r="1257" customFormat="false" ht="15" hidden="false" customHeight="false" outlineLevel="0" collapsed="false">
      <c r="A1257" s="40" t="n">
        <v>46266</v>
      </c>
      <c r="B1257" s="41" t="n">
        <v>2026</v>
      </c>
      <c r="C1257" s="41" t="n">
        <v>9</v>
      </c>
      <c r="D1257" s="41" t="s">
        <v>54</v>
      </c>
      <c r="E1257" s="41" t="s">
        <v>46</v>
      </c>
      <c r="F1257" s="41" t="s">
        <v>43</v>
      </c>
      <c r="G1257" s="41" t="s">
        <v>37</v>
      </c>
      <c r="H1257" s="42" t="n">
        <v>26</v>
      </c>
      <c r="I1257" s="42" t="n">
        <v>38</v>
      </c>
      <c r="J1257" s="42" t="n">
        <v>5177</v>
      </c>
      <c r="K1257" s="42" t="n">
        <v>137</v>
      </c>
      <c r="L1257" s="43" t="n">
        <f aca="false">J1257-K1257</f>
        <v>5040</v>
      </c>
      <c r="M1257" s="42" t="n">
        <v>2688</v>
      </c>
      <c r="N1257" s="43" t="n">
        <f aca="false">L1257-M1257</f>
        <v>2352</v>
      </c>
    </row>
    <row r="1258" customFormat="false" ht="15" hidden="false" customHeight="false" outlineLevel="0" collapsed="false">
      <c r="A1258" s="40" t="n">
        <v>46266</v>
      </c>
      <c r="B1258" s="41" t="n">
        <v>2026</v>
      </c>
      <c r="C1258" s="41" t="n">
        <v>9</v>
      </c>
      <c r="D1258" s="41" t="s">
        <v>54</v>
      </c>
      <c r="E1258" s="41" t="s">
        <v>46</v>
      </c>
      <c r="F1258" s="41" t="s">
        <v>43</v>
      </c>
      <c r="G1258" s="41" t="s">
        <v>38</v>
      </c>
      <c r="H1258" s="42" t="n">
        <v>33</v>
      </c>
      <c r="I1258" s="42" t="n">
        <v>52</v>
      </c>
      <c r="J1258" s="42" t="n">
        <v>3883</v>
      </c>
      <c r="K1258" s="42" t="n">
        <v>122</v>
      </c>
      <c r="L1258" s="43" t="n">
        <f aca="false">J1258-K1258</f>
        <v>3761</v>
      </c>
      <c r="M1258" s="42" t="n">
        <v>1740</v>
      </c>
      <c r="N1258" s="43" t="n">
        <f aca="false">L1258-M1258</f>
        <v>2021</v>
      </c>
    </row>
    <row r="1259" customFormat="false" ht="15" hidden="false" customHeight="false" outlineLevel="0" collapsed="false">
      <c r="A1259" s="40" t="n">
        <v>46266</v>
      </c>
      <c r="B1259" s="41" t="n">
        <v>2026</v>
      </c>
      <c r="C1259" s="41" t="n">
        <v>9</v>
      </c>
      <c r="D1259" s="41" t="s">
        <v>54</v>
      </c>
      <c r="E1259" s="41" t="s">
        <v>46</v>
      </c>
      <c r="F1259" s="41" t="s">
        <v>43</v>
      </c>
      <c r="G1259" s="41" t="s">
        <v>39</v>
      </c>
      <c r="H1259" s="42" t="n">
        <v>48</v>
      </c>
      <c r="I1259" s="42" t="n">
        <v>55</v>
      </c>
      <c r="J1259" s="42" t="n">
        <v>4299</v>
      </c>
      <c r="K1259" s="42" t="n">
        <v>307</v>
      </c>
      <c r="L1259" s="43" t="n">
        <f aca="false">J1259-K1259</f>
        <v>3992</v>
      </c>
      <c r="M1259" s="42" t="n">
        <v>1529</v>
      </c>
      <c r="N1259" s="43" t="n">
        <f aca="false">L1259-M1259</f>
        <v>2463</v>
      </c>
    </row>
    <row r="1260" customFormat="false" ht="15" hidden="false" customHeight="false" outlineLevel="0" collapsed="false">
      <c r="A1260" s="40" t="n">
        <v>46266</v>
      </c>
      <c r="B1260" s="41" t="n">
        <v>2026</v>
      </c>
      <c r="C1260" s="41" t="n">
        <v>9</v>
      </c>
      <c r="D1260" s="41" t="s">
        <v>54</v>
      </c>
      <c r="E1260" s="41" t="s">
        <v>46</v>
      </c>
      <c r="F1260" s="41" t="s">
        <v>43</v>
      </c>
      <c r="G1260" s="41" t="s">
        <v>40</v>
      </c>
      <c r="H1260" s="42" t="n">
        <v>26</v>
      </c>
      <c r="I1260" s="42" t="n">
        <v>31</v>
      </c>
      <c r="J1260" s="42" t="n">
        <v>3532</v>
      </c>
      <c r="K1260" s="42" t="n">
        <v>337</v>
      </c>
      <c r="L1260" s="43" t="n">
        <f aca="false">J1260-K1260</f>
        <v>3195</v>
      </c>
      <c r="M1260" s="42" t="n">
        <v>1775</v>
      </c>
      <c r="N1260" s="43" t="n">
        <f aca="false">L1260-M1260</f>
        <v>1420</v>
      </c>
    </row>
    <row r="1261" customFormat="false" ht="15" hidden="false" customHeight="false" outlineLevel="0" collapsed="false">
      <c r="A1261" s="40" t="n">
        <v>46266</v>
      </c>
      <c r="B1261" s="41" t="n">
        <v>2026</v>
      </c>
      <c r="C1261" s="41" t="n">
        <v>9</v>
      </c>
      <c r="D1261" s="41" t="s">
        <v>54</v>
      </c>
      <c r="E1261" s="41" t="s">
        <v>46</v>
      </c>
      <c r="F1261" s="41" t="s">
        <v>43</v>
      </c>
      <c r="G1261" s="41" t="s">
        <v>41</v>
      </c>
      <c r="H1261" s="42" t="n">
        <v>38</v>
      </c>
      <c r="I1261" s="42" t="n">
        <v>60</v>
      </c>
      <c r="J1261" s="42" t="n">
        <v>2471</v>
      </c>
      <c r="K1261" s="42" t="n">
        <v>62</v>
      </c>
      <c r="L1261" s="43" t="n">
        <f aca="false">J1261-K1261</f>
        <v>2409</v>
      </c>
      <c r="M1261" s="42" t="n">
        <v>1169</v>
      </c>
      <c r="N1261" s="43" t="n">
        <f aca="false">L1261-M1261</f>
        <v>1240</v>
      </c>
    </row>
    <row r="1262" customFormat="false" ht="15" hidden="false" customHeight="false" outlineLevel="0" collapsed="false">
      <c r="A1262" s="40" t="n">
        <v>46296</v>
      </c>
      <c r="B1262" s="41" t="n">
        <v>2026</v>
      </c>
      <c r="C1262" s="41" t="n">
        <v>10</v>
      </c>
      <c r="D1262" s="41" t="s">
        <v>55</v>
      </c>
      <c r="E1262" s="41" t="s">
        <v>35</v>
      </c>
      <c r="F1262" s="41" t="s">
        <v>36</v>
      </c>
      <c r="G1262" s="41" t="s">
        <v>37</v>
      </c>
      <c r="H1262" s="42" t="n">
        <v>87</v>
      </c>
      <c r="I1262" s="42" t="n">
        <v>100</v>
      </c>
      <c r="J1262" s="42" t="n">
        <v>16410</v>
      </c>
      <c r="K1262" s="42" t="n">
        <v>538</v>
      </c>
      <c r="L1262" s="43" t="n">
        <f aca="false">J1262-K1262</f>
        <v>15872</v>
      </c>
      <c r="M1262" s="42" t="n">
        <v>8375</v>
      </c>
      <c r="N1262" s="43" t="n">
        <f aca="false">L1262-M1262</f>
        <v>7497</v>
      </c>
    </row>
    <row r="1263" customFormat="false" ht="15" hidden="false" customHeight="false" outlineLevel="0" collapsed="false">
      <c r="A1263" s="40" t="n">
        <v>46296</v>
      </c>
      <c r="B1263" s="41" t="n">
        <v>2026</v>
      </c>
      <c r="C1263" s="41" t="n">
        <v>10</v>
      </c>
      <c r="D1263" s="41" t="s">
        <v>55</v>
      </c>
      <c r="E1263" s="41" t="s">
        <v>35</v>
      </c>
      <c r="F1263" s="41" t="s">
        <v>36</v>
      </c>
      <c r="G1263" s="41" t="s">
        <v>38</v>
      </c>
      <c r="H1263" s="42" t="n">
        <v>137</v>
      </c>
      <c r="I1263" s="42" t="n">
        <v>177</v>
      </c>
      <c r="J1263" s="42" t="n">
        <v>15329</v>
      </c>
      <c r="K1263" s="42" t="n">
        <v>787</v>
      </c>
      <c r="L1263" s="43" t="n">
        <f aca="false">J1263-K1263</f>
        <v>14542</v>
      </c>
      <c r="M1263" s="42" t="n">
        <v>6351</v>
      </c>
      <c r="N1263" s="43" t="n">
        <f aca="false">L1263-M1263</f>
        <v>8191</v>
      </c>
    </row>
    <row r="1264" customFormat="false" ht="15" hidden="false" customHeight="false" outlineLevel="0" collapsed="false">
      <c r="A1264" s="40" t="n">
        <v>46296</v>
      </c>
      <c r="B1264" s="41" t="n">
        <v>2026</v>
      </c>
      <c r="C1264" s="41" t="n">
        <v>10</v>
      </c>
      <c r="D1264" s="41" t="s">
        <v>55</v>
      </c>
      <c r="E1264" s="41" t="s">
        <v>35</v>
      </c>
      <c r="F1264" s="41" t="s">
        <v>36</v>
      </c>
      <c r="G1264" s="41" t="s">
        <v>39</v>
      </c>
      <c r="H1264" s="42" t="n">
        <v>187</v>
      </c>
      <c r="I1264" s="42" t="n">
        <v>291</v>
      </c>
      <c r="J1264" s="42" t="n">
        <v>15750</v>
      </c>
      <c r="K1264" s="42" t="n">
        <v>1631</v>
      </c>
      <c r="L1264" s="43" t="n">
        <f aca="false">J1264-K1264</f>
        <v>14119</v>
      </c>
      <c r="M1264" s="42" t="n">
        <v>5613</v>
      </c>
      <c r="N1264" s="43" t="n">
        <f aca="false">L1264-M1264</f>
        <v>8506</v>
      </c>
    </row>
    <row r="1265" customFormat="false" ht="15" hidden="false" customHeight="false" outlineLevel="0" collapsed="false">
      <c r="A1265" s="40" t="n">
        <v>46296</v>
      </c>
      <c r="B1265" s="41" t="n">
        <v>2026</v>
      </c>
      <c r="C1265" s="41" t="n">
        <v>10</v>
      </c>
      <c r="D1265" s="41" t="s">
        <v>55</v>
      </c>
      <c r="E1265" s="41" t="s">
        <v>35</v>
      </c>
      <c r="F1265" s="41" t="s">
        <v>36</v>
      </c>
      <c r="G1265" s="41" t="s">
        <v>40</v>
      </c>
      <c r="H1265" s="42" t="n">
        <v>78</v>
      </c>
      <c r="I1265" s="42" t="n">
        <v>97</v>
      </c>
      <c r="J1265" s="42" t="n">
        <v>10030</v>
      </c>
      <c r="K1265" s="42" t="n">
        <v>1049</v>
      </c>
      <c r="L1265" s="43" t="n">
        <f aca="false">J1265-K1265</f>
        <v>8981</v>
      </c>
      <c r="M1265" s="42" t="n">
        <v>5038</v>
      </c>
      <c r="N1265" s="43" t="n">
        <f aca="false">L1265-M1265</f>
        <v>3943</v>
      </c>
    </row>
    <row r="1266" customFormat="false" ht="15" hidden="false" customHeight="false" outlineLevel="0" collapsed="false">
      <c r="A1266" s="40" t="n">
        <v>46296</v>
      </c>
      <c r="B1266" s="41" t="n">
        <v>2026</v>
      </c>
      <c r="C1266" s="41" t="n">
        <v>10</v>
      </c>
      <c r="D1266" s="41" t="s">
        <v>55</v>
      </c>
      <c r="E1266" s="41" t="s">
        <v>35</v>
      </c>
      <c r="F1266" s="41" t="s">
        <v>36</v>
      </c>
      <c r="G1266" s="41" t="s">
        <v>41</v>
      </c>
      <c r="H1266" s="42" t="n">
        <v>113</v>
      </c>
      <c r="I1266" s="42" t="n">
        <v>177</v>
      </c>
      <c r="J1266" s="42" t="n">
        <v>6879</v>
      </c>
      <c r="K1266" s="42" t="n">
        <v>187</v>
      </c>
      <c r="L1266" s="43" t="n">
        <f aca="false">J1266-K1266</f>
        <v>6692</v>
      </c>
      <c r="M1266" s="42" t="n">
        <v>3285</v>
      </c>
      <c r="N1266" s="43" t="n">
        <f aca="false">L1266-M1266</f>
        <v>3407</v>
      </c>
    </row>
    <row r="1267" customFormat="false" ht="15" hidden="false" customHeight="false" outlineLevel="0" collapsed="false">
      <c r="A1267" s="40" t="n">
        <v>46296</v>
      </c>
      <c r="B1267" s="41" t="n">
        <v>2026</v>
      </c>
      <c r="C1267" s="41" t="n">
        <v>10</v>
      </c>
      <c r="D1267" s="41" t="s">
        <v>55</v>
      </c>
      <c r="E1267" s="41" t="s">
        <v>35</v>
      </c>
      <c r="F1267" s="41" t="s">
        <v>42</v>
      </c>
      <c r="G1267" s="41" t="s">
        <v>37</v>
      </c>
      <c r="H1267" s="42" t="n">
        <v>62</v>
      </c>
      <c r="I1267" s="42" t="n">
        <v>80</v>
      </c>
      <c r="J1267" s="42" t="n">
        <v>10819</v>
      </c>
      <c r="K1267" s="42" t="n">
        <v>693</v>
      </c>
      <c r="L1267" s="43" t="n">
        <f aca="false">J1267-K1267</f>
        <v>10126</v>
      </c>
      <c r="M1267" s="42" t="n">
        <v>5525</v>
      </c>
      <c r="N1267" s="43" t="n">
        <f aca="false">L1267-M1267</f>
        <v>4601</v>
      </c>
    </row>
    <row r="1268" customFormat="false" ht="15" hidden="false" customHeight="false" outlineLevel="0" collapsed="false">
      <c r="A1268" s="40" t="n">
        <v>46296</v>
      </c>
      <c r="B1268" s="41" t="n">
        <v>2026</v>
      </c>
      <c r="C1268" s="41" t="n">
        <v>10</v>
      </c>
      <c r="D1268" s="41" t="s">
        <v>55</v>
      </c>
      <c r="E1268" s="41" t="s">
        <v>35</v>
      </c>
      <c r="F1268" s="41" t="s">
        <v>42</v>
      </c>
      <c r="G1268" s="41" t="s">
        <v>38</v>
      </c>
      <c r="H1268" s="42" t="n">
        <v>97</v>
      </c>
      <c r="I1268" s="42" t="n">
        <v>114</v>
      </c>
      <c r="J1268" s="42" t="n">
        <v>9947</v>
      </c>
      <c r="K1268" s="42" t="n">
        <v>760</v>
      </c>
      <c r="L1268" s="43" t="n">
        <f aca="false">J1268-K1268</f>
        <v>9187</v>
      </c>
      <c r="M1268" s="42" t="n">
        <v>4461</v>
      </c>
      <c r="N1268" s="43" t="n">
        <f aca="false">L1268-M1268</f>
        <v>4726</v>
      </c>
    </row>
    <row r="1269" customFormat="false" ht="15" hidden="false" customHeight="false" outlineLevel="0" collapsed="false">
      <c r="A1269" s="40" t="n">
        <v>46296</v>
      </c>
      <c r="B1269" s="41" t="n">
        <v>2026</v>
      </c>
      <c r="C1269" s="41" t="n">
        <v>10</v>
      </c>
      <c r="D1269" s="41" t="s">
        <v>55</v>
      </c>
      <c r="E1269" s="41" t="s">
        <v>35</v>
      </c>
      <c r="F1269" s="41" t="s">
        <v>42</v>
      </c>
      <c r="G1269" s="41" t="s">
        <v>39</v>
      </c>
      <c r="H1269" s="42" t="n">
        <v>129</v>
      </c>
      <c r="I1269" s="42" t="n">
        <v>192</v>
      </c>
      <c r="J1269" s="42" t="n">
        <v>9997</v>
      </c>
      <c r="K1269" s="42" t="n">
        <v>1226</v>
      </c>
      <c r="L1269" s="43" t="n">
        <f aca="false">J1269-K1269</f>
        <v>8771</v>
      </c>
      <c r="M1269" s="42" t="n">
        <v>3558</v>
      </c>
      <c r="N1269" s="43" t="n">
        <f aca="false">L1269-M1269</f>
        <v>5213</v>
      </c>
    </row>
    <row r="1270" customFormat="false" ht="15" hidden="false" customHeight="false" outlineLevel="0" collapsed="false">
      <c r="A1270" s="40" t="n">
        <v>46296</v>
      </c>
      <c r="B1270" s="41" t="n">
        <v>2026</v>
      </c>
      <c r="C1270" s="41" t="n">
        <v>10</v>
      </c>
      <c r="D1270" s="41" t="s">
        <v>55</v>
      </c>
      <c r="E1270" s="41" t="s">
        <v>35</v>
      </c>
      <c r="F1270" s="41" t="s">
        <v>42</v>
      </c>
      <c r="G1270" s="41" t="s">
        <v>40</v>
      </c>
      <c r="H1270" s="42" t="n">
        <v>66</v>
      </c>
      <c r="I1270" s="42" t="n">
        <v>96</v>
      </c>
      <c r="J1270" s="42" t="n">
        <v>7772</v>
      </c>
      <c r="K1270" s="42" t="n">
        <v>1487</v>
      </c>
      <c r="L1270" s="43" t="n">
        <f aca="false">J1270-K1270</f>
        <v>6285</v>
      </c>
      <c r="M1270" s="42" t="n">
        <v>3675</v>
      </c>
      <c r="N1270" s="43" t="n">
        <f aca="false">L1270-M1270</f>
        <v>2610</v>
      </c>
    </row>
    <row r="1271" customFormat="false" ht="15" hidden="false" customHeight="false" outlineLevel="0" collapsed="false">
      <c r="A1271" s="40" t="n">
        <v>46296</v>
      </c>
      <c r="B1271" s="41" t="n">
        <v>2026</v>
      </c>
      <c r="C1271" s="41" t="n">
        <v>10</v>
      </c>
      <c r="D1271" s="41" t="s">
        <v>55</v>
      </c>
      <c r="E1271" s="41" t="s">
        <v>35</v>
      </c>
      <c r="F1271" s="41" t="s">
        <v>42</v>
      </c>
      <c r="G1271" s="41" t="s">
        <v>41</v>
      </c>
      <c r="H1271" s="42" t="n">
        <v>109</v>
      </c>
      <c r="I1271" s="42" t="n">
        <v>156</v>
      </c>
      <c r="J1271" s="42" t="n">
        <v>6131</v>
      </c>
      <c r="K1271" s="42" t="n">
        <v>264</v>
      </c>
      <c r="L1271" s="43" t="n">
        <f aca="false">J1271-K1271</f>
        <v>5867</v>
      </c>
      <c r="M1271" s="42" t="n">
        <v>2878</v>
      </c>
      <c r="N1271" s="43" t="n">
        <f aca="false">L1271-M1271</f>
        <v>2989</v>
      </c>
    </row>
    <row r="1272" customFormat="false" ht="15" hidden="false" customHeight="false" outlineLevel="0" collapsed="false">
      <c r="A1272" s="40" t="n">
        <v>46296</v>
      </c>
      <c r="B1272" s="41" t="n">
        <v>2026</v>
      </c>
      <c r="C1272" s="41" t="n">
        <v>10</v>
      </c>
      <c r="D1272" s="41" t="s">
        <v>55</v>
      </c>
      <c r="E1272" s="41" t="s">
        <v>35</v>
      </c>
      <c r="F1272" s="41" t="s">
        <v>43</v>
      </c>
      <c r="G1272" s="41" t="s">
        <v>37</v>
      </c>
      <c r="H1272" s="42" t="n">
        <v>39</v>
      </c>
      <c r="I1272" s="42" t="n">
        <v>55</v>
      </c>
      <c r="J1272" s="42" t="n">
        <v>7875</v>
      </c>
      <c r="K1272" s="42" t="n">
        <v>208</v>
      </c>
      <c r="L1272" s="43" t="n">
        <f aca="false">J1272-K1272</f>
        <v>7667</v>
      </c>
      <c r="M1272" s="42" t="n">
        <v>4161</v>
      </c>
      <c r="N1272" s="43" t="n">
        <f aca="false">L1272-M1272</f>
        <v>3506</v>
      </c>
    </row>
    <row r="1273" customFormat="false" ht="15" hidden="false" customHeight="false" outlineLevel="0" collapsed="false">
      <c r="A1273" s="40" t="n">
        <v>46296</v>
      </c>
      <c r="B1273" s="41" t="n">
        <v>2026</v>
      </c>
      <c r="C1273" s="41" t="n">
        <v>10</v>
      </c>
      <c r="D1273" s="41" t="s">
        <v>55</v>
      </c>
      <c r="E1273" s="41" t="s">
        <v>35</v>
      </c>
      <c r="F1273" s="41" t="s">
        <v>43</v>
      </c>
      <c r="G1273" s="41" t="s">
        <v>38</v>
      </c>
      <c r="H1273" s="42" t="n">
        <v>51</v>
      </c>
      <c r="I1273" s="42" t="n">
        <v>62</v>
      </c>
      <c r="J1273" s="42" t="n">
        <v>6036</v>
      </c>
      <c r="K1273" s="42" t="n">
        <v>182</v>
      </c>
      <c r="L1273" s="43" t="n">
        <f aca="false">J1273-K1273</f>
        <v>5854</v>
      </c>
      <c r="M1273" s="42" t="n">
        <v>2579</v>
      </c>
      <c r="N1273" s="43" t="n">
        <f aca="false">L1273-M1273</f>
        <v>3275</v>
      </c>
    </row>
    <row r="1274" customFormat="false" ht="15" hidden="false" customHeight="false" outlineLevel="0" collapsed="false">
      <c r="A1274" s="40" t="n">
        <v>46296</v>
      </c>
      <c r="B1274" s="41" t="n">
        <v>2026</v>
      </c>
      <c r="C1274" s="41" t="n">
        <v>10</v>
      </c>
      <c r="D1274" s="41" t="s">
        <v>55</v>
      </c>
      <c r="E1274" s="41" t="s">
        <v>35</v>
      </c>
      <c r="F1274" s="41" t="s">
        <v>43</v>
      </c>
      <c r="G1274" s="41" t="s">
        <v>39</v>
      </c>
      <c r="H1274" s="42" t="n">
        <v>89</v>
      </c>
      <c r="I1274" s="42" t="n">
        <v>134</v>
      </c>
      <c r="J1274" s="42" t="n">
        <v>7906</v>
      </c>
      <c r="K1274" s="42" t="n">
        <v>478</v>
      </c>
      <c r="L1274" s="43" t="n">
        <f aca="false">J1274-K1274</f>
        <v>7428</v>
      </c>
      <c r="M1274" s="42" t="n">
        <v>2897</v>
      </c>
      <c r="N1274" s="43" t="n">
        <f aca="false">L1274-M1274</f>
        <v>4531</v>
      </c>
    </row>
    <row r="1275" customFormat="false" ht="15" hidden="false" customHeight="false" outlineLevel="0" collapsed="false">
      <c r="A1275" s="40" t="n">
        <v>46296</v>
      </c>
      <c r="B1275" s="41" t="n">
        <v>2026</v>
      </c>
      <c r="C1275" s="41" t="n">
        <v>10</v>
      </c>
      <c r="D1275" s="41" t="s">
        <v>55</v>
      </c>
      <c r="E1275" s="41" t="s">
        <v>35</v>
      </c>
      <c r="F1275" s="41" t="s">
        <v>43</v>
      </c>
      <c r="G1275" s="41" t="s">
        <v>40</v>
      </c>
      <c r="H1275" s="42" t="n">
        <v>42</v>
      </c>
      <c r="I1275" s="42" t="n">
        <v>59</v>
      </c>
      <c r="J1275" s="42" t="n">
        <v>5670</v>
      </c>
      <c r="K1275" s="42" t="n">
        <v>460</v>
      </c>
      <c r="L1275" s="43" t="n">
        <f aca="false">J1275-K1275</f>
        <v>5210</v>
      </c>
      <c r="M1275" s="42" t="n">
        <v>2873</v>
      </c>
      <c r="N1275" s="43" t="n">
        <f aca="false">L1275-M1275</f>
        <v>2337</v>
      </c>
    </row>
    <row r="1276" customFormat="false" ht="15" hidden="false" customHeight="false" outlineLevel="0" collapsed="false">
      <c r="A1276" s="40" t="n">
        <v>46296</v>
      </c>
      <c r="B1276" s="41" t="n">
        <v>2026</v>
      </c>
      <c r="C1276" s="41" t="n">
        <v>10</v>
      </c>
      <c r="D1276" s="41" t="s">
        <v>55</v>
      </c>
      <c r="E1276" s="41" t="s">
        <v>35</v>
      </c>
      <c r="F1276" s="41" t="s">
        <v>43</v>
      </c>
      <c r="G1276" s="41" t="s">
        <v>41</v>
      </c>
      <c r="H1276" s="42" t="n">
        <v>49</v>
      </c>
      <c r="I1276" s="42" t="n">
        <v>58</v>
      </c>
      <c r="J1276" s="42" t="n">
        <v>3200</v>
      </c>
      <c r="K1276" s="42" t="n">
        <v>65</v>
      </c>
      <c r="L1276" s="43" t="n">
        <f aca="false">J1276-K1276</f>
        <v>3135</v>
      </c>
      <c r="M1276" s="42" t="n">
        <v>1481</v>
      </c>
      <c r="N1276" s="43" t="n">
        <f aca="false">L1276-M1276</f>
        <v>1654</v>
      </c>
    </row>
    <row r="1277" customFormat="false" ht="15" hidden="false" customHeight="false" outlineLevel="0" collapsed="false">
      <c r="A1277" s="40" t="n">
        <v>46296</v>
      </c>
      <c r="B1277" s="41" t="n">
        <v>2026</v>
      </c>
      <c r="C1277" s="41" t="n">
        <v>10</v>
      </c>
      <c r="D1277" s="41" t="s">
        <v>55</v>
      </c>
      <c r="E1277" s="41" t="s">
        <v>44</v>
      </c>
      <c r="F1277" s="41" t="s">
        <v>36</v>
      </c>
      <c r="G1277" s="41" t="s">
        <v>37</v>
      </c>
      <c r="H1277" s="42" t="n">
        <v>70</v>
      </c>
      <c r="I1277" s="42" t="n">
        <v>88</v>
      </c>
      <c r="J1277" s="42" t="n">
        <v>13181</v>
      </c>
      <c r="K1277" s="42" t="n">
        <v>596</v>
      </c>
      <c r="L1277" s="43" t="n">
        <f aca="false">J1277-K1277</f>
        <v>12585</v>
      </c>
      <c r="M1277" s="42" t="n">
        <v>6567</v>
      </c>
      <c r="N1277" s="43" t="n">
        <f aca="false">L1277-M1277</f>
        <v>6018</v>
      </c>
    </row>
    <row r="1278" customFormat="false" ht="15" hidden="false" customHeight="false" outlineLevel="0" collapsed="false">
      <c r="A1278" s="40" t="n">
        <v>46296</v>
      </c>
      <c r="B1278" s="41" t="n">
        <v>2026</v>
      </c>
      <c r="C1278" s="41" t="n">
        <v>10</v>
      </c>
      <c r="D1278" s="41" t="s">
        <v>55</v>
      </c>
      <c r="E1278" s="41" t="s">
        <v>44</v>
      </c>
      <c r="F1278" s="41" t="s">
        <v>36</v>
      </c>
      <c r="G1278" s="41" t="s">
        <v>38</v>
      </c>
      <c r="H1278" s="42" t="n">
        <v>85</v>
      </c>
      <c r="I1278" s="42" t="n">
        <v>116</v>
      </c>
      <c r="J1278" s="42" t="n">
        <v>9532</v>
      </c>
      <c r="K1278" s="42" t="n">
        <v>455</v>
      </c>
      <c r="L1278" s="43" t="n">
        <f aca="false">J1278-K1278</f>
        <v>9077</v>
      </c>
      <c r="M1278" s="42" t="n">
        <v>4044</v>
      </c>
      <c r="N1278" s="43" t="n">
        <f aca="false">L1278-M1278</f>
        <v>5033</v>
      </c>
    </row>
    <row r="1279" customFormat="false" ht="15" hidden="false" customHeight="false" outlineLevel="0" collapsed="false">
      <c r="A1279" s="40" t="n">
        <v>46296</v>
      </c>
      <c r="B1279" s="41" t="n">
        <v>2026</v>
      </c>
      <c r="C1279" s="41" t="n">
        <v>10</v>
      </c>
      <c r="D1279" s="41" t="s">
        <v>55</v>
      </c>
      <c r="E1279" s="41" t="s">
        <v>44</v>
      </c>
      <c r="F1279" s="41" t="s">
        <v>36</v>
      </c>
      <c r="G1279" s="41" t="s">
        <v>39</v>
      </c>
      <c r="H1279" s="42" t="n">
        <v>164</v>
      </c>
      <c r="I1279" s="42" t="n">
        <v>205</v>
      </c>
      <c r="J1279" s="42" t="n">
        <v>13760</v>
      </c>
      <c r="K1279" s="42" t="n">
        <v>1470</v>
      </c>
      <c r="L1279" s="43" t="n">
        <f aca="false">J1279-K1279</f>
        <v>12290</v>
      </c>
      <c r="M1279" s="42" t="n">
        <v>4890</v>
      </c>
      <c r="N1279" s="43" t="n">
        <f aca="false">L1279-M1279</f>
        <v>7400</v>
      </c>
    </row>
    <row r="1280" customFormat="false" ht="15" hidden="false" customHeight="false" outlineLevel="0" collapsed="false">
      <c r="A1280" s="40" t="n">
        <v>46296</v>
      </c>
      <c r="B1280" s="41" t="n">
        <v>2026</v>
      </c>
      <c r="C1280" s="41" t="n">
        <v>10</v>
      </c>
      <c r="D1280" s="41" t="s">
        <v>55</v>
      </c>
      <c r="E1280" s="41" t="s">
        <v>44</v>
      </c>
      <c r="F1280" s="41" t="s">
        <v>36</v>
      </c>
      <c r="G1280" s="41" t="s">
        <v>40</v>
      </c>
      <c r="H1280" s="42" t="n">
        <v>71</v>
      </c>
      <c r="I1280" s="42" t="n">
        <v>98</v>
      </c>
      <c r="J1280" s="42" t="n">
        <v>9100</v>
      </c>
      <c r="K1280" s="42" t="n">
        <v>1277</v>
      </c>
      <c r="L1280" s="43" t="n">
        <f aca="false">J1280-K1280</f>
        <v>7823</v>
      </c>
      <c r="M1280" s="42" t="n">
        <v>4330</v>
      </c>
      <c r="N1280" s="43" t="n">
        <f aca="false">L1280-M1280</f>
        <v>3493</v>
      </c>
    </row>
    <row r="1281" customFormat="false" ht="15" hidden="false" customHeight="false" outlineLevel="0" collapsed="false">
      <c r="A1281" s="40" t="n">
        <v>46296</v>
      </c>
      <c r="B1281" s="41" t="n">
        <v>2026</v>
      </c>
      <c r="C1281" s="41" t="n">
        <v>10</v>
      </c>
      <c r="D1281" s="41" t="s">
        <v>55</v>
      </c>
      <c r="E1281" s="41" t="s">
        <v>44</v>
      </c>
      <c r="F1281" s="41" t="s">
        <v>36</v>
      </c>
      <c r="G1281" s="41" t="s">
        <v>41</v>
      </c>
      <c r="H1281" s="42" t="n">
        <v>92</v>
      </c>
      <c r="I1281" s="42" t="n">
        <v>109</v>
      </c>
      <c r="J1281" s="42" t="n">
        <v>5599</v>
      </c>
      <c r="K1281" s="42" t="n">
        <v>140</v>
      </c>
      <c r="L1281" s="43" t="n">
        <f aca="false">J1281-K1281</f>
        <v>5459</v>
      </c>
      <c r="M1281" s="42" t="n">
        <v>2594</v>
      </c>
      <c r="N1281" s="43" t="n">
        <f aca="false">L1281-M1281</f>
        <v>2865</v>
      </c>
    </row>
    <row r="1282" customFormat="false" ht="15" hidden="false" customHeight="false" outlineLevel="0" collapsed="false">
      <c r="A1282" s="40" t="n">
        <v>46296</v>
      </c>
      <c r="B1282" s="41" t="n">
        <v>2026</v>
      </c>
      <c r="C1282" s="41" t="n">
        <v>10</v>
      </c>
      <c r="D1282" s="41" t="s">
        <v>55</v>
      </c>
      <c r="E1282" s="41" t="s">
        <v>44</v>
      </c>
      <c r="F1282" s="41" t="s">
        <v>42</v>
      </c>
      <c r="G1282" s="41" t="s">
        <v>37</v>
      </c>
      <c r="H1282" s="42" t="n">
        <v>44</v>
      </c>
      <c r="I1282" s="42" t="n">
        <v>63</v>
      </c>
      <c r="J1282" s="42" t="n">
        <v>7570</v>
      </c>
      <c r="K1282" s="42" t="n">
        <v>396</v>
      </c>
      <c r="L1282" s="43" t="n">
        <f aca="false">J1282-K1282</f>
        <v>7174</v>
      </c>
      <c r="M1282" s="42" t="n">
        <v>3892</v>
      </c>
      <c r="N1282" s="43" t="n">
        <f aca="false">L1282-M1282</f>
        <v>3282</v>
      </c>
    </row>
    <row r="1283" customFormat="false" ht="15" hidden="false" customHeight="false" outlineLevel="0" collapsed="false">
      <c r="A1283" s="40" t="n">
        <v>46296</v>
      </c>
      <c r="B1283" s="41" t="n">
        <v>2026</v>
      </c>
      <c r="C1283" s="41" t="n">
        <v>10</v>
      </c>
      <c r="D1283" s="41" t="s">
        <v>55</v>
      </c>
      <c r="E1283" s="41" t="s">
        <v>44</v>
      </c>
      <c r="F1283" s="41" t="s">
        <v>42</v>
      </c>
      <c r="G1283" s="41" t="s">
        <v>38</v>
      </c>
      <c r="H1283" s="42" t="n">
        <v>73</v>
      </c>
      <c r="I1283" s="42" t="n">
        <v>115</v>
      </c>
      <c r="J1283" s="42" t="n">
        <v>7511</v>
      </c>
      <c r="K1283" s="42" t="n">
        <v>455</v>
      </c>
      <c r="L1283" s="43" t="n">
        <f aca="false">J1283-K1283</f>
        <v>7056</v>
      </c>
      <c r="M1283" s="42" t="n">
        <v>3261</v>
      </c>
      <c r="N1283" s="43" t="n">
        <f aca="false">L1283-M1283</f>
        <v>3795</v>
      </c>
    </row>
    <row r="1284" customFormat="false" ht="15" hidden="false" customHeight="false" outlineLevel="0" collapsed="false">
      <c r="A1284" s="40" t="n">
        <v>46296</v>
      </c>
      <c r="B1284" s="41" t="n">
        <v>2026</v>
      </c>
      <c r="C1284" s="41" t="n">
        <v>10</v>
      </c>
      <c r="D1284" s="41" t="s">
        <v>55</v>
      </c>
      <c r="E1284" s="41" t="s">
        <v>44</v>
      </c>
      <c r="F1284" s="41" t="s">
        <v>42</v>
      </c>
      <c r="G1284" s="41" t="s">
        <v>39</v>
      </c>
      <c r="H1284" s="42" t="n">
        <v>109</v>
      </c>
      <c r="I1284" s="42" t="n">
        <v>141</v>
      </c>
      <c r="J1284" s="42" t="n">
        <v>8425</v>
      </c>
      <c r="K1284" s="42" t="n">
        <v>1324</v>
      </c>
      <c r="L1284" s="43" t="n">
        <f aca="false">J1284-K1284</f>
        <v>7101</v>
      </c>
      <c r="M1284" s="42" t="n">
        <v>2979</v>
      </c>
      <c r="N1284" s="43" t="n">
        <f aca="false">L1284-M1284</f>
        <v>4122</v>
      </c>
    </row>
    <row r="1285" customFormat="false" ht="15" hidden="false" customHeight="false" outlineLevel="0" collapsed="false">
      <c r="A1285" s="40" t="n">
        <v>46296</v>
      </c>
      <c r="B1285" s="41" t="n">
        <v>2026</v>
      </c>
      <c r="C1285" s="41" t="n">
        <v>10</v>
      </c>
      <c r="D1285" s="41" t="s">
        <v>55</v>
      </c>
      <c r="E1285" s="41" t="s">
        <v>44</v>
      </c>
      <c r="F1285" s="41" t="s">
        <v>42</v>
      </c>
      <c r="G1285" s="41" t="s">
        <v>40</v>
      </c>
      <c r="H1285" s="42" t="n">
        <v>53</v>
      </c>
      <c r="I1285" s="42" t="n">
        <v>65</v>
      </c>
      <c r="J1285" s="42" t="n">
        <v>6288</v>
      </c>
      <c r="K1285" s="42" t="n">
        <v>833</v>
      </c>
      <c r="L1285" s="43" t="n">
        <f aca="false">J1285-K1285</f>
        <v>5455</v>
      </c>
      <c r="M1285" s="42" t="n">
        <v>3028</v>
      </c>
      <c r="N1285" s="43" t="n">
        <f aca="false">L1285-M1285</f>
        <v>2427</v>
      </c>
    </row>
    <row r="1286" customFormat="false" ht="15" hidden="false" customHeight="false" outlineLevel="0" collapsed="false">
      <c r="A1286" s="40" t="n">
        <v>46296</v>
      </c>
      <c r="B1286" s="41" t="n">
        <v>2026</v>
      </c>
      <c r="C1286" s="41" t="n">
        <v>10</v>
      </c>
      <c r="D1286" s="41" t="s">
        <v>55</v>
      </c>
      <c r="E1286" s="41" t="s">
        <v>44</v>
      </c>
      <c r="F1286" s="41" t="s">
        <v>42</v>
      </c>
      <c r="G1286" s="41" t="s">
        <v>41</v>
      </c>
      <c r="H1286" s="42" t="n">
        <v>84</v>
      </c>
      <c r="I1286" s="42" t="n">
        <v>121</v>
      </c>
      <c r="J1286" s="42" t="n">
        <v>4693</v>
      </c>
      <c r="K1286" s="42" t="n">
        <v>164</v>
      </c>
      <c r="L1286" s="43" t="n">
        <f aca="false">J1286-K1286</f>
        <v>4529</v>
      </c>
      <c r="M1286" s="42" t="n">
        <v>2285</v>
      </c>
      <c r="N1286" s="43" t="n">
        <f aca="false">L1286-M1286</f>
        <v>2244</v>
      </c>
    </row>
    <row r="1287" customFormat="false" ht="15" hidden="false" customHeight="false" outlineLevel="0" collapsed="false">
      <c r="A1287" s="40" t="n">
        <v>46296</v>
      </c>
      <c r="B1287" s="41" t="n">
        <v>2026</v>
      </c>
      <c r="C1287" s="41" t="n">
        <v>10</v>
      </c>
      <c r="D1287" s="41" t="s">
        <v>55</v>
      </c>
      <c r="E1287" s="41" t="s">
        <v>44</v>
      </c>
      <c r="F1287" s="41" t="s">
        <v>43</v>
      </c>
      <c r="G1287" s="41" t="s">
        <v>37</v>
      </c>
      <c r="H1287" s="42" t="n">
        <v>26</v>
      </c>
      <c r="I1287" s="42" t="n">
        <v>36</v>
      </c>
      <c r="J1287" s="42" t="n">
        <v>5154</v>
      </c>
      <c r="K1287" s="42" t="n">
        <v>135</v>
      </c>
      <c r="L1287" s="43" t="n">
        <f aca="false">J1287-K1287</f>
        <v>5019</v>
      </c>
      <c r="M1287" s="42" t="n">
        <v>2597</v>
      </c>
      <c r="N1287" s="43" t="n">
        <f aca="false">L1287-M1287</f>
        <v>2422</v>
      </c>
    </row>
    <row r="1288" customFormat="false" ht="15" hidden="false" customHeight="false" outlineLevel="0" collapsed="false">
      <c r="A1288" s="40" t="n">
        <v>46296</v>
      </c>
      <c r="B1288" s="41" t="n">
        <v>2026</v>
      </c>
      <c r="C1288" s="41" t="n">
        <v>10</v>
      </c>
      <c r="D1288" s="41" t="s">
        <v>55</v>
      </c>
      <c r="E1288" s="41" t="s">
        <v>44</v>
      </c>
      <c r="F1288" s="41" t="s">
        <v>43</v>
      </c>
      <c r="G1288" s="41" t="s">
        <v>38</v>
      </c>
      <c r="H1288" s="42" t="n">
        <v>46</v>
      </c>
      <c r="I1288" s="42" t="n">
        <v>68</v>
      </c>
      <c r="J1288" s="42" t="n">
        <v>5495</v>
      </c>
      <c r="K1288" s="42" t="n">
        <v>193</v>
      </c>
      <c r="L1288" s="43" t="n">
        <f aca="false">J1288-K1288</f>
        <v>5302</v>
      </c>
      <c r="M1288" s="42" t="n">
        <v>2339</v>
      </c>
      <c r="N1288" s="43" t="n">
        <f aca="false">L1288-M1288</f>
        <v>2963</v>
      </c>
    </row>
    <row r="1289" customFormat="false" ht="15" hidden="false" customHeight="false" outlineLevel="0" collapsed="false">
      <c r="A1289" s="40" t="n">
        <v>46296</v>
      </c>
      <c r="B1289" s="41" t="n">
        <v>2026</v>
      </c>
      <c r="C1289" s="41" t="n">
        <v>10</v>
      </c>
      <c r="D1289" s="41" t="s">
        <v>55</v>
      </c>
      <c r="E1289" s="41" t="s">
        <v>44</v>
      </c>
      <c r="F1289" s="41" t="s">
        <v>43</v>
      </c>
      <c r="G1289" s="41" t="s">
        <v>39</v>
      </c>
      <c r="H1289" s="42" t="n">
        <v>72</v>
      </c>
      <c r="I1289" s="42" t="n">
        <v>97</v>
      </c>
      <c r="J1289" s="42" t="n">
        <v>6417</v>
      </c>
      <c r="K1289" s="42" t="n">
        <v>478</v>
      </c>
      <c r="L1289" s="43" t="n">
        <f aca="false">J1289-K1289</f>
        <v>5939</v>
      </c>
      <c r="M1289" s="42" t="n">
        <v>2259</v>
      </c>
      <c r="N1289" s="43" t="n">
        <f aca="false">L1289-M1289</f>
        <v>3680</v>
      </c>
    </row>
    <row r="1290" customFormat="false" ht="15" hidden="false" customHeight="false" outlineLevel="0" collapsed="false">
      <c r="A1290" s="40" t="n">
        <v>46296</v>
      </c>
      <c r="B1290" s="41" t="n">
        <v>2026</v>
      </c>
      <c r="C1290" s="41" t="n">
        <v>10</v>
      </c>
      <c r="D1290" s="41" t="s">
        <v>55</v>
      </c>
      <c r="E1290" s="41" t="s">
        <v>44</v>
      </c>
      <c r="F1290" s="41" t="s">
        <v>43</v>
      </c>
      <c r="G1290" s="41" t="s">
        <v>40</v>
      </c>
      <c r="H1290" s="42" t="n">
        <v>36</v>
      </c>
      <c r="I1290" s="42" t="n">
        <v>41</v>
      </c>
      <c r="J1290" s="42" t="n">
        <v>4908</v>
      </c>
      <c r="K1290" s="42" t="n">
        <v>367</v>
      </c>
      <c r="L1290" s="43" t="n">
        <f aca="false">J1290-K1290</f>
        <v>4541</v>
      </c>
      <c r="M1290" s="42" t="n">
        <v>2483</v>
      </c>
      <c r="N1290" s="43" t="n">
        <f aca="false">L1290-M1290</f>
        <v>2058</v>
      </c>
    </row>
    <row r="1291" customFormat="false" ht="15" hidden="false" customHeight="false" outlineLevel="0" collapsed="false">
      <c r="A1291" s="40" t="n">
        <v>46296</v>
      </c>
      <c r="B1291" s="41" t="n">
        <v>2026</v>
      </c>
      <c r="C1291" s="41" t="n">
        <v>10</v>
      </c>
      <c r="D1291" s="41" t="s">
        <v>55</v>
      </c>
      <c r="E1291" s="41" t="s">
        <v>44</v>
      </c>
      <c r="F1291" s="41" t="s">
        <v>43</v>
      </c>
      <c r="G1291" s="41" t="s">
        <v>41</v>
      </c>
      <c r="H1291" s="42" t="n">
        <v>42</v>
      </c>
      <c r="I1291" s="42" t="n">
        <v>50</v>
      </c>
      <c r="J1291" s="42" t="n">
        <v>2692</v>
      </c>
      <c r="K1291" s="42" t="n">
        <v>61</v>
      </c>
      <c r="L1291" s="43" t="n">
        <f aca="false">J1291-K1291</f>
        <v>2631</v>
      </c>
      <c r="M1291" s="42" t="n">
        <v>1301</v>
      </c>
      <c r="N1291" s="43" t="n">
        <f aca="false">L1291-M1291</f>
        <v>1330</v>
      </c>
    </row>
    <row r="1292" customFormat="false" ht="15" hidden="false" customHeight="false" outlineLevel="0" collapsed="false">
      <c r="A1292" s="40" t="n">
        <v>46296</v>
      </c>
      <c r="B1292" s="41" t="n">
        <v>2026</v>
      </c>
      <c r="C1292" s="41" t="n">
        <v>10</v>
      </c>
      <c r="D1292" s="41" t="s">
        <v>55</v>
      </c>
      <c r="E1292" s="41" t="s">
        <v>45</v>
      </c>
      <c r="F1292" s="41" t="s">
        <v>36</v>
      </c>
      <c r="G1292" s="41" t="s">
        <v>37</v>
      </c>
      <c r="H1292" s="42" t="n">
        <v>46</v>
      </c>
      <c r="I1292" s="42" t="n">
        <v>58</v>
      </c>
      <c r="J1292" s="42" t="n">
        <v>8688</v>
      </c>
      <c r="K1292" s="42" t="n">
        <v>371</v>
      </c>
      <c r="L1292" s="43" t="n">
        <f aca="false">J1292-K1292</f>
        <v>8317</v>
      </c>
      <c r="M1292" s="42" t="n">
        <v>4335</v>
      </c>
      <c r="N1292" s="43" t="n">
        <f aca="false">L1292-M1292</f>
        <v>3982</v>
      </c>
    </row>
    <row r="1293" customFormat="false" ht="15" hidden="false" customHeight="false" outlineLevel="0" collapsed="false">
      <c r="A1293" s="40" t="n">
        <v>46296</v>
      </c>
      <c r="B1293" s="41" t="n">
        <v>2026</v>
      </c>
      <c r="C1293" s="41" t="n">
        <v>10</v>
      </c>
      <c r="D1293" s="41" t="s">
        <v>55</v>
      </c>
      <c r="E1293" s="41" t="s">
        <v>45</v>
      </c>
      <c r="F1293" s="41" t="s">
        <v>36</v>
      </c>
      <c r="G1293" s="41" t="s">
        <v>38</v>
      </c>
      <c r="H1293" s="42" t="n">
        <v>69</v>
      </c>
      <c r="I1293" s="42" t="n">
        <v>101</v>
      </c>
      <c r="J1293" s="42" t="n">
        <v>7749</v>
      </c>
      <c r="K1293" s="42" t="n">
        <v>377</v>
      </c>
      <c r="L1293" s="43" t="n">
        <f aca="false">J1293-K1293</f>
        <v>7372</v>
      </c>
      <c r="M1293" s="42" t="n">
        <v>3249</v>
      </c>
      <c r="N1293" s="43" t="n">
        <f aca="false">L1293-M1293</f>
        <v>4123</v>
      </c>
    </row>
    <row r="1294" customFormat="false" ht="15" hidden="false" customHeight="false" outlineLevel="0" collapsed="false">
      <c r="A1294" s="40" t="n">
        <v>46296</v>
      </c>
      <c r="B1294" s="41" t="n">
        <v>2026</v>
      </c>
      <c r="C1294" s="41" t="n">
        <v>10</v>
      </c>
      <c r="D1294" s="41" t="s">
        <v>55</v>
      </c>
      <c r="E1294" s="41" t="s">
        <v>45</v>
      </c>
      <c r="F1294" s="41" t="s">
        <v>36</v>
      </c>
      <c r="G1294" s="41" t="s">
        <v>39</v>
      </c>
      <c r="H1294" s="42" t="n">
        <v>99</v>
      </c>
      <c r="I1294" s="42" t="n">
        <v>138</v>
      </c>
      <c r="J1294" s="42" t="n">
        <v>8347</v>
      </c>
      <c r="K1294" s="42" t="n">
        <v>999</v>
      </c>
      <c r="L1294" s="43" t="n">
        <f aca="false">J1294-K1294</f>
        <v>7348</v>
      </c>
      <c r="M1294" s="42" t="n">
        <v>2938</v>
      </c>
      <c r="N1294" s="43" t="n">
        <f aca="false">L1294-M1294</f>
        <v>4410</v>
      </c>
    </row>
    <row r="1295" customFormat="false" ht="15" hidden="false" customHeight="false" outlineLevel="0" collapsed="false">
      <c r="A1295" s="40" t="n">
        <v>46296</v>
      </c>
      <c r="B1295" s="41" t="n">
        <v>2026</v>
      </c>
      <c r="C1295" s="41" t="n">
        <v>10</v>
      </c>
      <c r="D1295" s="41" t="s">
        <v>55</v>
      </c>
      <c r="E1295" s="41" t="s">
        <v>45</v>
      </c>
      <c r="F1295" s="41" t="s">
        <v>36</v>
      </c>
      <c r="G1295" s="41" t="s">
        <v>40</v>
      </c>
      <c r="H1295" s="42" t="n">
        <v>47</v>
      </c>
      <c r="I1295" s="42" t="n">
        <v>65</v>
      </c>
      <c r="J1295" s="42" t="n">
        <v>6066</v>
      </c>
      <c r="K1295" s="42" t="n">
        <v>725</v>
      </c>
      <c r="L1295" s="43" t="n">
        <f aca="false">J1295-K1295</f>
        <v>5341</v>
      </c>
      <c r="M1295" s="42" t="n">
        <v>2884</v>
      </c>
      <c r="N1295" s="43" t="n">
        <f aca="false">L1295-M1295</f>
        <v>2457</v>
      </c>
    </row>
    <row r="1296" customFormat="false" ht="15" hidden="false" customHeight="false" outlineLevel="0" collapsed="false">
      <c r="A1296" s="40" t="n">
        <v>46296</v>
      </c>
      <c r="B1296" s="41" t="n">
        <v>2026</v>
      </c>
      <c r="C1296" s="41" t="n">
        <v>10</v>
      </c>
      <c r="D1296" s="41" t="s">
        <v>55</v>
      </c>
      <c r="E1296" s="41" t="s">
        <v>45</v>
      </c>
      <c r="F1296" s="41" t="s">
        <v>36</v>
      </c>
      <c r="G1296" s="41" t="s">
        <v>41</v>
      </c>
      <c r="H1296" s="42" t="n">
        <v>78</v>
      </c>
      <c r="I1296" s="42" t="n">
        <v>107</v>
      </c>
      <c r="J1296" s="42" t="n">
        <v>4771</v>
      </c>
      <c r="K1296" s="42" t="n">
        <v>161</v>
      </c>
      <c r="L1296" s="43" t="n">
        <f aca="false">J1296-K1296</f>
        <v>4610</v>
      </c>
      <c r="M1296" s="42" t="n">
        <v>2185</v>
      </c>
      <c r="N1296" s="43" t="n">
        <f aca="false">L1296-M1296</f>
        <v>2425</v>
      </c>
    </row>
    <row r="1297" customFormat="false" ht="15" hidden="false" customHeight="false" outlineLevel="0" collapsed="false">
      <c r="A1297" s="40" t="n">
        <v>46296</v>
      </c>
      <c r="B1297" s="41" t="n">
        <v>2026</v>
      </c>
      <c r="C1297" s="41" t="n">
        <v>10</v>
      </c>
      <c r="D1297" s="41" t="s">
        <v>55</v>
      </c>
      <c r="E1297" s="41" t="s">
        <v>45</v>
      </c>
      <c r="F1297" s="41" t="s">
        <v>42</v>
      </c>
      <c r="G1297" s="41" t="s">
        <v>37</v>
      </c>
      <c r="H1297" s="42" t="n">
        <v>41</v>
      </c>
      <c r="I1297" s="42" t="n">
        <v>62</v>
      </c>
      <c r="J1297" s="42" t="n">
        <v>7106</v>
      </c>
      <c r="K1297" s="42" t="n">
        <v>380</v>
      </c>
      <c r="L1297" s="43" t="n">
        <f aca="false">J1297-K1297</f>
        <v>6726</v>
      </c>
      <c r="M1297" s="42" t="n">
        <v>3612</v>
      </c>
      <c r="N1297" s="43" t="n">
        <f aca="false">L1297-M1297</f>
        <v>3114</v>
      </c>
    </row>
    <row r="1298" customFormat="false" ht="15" hidden="false" customHeight="false" outlineLevel="0" collapsed="false">
      <c r="A1298" s="40" t="n">
        <v>46296</v>
      </c>
      <c r="B1298" s="41" t="n">
        <v>2026</v>
      </c>
      <c r="C1298" s="41" t="n">
        <v>10</v>
      </c>
      <c r="D1298" s="41" t="s">
        <v>55</v>
      </c>
      <c r="E1298" s="41" t="s">
        <v>45</v>
      </c>
      <c r="F1298" s="41" t="s">
        <v>42</v>
      </c>
      <c r="G1298" s="41" t="s">
        <v>38</v>
      </c>
      <c r="H1298" s="42" t="n">
        <v>54</v>
      </c>
      <c r="I1298" s="42" t="n">
        <v>65</v>
      </c>
      <c r="J1298" s="42" t="n">
        <v>5519</v>
      </c>
      <c r="K1298" s="42" t="n">
        <v>400</v>
      </c>
      <c r="L1298" s="43" t="n">
        <f aca="false">J1298-K1298</f>
        <v>5119</v>
      </c>
      <c r="M1298" s="42" t="n">
        <v>2445</v>
      </c>
      <c r="N1298" s="43" t="n">
        <f aca="false">L1298-M1298</f>
        <v>2674</v>
      </c>
    </row>
    <row r="1299" customFormat="false" ht="15" hidden="false" customHeight="false" outlineLevel="0" collapsed="false">
      <c r="A1299" s="40" t="n">
        <v>46296</v>
      </c>
      <c r="B1299" s="41" t="n">
        <v>2026</v>
      </c>
      <c r="C1299" s="41" t="n">
        <v>10</v>
      </c>
      <c r="D1299" s="41" t="s">
        <v>55</v>
      </c>
      <c r="E1299" s="41" t="s">
        <v>45</v>
      </c>
      <c r="F1299" s="41" t="s">
        <v>42</v>
      </c>
      <c r="G1299" s="41" t="s">
        <v>39</v>
      </c>
      <c r="H1299" s="42" t="n">
        <v>87</v>
      </c>
      <c r="I1299" s="42" t="n">
        <v>138</v>
      </c>
      <c r="J1299" s="42" t="n">
        <v>6745</v>
      </c>
      <c r="K1299" s="42" t="n">
        <v>745</v>
      </c>
      <c r="L1299" s="43" t="n">
        <f aca="false">J1299-K1299</f>
        <v>6000</v>
      </c>
      <c r="M1299" s="42" t="n">
        <v>2519</v>
      </c>
      <c r="N1299" s="43" t="n">
        <f aca="false">L1299-M1299</f>
        <v>3481</v>
      </c>
    </row>
    <row r="1300" customFormat="false" ht="15" hidden="false" customHeight="false" outlineLevel="0" collapsed="false">
      <c r="A1300" s="40" t="n">
        <v>46296</v>
      </c>
      <c r="B1300" s="41" t="n">
        <v>2026</v>
      </c>
      <c r="C1300" s="41" t="n">
        <v>10</v>
      </c>
      <c r="D1300" s="41" t="s">
        <v>55</v>
      </c>
      <c r="E1300" s="41" t="s">
        <v>45</v>
      </c>
      <c r="F1300" s="41" t="s">
        <v>42</v>
      </c>
      <c r="G1300" s="41" t="s">
        <v>40</v>
      </c>
      <c r="H1300" s="42" t="n">
        <v>44</v>
      </c>
      <c r="I1300" s="42" t="n">
        <v>53</v>
      </c>
      <c r="J1300" s="42" t="n">
        <v>5153</v>
      </c>
      <c r="K1300" s="42" t="n">
        <v>775</v>
      </c>
      <c r="L1300" s="43" t="n">
        <f aca="false">J1300-K1300</f>
        <v>4378</v>
      </c>
      <c r="M1300" s="42" t="n">
        <v>2420</v>
      </c>
      <c r="N1300" s="43" t="n">
        <f aca="false">L1300-M1300</f>
        <v>1958</v>
      </c>
    </row>
    <row r="1301" customFormat="false" ht="15" hidden="false" customHeight="false" outlineLevel="0" collapsed="false">
      <c r="A1301" s="40" t="n">
        <v>46296</v>
      </c>
      <c r="B1301" s="41" t="n">
        <v>2026</v>
      </c>
      <c r="C1301" s="41" t="n">
        <v>10</v>
      </c>
      <c r="D1301" s="41" t="s">
        <v>55</v>
      </c>
      <c r="E1301" s="41" t="s">
        <v>45</v>
      </c>
      <c r="F1301" s="41" t="s">
        <v>42</v>
      </c>
      <c r="G1301" s="41" t="s">
        <v>41</v>
      </c>
      <c r="H1301" s="42" t="n">
        <v>58</v>
      </c>
      <c r="I1301" s="42" t="n">
        <v>86</v>
      </c>
      <c r="J1301" s="42" t="n">
        <v>3242</v>
      </c>
      <c r="K1301" s="42" t="n">
        <v>123</v>
      </c>
      <c r="L1301" s="43" t="n">
        <f aca="false">J1301-K1301</f>
        <v>3119</v>
      </c>
      <c r="M1301" s="42" t="n">
        <v>1580</v>
      </c>
      <c r="N1301" s="43" t="n">
        <f aca="false">L1301-M1301</f>
        <v>1539</v>
      </c>
    </row>
    <row r="1302" customFormat="false" ht="15" hidden="false" customHeight="false" outlineLevel="0" collapsed="false">
      <c r="A1302" s="40" t="n">
        <v>46296</v>
      </c>
      <c r="B1302" s="41" t="n">
        <v>2026</v>
      </c>
      <c r="C1302" s="41" t="n">
        <v>10</v>
      </c>
      <c r="D1302" s="41" t="s">
        <v>55</v>
      </c>
      <c r="E1302" s="41" t="s">
        <v>45</v>
      </c>
      <c r="F1302" s="41" t="s">
        <v>43</v>
      </c>
      <c r="G1302" s="41" t="s">
        <v>37</v>
      </c>
      <c r="H1302" s="42" t="n">
        <v>21</v>
      </c>
      <c r="I1302" s="42" t="n">
        <v>31</v>
      </c>
      <c r="J1302" s="42" t="n">
        <v>4194</v>
      </c>
      <c r="K1302" s="42" t="n">
        <v>107</v>
      </c>
      <c r="L1302" s="43" t="n">
        <f aca="false">J1302-K1302</f>
        <v>4087</v>
      </c>
      <c r="M1302" s="42" t="n">
        <v>2228</v>
      </c>
      <c r="N1302" s="43" t="n">
        <f aca="false">L1302-M1302</f>
        <v>1859</v>
      </c>
    </row>
    <row r="1303" customFormat="false" ht="15" hidden="false" customHeight="false" outlineLevel="0" collapsed="false">
      <c r="A1303" s="40" t="n">
        <v>46296</v>
      </c>
      <c r="B1303" s="41" t="n">
        <v>2026</v>
      </c>
      <c r="C1303" s="41" t="n">
        <v>10</v>
      </c>
      <c r="D1303" s="41" t="s">
        <v>55</v>
      </c>
      <c r="E1303" s="41" t="s">
        <v>45</v>
      </c>
      <c r="F1303" s="41" t="s">
        <v>43</v>
      </c>
      <c r="G1303" s="41" t="s">
        <v>38</v>
      </c>
      <c r="H1303" s="42" t="n">
        <v>32</v>
      </c>
      <c r="I1303" s="42" t="n">
        <v>37</v>
      </c>
      <c r="J1303" s="42" t="n">
        <v>3746</v>
      </c>
      <c r="K1303" s="42" t="n">
        <v>110</v>
      </c>
      <c r="L1303" s="43" t="n">
        <f aca="false">J1303-K1303</f>
        <v>3636</v>
      </c>
      <c r="M1303" s="42" t="n">
        <v>1658</v>
      </c>
      <c r="N1303" s="43" t="n">
        <f aca="false">L1303-M1303</f>
        <v>1978</v>
      </c>
    </row>
    <row r="1304" customFormat="false" ht="15" hidden="false" customHeight="false" outlineLevel="0" collapsed="false">
      <c r="A1304" s="40" t="n">
        <v>46296</v>
      </c>
      <c r="B1304" s="41" t="n">
        <v>2026</v>
      </c>
      <c r="C1304" s="41" t="n">
        <v>10</v>
      </c>
      <c r="D1304" s="41" t="s">
        <v>55</v>
      </c>
      <c r="E1304" s="41" t="s">
        <v>45</v>
      </c>
      <c r="F1304" s="41" t="s">
        <v>43</v>
      </c>
      <c r="G1304" s="41" t="s">
        <v>39</v>
      </c>
      <c r="H1304" s="42" t="n">
        <v>56</v>
      </c>
      <c r="I1304" s="42" t="n">
        <v>80</v>
      </c>
      <c r="J1304" s="42" t="n">
        <v>5001</v>
      </c>
      <c r="K1304" s="42" t="n">
        <v>302</v>
      </c>
      <c r="L1304" s="43" t="n">
        <f aca="false">J1304-K1304</f>
        <v>4699</v>
      </c>
      <c r="M1304" s="42" t="n">
        <v>1874</v>
      </c>
      <c r="N1304" s="43" t="n">
        <f aca="false">L1304-M1304</f>
        <v>2825</v>
      </c>
    </row>
    <row r="1305" customFormat="false" ht="15" hidden="false" customHeight="false" outlineLevel="0" collapsed="false">
      <c r="A1305" s="40" t="n">
        <v>46296</v>
      </c>
      <c r="B1305" s="41" t="n">
        <v>2026</v>
      </c>
      <c r="C1305" s="41" t="n">
        <v>10</v>
      </c>
      <c r="D1305" s="41" t="s">
        <v>55</v>
      </c>
      <c r="E1305" s="41" t="s">
        <v>45</v>
      </c>
      <c r="F1305" s="41" t="s">
        <v>43</v>
      </c>
      <c r="G1305" s="41" t="s">
        <v>40</v>
      </c>
      <c r="H1305" s="42" t="n">
        <v>26</v>
      </c>
      <c r="I1305" s="42" t="n">
        <v>31</v>
      </c>
      <c r="J1305" s="42" t="n">
        <v>3466</v>
      </c>
      <c r="K1305" s="42" t="n">
        <v>277</v>
      </c>
      <c r="L1305" s="43" t="n">
        <f aca="false">J1305-K1305</f>
        <v>3189</v>
      </c>
      <c r="M1305" s="42" t="n">
        <v>1772</v>
      </c>
      <c r="N1305" s="43" t="n">
        <f aca="false">L1305-M1305</f>
        <v>1417</v>
      </c>
    </row>
    <row r="1306" customFormat="false" ht="15" hidden="false" customHeight="false" outlineLevel="0" collapsed="false">
      <c r="A1306" s="40" t="n">
        <v>46296</v>
      </c>
      <c r="B1306" s="41" t="n">
        <v>2026</v>
      </c>
      <c r="C1306" s="41" t="n">
        <v>10</v>
      </c>
      <c r="D1306" s="41" t="s">
        <v>55</v>
      </c>
      <c r="E1306" s="41" t="s">
        <v>45</v>
      </c>
      <c r="F1306" s="41" t="s">
        <v>43</v>
      </c>
      <c r="G1306" s="41" t="s">
        <v>41</v>
      </c>
      <c r="H1306" s="42" t="n">
        <v>29</v>
      </c>
      <c r="I1306" s="42" t="n">
        <v>34</v>
      </c>
      <c r="J1306" s="42" t="n">
        <v>1875</v>
      </c>
      <c r="K1306" s="42" t="n">
        <v>37</v>
      </c>
      <c r="L1306" s="43" t="n">
        <f aca="false">J1306-K1306</f>
        <v>1838</v>
      </c>
      <c r="M1306" s="42" t="n">
        <v>902</v>
      </c>
      <c r="N1306" s="43" t="n">
        <f aca="false">L1306-M1306</f>
        <v>936</v>
      </c>
    </row>
    <row r="1307" customFormat="false" ht="15" hidden="false" customHeight="false" outlineLevel="0" collapsed="false">
      <c r="A1307" s="40" t="n">
        <v>46296</v>
      </c>
      <c r="B1307" s="41" t="n">
        <v>2026</v>
      </c>
      <c r="C1307" s="41" t="n">
        <v>10</v>
      </c>
      <c r="D1307" s="41" t="s">
        <v>55</v>
      </c>
      <c r="E1307" s="41" t="s">
        <v>46</v>
      </c>
      <c r="F1307" s="41" t="s">
        <v>36</v>
      </c>
      <c r="G1307" s="41" t="s">
        <v>37</v>
      </c>
      <c r="H1307" s="42" t="n">
        <v>52</v>
      </c>
      <c r="I1307" s="42" t="n">
        <v>67</v>
      </c>
      <c r="J1307" s="42" t="n">
        <v>9856</v>
      </c>
      <c r="K1307" s="42" t="n">
        <v>459</v>
      </c>
      <c r="L1307" s="43" t="n">
        <f aca="false">J1307-K1307</f>
        <v>9397</v>
      </c>
      <c r="M1307" s="42" t="n">
        <v>5066</v>
      </c>
      <c r="N1307" s="43" t="n">
        <f aca="false">L1307-M1307</f>
        <v>4331</v>
      </c>
    </row>
    <row r="1308" customFormat="false" ht="15" hidden="false" customHeight="false" outlineLevel="0" collapsed="false">
      <c r="A1308" s="40" t="n">
        <v>46296</v>
      </c>
      <c r="B1308" s="41" t="n">
        <v>2026</v>
      </c>
      <c r="C1308" s="41" t="n">
        <v>10</v>
      </c>
      <c r="D1308" s="41" t="s">
        <v>55</v>
      </c>
      <c r="E1308" s="41" t="s">
        <v>46</v>
      </c>
      <c r="F1308" s="41" t="s">
        <v>36</v>
      </c>
      <c r="G1308" s="41" t="s">
        <v>38</v>
      </c>
      <c r="H1308" s="42" t="n">
        <v>75</v>
      </c>
      <c r="I1308" s="42" t="n">
        <v>106</v>
      </c>
      <c r="J1308" s="42" t="n">
        <v>8346</v>
      </c>
      <c r="K1308" s="42" t="n">
        <v>496</v>
      </c>
      <c r="L1308" s="43" t="n">
        <f aca="false">J1308-K1308</f>
        <v>7850</v>
      </c>
      <c r="M1308" s="42" t="n">
        <v>3563</v>
      </c>
      <c r="N1308" s="43" t="n">
        <f aca="false">L1308-M1308</f>
        <v>4287</v>
      </c>
    </row>
    <row r="1309" customFormat="false" ht="15" hidden="false" customHeight="false" outlineLevel="0" collapsed="false">
      <c r="A1309" s="40" t="n">
        <v>46296</v>
      </c>
      <c r="B1309" s="41" t="n">
        <v>2026</v>
      </c>
      <c r="C1309" s="41" t="n">
        <v>10</v>
      </c>
      <c r="D1309" s="41" t="s">
        <v>55</v>
      </c>
      <c r="E1309" s="41" t="s">
        <v>46</v>
      </c>
      <c r="F1309" s="41" t="s">
        <v>36</v>
      </c>
      <c r="G1309" s="41" t="s">
        <v>39</v>
      </c>
      <c r="H1309" s="42" t="n">
        <v>121</v>
      </c>
      <c r="I1309" s="42" t="n">
        <v>170</v>
      </c>
      <c r="J1309" s="42" t="n">
        <v>10144</v>
      </c>
      <c r="K1309" s="42" t="n">
        <v>891</v>
      </c>
      <c r="L1309" s="43" t="n">
        <f aca="false">J1309-K1309</f>
        <v>9253</v>
      </c>
      <c r="M1309" s="42" t="n">
        <v>3613</v>
      </c>
      <c r="N1309" s="43" t="n">
        <f aca="false">L1309-M1309</f>
        <v>5640</v>
      </c>
    </row>
    <row r="1310" customFormat="false" ht="15" hidden="false" customHeight="false" outlineLevel="0" collapsed="false">
      <c r="A1310" s="40" t="n">
        <v>46296</v>
      </c>
      <c r="B1310" s="41" t="n">
        <v>2026</v>
      </c>
      <c r="C1310" s="41" t="n">
        <v>10</v>
      </c>
      <c r="D1310" s="41" t="s">
        <v>55</v>
      </c>
      <c r="E1310" s="41" t="s">
        <v>46</v>
      </c>
      <c r="F1310" s="41" t="s">
        <v>36</v>
      </c>
      <c r="G1310" s="41" t="s">
        <v>40</v>
      </c>
      <c r="H1310" s="42" t="n">
        <v>50</v>
      </c>
      <c r="I1310" s="42" t="n">
        <v>65</v>
      </c>
      <c r="J1310" s="42" t="n">
        <v>6459</v>
      </c>
      <c r="K1310" s="42" t="n">
        <v>736</v>
      </c>
      <c r="L1310" s="43" t="n">
        <f aca="false">J1310-K1310</f>
        <v>5723</v>
      </c>
      <c r="M1310" s="42" t="n">
        <v>3150</v>
      </c>
      <c r="N1310" s="43" t="n">
        <f aca="false">L1310-M1310</f>
        <v>2573</v>
      </c>
    </row>
    <row r="1311" customFormat="false" ht="15" hidden="false" customHeight="false" outlineLevel="0" collapsed="false">
      <c r="A1311" s="40" t="n">
        <v>46296</v>
      </c>
      <c r="B1311" s="41" t="n">
        <v>2026</v>
      </c>
      <c r="C1311" s="41" t="n">
        <v>10</v>
      </c>
      <c r="D1311" s="41" t="s">
        <v>55</v>
      </c>
      <c r="E1311" s="41" t="s">
        <v>46</v>
      </c>
      <c r="F1311" s="41" t="s">
        <v>36</v>
      </c>
      <c r="G1311" s="41" t="s">
        <v>41</v>
      </c>
      <c r="H1311" s="42" t="n">
        <v>73</v>
      </c>
      <c r="I1311" s="42" t="n">
        <v>91</v>
      </c>
      <c r="J1311" s="42" t="n">
        <v>4433</v>
      </c>
      <c r="K1311" s="42" t="n">
        <v>121</v>
      </c>
      <c r="L1311" s="43" t="n">
        <f aca="false">J1311-K1311</f>
        <v>4312</v>
      </c>
      <c r="M1311" s="42" t="n">
        <v>2070</v>
      </c>
      <c r="N1311" s="43" t="n">
        <f aca="false">L1311-M1311</f>
        <v>2242</v>
      </c>
    </row>
    <row r="1312" customFormat="false" ht="15" hidden="false" customHeight="false" outlineLevel="0" collapsed="false">
      <c r="A1312" s="40" t="n">
        <v>46296</v>
      </c>
      <c r="B1312" s="41" t="n">
        <v>2026</v>
      </c>
      <c r="C1312" s="41" t="n">
        <v>10</v>
      </c>
      <c r="D1312" s="41" t="s">
        <v>55</v>
      </c>
      <c r="E1312" s="41" t="s">
        <v>46</v>
      </c>
      <c r="F1312" s="41" t="s">
        <v>42</v>
      </c>
      <c r="G1312" s="41" t="s">
        <v>37</v>
      </c>
      <c r="H1312" s="42" t="n">
        <v>35</v>
      </c>
      <c r="I1312" s="42" t="n">
        <v>47</v>
      </c>
      <c r="J1312" s="42" t="n">
        <v>6026</v>
      </c>
      <c r="K1312" s="42" t="n">
        <v>347</v>
      </c>
      <c r="L1312" s="43" t="n">
        <f aca="false">J1312-K1312</f>
        <v>5679</v>
      </c>
      <c r="M1312" s="42" t="n">
        <v>3058</v>
      </c>
      <c r="N1312" s="43" t="n">
        <f aca="false">L1312-M1312</f>
        <v>2621</v>
      </c>
    </row>
    <row r="1313" customFormat="false" ht="15" hidden="false" customHeight="false" outlineLevel="0" collapsed="false">
      <c r="A1313" s="40" t="n">
        <v>46296</v>
      </c>
      <c r="B1313" s="41" t="n">
        <v>2026</v>
      </c>
      <c r="C1313" s="41" t="n">
        <v>10</v>
      </c>
      <c r="D1313" s="41" t="s">
        <v>55</v>
      </c>
      <c r="E1313" s="41" t="s">
        <v>46</v>
      </c>
      <c r="F1313" s="41" t="s">
        <v>42</v>
      </c>
      <c r="G1313" s="41" t="s">
        <v>38</v>
      </c>
      <c r="H1313" s="42" t="n">
        <v>52</v>
      </c>
      <c r="I1313" s="42" t="n">
        <v>66</v>
      </c>
      <c r="J1313" s="42" t="n">
        <v>5314</v>
      </c>
      <c r="K1313" s="42" t="n">
        <v>397</v>
      </c>
      <c r="L1313" s="43" t="n">
        <f aca="false">J1313-K1313</f>
        <v>4917</v>
      </c>
      <c r="M1313" s="42" t="n">
        <v>2349</v>
      </c>
      <c r="N1313" s="43" t="n">
        <f aca="false">L1313-M1313</f>
        <v>2568</v>
      </c>
    </row>
    <row r="1314" customFormat="false" ht="15" hidden="false" customHeight="false" outlineLevel="0" collapsed="false">
      <c r="A1314" s="40" t="n">
        <v>46296</v>
      </c>
      <c r="B1314" s="41" t="n">
        <v>2026</v>
      </c>
      <c r="C1314" s="41" t="n">
        <v>10</v>
      </c>
      <c r="D1314" s="41" t="s">
        <v>55</v>
      </c>
      <c r="E1314" s="41" t="s">
        <v>46</v>
      </c>
      <c r="F1314" s="41" t="s">
        <v>42</v>
      </c>
      <c r="G1314" s="41" t="s">
        <v>39</v>
      </c>
      <c r="H1314" s="42" t="n">
        <v>88</v>
      </c>
      <c r="I1314" s="42" t="n">
        <v>122</v>
      </c>
      <c r="J1314" s="42" t="n">
        <v>6764</v>
      </c>
      <c r="K1314" s="42" t="n">
        <v>821</v>
      </c>
      <c r="L1314" s="43" t="n">
        <f aca="false">J1314-K1314</f>
        <v>5943</v>
      </c>
      <c r="M1314" s="42" t="n">
        <v>2526</v>
      </c>
      <c r="N1314" s="43" t="n">
        <f aca="false">L1314-M1314</f>
        <v>3417</v>
      </c>
    </row>
    <row r="1315" customFormat="false" ht="15" hidden="false" customHeight="false" outlineLevel="0" collapsed="false">
      <c r="A1315" s="40" t="n">
        <v>46296</v>
      </c>
      <c r="B1315" s="41" t="n">
        <v>2026</v>
      </c>
      <c r="C1315" s="41" t="n">
        <v>10</v>
      </c>
      <c r="D1315" s="41" t="s">
        <v>55</v>
      </c>
      <c r="E1315" s="41" t="s">
        <v>46</v>
      </c>
      <c r="F1315" s="41" t="s">
        <v>42</v>
      </c>
      <c r="G1315" s="41" t="s">
        <v>40</v>
      </c>
      <c r="H1315" s="42" t="n">
        <v>38</v>
      </c>
      <c r="I1315" s="42" t="n">
        <v>50</v>
      </c>
      <c r="J1315" s="42" t="n">
        <v>4529</v>
      </c>
      <c r="K1315" s="42" t="n">
        <v>672</v>
      </c>
      <c r="L1315" s="43" t="n">
        <f aca="false">J1315-K1315</f>
        <v>3857</v>
      </c>
      <c r="M1315" s="42" t="n">
        <v>2178</v>
      </c>
      <c r="N1315" s="43" t="n">
        <f aca="false">L1315-M1315</f>
        <v>1679</v>
      </c>
    </row>
    <row r="1316" customFormat="false" ht="15" hidden="false" customHeight="false" outlineLevel="0" collapsed="false">
      <c r="A1316" s="40" t="n">
        <v>46296</v>
      </c>
      <c r="B1316" s="41" t="n">
        <v>2026</v>
      </c>
      <c r="C1316" s="41" t="n">
        <v>10</v>
      </c>
      <c r="D1316" s="41" t="s">
        <v>55</v>
      </c>
      <c r="E1316" s="41" t="s">
        <v>46</v>
      </c>
      <c r="F1316" s="41" t="s">
        <v>42</v>
      </c>
      <c r="G1316" s="41" t="s">
        <v>41</v>
      </c>
      <c r="H1316" s="42" t="n">
        <v>57</v>
      </c>
      <c r="I1316" s="42" t="n">
        <v>87</v>
      </c>
      <c r="J1316" s="42" t="n">
        <v>3186</v>
      </c>
      <c r="K1316" s="42" t="n">
        <v>128</v>
      </c>
      <c r="L1316" s="43" t="n">
        <f aca="false">J1316-K1316</f>
        <v>3058</v>
      </c>
      <c r="M1316" s="42" t="n">
        <v>1553</v>
      </c>
      <c r="N1316" s="43" t="n">
        <f aca="false">L1316-M1316</f>
        <v>1505</v>
      </c>
    </row>
    <row r="1317" customFormat="false" ht="15" hidden="false" customHeight="false" outlineLevel="0" collapsed="false">
      <c r="A1317" s="40" t="n">
        <v>46296</v>
      </c>
      <c r="B1317" s="41" t="n">
        <v>2026</v>
      </c>
      <c r="C1317" s="41" t="n">
        <v>10</v>
      </c>
      <c r="D1317" s="41" t="s">
        <v>55</v>
      </c>
      <c r="E1317" s="41" t="s">
        <v>46</v>
      </c>
      <c r="F1317" s="41" t="s">
        <v>43</v>
      </c>
      <c r="G1317" s="41" t="s">
        <v>37</v>
      </c>
      <c r="H1317" s="42" t="n">
        <v>19</v>
      </c>
      <c r="I1317" s="42" t="n">
        <v>26</v>
      </c>
      <c r="J1317" s="42" t="n">
        <v>3806</v>
      </c>
      <c r="K1317" s="42" t="n">
        <v>101</v>
      </c>
      <c r="L1317" s="43" t="n">
        <f aca="false">J1317-K1317</f>
        <v>3705</v>
      </c>
      <c r="M1317" s="42" t="n">
        <v>1941</v>
      </c>
      <c r="N1317" s="43" t="n">
        <f aca="false">L1317-M1317</f>
        <v>1764</v>
      </c>
    </row>
    <row r="1318" customFormat="false" ht="15" hidden="false" customHeight="false" outlineLevel="0" collapsed="false">
      <c r="A1318" s="40" t="n">
        <v>46296</v>
      </c>
      <c r="B1318" s="41" t="n">
        <v>2026</v>
      </c>
      <c r="C1318" s="41" t="n">
        <v>10</v>
      </c>
      <c r="D1318" s="41" t="s">
        <v>55</v>
      </c>
      <c r="E1318" s="41" t="s">
        <v>46</v>
      </c>
      <c r="F1318" s="41" t="s">
        <v>43</v>
      </c>
      <c r="G1318" s="41" t="s">
        <v>38</v>
      </c>
      <c r="H1318" s="42" t="n">
        <v>29</v>
      </c>
      <c r="I1318" s="42" t="n">
        <v>43</v>
      </c>
      <c r="J1318" s="42" t="n">
        <v>3479</v>
      </c>
      <c r="K1318" s="42" t="n">
        <v>133</v>
      </c>
      <c r="L1318" s="43" t="n">
        <f aca="false">J1318-K1318</f>
        <v>3346</v>
      </c>
      <c r="M1318" s="42" t="n">
        <v>1479</v>
      </c>
      <c r="N1318" s="43" t="n">
        <f aca="false">L1318-M1318</f>
        <v>1867</v>
      </c>
    </row>
    <row r="1319" customFormat="false" ht="15" hidden="false" customHeight="false" outlineLevel="0" collapsed="false">
      <c r="A1319" s="40" t="n">
        <v>46296</v>
      </c>
      <c r="B1319" s="41" t="n">
        <v>2026</v>
      </c>
      <c r="C1319" s="41" t="n">
        <v>10</v>
      </c>
      <c r="D1319" s="41" t="s">
        <v>55</v>
      </c>
      <c r="E1319" s="41" t="s">
        <v>46</v>
      </c>
      <c r="F1319" s="41" t="s">
        <v>43</v>
      </c>
      <c r="G1319" s="41" t="s">
        <v>39</v>
      </c>
      <c r="H1319" s="42" t="n">
        <v>45</v>
      </c>
      <c r="I1319" s="42" t="n">
        <v>68</v>
      </c>
      <c r="J1319" s="42" t="n">
        <v>3990</v>
      </c>
      <c r="K1319" s="42" t="n">
        <v>297</v>
      </c>
      <c r="L1319" s="43" t="n">
        <f aca="false">J1319-K1319</f>
        <v>3693</v>
      </c>
      <c r="M1319" s="42" t="n">
        <v>1456</v>
      </c>
      <c r="N1319" s="43" t="n">
        <f aca="false">L1319-M1319</f>
        <v>2237</v>
      </c>
    </row>
    <row r="1320" customFormat="false" ht="15" hidden="false" customHeight="false" outlineLevel="0" collapsed="false">
      <c r="A1320" s="40" t="n">
        <v>46296</v>
      </c>
      <c r="B1320" s="41" t="n">
        <v>2026</v>
      </c>
      <c r="C1320" s="41" t="n">
        <v>10</v>
      </c>
      <c r="D1320" s="41" t="s">
        <v>55</v>
      </c>
      <c r="E1320" s="41" t="s">
        <v>46</v>
      </c>
      <c r="F1320" s="41" t="s">
        <v>43</v>
      </c>
      <c r="G1320" s="41" t="s">
        <v>40</v>
      </c>
      <c r="H1320" s="42" t="n">
        <v>24</v>
      </c>
      <c r="I1320" s="42" t="n">
        <v>35</v>
      </c>
      <c r="J1320" s="42" t="n">
        <v>3222</v>
      </c>
      <c r="K1320" s="42" t="n">
        <v>246</v>
      </c>
      <c r="L1320" s="43" t="n">
        <f aca="false">J1320-K1320</f>
        <v>2976</v>
      </c>
      <c r="M1320" s="42" t="n">
        <v>1593</v>
      </c>
      <c r="N1320" s="43" t="n">
        <f aca="false">L1320-M1320</f>
        <v>1383</v>
      </c>
    </row>
    <row r="1321" customFormat="false" ht="15" hidden="false" customHeight="false" outlineLevel="0" collapsed="false">
      <c r="A1321" s="40" t="n">
        <v>46296</v>
      </c>
      <c r="B1321" s="41" t="n">
        <v>2026</v>
      </c>
      <c r="C1321" s="41" t="n">
        <v>10</v>
      </c>
      <c r="D1321" s="41" t="s">
        <v>55</v>
      </c>
      <c r="E1321" s="41" t="s">
        <v>46</v>
      </c>
      <c r="F1321" s="41" t="s">
        <v>43</v>
      </c>
      <c r="G1321" s="41" t="s">
        <v>41</v>
      </c>
      <c r="H1321" s="42" t="n">
        <v>31</v>
      </c>
      <c r="I1321" s="42" t="n">
        <v>36</v>
      </c>
      <c r="J1321" s="42" t="n">
        <v>1989</v>
      </c>
      <c r="K1321" s="42" t="n">
        <v>49</v>
      </c>
      <c r="L1321" s="43" t="n">
        <f aca="false">J1321-K1321</f>
        <v>1940</v>
      </c>
      <c r="M1321" s="42" t="n">
        <v>932</v>
      </c>
      <c r="N1321" s="43" t="n">
        <f aca="false">L1321-M1321</f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39" t="s">
        <v>22</v>
      </c>
      <c r="B1" s="39" t="s">
        <v>23</v>
      </c>
      <c r="C1" s="39" t="s">
        <v>24</v>
      </c>
      <c r="D1" s="39" t="s">
        <v>25</v>
      </c>
      <c r="E1" s="39" t="s">
        <v>27</v>
      </c>
      <c r="F1" s="39" t="s">
        <v>58</v>
      </c>
    </row>
    <row r="2" customFormat="false" ht="15" hidden="false" customHeight="false" outlineLevel="0" collapsed="false">
      <c r="A2" s="40" t="n">
        <v>45658</v>
      </c>
      <c r="B2" s="41" t="n">
        <v>2025</v>
      </c>
      <c r="C2" s="41" t="n">
        <v>1</v>
      </c>
      <c r="D2" s="41" t="s">
        <v>34</v>
      </c>
      <c r="E2" s="41" t="s">
        <v>36</v>
      </c>
      <c r="F2" s="42" t="n">
        <v>19748</v>
      </c>
    </row>
    <row r="3" customFormat="false" ht="15" hidden="false" customHeight="false" outlineLevel="0" collapsed="false">
      <c r="A3" s="40" t="n">
        <v>45658</v>
      </c>
      <c r="B3" s="41" t="n">
        <v>2025</v>
      </c>
      <c r="C3" s="41" t="n">
        <v>1</v>
      </c>
      <c r="D3" s="41" t="s">
        <v>34</v>
      </c>
      <c r="E3" s="41" t="s">
        <v>42</v>
      </c>
      <c r="F3" s="42" t="n">
        <v>9739</v>
      </c>
    </row>
    <row r="4" customFormat="false" ht="15" hidden="false" customHeight="false" outlineLevel="0" collapsed="false">
      <c r="A4" s="40" t="n">
        <v>45658</v>
      </c>
      <c r="B4" s="41" t="n">
        <v>2025</v>
      </c>
      <c r="C4" s="41" t="n">
        <v>1</v>
      </c>
      <c r="D4" s="41" t="s">
        <v>34</v>
      </c>
      <c r="E4" s="41" t="s">
        <v>43</v>
      </c>
      <c r="F4" s="42" t="n">
        <v>3425</v>
      </c>
    </row>
    <row r="5" customFormat="false" ht="15" hidden="false" customHeight="false" outlineLevel="0" collapsed="false">
      <c r="A5" s="40" t="n">
        <v>45689</v>
      </c>
      <c r="B5" s="41" t="n">
        <v>2025</v>
      </c>
      <c r="C5" s="41" t="n">
        <v>2</v>
      </c>
      <c r="D5" s="41" t="s">
        <v>47</v>
      </c>
      <c r="E5" s="41" t="s">
        <v>36</v>
      </c>
      <c r="F5" s="42" t="n">
        <v>23026</v>
      </c>
    </row>
    <row r="6" customFormat="false" ht="15" hidden="false" customHeight="false" outlineLevel="0" collapsed="false">
      <c r="A6" s="40" t="n">
        <v>45689</v>
      </c>
      <c r="B6" s="41" t="n">
        <v>2025</v>
      </c>
      <c r="C6" s="41" t="n">
        <v>2</v>
      </c>
      <c r="D6" s="41" t="s">
        <v>47</v>
      </c>
      <c r="E6" s="41" t="s">
        <v>42</v>
      </c>
      <c r="F6" s="42" t="n">
        <v>12950</v>
      </c>
    </row>
    <row r="7" customFormat="false" ht="15" hidden="false" customHeight="false" outlineLevel="0" collapsed="false">
      <c r="A7" s="40" t="n">
        <v>45689</v>
      </c>
      <c r="B7" s="41" t="n">
        <v>2025</v>
      </c>
      <c r="C7" s="41" t="n">
        <v>2</v>
      </c>
      <c r="D7" s="41" t="s">
        <v>47</v>
      </c>
      <c r="E7" s="41" t="s">
        <v>43</v>
      </c>
      <c r="F7" s="42" t="n">
        <v>4345</v>
      </c>
    </row>
    <row r="8" customFormat="false" ht="15" hidden="false" customHeight="false" outlineLevel="0" collapsed="false">
      <c r="A8" s="40" t="n">
        <v>45717</v>
      </c>
      <c r="B8" s="41" t="n">
        <v>2025</v>
      </c>
      <c r="C8" s="41" t="n">
        <v>3</v>
      </c>
      <c r="D8" s="41" t="s">
        <v>48</v>
      </c>
      <c r="E8" s="41" t="s">
        <v>36</v>
      </c>
      <c r="F8" s="42" t="n">
        <v>24991</v>
      </c>
    </row>
    <row r="9" customFormat="false" ht="15" hidden="false" customHeight="false" outlineLevel="0" collapsed="false">
      <c r="A9" s="40" t="n">
        <v>45717</v>
      </c>
      <c r="B9" s="41" t="n">
        <v>2025</v>
      </c>
      <c r="C9" s="41" t="n">
        <v>3</v>
      </c>
      <c r="D9" s="41" t="s">
        <v>48</v>
      </c>
      <c r="E9" s="41" t="s">
        <v>42</v>
      </c>
      <c r="F9" s="42" t="n">
        <v>14433</v>
      </c>
    </row>
    <row r="10" customFormat="false" ht="15" hidden="false" customHeight="false" outlineLevel="0" collapsed="false">
      <c r="A10" s="40" t="n">
        <v>45717</v>
      </c>
      <c r="B10" s="41" t="n">
        <v>2025</v>
      </c>
      <c r="C10" s="41" t="n">
        <v>3</v>
      </c>
      <c r="D10" s="41" t="s">
        <v>48</v>
      </c>
      <c r="E10" s="41" t="s">
        <v>43</v>
      </c>
      <c r="F10" s="42" t="n">
        <v>5215</v>
      </c>
    </row>
    <row r="11" customFormat="false" ht="15" hidden="false" customHeight="false" outlineLevel="0" collapsed="false">
      <c r="A11" s="40" t="n">
        <v>45748</v>
      </c>
      <c r="B11" s="41" t="n">
        <v>2025</v>
      </c>
      <c r="C11" s="41" t="n">
        <v>4</v>
      </c>
      <c r="D11" s="41" t="s">
        <v>49</v>
      </c>
      <c r="E11" s="41" t="s">
        <v>36</v>
      </c>
      <c r="F11" s="42" t="n">
        <v>33846</v>
      </c>
    </row>
    <row r="12" customFormat="false" ht="15" hidden="false" customHeight="false" outlineLevel="0" collapsed="false">
      <c r="A12" s="40" t="n">
        <v>45748</v>
      </c>
      <c r="B12" s="41" t="n">
        <v>2025</v>
      </c>
      <c r="C12" s="41" t="n">
        <v>4</v>
      </c>
      <c r="D12" s="41" t="s">
        <v>49</v>
      </c>
      <c r="E12" s="41" t="s">
        <v>42</v>
      </c>
      <c r="F12" s="42" t="n">
        <v>19826</v>
      </c>
    </row>
    <row r="13" customFormat="false" ht="15" hidden="false" customHeight="false" outlineLevel="0" collapsed="false">
      <c r="A13" s="40" t="n">
        <v>45748</v>
      </c>
      <c r="B13" s="41" t="n">
        <v>2025</v>
      </c>
      <c r="C13" s="41" t="n">
        <v>4</v>
      </c>
      <c r="D13" s="41" t="s">
        <v>49</v>
      </c>
      <c r="E13" s="41" t="s">
        <v>43</v>
      </c>
      <c r="F13" s="42" t="n">
        <v>5879</v>
      </c>
    </row>
    <row r="14" customFormat="false" ht="15" hidden="false" customHeight="false" outlineLevel="0" collapsed="false">
      <c r="A14" s="40" t="n">
        <v>45778</v>
      </c>
      <c r="B14" s="41" t="n">
        <v>2025</v>
      </c>
      <c r="C14" s="41" t="n">
        <v>5</v>
      </c>
      <c r="D14" s="41" t="s">
        <v>50</v>
      </c>
      <c r="E14" s="41" t="s">
        <v>36</v>
      </c>
      <c r="F14" s="42" t="n">
        <v>36850</v>
      </c>
    </row>
    <row r="15" customFormat="false" ht="15" hidden="false" customHeight="false" outlineLevel="0" collapsed="false">
      <c r="A15" s="40" t="n">
        <v>45778</v>
      </c>
      <c r="B15" s="41" t="n">
        <v>2025</v>
      </c>
      <c r="C15" s="41" t="n">
        <v>5</v>
      </c>
      <c r="D15" s="41" t="s">
        <v>50</v>
      </c>
      <c r="E15" s="41" t="s">
        <v>42</v>
      </c>
      <c r="F15" s="42" t="n">
        <v>19518</v>
      </c>
    </row>
    <row r="16" customFormat="false" ht="15" hidden="false" customHeight="false" outlineLevel="0" collapsed="false">
      <c r="A16" s="40" t="n">
        <v>45778</v>
      </c>
      <c r="B16" s="41" t="n">
        <v>2025</v>
      </c>
      <c r="C16" s="41" t="n">
        <v>5</v>
      </c>
      <c r="D16" s="41" t="s">
        <v>50</v>
      </c>
      <c r="E16" s="41" t="s">
        <v>43</v>
      </c>
      <c r="F16" s="42" t="n">
        <v>6558</v>
      </c>
    </row>
    <row r="17" customFormat="false" ht="15" hidden="false" customHeight="false" outlineLevel="0" collapsed="false">
      <c r="A17" s="40" t="n">
        <v>45809</v>
      </c>
      <c r="B17" s="41" t="n">
        <v>2025</v>
      </c>
      <c r="C17" s="41" t="n">
        <v>6</v>
      </c>
      <c r="D17" s="41" t="s">
        <v>51</v>
      </c>
      <c r="E17" s="41" t="s">
        <v>36</v>
      </c>
      <c r="F17" s="42" t="n">
        <v>39319</v>
      </c>
    </row>
    <row r="18" customFormat="false" ht="15" hidden="false" customHeight="false" outlineLevel="0" collapsed="false">
      <c r="A18" s="40" t="n">
        <v>45809</v>
      </c>
      <c r="B18" s="41" t="n">
        <v>2025</v>
      </c>
      <c r="C18" s="41" t="n">
        <v>6</v>
      </c>
      <c r="D18" s="41" t="s">
        <v>51</v>
      </c>
      <c r="E18" s="41" t="s">
        <v>42</v>
      </c>
      <c r="F18" s="42" t="n">
        <v>25226</v>
      </c>
    </row>
    <row r="19" customFormat="false" ht="15" hidden="false" customHeight="false" outlineLevel="0" collapsed="false">
      <c r="A19" s="40" t="n">
        <v>45809</v>
      </c>
      <c r="B19" s="41" t="n">
        <v>2025</v>
      </c>
      <c r="C19" s="41" t="n">
        <v>6</v>
      </c>
      <c r="D19" s="41" t="s">
        <v>51</v>
      </c>
      <c r="E19" s="41" t="s">
        <v>43</v>
      </c>
      <c r="F19" s="42" t="n">
        <v>7993</v>
      </c>
    </row>
    <row r="20" customFormat="false" ht="15" hidden="false" customHeight="false" outlineLevel="0" collapsed="false">
      <c r="A20" s="40" t="n">
        <v>45839</v>
      </c>
      <c r="B20" s="41" t="n">
        <v>2025</v>
      </c>
      <c r="C20" s="41" t="n">
        <v>7</v>
      </c>
      <c r="D20" s="41" t="s">
        <v>52</v>
      </c>
      <c r="E20" s="41" t="s">
        <v>36</v>
      </c>
      <c r="F20" s="42" t="n">
        <v>49847</v>
      </c>
    </row>
    <row r="21" customFormat="false" ht="15" hidden="false" customHeight="false" outlineLevel="0" collapsed="false">
      <c r="A21" s="40" t="n">
        <v>45839</v>
      </c>
      <c r="B21" s="41" t="n">
        <v>2025</v>
      </c>
      <c r="C21" s="41" t="n">
        <v>7</v>
      </c>
      <c r="D21" s="41" t="s">
        <v>52</v>
      </c>
      <c r="E21" s="41" t="s">
        <v>42</v>
      </c>
      <c r="F21" s="42" t="n">
        <v>22426</v>
      </c>
    </row>
    <row r="22" customFormat="false" ht="15" hidden="false" customHeight="false" outlineLevel="0" collapsed="false">
      <c r="A22" s="40" t="n">
        <v>45839</v>
      </c>
      <c r="B22" s="41" t="n">
        <v>2025</v>
      </c>
      <c r="C22" s="41" t="n">
        <v>7</v>
      </c>
      <c r="D22" s="41" t="s">
        <v>52</v>
      </c>
      <c r="E22" s="41" t="s">
        <v>43</v>
      </c>
      <c r="F22" s="42" t="n">
        <v>9124</v>
      </c>
    </row>
    <row r="23" customFormat="false" ht="15" hidden="false" customHeight="false" outlineLevel="0" collapsed="false">
      <c r="A23" s="40" t="n">
        <v>45870</v>
      </c>
      <c r="B23" s="41" t="n">
        <v>2025</v>
      </c>
      <c r="C23" s="41" t="n">
        <v>8</v>
      </c>
      <c r="D23" s="41" t="s">
        <v>53</v>
      </c>
      <c r="E23" s="41" t="s">
        <v>36</v>
      </c>
      <c r="F23" s="42" t="n">
        <v>47597</v>
      </c>
    </row>
    <row r="24" customFormat="false" ht="15" hidden="false" customHeight="false" outlineLevel="0" collapsed="false">
      <c r="A24" s="40" t="n">
        <v>45870</v>
      </c>
      <c r="B24" s="41" t="n">
        <v>2025</v>
      </c>
      <c r="C24" s="41" t="n">
        <v>8</v>
      </c>
      <c r="D24" s="41" t="s">
        <v>53</v>
      </c>
      <c r="E24" s="41" t="s">
        <v>42</v>
      </c>
      <c r="F24" s="42" t="n">
        <v>24273</v>
      </c>
    </row>
    <row r="25" customFormat="false" ht="15" hidden="false" customHeight="false" outlineLevel="0" collapsed="false">
      <c r="A25" s="40" t="n">
        <v>45870</v>
      </c>
      <c r="B25" s="41" t="n">
        <v>2025</v>
      </c>
      <c r="C25" s="41" t="n">
        <v>8</v>
      </c>
      <c r="D25" s="41" t="s">
        <v>53</v>
      </c>
      <c r="E25" s="41" t="s">
        <v>43</v>
      </c>
      <c r="F25" s="42" t="n">
        <v>6723</v>
      </c>
    </row>
    <row r="26" customFormat="false" ht="15" hidden="false" customHeight="false" outlineLevel="0" collapsed="false">
      <c r="A26" s="40" t="n">
        <v>45901</v>
      </c>
      <c r="B26" s="41" t="n">
        <v>2025</v>
      </c>
      <c r="C26" s="41" t="n">
        <v>9</v>
      </c>
      <c r="D26" s="41" t="s">
        <v>54</v>
      </c>
      <c r="E26" s="41" t="s">
        <v>36</v>
      </c>
      <c r="F26" s="42" t="n">
        <v>30418</v>
      </c>
    </row>
    <row r="27" customFormat="false" ht="15" hidden="false" customHeight="false" outlineLevel="0" collapsed="false">
      <c r="A27" s="40" t="n">
        <v>45901</v>
      </c>
      <c r="B27" s="41" t="n">
        <v>2025</v>
      </c>
      <c r="C27" s="41" t="n">
        <v>9</v>
      </c>
      <c r="D27" s="41" t="s">
        <v>54</v>
      </c>
      <c r="E27" s="41" t="s">
        <v>42</v>
      </c>
      <c r="F27" s="42" t="n">
        <v>19092</v>
      </c>
    </row>
    <row r="28" customFormat="false" ht="15" hidden="false" customHeight="false" outlineLevel="0" collapsed="false">
      <c r="A28" s="40" t="n">
        <v>45901</v>
      </c>
      <c r="B28" s="41" t="n">
        <v>2025</v>
      </c>
      <c r="C28" s="41" t="n">
        <v>9</v>
      </c>
      <c r="D28" s="41" t="s">
        <v>54</v>
      </c>
      <c r="E28" s="41" t="s">
        <v>43</v>
      </c>
      <c r="F28" s="42" t="n">
        <v>5552</v>
      </c>
    </row>
    <row r="29" customFormat="false" ht="15" hidden="false" customHeight="false" outlineLevel="0" collapsed="false">
      <c r="A29" s="40" t="n">
        <v>45931</v>
      </c>
      <c r="B29" s="41" t="n">
        <v>2025</v>
      </c>
      <c r="C29" s="41" t="n">
        <v>10</v>
      </c>
      <c r="D29" s="41" t="s">
        <v>55</v>
      </c>
      <c r="E29" s="41" t="s">
        <v>36</v>
      </c>
      <c r="F29" s="42" t="n">
        <v>26652</v>
      </c>
    </row>
    <row r="30" customFormat="false" ht="15" hidden="false" customHeight="false" outlineLevel="0" collapsed="false">
      <c r="A30" s="40" t="n">
        <v>45931</v>
      </c>
      <c r="B30" s="41" t="n">
        <v>2025</v>
      </c>
      <c r="C30" s="41" t="n">
        <v>10</v>
      </c>
      <c r="D30" s="41" t="s">
        <v>55</v>
      </c>
      <c r="E30" s="41" t="s">
        <v>42</v>
      </c>
      <c r="F30" s="42" t="n">
        <v>16266</v>
      </c>
    </row>
    <row r="31" customFormat="false" ht="15" hidden="false" customHeight="false" outlineLevel="0" collapsed="false">
      <c r="A31" s="40" t="n">
        <v>45931</v>
      </c>
      <c r="B31" s="41" t="n">
        <v>2025</v>
      </c>
      <c r="C31" s="41" t="n">
        <v>10</v>
      </c>
      <c r="D31" s="41" t="s">
        <v>55</v>
      </c>
      <c r="E31" s="41" t="s">
        <v>43</v>
      </c>
      <c r="F31" s="42" t="n">
        <v>5794</v>
      </c>
    </row>
    <row r="32" customFormat="false" ht="15" hidden="false" customHeight="false" outlineLevel="0" collapsed="false">
      <c r="A32" s="40" t="n">
        <v>45962</v>
      </c>
      <c r="B32" s="41" t="n">
        <v>2025</v>
      </c>
      <c r="C32" s="41" t="n">
        <v>11</v>
      </c>
      <c r="D32" s="41" t="s">
        <v>56</v>
      </c>
      <c r="E32" s="41" t="s">
        <v>36</v>
      </c>
      <c r="F32" s="42" t="n">
        <v>34675</v>
      </c>
    </row>
    <row r="33" customFormat="false" ht="15" hidden="false" customHeight="false" outlineLevel="0" collapsed="false">
      <c r="A33" s="40" t="n">
        <v>45962</v>
      </c>
      <c r="B33" s="41" t="n">
        <v>2025</v>
      </c>
      <c r="C33" s="41" t="n">
        <v>11</v>
      </c>
      <c r="D33" s="41" t="s">
        <v>56</v>
      </c>
      <c r="E33" s="41" t="s">
        <v>42</v>
      </c>
      <c r="F33" s="42" t="n">
        <v>21575</v>
      </c>
    </row>
    <row r="34" customFormat="false" ht="15" hidden="false" customHeight="false" outlineLevel="0" collapsed="false">
      <c r="A34" s="40" t="n">
        <v>45962</v>
      </c>
      <c r="B34" s="41" t="n">
        <v>2025</v>
      </c>
      <c r="C34" s="41" t="n">
        <v>11</v>
      </c>
      <c r="D34" s="41" t="s">
        <v>56</v>
      </c>
      <c r="E34" s="41" t="s">
        <v>43</v>
      </c>
      <c r="F34" s="42" t="n">
        <v>7654</v>
      </c>
    </row>
    <row r="35" customFormat="false" ht="15" hidden="false" customHeight="false" outlineLevel="0" collapsed="false">
      <c r="A35" s="40" t="n">
        <v>45992</v>
      </c>
      <c r="B35" s="41" t="n">
        <v>2025</v>
      </c>
      <c r="C35" s="41" t="n">
        <v>12</v>
      </c>
      <c r="D35" s="41" t="s">
        <v>57</v>
      </c>
      <c r="E35" s="41" t="s">
        <v>36</v>
      </c>
      <c r="F35" s="42" t="n">
        <v>42960</v>
      </c>
    </row>
    <row r="36" customFormat="false" ht="15" hidden="false" customHeight="false" outlineLevel="0" collapsed="false">
      <c r="A36" s="40" t="n">
        <v>45992</v>
      </c>
      <c r="B36" s="41" t="n">
        <v>2025</v>
      </c>
      <c r="C36" s="41" t="n">
        <v>12</v>
      </c>
      <c r="D36" s="41" t="s">
        <v>57</v>
      </c>
      <c r="E36" s="41" t="s">
        <v>42</v>
      </c>
      <c r="F36" s="42" t="n">
        <v>27283</v>
      </c>
    </row>
    <row r="37" customFormat="false" ht="15" hidden="false" customHeight="false" outlineLevel="0" collapsed="false">
      <c r="A37" s="40" t="n">
        <v>45992</v>
      </c>
      <c r="B37" s="41" t="n">
        <v>2025</v>
      </c>
      <c r="C37" s="41" t="n">
        <v>12</v>
      </c>
      <c r="D37" s="41" t="s">
        <v>57</v>
      </c>
      <c r="E37" s="41" t="s">
        <v>43</v>
      </c>
      <c r="F37" s="42" t="n">
        <v>9072</v>
      </c>
    </row>
    <row r="38" customFormat="false" ht="15" hidden="false" customHeight="false" outlineLevel="0" collapsed="false">
      <c r="A38" s="40" t="n">
        <v>46023</v>
      </c>
      <c r="B38" s="41" t="n">
        <v>2026</v>
      </c>
      <c r="C38" s="41" t="n">
        <v>1</v>
      </c>
      <c r="D38" s="41" t="s">
        <v>34</v>
      </c>
      <c r="E38" s="41" t="s">
        <v>36</v>
      </c>
      <c r="F38" s="42" t="n">
        <v>22489</v>
      </c>
    </row>
    <row r="39" customFormat="false" ht="15" hidden="false" customHeight="false" outlineLevel="0" collapsed="false">
      <c r="A39" s="40" t="n">
        <v>46023</v>
      </c>
      <c r="B39" s="41" t="n">
        <v>2026</v>
      </c>
      <c r="C39" s="41" t="n">
        <v>1</v>
      </c>
      <c r="D39" s="41" t="s">
        <v>34</v>
      </c>
      <c r="E39" s="41" t="s">
        <v>42</v>
      </c>
      <c r="F39" s="42" t="n">
        <v>13903</v>
      </c>
    </row>
    <row r="40" customFormat="false" ht="15" hidden="false" customHeight="false" outlineLevel="0" collapsed="false">
      <c r="A40" s="40" t="n">
        <v>46023</v>
      </c>
      <c r="B40" s="41" t="n">
        <v>2026</v>
      </c>
      <c r="C40" s="41" t="n">
        <v>1</v>
      </c>
      <c r="D40" s="41" t="s">
        <v>34</v>
      </c>
      <c r="E40" s="41" t="s">
        <v>43</v>
      </c>
      <c r="F40" s="42" t="n">
        <v>4952</v>
      </c>
    </row>
    <row r="41" customFormat="false" ht="15" hidden="false" customHeight="false" outlineLevel="0" collapsed="false">
      <c r="A41" s="40" t="n">
        <v>46054</v>
      </c>
      <c r="B41" s="41" t="n">
        <v>2026</v>
      </c>
      <c r="C41" s="41" t="n">
        <v>2</v>
      </c>
      <c r="D41" s="41" t="s">
        <v>47</v>
      </c>
      <c r="E41" s="41" t="s">
        <v>36</v>
      </c>
      <c r="F41" s="42" t="n">
        <v>26454</v>
      </c>
    </row>
    <row r="42" customFormat="false" ht="15" hidden="false" customHeight="false" outlineLevel="0" collapsed="false">
      <c r="A42" s="40" t="n">
        <v>46054</v>
      </c>
      <c r="B42" s="41" t="n">
        <v>2026</v>
      </c>
      <c r="C42" s="41" t="n">
        <v>2</v>
      </c>
      <c r="D42" s="41" t="s">
        <v>47</v>
      </c>
      <c r="E42" s="41" t="s">
        <v>42</v>
      </c>
      <c r="F42" s="42" t="n">
        <v>14406</v>
      </c>
    </row>
    <row r="43" customFormat="false" ht="15" hidden="false" customHeight="false" outlineLevel="0" collapsed="false">
      <c r="A43" s="40" t="n">
        <v>46054</v>
      </c>
      <c r="B43" s="41" t="n">
        <v>2026</v>
      </c>
      <c r="C43" s="41" t="n">
        <v>2</v>
      </c>
      <c r="D43" s="41" t="s">
        <v>47</v>
      </c>
      <c r="E43" s="41" t="s">
        <v>43</v>
      </c>
      <c r="F43" s="42" t="n">
        <v>5407</v>
      </c>
    </row>
    <row r="44" customFormat="false" ht="15" hidden="false" customHeight="false" outlineLevel="0" collapsed="false">
      <c r="A44" s="40" t="n">
        <v>46082</v>
      </c>
      <c r="B44" s="41" t="n">
        <v>2026</v>
      </c>
      <c r="C44" s="41" t="n">
        <v>3</v>
      </c>
      <c r="D44" s="41" t="s">
        <v>48</v>
      </c>
      <c r="E44" s="41" t="s">
        <v>36</v>
      </c>
      <c r="F44" s="42" t="n">
        <v>33470</v>
      </c>
    </row>
    <row r="45" customFormat="false" ht="15" hidden="false" customHeight="false" outlineLevel="0" collapsed="false">
      <c r="A45" s="40" t="n">
        <v>46082</v>
      </c>
      <c r="B45" s="41" t="n">
        <v>2026</v>
      </c>
      <c r="C45" s="41" t="n">
        <v>3</v>
      </c>
      <c r="D45" s="41" t="s">
        <v>48</v>
      </c>
      <c r="E45" s="41" t="s">
        <v>42</v>
      </c>
      <c r="F45" s="42" t="n">
        <v>16488</v>
      </c>
    </row>
    <row r="46" customFormat="false" ht="15" hidden="false" customHeight="false" outlineLevel="0" collapsed="false">
      <c r="A46" s="40" t="n">
        <v>46082</v>
      </c>
      <c r="B46" s="41" t="n">
        <v>2026</v>
      </c>
      <c r="C46" s="41" t="n">
        <v>3</v>
      </c>
      <c r="D46" s="41" t="s">
        <v>48</v>
      </c>
      <c r="E46" s="41" t="s">
        <v>43</v>
      </c>
      <c r="F46" s="42" t="n">
        <v>6327</v>
      </c>
    </row>
    <row r="47" customFormat="false" ht="15" hidden="false" customHeight="false" outlineLevel="0" collapsed="false">
      <c r="A47" s="40" t="n">
        <v>46113</v>
      </c>
      <c r="B47" s="41" t="n">
        <v>2026</v>
      </c>
      <c r="C47" s="41" t="n">
        <v>4</v>
      </c>
      <c r="D47" s="41" t="s">
        <v>49</v>
      </c>
      <c r="E47" s="41" t="s">
        <v>36</v>
      </c>
      <c r="F47" s="42" t="n">
        <v>36320</v>
      </c>
    </row>
    <row r="48" customFormat="false" ht="15" hidden="false" customHeight="false" outlineLevel="0" collapsed="false">
      <c r="A48" s="40" t="n">
        <v>46113</v>
      </c>
      <c r="B48" s="41" t="n">
        <v>2026</v>
      </c>
      <c r="C48" s="41" t="n">
        <v>4</v>
      </c>
      <c r="D48" s="41" t="s">
        <v>49</v>
      </c>
      <c r="E48" s="41" t="s">
        <v>42</v>
      </c>
      <c r="F48" s="42" t="n">
        <v>19568</v>
      </c>
    </row>
    <row r="49" customFormat="false" ht="15" hidden="false" customHeight="false" outlineLevel="0" collapsed="false">
      <c r="A49" s="40" t="n">
        <v>46113</v>
      </c>
      <c r="B49" s="41" t="n">
        <v>2026</v>
      </c>
      <c r="C49" s="41" t="n">
        <v>4</v>
      </c>
      <c r="D49" s="41" t="s">
        <v>49</v>
      </c>
      <c r="E49" s="41" t="s">
        <v>43</v>
      </c>
      <c r="F49" s="42" t="n">
        <v>7447</v>
      </c>
    </row>
    <row r="50" customFormat="false" ht="15" hidden="false" customHeight="false" outlineLevel="0" collapsed="false">
      <c r="A50" s="40" t="n">
        <v>46143</v>
      </c>
      <c r="B50" s="41" t="n">
        <v>2026</v>
      </c>
      <c r="C50" s="41" t="n">
        <v>5</v>
      </c>
      <c r="D50" s="41" t="s">
        <v>50</v>
      </c>
      <c r="E50" s="41" t="s">
        <v>36</v>
      </c>
      <c r="F50" s="42" t="n">
        <v>53652</v>
      </c>
    </row>
    <row r="51" customFormat="false" ht="15" hidden="false" customHeight="false" outlineLevel="0" collapsed="false">
      <c r="A51" s="40" t="n">
        <v>46143</v>
      </c>
      <c r="B51" s="41" t="n">
        <v>2026</v>
      </c>
      <c r="C51" s="41" t="n">
        <v>5</v>
      </c>
      <c r="D51" s="41" t="s">
        <v>50</v>
      </c>
      <c r="E51" s="41" t="s">
        <v>42</v>
      </c>
      <c r="F51" s="42" t="n">
        <v>24322</v>
      </c>
    </row>
    <row r="52" customFormat="false" ht="15" hidden="false" customHeight="false" outlineLevel="0" collapsed="false">
      <c r="A52" s="40" t="n">
        <v>46143</v>
      </c>
      <c r="B52" s="41" t="n">
        <v>2026</v>
      </c>
      <c r="C52" s="41" t="n">
        <v>5</v>
      </c>
      <c r="D52" s="41" t="s">
        <v>50</v>
      </c>
      <c r="E52" s="41" t="s">
        <v>43</v>
      </c>
      <c r="F52" s="42" t="n">
        <v>8044</v>
      </c>
    </row>
    <row r="53" customFormat="false" ht="15" hidden="false" customHeight="false" outlineLevel="0" collapsed="false">
      <c r="A53" s="40" t="n">
        <v>46174</v>
      </c>
      <c r="B53" s="41" t="n">
        <v>2026</v>
      </c>
      <c r="C53" s="41" t="n">
        <v>6</v>
      </c>
      <c r="D53" s="41" t="s">
        <v>51</v>
      </c>
      <c r="E53" s="41" t="s">
        <v>36</v>
      </c>
      <c r="F53" s="42" t="n">
        <v>56826</v>
      </c>
    </row>
    <row r="54" customFormat="false" ht="15" hidden="false" customHeight="false" outlineLevel="0" collapsed="false">
      <c r="A54" s="40" t="n">
        <v>46174</v>
      </c>
      <c r="B54" s="41" t="n">
        <v>2026</v>
      </c>
      <c r="C54" s="41" t="n">
        <v>6</v>
      </c>
      <c r="D54" s="41" t="s">
        <v>51</v>
      </c>
      <c r="E54" s="41" t="s">
        <v>42</v>
      </c>
      <c r="F54" s="42" t="n">
        <v>31532</v>
      </c>
    </row>
    <row r="55" customFormat="false" ht="15" hidden="false" customHeight="false" outlineLevel="0" collapsed="false">
      <c r="A55" s="40" t="n">
        <v>46174</v>
      </c>
      <c r="B55" s="41" t="n">
        <v>2026</v>
      </c>
      <c r="C55" s="41" t="n">
        <v>6</v>
      </c>
      <c r="D55" s="41" t="s">
        <v>51</v>
      </c>
      <c r="E55" s="41" t="s">
        <v>43</v>
      </c>
      <c r="F55" s="42" t="n">
        <v>8431</v>
      </c>
    </row>
    <row r="56" customFormat="false" ht="15" hidden="false" customHeight="false" outlineLevel="0" collapsed="false">
      <c r="A56" s="40" t="n">
        <v>46204</v>
      </c>
      <c r="B56" s="41" t="n">
        <v>2026</v>
      </c>
      <c r="C56" s="41" t="n">
        <v>7</v>
      </c>
      <c r="D56" s="41" t="s">
        <v>52</v>
      </c>
      <c r="E56" s="41" t="s">
        <v>36</v>
      </c>
      <c r="F56" s="42" t="n">
        <v>46547</v>
      </c>
    </row>
    <row r="57" customFormat="false" ht="15" hidden="false" customHeight="false" outlineLevel="0" collapsed="false">
      <c r="A57" s="40" t="n">
        <v>46204</v>
      </c>
      <c r="B57" s="41" t="n">
        <v>2026</v>
      </c>
      <c r="C57" s="41" t="n">
        <v>7</v>
      </c>
      <c r="D57" s="41" t="s">
        <v>52</v>
      </c>
      <c r="E57" s="41" t="s">
        <v>42</v>
      </c>
      <c r="F57" s="42" t="n">
        <v>31951</v>
      </c>
    </row>
    <row r="58" customFormat="false" ht="15" hidden="false" customHeight="false" outlineLevel="0" collapsed="false">
      <c r="A58" s="40" t="n">
        <v>46204</v>
      </c>
      <c r="B58" s="41" t="n">
        <v>2026</v>
      </c>
      <c r="C58" s="41" t="n">
        <v>7</v>
      </c>
      <c r="D58" s="41" t="s">
        <v>52</v>
      </c>
      <c r="E58" s="41" t="s">
        <v>43</v>
      </c>
      <c r="F58" s="42" t="n">
        <v>9534</v>
      </c>
    </row>
    <row r="59" customFormat="false" ht="15" hidden="false" customHeight="false" outlineLevel="0" collapsed="false">
      <c r="A59" s="40" t="n">
        <v>46235</v>
      </c>
      <c r="B59" s="41" t="n">
        <v>2026</v>
      </c>
      <c r="C59" s="41" t="n">
        <v>8</v>
      </c>
      <c r="D59" s="41" t="s">
        <v>53</v>
      </c>
      <c r="E59" s="41" t="s">
        <v>36</v>
      </c>
      <c r="F59" s="42" t="n">
        <v>48516</v>
      </c>
    </row>
    <row r="60" customFormat="false" ht="15" hidden="false" customHeight="false" outlineLevel="0" collapsed="false">
      <c r="A60" s="40" t="n">
        <v>46235</v>
      </c>
      <c r="B60" s="41" t="n">
        <v>2026</v>
      </c>
      <c r="C60" s="41" t="n">
        <v>8</v>
      </c>
      <c r="D60" s="41" t="s">
        <v>53</v>
      </c>
      <c r="E60" s="41" t="s">
        <v>42</v>
      </c>
      <c r="F60" s="42" t="n">
        <v>27958</v>
      </c>
    </row>
    <row r="61" customFormat="false" ht="15" hidden="false" customHeight="false" outlineLevel="0" collapsed="false">
      <c r="A61" s="40" t="n">
        <v>46235</v>
      </c>
      <c r="B61" s="41" t="n">
        <v>2026</v>
      </c>
      <c r="C61" s="41" t="n">
        <v>8</v>
      </c>
      <c r="D61" s="41" t="s">
        <v>53</v>
      </c>
      <c r="E61" s="41" t="s">
        <v>43</v>
      </c>
      <c r="F61" s="42" t="n">
        <v>10008</v>
      </c>
    </row>
    <row r="62" customFormat="false" ht="15" hidden="false" customHeight="false" outlineLevel="0" collapsed="false">
      <c r="A62" s="40" t="n">
        <v>46266</v>
      </c>
      <c r="B62" s="41" t="n">
        <v>2026</v>
      </c>
      <c r="C62" s="41" t="n">
        <v>9</v>
      </c>
      <c r="D62" s="41" t="s">
        <v>54</v>
      </c>
      <c r="E62" s="41" t="s">
        <v>36</v>
      </c>
      <c r="F62" s="42" t="n">
        <v>41203</v>
      </c>
    </row>
    <row r="63" customFormat="false" ht="15" hidden="false" customHeight="false" outlineLevel="0" collapsed="false">
      <c r="A63" s="40" t="n">
        <v>46266</v>
      </c>
      <c r="B63" s="41" t="n">
        <v>2026</v>
      </c>
      <c r="C63" s="41" t="n">
        <v>9</v>
      </c>
      <c r="D63" s="41" t="s">
        <v>54</v>
      </c>
      <c r="E63" s="41" t="s">
        <v>42</v>
      </c>
      <c r="F63" s="42" t="n">
        <v>20525</v>
      </c>
    </row>
    <row r="64" customFormat="false" ht="15" hidden="false" customHeight="false" outlineLevel="0" collapsed="false">
      <c r="A64" s="40" t="n">
        <v>46266</v>
      </c>
      <c r="B64" s="41" t="n">
        <v>2026</v>
      </c>
      <c r="C64" s="41" t="n">
        <v>9</v>
      </c>
      <c r="D64" s="41" t="s">
        <v>54</v>
      </c>
      <c r="E64" s="41" t="s">
        <v>43</v>
      </c>
      <c r="F64" s="42" t="n">
        <v>6989</v>
      </c>
    </row>
    <row r="65" customFormat="false" ht="15" hidden="false" customHeight="false" outlineLevel="0" collapsed="false">
      <c r="A65" s="40" t="n">
        <v>46296</v>
      </c>
      <c r="B65" s="41" t="n">
        <v>2026</v>
      </c>
      <c r="C65" s="41" t="n">
        <v>10</v>
      </c>
      <c r="D65" s="41" t="s">
        <v>55</v>
      </c>
      <c r="E65" s="41" t="s">
        <v>36</v>
      </c>
      <c r="F65" s="42" t="n">
        <v>33929</v>
      </c>
    </row>
    <row r="66" customFormat="false" ht="15" hidden="false" customHeight="false" outlineLevel="0" collapsed="false">
      <c r="A66" s="40" t="n">
        <v>46296</v>
      </c>
      <c r="B66" s="41" t="n">
        <v>2026</v>
      </c>
      <c r="C66" s="41" t="n">
        <v>10</v>
      </c>
      <c r="D66" s="41" t="s">
        <v>55</v>
      </c>
      <c r="E66" s="41" t="s">
        <v>42</v>
      </c>
      <c r="F66" s="42" t="n">
        <v>21207</v>
      </c>
    </row>
    <row r="67" customFormat="false" ht="15" hidden="false" customHeight="false" outlineLevel="0" collapsed="false">
      <c r="A67" s="40" t="n">
        <v>46296</v>
      </c>
      <c r="B67" s="41" t="n">
        <v>2026</v>
      </c>
      <c r="C67" s="41" t="n">
        <v>10</v>
      </c>
      <c r="D67" s="41" t="s">
        <v>55</v>
      </c>
      <c r="E67" s="41" t="s">
        <v>43</v>
      </c>
      <c r="F67" s="42" t="n">
        <v>6709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9" min="9" style="0" width="1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4" t="s">
        <v>59</v>
      </c>
    </row>
    <row r="3" customFormat="false" ht="15" hidden="false" customHeight="false" outlineLevel="0" collapsed="false">
      <c r="A3" s="41"/>
      <c r="B3" s="41" t="s">
        <v>23</v>
      </c>
      <c r="C3" s="43" t="n">
        <f aca="false">Dashboard!$C$6</f>
        <v>2026</v>
      </c>
      <c r="D3" s="41"/>
      <c r="E3" s="41"/>
      <c r="F3" s="41"/>
      <c r="G3" s="41"/>
      <c r="H3" s="41"/>
      <c r="I3" s="41"/>
      <c r="J3" s="41"/>
      <c r="K3" s="41"/>
      <c r="L3" s="41"/>
      <c r="M3" s="41"/>
    </row>
    <row r="4" customFormat="false" ht="15" hidden="false" customHeight="false" outlineLevel="0" collapsed="false">
      <c r="A4" s="41"/>
      <c r="B4" s="41" t="s">
        <v>60</v>
      </c>
      <c r="C4" s="43" t="str">
        <f aca="false">IF(Dashboard!$F$6="All regions","*",Dashboard!$F$6)</f>
        <v>*</v>
      </c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" hidden="false" customHeight="false" outlineLevel="0" collapsed="false">
      <c r="A5" s="41"/>
      <c r="B5" s="41" t="s">
        <v>61</v>
      </c>
      <c r="C5" s="43" t="str">
        <f aca="false">IF(Dashboard!$I$6="All channels","*",Dashboard!$I$6)</f>
        <v>*</v>
      </c>
      <c r="D5" s="41"/>
      <c r="E5" s="41"/>
      <c r="F5" s="41"/>
      <c r="G5" s="41"/>
      <c r="H5" s="41"/>
      <c r="I5" s="41"/>
      <c r="J5" s="41"/>
      <c r="K5" s="41"/>
      <c r="L5" s="41"/>
      <c r="M5" s="41"/>
    </row>
    <row r="6" customFormat="false" ht="15" hidden="false" customHeight="false" outlineLevel="0" collapsed="false">
      <c r="A6" s="41"/>
      <c r="B6" s="41" t="s">
        <v>62</v>
      </c>
      <c r="C6" s="43" t="str">
        <f aca="false">IF(Dashboard!$L$6="All categories","*",Dashboard!$L$6)</f>
        <v>*</v>
      </c>
      <c r="D6" s="41"/>
      <c r="E6" s="41"/>
      <c r="F6" s="41"/>
      <c r="G6" s="41"/>
      <c r="H6" s="41"/>
      <c r="I6" s="41"/>
      <c r="J6" s="41"/>
      <c r="K6" s="41"/>
      <c r="L6" s="41"/>
      <c r="M6" s="41"/>
    </row>
    <row r="7" customFormat="false" ht="15" hidden="false" customHeight="false" outlineLevel="0" collapsed="false">
      <c r="A7" s="41"/>
      <c r="B7" s="41" t="s">
        <v>63</v>
      </c>
      <c r="C7" s="43" t="n">
        <f aca="false">SUMPRODUCT(MAX((Sales!$B$2:$B$1321=$C$3)*Sales!$C$2:$C$1321))</f>
        <v>10</v>
      </c>
      <c r="D7" s="41"/>
      <c r="E7" s="41"/>
      <c r="F7" s="41"/>
      <c r="G7" s="41"/>
      <c r="H7" s="41"/>
      <c r="I7" s="41"/>
      <c r="J7" s="41"/>
      <c r="K7" s="41"/>
      <c r="L7" s="41"/>
      <c r="M7" s="41"/>
    </row>
    <row r="8" customFormat="false" ht="15" hidden="false" customHeight="false" outlineLevel="0" collapsed="false">
      <c r="A8" s="41"/>
      <c r="B8" s="41" t="s">
        <v>64</v>
      </c>
      <c r="C8" s="43" t="n">
        <f aca="false">COUNTIF(Sales!$B$2:$B$1321,$C$3-1)&gt;0</f>
        <v>1</v>
      </c>
      <c r="D8" s="41"/>
      <c r="E8" s="41"/>
      <c r="F8" s="41"/>
      <c r="G8" s="41"/>
      <c r="H8" s="41"/>
      <c r="I8" s="41"/>
      <c r="J8" s="41"/>
      <c r="K8" s="41"/>
      <c r="L8" s="41"/>
      <c r="M8" s="41"/>
    </row>
    <row r="9" customFormat="false" ht="15" hidden="false" customHeight="false" outlineLevel="0" collapsed="false">
      <c r="A9" s="41"/>
      <c r="B9" s="41" t="s">
        <v>65</v>
      </c>
      <c r="C9" s="43" t="str">
        <f aca="false">IF($C$7=12,"Full year "&amp;$C$3,"Jan–"&amp;TEXT(DATE($C$3,$C$7,1),"mmm")&amp;" "&amp;$C$3)</f>
        <v>Jan–Oct 2026</v>
      </c>
      <c r="D9" s="41"/>
      <c r="E9" s="41"/>
      <c r="F9" s="41"/>
      <c r="G9" s="41"/>
      <c r="H9" s="41"/>
      <c r="I9" s="41"/>
      <c r="J9" s="41"/>
      <c r="K9" s="41"/>
      <c r="L9" s="41"/>
      <c r="M9" s="41"/>
    </row>
    <row r="10" customFormat="false" ht="15" hidden="false" customHeight="false" outlineLevel="0" collapsed="false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customFormat="false" ht="15" hidden="false" customHeight="false" outlineLevel="0" collapsed="false">
      <c r="A11" s="44"/>
      <c r="B11" s="44" t="s">
        <v>66</v>
      </c>
      <c r="C11" s="44" t="s">
        <v>67</v>
      </c>
      <c r="D11" s="44" t="s">
        <v>68</v>
      </c>
      <c r="E11" s="44"/>
      <c r="F11" s="44"/>
      <c r="G11" s="44"/>
      <c r="H11" s="44"/>
      <c r="I11" s="44"/>
      <c r="J11" s="44"/>
      <c r="K11" s="44"/>
      <c r="L11" s="44"/>
      <c r="M11" s="44"/>
    </row>
    <row r="12" customFormat="false" ht="15" hidden="false" customHeight="false" outlineLevel="0" collapsed="false">
      <c r="A12" s="41"/>
      <c r="B12" s="41" t="s">
        <v>10</v>
      </c>
      <c r="C12" s="43" t="n">
        <f aca="false">SUMIFS(Sales!$L$2:$L$1321,Sales!$B$2:$B$1321,$C$3,Sales!$C$2:$C$1321,"&lt;="&amp;$C$7,Sales!$E$2:$E$1321,$C$4,Sales!$F$2:$F$1321,$C$5,Sales!$G$2:$G$1321,$C$6)</f>
        <v>4416619</v>
      </c>
      <c r="D12" s="43" t="n">
        <f aca="false">SUMIFS(Sales!$L$2:$L$1321,Sales!$B$2:$B$1321,$C$3-1,Sales!$C$2:$C$1321,"&lt;="&amp;$C$7,Sales!$E$2:$E$1321,$C$4,Sales!$F$2:$F$1321,$C$5,Sales!$G$2:$G$1321,$C$6)</f>
        <v>3800679</v>
      </c>
      <c r="E12" s="41"/>
      <c r="F12" s="41"/>
      <c r="G12" s="41"/>
      <c r="H12" s="41"/>
      <c r="I12" s="41"/>
      <c r="J12" s="41"/>
      <c r="K12" s="41"/>
      <c r="L12" s="41"/>
      <c r="M12" s="41"/>
    </row>
    <row r="13" customFormat="false" ht="15" hidden="false" customHeight="false" outlineLevel="0" collapsed="false">
      <c r="A13" s="41"/>
      <c r="B13" s="41" t="s">
        <v>11</v>
      </c>
      <c r="C13" s="43" t="n">
        <f aca="false">SUMIFS(Sales!$N$2:$N$1321,Sales!$B$2:$B$1321,$C$3,Sales!$C$2:$C$1321,"&lt;="&amp;$C$7,Sales!$E$2:$E$1321,$C$4,Sales!$F$2:$F$1321,$C$5,Sales!$G$2:$G$1321,$C$6)</f>
        <v>2283498</v>
      </c>
      <c r="D13" s="43" t="n">
        <f aca="false">SUMIFS(Sales!$N$2:$N$1321,Sales!$B$2:$B$1321,$C$3-1,Sales!$C$2:$C$1321,"&lt;="&amp;$C$7,Sales!$E$2:$E$1321,$C$4,Sales!$F$2:$F$1321,$C$5,Sales!$G$2:$G$1321,$C$6)</f>
        <v>1968838</v>
      </c>
      <c r="E13" s="41"/>
      <c r="F13" s="41"/>
      <c r="G13" s="41"/>
      <c r="H13" s="41"/>
      <c r="I13" s="41"/>
      <c r="J13" s="41"/>
      <c r="K13" s="41"/>
      <c r="L13" s="41"/>
      <c r="M13" s="41"/>
    </row>
    <row r="14" customFormat="false" ht="15" hidden="false" customHeight="false" outlineLevel="0" collapsed="false">
      <c r="A14" s="41"/>
      <c r="B14" s="41" t="s">
        <v>12</v>
      </c>
      <c r="C14" s="45" t="n">
        <f aca="false">IF(C12=0,0,C13/C12)</f>
        <v>0.517023995051418</v>
      </c>
      <c r="D14" s="45" t="n">
        <f aca="false">IF(D12=0,0,D13/D12)</f>
        <v>0.518022700680589</v>
      </c>
      <c r="E14" s="41"/>
      <c r="F14" s="41"/>
      <c r="G14" s="41"/>
      <c r="H14" s="41"/>
      <c r="I14" s="41"/>
      <c r="J14" s="41"/>
      <c r="K14" s="41"/>
      <c r="L14" s="41"/>
      <c r="M14" s="41"/>
    </row>
    <row r="15" customFormat="false" ht="15" hidden="false" customHeight="false" outlineLevel="0" collapsed="false">
      <c r="A15" s="41"/>
      <c r="B15" s="41" t="s">
        <v>13</v>
      </c>
      <c r="C15" s="43" t="n">
        <f aca="false">SUMIFS(Sales!$H$2:$H$1321,Sales!$B$2:$B$1321,$C$3,Sales!$C$2:$C$1321,"&lt;="&amp;$C$7,Sales!$E$2:$E$1321,$C$4,Sales!$F$2:$F$1321,$C$5,Sales!$G$2:$G$1321,$C$6)</f>
        <v>45955</v>
      </c>
      <c r="D15" s="43" t="n">
        <f aca="false">SUMIFS(Sales!$H$2:$H$1321,Sales!$B$2:$B$1321,$C$3-1,Sales!$C$2:$C$1321,"&lt;="&amp;$C$7,Sales!$E$2:$E$1321,$C$4,Sales!$F$2:$F$1321,$C$5,Sales!$G$2:$G$1321,$C$6)</f>
        <v>39552</v>
      </c>
      <c r="E15" s="41"/>
      <c r="F15" s="41"/>
      <c r="G15" s="41"/>
      <c r="H15" s="41"/>
      <c r="I15" s="41"/>
      <c r="J15" s="41"/>
      <c r="K15" s="41"/>
      <c r="L15" s="41"/>
      <c r="M15" s="41"/>
    </row>
    <row r="16" customFormat="false" ht="15" hidden="false" customHeight="false" outlineLevel="0" collapsed="false">
      <c r="A16" s="41"/>
      <c r="B16" s="41" t="s">
        <v>69</v>
      </c>
      <c r="C16" s="43" t="n">
        <f aca="false">IF(C15=0,0,C12/C15)</f>
        <v>96.1074747035143</v>
      </c>
      <c r="D16" s="43" t="n">
        <f aca="false">IF(D15=0,0,D12/D15)</f>
        <v>96.0932190533981</v>
      </c>
      <c r="E16" s="41"/>
      <c r="F16" s="41"/>
      <c r="G16" s="41"/>
      <c r="H16" s="41"/>
      <c r="I16" s="41"/>
      <c r="J16" s="41"/>
      <c r="K16" s="41"/>
      <c r="L16" s="41"/>
      <c r="M16" s="41"/>
    </row>
    <row r="17" customFormat="false" ht="15" hidden="false" customHeight="false" outlineLevel="0" collapsed="false">
      <c r="A17" s="41"/>
      <c r="B17" s="41" t="s">
        <v>14</v>
      </c>
      <c r="C17" s="45" t="n">
        <f aca="false">IFERROR(SUMIFS(Sales!$K$2:$K$1321,Sales!$B$2:$B$1321,$C$3,Sales!$C$2:$C$1321,"&lt;="&amp;$C$7,Sales!$E$2:$E$1321,$C$4,Sales!$F$2:$F$1321,$C$5,Sales!$G$2:$G$1321,$C$6)/SUMIFS(Sales!$J$2:$J$1321,Sales!$B$2:$B$1321,$C$3,Sales!$C$2:$C$1321,"&lt;="&amp;$C$7,Sales!$E$2:$E$1321,$C$4,Sales!$F$2:$F$1321,$C$5,Sales!$G$2:$G$1321,$C$6),0)</f>
        <v>0.0731523617556852</v>
      </c>
      <c r="D17" s="45" t="n">
        <f aca="false">IFERROR(SUMIFS(Sales!$K$2:$K$1321,Sales!$B$2:$B$1321,$C$3-1,Sales!$C$2:$C$1321,"&lt;="&amp;$C$7,Sales!$E$2:$E$1321,$C$4,Sales!$F$2:$F$1321,$C$5,Sales!$G$2:$G$1321,$C$6)/SUMIFS(Sales!$J$2:$J$1321,Sales!$B$2:$B$1321,$C$3-1,Sales!$C$2:$C$1321,"&lt;="&amp;$C$7,Sales!$E$2:$E$1321,$C$4,Sales!$F$2:$F$1321,$C$5,Sales!$G$2:$G$1321,$C$6),0)</f>
        <v>0.07313126652519</v>
      </c>
      <c r="E17" s="41"/>
      <c r="F17" s="41"/>
      <c r="G17" s="41"/>
      <c r="H17" s="41"/>
      <c r="I17" s="41"/>
      <c r="J17" s="41"/>
      <c r="K17" s="41"/>
      <c r="L17" s="41"/>
      <c r="M17" s="41"/>
    </row>
    <row r="18" customFormat="false" ht="15" hidden="false" customHeight="false" outlineLevel="0" collapsed="false">
      <c r="A18" s="41"/>
      <c r="B18" s="41" t="s">
        <v>70</v>
      </c>
      <c r="C18" s="43" t="n">
        <f aca="false">SUMIFS(Marketing!$F$2:$F$67,Marketing!$B$2:$B$67,$C$3,Marketing!$C$2:$C$67,"&lt;="&amp;$C$7,Marketing!$E$2:$E$67,$C$5)</f>
        <v>695114</v>
      </c>
      <c r="D18" s="43" t="n">
        <f aca="false">SUMIFS(Marketing!$F$2:$F$67,Marketing!$B$2:$B$67,$C$3-1,Marketing!$C$2:$C$67,"&lt;="&amp;$C$7,Marketing!$E$2:$E$67,$C$5)</f>
        <v>576651</v>
      </c>
      <c r="E18" s="41"/>
      <c r="F18" s="41"/>
      <c r="G18" s="41"/>
      <c r="H18" s="41"/>
      <c r="I18" s="41"/>
      <c r="J18" s="41"/>
      <c r="K18" s="41"/>
      <c r="L18" s="41"/>
      <c r="M18" s="41"/>
    </row>
    <row r="19" customFormat="false" ht="15" hidden="false" customHeight="false" outlineLevel="0" collapsed="false">
      <c r="A19" s="41"/>
      <c r="B19" s="41" t="s">
        <v>15</v>
      </c>
      <c r="C19" s="46" t="n">
        <f aca="false">IFERROR(SUMIFS(Sales!$L$2:$L$1321,Sales!$B$2:$B$1321,$C$3,Sales!$C$2:$C$1321,"&lt;="&amp;$C$7,Sales!$F$2:$F$1321,$C$5)/C18,0)</f>
        <v>6.35380527510595</v>
      </c>
      <c r="D19" s="46" t="n">
        <f aca="false">IFERROR(SUMIFS(Sales!$L$2:$L$1321,Sales!$B$2:$B$1321,$C$3-1,Sales!$C$2:$C$1321,"&lt;="&amp;$C$7,Sales!$F$2:$F$1321,$C$5)/D18,0)</f>
        <v>6.5909518929127</v>
      </c>
      <c r="E19" s="41"/>
      <c r="F19" s="41"/>
      <c r="G19" s="41"/>
      <c r="H19" s="41"/>
      <c r="I19" s="41"/>
      <c r="J19" s="41"/>
      <c r="K19" s="41"/>
      <c r="L19" s="41"/>
      <c r="M19" s="41"/>
    </row>
    <row r="20" customFormat="false" ht="15" hidden="false" customHeight="false" outlineLevel="0" collapsed="false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customFormat="false" ht="15" hidden="false" customHeight="false" outlineLevel="0" collapsed="false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customFormat="false" ht="15" hidden="false" customHeight="false" outlineLevel="0" collapsed="false">
      <c r="A22" s="44"/>
      <c r="B22" s="44" t="s">
        <v>22</v>
      </c>
      <c r="C22" s="47" t="n">
        <f aca="false">$C$3</f>
        <v>2026</v>
      </c>
      <c r="D22" s="47" t="n">
        <f aca="false">$C$3-1</f>
        <v>2025</v>
      </c>
      <c r="E22" s="44" t="s">
        <v>70</v>
      </c>
      <c r="F22" s="44" t="s">
        <v>71</v>
      </c>
      <c r="G22" s="44" t="s">
        <v>24</v>
      </c>
      <c r="H22" s="44"/>
      <c r="I22" s="44" t="s">
        <v>27</v>
      </c>
      <c r="J22" s="44" t="s">
        <v>10</v>
      </c>
      <c r="K22" s="44"/>
      <c r="L22" s="44" t="s">
        <v>26</v>
      </c>
      <c r="M22" s="44" t="s">
        <v>10</v>
      </c>
    </row>
    <row r="23" customFormat="false" ht="15" hidden="false" customHeight="false" outlineLevel="0" collapsed="false">
      <c r="A23" s="41"/>
      <c r="B23" s="41" t="s">
        <v>34</v>
      </c>
      <c r="C23" s="43" t="n">
        <f aca="false">SUMIFS(Sales!$L$2:$L$1321,Sales!$B$2:$B$1321,$C$3,Sales!$C$2:$C$1321,G23,Sales!$E$2:$E$1321,$C$4,Sales!$F$2:$F$1321,$C$5,Sales!$G$2:$G$1321,$C$6)</f>
        <v>262085</v>
      </c>
      <c r="D23" s="43" t="n">
        <f aca="false">SUMIFS(Sales!$L$2:$L$1321,Sales!$B$2:$B$1321,$C$3-1,Sales!$C$2:$C$1321,G23,Sales!$E$2:$E$1321,$C$4,Sales!$F$2:$F$1321,$C$5,Sales!$G$2:$G$1321,$C$6)</f>
        <v>231322</v>
      </c>
      <c r="E23" s="43" t="n">
        <f aca="false">SUMIFS(Marketing!$F$2:$F$67,Marketing!$B$2:$B$67,$C$3,Marketing!$C$2:$C$67,G23,Marketing!$E$2:$E$67,$C$5)</f>
        <v>41344</v>
      </c>
      <c r="F23" s="46" t="n">
        <f aca="false">IF(E23=0,0,SUMIFS(Sales!$L$2:$L$1321,Sales!$B$2:$B$1321,$C$3,Sales!$C$2:$C$1321,G23,Sales!$F$2:$F$1321,$C$5)/E23)</f>
        <v>6.3391302244582</v>
      </c>
      <c r="G23" s="41" t="n">
        <v>1</v>
      </c>
      <c r="H23" s="41"/>
      <c r="I23" s="41" t="s">
        <v>36</v>
      </c>
      <c r="J23" s="43" t="n">
        <f aca="false">SUMIFS(Sales!$L$2:$L$1321,Sales!$B$2:$B$1321,$C$3,Sales!$C$2:$C$1321,"&lt;="&amp;$C$7,Sales!$E$2:$E$1321,$C$4,Sales!$F$2:$F$1321,I23,Sales!$G$2:$G$1321,$C$6)</f>
        <v>2045447</v>
      </c>
      <c r="K23" s="41"/>
      <c r="L23" s="41" t="s">
        <v>35</v>
      </c>
      <c r="M23" s="43" t="n">
        <f aca="false">SUMIFS(Sales!$L$2:$L$1321,Sales!$B$2:$B$1321,$C$3,Sales!$C$2:$C$1321,"&lt;="&amp;$C$7,Sales!$E$2:$E$1321,L23,Sales!$F$2:$F$1321,$C$5,Sales!$G$2:$G$1321,$C$6)</f>
        <v>1502212</v>
      </c>
    </row>
    <row r="24" customFormat="false" ht="15" hidden="false" customHeight="false" outlineLevel="0" collapsed="false">
      <c r="A24" s="41"/>
      <c r="B24" s="41" t="s">
        <v>47</v>
      </c>
      <c r="C24" s="43" t="n">
        <f aca="false">SUMIFS(Sales!$L$2:$L$1321,Sales!$B$2:$B$1321,$C$3,Sales!$C$2:$C$1321,G24,Sales!$E$2:$E$1321,$C$4,Sales!$F$2:$F$1321,$C$5,Sales!$G$2:$G$1321,$C$6)</f>
        <v>286475</v>
      </c>
      <c r="D24" s="43" t="n">
        <f aca="false">SUMIFS(Sales!$L$2:$L$1321,Sales!$B$2:$B$1321,$C$3-1,Sales!$C$2:$C$1321,G24,Sales!$E$2:$E$1321,$C$4,Sales!$F$2:$F$1321,$C$5,Sales!$G$2:$G$1321,$C$6)</f>
        <v>242525</v>
      </c>
      <c r="E24" s="43" t="n">
        <f aca="false">SUMIFS(Marketing!$F$2:$F$67,Marketing!$B$2:$B$67,$C$3,Marketing!$C$2:$C$67,G24,Marketing!$E$2:$E$67,$C$5)</f>
        <v>46267</v>
      </c>
      <c r="F24" s="46" t="n">
        <f aca="false">IF(E24=0,0,SUMIFS(Sales!$L$2:$L$1321,Sales!$B$2:$B$1321,$C$3,Sales!$C$2:$C$1321,G24,Sales!$F$2:$F$1321,$C$5)/E24)</f>
        <v>6.19177815721789</v>
      </c>
      <c r="G24" s="41" t="n">
        <v>2</v>
      </c>
      <c r="H24" s="41"/>
      <c r="I24" s="41" t="s">
        <v>42</v>
      </c>
      <c r="J24" s="43" t="n">
        <f aca="false">SUMIFS(Sales!$L$2:$L$1321,Sales!$B$2:$B$1321,$C$3,Sales!$C$2:$C$1321,"&lt;="&amp;$C$7,Sales!$E$2:$E$1321,$C$4,Sales!$F$2:$F$1321,I24,Sales!$G$2:$G$1321,$C$6)</f>
        <v>1377367</v>
      </c>
      <c r="K24" s="41"/>
      <c r="L24" s="41" t="s">
        <v>44</v>
      </c>
      <c r="M24" s="43" t="n">
        <f aca="false">SUMIFS(Sales!$L$2:$L$1321,Sales!$B$2:$B$1321,$C$3,Sales!$C$2:$C$1321,"&lt;="&amp;$C$7,Sales!$E$2:$E$1321,L24,Sales!$F$2:$F$1321,$C$5,Sales!$G$2:$G$1321,$C$6)</f>
        <v>1201313</v>
      </c>
    </row>
    <row r="25" customFormat="false" ht="15" hidden="false" customHeight="false" outlineLevel="0" collapsed="false">
      <c r="A25" s="41"/>
      <c r="B25" s="41" t="s">
        <v>48</v>
      </c>
      <c r="C25" s="43" t="n">
        <f aca="false">SUMIFS(Sales!$L$2:$L$1321,Sales!$B$2:$B$1321,$C$3,Sales!$C$2:$C$1321,G25,Sales!$E$2:$E$1321,$C$4,Sales!$F$2:$F$1321,$C$5,Sales!$G$2:$G$1321,$C$6)</f>
        <v>365274</v>
      </c>
      <c r="D25" s="43" t="n">
        <f aca="false">SUMIFS(Sales!$L$2:$L$1321,Sales!$B$2:$B$1321,$C$3-1,Sales!$C$2:$C$1321,G25,Sales!$E$2:$E$1321,$C$4,Sales!$F$2:$F$1321,$C$5,Sales!$G$2:$G$1321,$C$6)</f>
        <v>313167</v>
      </c>
      <c r="E25" s="43" t="n">
        <f aca="false">SUMIFS(Marketing!$F$2:$F$67,Marketing!$B$2:$B$67,$C$3,Marketing!$C$2:$C$67,G25,Marketing!$E$2:$E$67,$C$5)</f>
        <v>56285</v>
      </c>
      <c r="F25" s="46" t="n">
        <f aca="false">IF(E25=0,0,SUMIFS(Sales!$L$2:$L$1321,Sales!$B$2:$B$1321,$C$3,Sales!$C$2:$C$1321,G25,Sales!$F$2:$F$1321,$C$5)/E25)</f>
        <v>6.48972195078618</v>
      </c>
      <c r="G25" s="41" t="n">
        <v>3</v>
      </c>
      <c r="H25" s="41"/>
      <c r="I25" s="41" t="s">
        <v>43</v>
      </c>
      <c r="J25" s="43" t="n">
        <f aca="false">SUMIFS(Sales!$L$2:$L$1321,Sales!$B$2:$B$1321,$C$3,Sales!$C$2:$C$1321,"&lt;="&amp;$C$7,Sales!$E$2:$E$1321,$C$4,Sales!$F$2:$F$1321,I25,Sales!$G$2:$G$1321,$C$6)</f>
        <v>993805</v>
      </c>
      <c r="K25" s="41"/>
      <c r="L25" s="41" t="s">
        <v>45</v>
      </c>
      <c r="M25" s="43" t="n">
        <f aca="false">SUMIFS(Sales!$L$2:$L$1321,Sales!$B$2:$B$1321,$C$3,Sales!$C$2:$C$1321,"&lt;="&amp;$C$7,Sales!$E$2:$E$1321,L25,Sales!$F$2:$F$1321,$C$5,Sales!$G$2:$G$1321,$C$6)</f>
        <v>871395</v>
      </c>
    </row>
    <row r="26" customFormat="false" ht="15" hidden="false" customHeight="false" outlineLevel="0" collapsed="false">
      <c r="A26" s="41"/>
      <c r="B26" s="41" t="s">
        <v>49</v>
      </c>
      <c r="C26" s="43" t="n">
        <f aca="false">SUMIFS(Sales!$L$2:$L$1321,Sales!$B$2:$B$1321,$C$3,Sales!$C$2:$C$1321,G26,Sales!$E$2:$E$1321,$C$4,Sales!$F$2:$F$1321,$C$5,Sales!$G$2:$G$1321,$C$6)</f>
        <v>423467</v>
      </c>
      <c r="D26" s="43" t="n">
        <f aca="false">SUMIFS(Sales!$L$2:$L$1321,Sales!$B$2:$B$1321,$C$3-1,Sales!$C$2:$C$1321,G26,Sales!$E$2:$E$1321,$C$4,Sales!$F$2:$F$1321,$C$5,Sales!$G$2:$G$1321,$C$6)</f>
        <v>369220</v>
      </c>
      <c r="E26" s="43" t="n">
        <f aca="false">SUMIFS(Marketing!$F$2:$F$67,Marketing!$B$2:$B$67,$C$3,Marketing!$C$2:$C$67,G26,Marketing!$E$2:$E$67,$C$5)</f>
        <v>63335</v>
      </c>
      <c r="F26" s="46" t="n">
        <f aca="false">IF(E26=0,0,SUMIFS(Sales!$L$2:$L$1321,Sales!$B$2:$B$1321,$C$3,Sales!$C$2:$C$1321,G26,Sales!$F$2:$F$1321,$C$5)/E26)</f>
        <v>6.6861451014447</v>
      </c>
      <c r="G26" s="41" t="n">
        <v>4</v>
      </c>
      <c r="H26" s="41"/>
      <c r="I26" s="41"/>
      <c r="J26" s="41"/>
      <c r="K26" s="41"/>
      <c r="L26" s="41" t="s">
        <v>46</v>
      </c>
      <c r="M26" s="43" t="n">
        <f aca="false">SUMIFS(Sales!$L$2:$L$1321,Sales!$B$2:$B$1321,$C$3,Sales!$C$2:$C$1321,"&lt;="&amp;$C$7,Sales!$E$2:$E$1321,L26,Sales!$F$2:$F$1321,$C$5,Sales!$G$2:$G$1321,$C$6)</f>
        <v>841699</v>
      </c>
    </row>
    <row r="27" customFormat="false" ht="15" hidden="false" customHeight="false" outlineLevel="0" collapsed="false">
      <c r="A27" s="41"/>
      <c r="B27" s="41" t="s">
        <v>50</v>
      </c>
      <c r="C27" s="43" t="n">
        <f aca="false">SUMIFS(Sales!$L$2:$L$1321,Sales!$B$2:$B$1321,$C$3,Sales!$C$2:$C$1321,G27,Sales!$E$2:$E$1321,$C$4,Sales!$F$2:$F$1321,$C$5,Sales!$G$2:$G$1321,$C$6)</f>
        <v>519017</v>
      </c>
      <c r="D27" s="43" t="n">
        <f aca="false">SUMIFS(Sales!$L$2:$L$1321,Sales!$B$2:$B$1321,$C$3-1,Sales!$C$2:$C$1321,G27,Sales!$E$2:$E$1321,$C$4,Sales!$F$2:$F$1321,$C$5,Sales!$G$2:$G$1321,$C$6)</f>
        <v>444968</v>
      </c>
      <c r="E27" s="43" t="n">
        <f aca="false">SUMIFS(Marketing!$F$2:$F$67,Marketing!$B$2:$B$67,$C$3,Marketing!$C$2:$C$67,G27,Marketing!$E$2:$E$67,$C$5)</f>
        <v>86018</v>
      </c>
      <c r="F27" s="46" t="n">
        <f aca="false">IF(E27=0,0,SUMIFS(Sales!$L$2:$L$1321,Sales!$B$2:$B$1321,$C$3,Sales!$C$2:$C$1321,G27,Sales!$F$2:$F$1321,$C$5)/E27)</f>
        <v>6.033818503104</v>
      </c>
      <c r="G27" s="41" t="n">
        <v>5</v>
      </c>
      <c r="H27" s="41"/>
      <c r="I27" s="41"/>
      <c r="J27" s="41"/>
      <c r="K27" s="41"/>
      <c r="L27" s="41"/>
      <c r="M27" s="41"/>
    </row>
    <row r="28" customFormat="false" ht="15" hidden="false" customHeight="false" outlineLevel="0" collapsed="false">
      <c r="A28" s="41"/>
      <c r="B28" s="41" t="s">
        <v>51</v>
      </c>
      <c r="C28" s="43" t="n">
        <f aca="false">SUMIFS(Sales!$L$2:$L$1321,Sales!$B$2:$B$1321,$C$3,Sales!$C$2:$C$1321,G28,Sales!$E$2:$E$1321,$C$4,Sales!$F$2:$F$1321,$C$5,Sales!$G$2:$G$1321,$C$6)</f>
        <v>591489</v>
      </c>
      <c r="D28" s="43" t="n">
        <f aca="false">SUMIFS(Sales!$L$2:$L$1321,Sales!$B$2:$B$1321,$C$3-1,Sales!$C$2:$C$1321,G28,Sales!$E$2:$E$1321,$C$4,Sales!$F$2:$F$1321,$C$5,Sales!$G$2:$G$1321,$C$6)</f>
        <v>494774</v>
      </c>
      <c r="E28" s="43" t="n">
        <f aca="false">SUMIFS(Marketing!$F$2:$F$67,Marketing!$B$2:$B$67,$C$3,Marketing!$C$2:$C$67,G28,Marketing!$E$2:$E$67,$C$5)</f>
        <v>96789</v>
      </c>
      <c r="F28" s="46" t="n">
        <f aca="false">IF(E28=0,0,SUMIFS(Sales!$L$2:$L$1321,Sales!$B$2:$B$1321,$C$3,Sales!$C$2:$C$1321,G28,Sales!$F$2:$F$1321,$C$5)/E28)</f>
        <v>6.11111799894616</v>
      </c>
      <c r="G28" s="41" t="n">
        <v>6</v>
      </c>
      <c r="H28" s="41"/>
      <c r="I28" s="41"/>
      <c r="J28" s="41"/>
      <c r="K28" s="41"/>
      <c r="L28" s="41"/>
      <c r="M28" s="41"/>
    </row>
    <row r="29" customFormat="false" ht="15" hidden="false" customHeight="false" outlineLevel="0" collapsed="false">
      <c r="A29" s="41"/>
      <c r="B29" s="41" t="s">
        <v>52</v>
      </c>
      <c r="C29" s="43" t="n">
        <f aca="false">SUMIFS(Sales!$L$2:$L$1321,Sales!$B$2:$B$1321,$C$3,Sales!$C$2:$C$1321,G29,Sales!$E$2:$E$1321,$C$4,Sales!$F$2:$F$1321,$C$5,Sales!$G$2:$G$1321,$C$6)</f>
        <v>596812</v>
      </c>
      <c r="D29" s="43" t="n">
        <f aca="false">SUMIFS(Sales!$L$2:$L$1321,Sales!$B$2:$B$1321,$C$3-1,Sales!$C$2:$C$1321,G29,Sales!$E$2:$E$1321,$C$4,Sales!$F$2:$F$1321,$C$5,Sales!$G$2:$G$1321,$C$6)</f>
        <v>524284</v>
      </c>
      <c r="E29" s="43" t="n">
        <f aca="false">SUMIFS(Marketing!$F$2:$F$67,Marketing!$B$2:$B$67,$C$3,Marketing!$C$2:$C$67,G29,Marketing!$E$2:$E$67,$C$5)</f>
        <v>88032</v>
      </c>
      <c r="F29" s="46" t="n">
        <f aca="false">IF(E29=0,0,SUMIFS(Sales!$L$2:$L$1321,Sales!$B$2:$B$1321,$C$3,Sales!$C$2:$C$1321,G29,Sales!$F$2:$F$1321,$C$5)/E29)</f>
        <v>6.77948927662668</v>
      </c>
      <c r="G29" s="41" t="n">
        <v>7</v>
      </c>
      <c r="H29" s="41"/>
      <c r="I29" s="41"/>
      <c r="J29" s="41"/>
      <c r="K29" s="41"/>
      <c r="L29" s="41"/>
      <c r="M29" s="41"/>
    </row>
    <row r="30" customFormat="false" ht="15" hidden="false" customHeight="false" outlineLevel="0" collapsed="false">
      <c r="A30" s="41"/>
      <c r="B30" s="41" t="s">
        <v>53</v>
      </c>
      <c r="C30" s="43" t="n">
        <f aca="false">SUMIFS(Sales!$L$2:$L$1321,Sales!$B$2:$B$1321,$C$3,Sales!$C$2:$C$1321,G30,Sales!$E$2:$E$1321,$C$4,Sales!$F$2:$F$1321,$C$5,Sales!$G$2:$G$1321,$C$6)</f>
        <v>547935</v>
      </c>
      <c r="D30" s="43" t="n">
        <f aca="false">SUMIFS(Sales!$L$2:$L$1321,Sales!$B$2:$B$1321,$C$3-1,Sales!$C$2:$C$1321,G30,Sales!$E$2:$E$1321,$C$4,Sales!$F$2:$F$1321,$C$5,Sales!$G$2:$G$1321,$C$6)</f>
        <v>473279</v>
      </c>
      <c r="E30" s="43" t="n">
        <f aca="false">SUMIFS(Marketing!$F$2:$F$67,Marketing!$B$2:$B$67,$C$3,Marketing!$C$2:$C$67,G30,Marketing!$E$2:$E$67,$C$5)</f>
        <v>86482</v>
      </c>
      <c r="F30" s="46" t="n">
        <f aca="false">IF(E30=0,0,SUMIFS(Sales!$L$2:$L$1321,Sales!$B$2:$B$1321,$C$3,Sales!$C$2:$C$1321,G30,Sales!$F$2:$F$1321,$C$5)/E30)</f>
        <v>6.33582710853126</v>
      </c>
      <c r="G30" s="41" t="n">
        <v>8</v>
      </c>
      <c r="H30" s="41"/>
      <c r="I30" s="41"/>
      <c r="J30" s="41"/>
      <c r="K30" s="41"/>
      <c r="L30" s="41"/>
      <c r="M30" s="41"/>
    </row>
    <row r="31" customFormat="false" ht="15" hidden="false" customHeight="false" outlineLevel="0" collapsed="false">
      <c r="A31" s="41"/>
      <c r="B31" s="41" t="s">
        <v>54</v>
      </c>
      <c r="C31" s="43" t="n">
        <f aca="false">SUMIFS(Sales!$L$2:$L$1321,Sales!$B$2:$B$1321,$C$3,Sales!$C$2:$C$1321,G31,Sales!$E$2:$E$1321,$C$4,Sales!$F$2:$F$1321,$C$5,Sales!$G$2:$G$1321,$C$6)</f>
        <v>440920</v>
      </c>
      <c r="D31" s="43" t="n">
        <f aca="false">SUMIFS(Sales!$L$2:$L$1321,Sales!$B$2:$B$1321,$C$3-1,Sales!$C$2:$C$1321,G31,Sales!$E$2:$E$1321,$C$4,Sales!$F$2:$F$1321,$C$5,Sales!$G$2:$G$1321,$C$6)</f>
        <v>376845</v>
      </c>
      <c r="E31" s="43" t="n">
        <f aca="false">SUMIFS(Marketing!$F$2:$F$67,Marketing!$B$2:$B$67,$C$3,Marketing!$C$2:$C$67,G31,Marketing!$E$2:$E$67,$C$5)</f>
        <v>68717</v>
      </c>
      <c r="F31" s="46" t="n">
        <f aca="false">IF(E31=0,0,SUMIFS(Sales!$L$2:$L$1321,Sales!$B$2:$B$1321,$C$3,Sales!$C$2:$C$1321,G31,Sales!$F$2:$F$1321,$C$5)/E31)</f>
        <v>6.41646171980733</v>
      </c>
      <c r="G31" s="41" t="n">
        <v>9</v>
      </c>
      <c r="H31" s="41"/>
      <c r="I31" s="41"/>
      <c r="J31" s="41"/>
      <c r="K31" s="41"/>
      <c r="L31" s="41"/>
      <c r="M31" s="41"/>
    </row>
    <row r="32" customFormat="false" ht="15" hidden="false" customHeight="false" outlineLevel="0" collapsed="false">
      <c r="A32" s="41"/>
      <c r="B32" s="41" t="s">
        <v>55</v>
      </c>
      <c r="C32" s="43" t="n">
        <f aca="false">SUMIFS(Sales!$L$2:$L$1321,Sales!$B$2:$B$1321,$C$3,Sales!$C$2:$C$1321,G32,Sales!$E$2:$E$1321,$C$4,Sales!$F$2:$F$1321,$C$5,Sales!$G$2:$G$1321,$C$6)</f>
        <v>383145</v>
      </c>
      <c r="D32" s="43" t="n">
        <f aca="false">SUMIFS(Sales!$L$2:$L$1321,Sales!$B$2:$B$1321,$C$3-1,Sales!$C$2:$C$1321,G32,Sales!$E$2:$E$1321,$C$4,Sales!$F$2:$F$1321,$C$5,Sales!$G$2:$G$1321,$C$6)</f>
        <v>330295</v>
      </c>
      <c r="E32" s="43" t="n">
        <f aca="false">SUMIFS(Marketing!$F$2:$F$67,Marketing!$B$2:$B$67,$C$3,Marketing!$C$2:$C$67,G32,Marketing!$E$2:$E$67,$C$5)</f>
        <v>61845</v>
      </c>
      <c r="F32" s="46" t="n">
        <f aca="false">IF(E32=0,0,SUMIFS(Sales!$L$2:$L$1321,Sales!$B$2:$B$1321,$C$3,Sales!$C$2:$C$1321,G32,Sales!$F$2:$F$1321,$C$5)/E32)</f>
        <v>6.19524617996604</v>
      </c>
      <c r="G32" s="41" t="n">
        <v>10</v>
      </c>
      <c r="H32" s="41"/>
      <c r="I32" s="41"/>
      <c r="J32" s="41"/>
      <c r="K32" s="41"/>
      <c r="L32" s="41"/>
      <c r="M32" s="41"/>
    </row>
    <row r="33" customFormat="false" ht="15" hidden="false" customHeight="false" outlineLevel="0" collapsed="false">
      <c r="A33" s="41"/>
      <c r="B33" s="41" t="s">
        <v>56</v>
      </c>
      <c r="C33" s="43" t="n">
        <f aca="false">SUMIFS(Sales!$L$2:$L$1321,Sales!$B$2:$B$1321,$C$3,Sales!$C$2:$C$1321,G33,Sales!$E$2:$E$1321,$C$4,Sales!$F$2:$F$1321,$C$5,Sales!$G$2:$G$1321,$C$6)</f>
        <v>0</v>
      </c>
      <c r="D33" s="43" t="n">
        <f aca="false">SUMIFS(Sales!$L$2:$L$1321,Sales!$B$2:$B$1321,$C$3-1,Sales!$C$2:$C$1321,G33,Sales!$E$2:$E$1321,$C$4,Sales!$F$2:$F$1321,$C$5,Sales!$G$2:$G$1321,$C$6)</f>
        <v>422876</v>
      </c>
      <c r="E33" s="43" t="n">
        <f aca="false">SUMIFS(Marketing!$F$2:$F$67,Marketing!$B$2:$B$67,$C$3,Marketing!$C$2:$C$67,G33,Marketing!$E$2:$E$67,$C$5)</f>
        <v>0</v>
      </c>
      <c r="F33" s="46" t="n">
        <f aca="false">IF(E33=0,0,SUMIFS(Sales!$L$2:$L$1321,Sales!$B$2:$B$1321,$C$3,Sales!$C$2:$C$1321,G33,Sales!$F$2:$F$1321,$C$5)/E33)</f>
        <v>0</v>
      </c>
      <c r="G33" s="41" t="n">
        <v>11</v>
      </c>
      <c r="H33" s="41"/>
      <c r="I33" s="41"/>
      <c r="J33" s="41"/>
      <c r="K33" s="41"/>
      <c r="L33" s="41"/>
      <c r="M33" s="41"/>
    </row>
    <row r="34" customFormat="false" ht="15" hidden="false" customHeight="false" outlineLevel="0" collapsed="false">
      <c r="A34" s="41"/>
      <c r="B34" s="41" t="s">
        <v>57</v>
      </c>
      <c r="C34" s="43" t="n">
        <f aca="false">SUMIFS(Sales!$L$2:$L$1321,Sales!$B$2:$B$1321,$C$3,Sales!$C$2:$C$1321,G34,Sales!$E$2:$E$1321,$C$4,Sales!$F$2:$F$1321,$C$5,Sales!$G$2:$G$1321,$C$6)</f>
        <v>0</v>
      </c>
      <c r="D34" s="43" t="n">
        <f aca="false">SUMIFS(Sales!$L$2:$L$1321,Sales!$B$2:$B$1321,$C$3-1,Sales!$C$2:$C$1321,G34,Sales!$E$2:$E$1321,$C$4,Sales!$F$2:$F$1321,$C$5,Sales!$G$2:$G$1321,$C$6)</f>
        <v>544925</v>
      </c>
      <c r="E34" s="43" t="n">
        <f aca="false">SUMIFS(Marketing!$F$2:$F$67,Marketing!$B$2:$B$67,$C$3,Marketing!$C$2:$C$67,G34,Marketing!$E$2:$E$67,$C$5)</f>
        <v>0</v>
      </c>
      <c r="F34" s="46" t="n">
        <f aca="false">IF(E34=0,0,SUMIFS(Sales!$L$2:$L$1321,Sales!$B$2:$B$1321,$C$3,Sales!$C$2:$C$1321,G34,Sales!$F$2:$F$1321,$C$5)/E34)</f>
        <v>0</v>
      </c>
      <c r="G34" s="41" t="n">
        <v>12</v>
      </c>
      <c r="H34" s="41"/>
      <c r="I34" s="41"/>
      <c r="J34" s="41"/>
      <c r="K34" s="41"/>
      <c r="L34" s="41"/>
      <c r="M34" s="41"/>
    </row>
    <row r="35" customFormat="false" ht="15" hidden="false" customHeight="false" outlineLevel="0" collapsed="false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customFormat="false" ht="15" hidden="false" customHeight="false" outlineLevel="0" collapsed="false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customFormat="false" ht="15" hidden="false" customHeight="false" outlineLevel="0" collapsed="false">
      <c r="A37" s="44"/>
      <c r="B37" s="44" t="s">
        <v>17</v>
      </c>
      <c r="C37" s="44" t="s">
        <v>10</v>
      </c>
      <c r="D37" s="44" t="s">
        <v>18</v>
      </c>
      <c r="E37" s="44" t="s">
        <v>19</v>
      </c>
      <c r="F37" s="44" t="s">
        <v>12</v>
      </c>
      <c r="G37" s="44" t="s">
        <v>14</v>
      </c>
      <c r="H37" s="44" t="s">
        <v>28</v>
      </c>
      <c r="I37" s="44"/>
      <c r="J37" s="44"/>
      <c r="K37" s="44"/>
      <c r="L37" s="44"/>
      <c r="M37" s="44"/>
    </row>
    <row r="38" customFormat="false" ht="15" hidden="false" customHeight="false" outlineLevel="0" collapsed="false">
      <c r="A38" s="41"/>
      <c r="B38" s="41" t="s">
        <v>37</v>
      </c>
      <c r="C38" s="43" t="n">
        <f aca="false">SUMIFS(Sales!$L$2:$L$1321,Sales!$B$2:$B$1321,$C$3,Sales!$C$2:$C$1321,"&lt;="&amp;$C$7,Sales!$E$2:$E$1321,$C$4,Sales!$F$2:$F$1321,$C$5,Sales!$G$2:$G$1321,B38)</f>
        <v>1105774</v>
      </c>
      <c r="D38" s="43" t="n">
        <f aca="false">SUMIFS(Sales!$L$2:$L$1321,Sales!$B$2:$B$1321,$C$3-1,Sales!$C$2:$C$1321,"&lt;="&amp;$C$7,Sales!$E$2:$E$1321,$C$4,Sales!$F$2:$F$1321,$C$5,Sales!$G$2:$G$1321,B38)</f>
        <v>945467</v>
      </c>
      <c r="E38" s="45" t="n">
        <f aca="false">IF(D38=0,"",C38/D38-1)</f>
        <v>0.169553247231262</v>
      </c>
      <c r="F38" s="45" t="n">
        <f aca="false">IF(C38=0,0,SUMIFS(Sales!$N$2:$N$1321,Sales!$B$2:$B$1321,$C$3,Sales!$C$2:$C$1321,"&lt;="&amp;$C$7,Sales!$E$2:$E$1321,$C$4,Sales!$F$2:$F$1321,$C$5,Sales!$G$2:$G$1321,B38)/C38)</f>
        <v>0.465049820306862</v>
      </c>
      <c r="G38" s="45" t="n">
        <f aca="false">IFERROR(SUMIFS(Sales!$K$2:$K$1321,Sales!$B$2:$B$1321,$C$3,Sales!$C$2:$C$1321,"&lt;="&amp;$C$7,Sales!$E$2:$E$1321,$C$4,Sales!$F$2:$F$1321,$C$5,Sales!$G$2:$G$1321,B38)/SUMIFS(Sales!$J$2:$J$1321,Sales!$B$2:$B$1321,$C$3,Sales!$C$2:$C$1321,"&lt;="&amp;$C$7,Sales!$E$2:$E$1321,$C$4,Sales!$F$2:$F$1321,$C$5,Sales!$G$2:$G$1321,B38),0)</f>
        <v>0.0411779446665678</v>
      </c>
      <c r="H38" s="43" t="n">
        <f aca="false">SUMIFS(Sales!$I$2:$I$1321,Sales!$B$2:$B$1321,$C$3,Sales!$C$2:$C$1321,"&lt;="&amp;$C$7,Sales!$E$2:$E$1321,$C$4,Sales!$F$2:$F$1321,$C$5,Sales!$G$2:$G$1321,B38)</f>
        <v>8456</v>
      </c>
      <c r="I38" s="41"/>
      <c r="J38" s="41"/>
      <c r="K38" s="41"/>
      <c r="L38" s="41"/>
      <c r="M38" s="41"/>
    </row>
    <row r="39" customFormat="false" ht="15" hidden="false" customHeight="false" outlineLevel="0" collapsed="false">
      <c r="A39" s="41"/>
      <c r="B39" s="41" t="s">
        <v>38</v>
      </c>
      <c r="C39" s="43" t="n">
        <f aca="false">SUMIFS(Sales!$L$2:$L$1321,Sales!$B$2:$B$1321,$C$3,Sales!$C$2:$C$1321,"&lt;="&amp;$C$7,Sales!$E$2:$E$1321,$C$4,Sales!$F$2:$F$1321,$C$5,Sales!$G$2:$G$1321,B39)</f>
        <v>944212</v>
      </c>
      <c r="D39" s="43" t="n">
        <f aca="false">SUMIFS(Sales!$L$2:$L$1321,Sales!$B$2:$B$1321,$C$3-1,Sales!$C$2:$C$1321,"&lt;="&amp;$C$7,Sales!$E$2:$E$1321,$C$4,Sales!$F$2:$F$1321,$C$5,Sales!$G$2:$G$1321,B39)</f>
        <v>820493</v>
      </c>
      <c r="E39" s="45" t="n">
        <f aca="false">IF(D39=0,"",C39/D39-1)</f>
        <v>0.150786173678508</v>
      </c>
      <c r="F39" s="45" t="n">
        <f aca="false">IF(C39=0,0,SUMIFS(Sales!$N$2:$N$1321,Sales!$B$2:$B$1321,$C$3,Sales!$C$2:$C$1321,"&lt;="&amp;$C$7,Sales!$E$2:$E$1321,$C$4,Sales!$F$2:$F$1321,$C$5,Sales!$G$2:$G$1321,B39)/C39)</f>
        <v>0.542646143027202</v>
      </c>
      <c r="G39" s="45" t="n">
        <f aca="false">IFERROR(SUMIFS(Sales!$K$2:$K$1321,Sales!$B$2:$B$1321,$C$3,Sales!$C$2:$C$1321,"&lt;="&amp;$C$7,Sales!$E$2:$E$1321,$C$4,Sales!$F$2:$F$1321,$C$5,Sales!$G$2:$G$1321,B39)/SUMIFS(Sales!$J$2:$J$1321,Sales!$B$2:$B$1321,$C$3,Sales!$C$2:$C$1321,"&lt;="&amp;$C$7,Sales!$E$2:$E$1321,$C$4,Sales!$F$2:$F$1321,$C$5,Sales!$G$2:$G$1321,B39),0)</f>
        <v>0.0510889926918098</v>
      </c>
      <c r="H39" s="43" t="n">
        <f aca="false">SUMIFS(Sales!$I$2:$I$1321,Sales!$B$2:$B$1321,$C$3,Sales!$C$2:$C$1321,"&lt;="&amp;$C$7,Sales!$E$2:$E$1321,$C$4,Sales!$F$2:$F$1321,$C$5,Sales!$G$2:$G$1321,B39)</f>
        <v>12378</v>
      </c>
      <c r="I39" s="41"/>
      <c r="J39" s="41"/>
      <c r="K39" s="41"/>
      <c r="L39" s="41"/>
      <c r="M39" s="41"/>
    </row>
    <row r="40" customFormat="false" ht="15" hidden="false" customHeight="false" outlineLevel="0" collapsed="false">
      <c r="A40" s="41"/>
      <c r="B40" s="41" t="s">
        <v>39</v>
      </c>
      <c r="C40" s="43" t="n">
        <f aca="false">SUMIFS(Sales!$L$2:$L$1321,Sales!$B$2:$B$1321,$C$3,Sales!$C$2:$C$1321,"&lt;="&amp;$C$7,Sales!$E$2:$E$1321,$C$4,Sales!$F$2:$F$1321,$C$5,Sales!$G$2:$G$1321,B40)</f>
        <v>1062047</v>
      </c>
      <c r="D40" s="43" t="n">
        <f aca="false">SUMIFS(Sales!$L$2:$L$1321,Sales!$B$2:$B$1321,$C$3-1,Sales!$C$2:$C$1321,"&lt;="&amp;$C$7,Sales!$E$2:$E$1321,$C$4,Sales!$F$2:$F$1321,$C$5,Sales!$G$2:$G$1321,B40)</f>
        <v>915813</v>
      </c>
      <c r="E40" s="45" t="n">
        <f aca="false">IF(D40=0,"",C40/D40-1)</f>
        <v>0.159676702558273</v>
      </c>
      <c r="F40" s="45" t="n">
        <f aca="false">IF(C40=0,0,SUMIFS(Sales!$N$2:$N$1321,Sales!$B$2:$B$1321,$C$3,Sales!$C$2:$C$1321,"&lt;="&amp;$C$7,Sales!$E$2:$E$1321,$C$4,Sales!$F$2:$F$1321,$C$5,Sales!$G$2:$G$1321,B40)/C40)</f>
        <v>0.601765270275233</v>
      </c>
      <c r="G40" s="45" t="n">
        <f aca="false">IFERROR(SUMIFS(Sales!$K$2:$K$1321,Sales!$B$2:$B$1321,$C$3,Sales!$C$2:$C$1321,"&lt;="&amp;$C$7,Sales!$E$2:$E$1321,$C$4,Sales!$F$2:$F$1321,$C$5,Sales!$G$2:$G$1321,B40)/SUMIFS(Sales!$J$2:$J$1321,Sales!$B$2:$B$1321,$C$3,Sales!$C$2:$C$1321,"&lt;="&amp;$C$7,Sales!$E$2:$E$1321,$C$4,Sales!$F$2:$F$1321,$C$5,Sales!$G$2:$G$1321,B40),0)</f>
        <v>0.103674602705736</v>
      </c>
      <c r="H40" s="43" t="n">
        <f aca="false">SUMIFS(Sales!$I$2:$I$1321,Sales!$B$2:$B$1321,$C$3,Sales!$C$2:$C$1321,"&lt;="&amp;$C$7,Sales!$E$2:$E$1321,$C$4,Sales!$F$2:$F$1321,$C$5,Sales!$G$2:$G$1321,B40)</f>
        <v>19790</v>
      </c>
      <c r="I40" s="41"/>
      <c r="J40" s="41"/>
      <c r="K40" s="41"/>
      <c r="L40" s="41"/>
      <c r="M40" s="41"/>
    </row>
    <row r="41" customFormat="false" ht="15" hidden="false" customHeight="false" outlineLevel="0" collapsed="false">
      <c r="A41" s="41"/>
      <c r="B41" s="41" t="s">
        <v>40</v>
      </c>
      <c r="C41" s="43" t="n">
        <f aca="false">SUMIFS(Sales!$L$2:$L$1321,Sales!$B$2:$B$1321,$C$3,Sales!$C$2:$C$1321,"&lt;="&amp;$C$7,Sales!$E$2:$E$1321,$C$4,Sales!$F$2:$F$1321,$C$5,Sales!$G$2:$G$1321,B41)</f>
        <v>744196</v>
      </c>
      <c r="D41" s="43" t="n">
        <f aca="false">SUMIFS(Sales!$L$2:$L$1321,Sales!$B$2:$B$1321,$C$3-1,Sales!$C$2:$C$1321,"&lt;="&amp;$C$7,Sales!$E$2:$E$1321,$C$4,Sales!$F$2:$F$1321,$C$5,Sales!$G$2:$G$1321,B41)</f>
        <v>638906</v>
      </c>
      <c r="E41" s="45" t="n">
        <f aca="false">IF(D41=0,"",C41/D41-1)</f>
        <v>0.164797325428154</v>
      </c>
      <c r="F41" s="45" t="n">
        <f aca="false">IF(C41=0,0,SUMIFS(Sales!$N$2:$N$1321,Sales!$B$2:$B$1321,$C$3,Sales!$C$2:$C$1321,"&lt;="&amp;$C$7,Sales!$E$2:$E$1321,$C$4,Sales!$F$2:$F$1321,$C$5,Sales!$G$2:$G$1321,B41)/C41)</f>
        <v>0.444059091959645</v>
      </c>
      <c r="G41" s="45" t="n">
        <f aca="false">IFERROR(SUMIFS(Sales!$K$2:$K$1321,Sales!$B$2:$B$1321,$C$3,Sales!$C$2:$C$1321,"&lt;="&amp;$C$7,Sales!$E$2:$E$1321,$C$4,Sales!$F$2:$F$1321,$C$5,Sales!$G$2:$G$1321,B41)/SUMIFS(Sales!$J$2:$J$1321,Sales!$B$2:$B$1321,$C$3,Sales!$C$2:$C$1321,"&lt;="&amp;$C$7,Sales!$E$2:$E$1321,$C$4,Sales!$F$2:$F$1321,$C$5,Sales!$G$2:$G$1321,B41),0)</f>
        <v>0.12810851721415</v>
      </c>
      <c r="H41" s="43" t="n">
        <f aca="false">SUMIFS(Sales!$I$2:$I$1321,Sales!$B$2:$B$1321,$C$3,Sales!$C$2:$C$1321,"&lt;="&amp;$C$7,Sales!$E$2:$E$1321,$C$4,Sales!$F$2:$F$1321,$C$5,Sales!$G$2:$G$1321,B41)</f>
        <v>9234</v>
      </c>
      <c r="I41" s="41"/>
      <c r="J41" s="41"/>
      <c r="K41" s="41"/>
      <c r="L41" s="41"/>
      <c r="M41" s="41"/>
    </row>
    <row r="42" customFormat="false" ht="15" hidden="false" customHeight="false" outlineLevel="0" collapsed="false">
      <c r="A42" s="41"/>
      <c r="B42" s="41" t="s">
        <v>41</v>
      </c>
      <c r="C42" s="43" t="n">
        <f aca="false">SUMIFS(Sales!$L$2:$L$1321,Sales!$B$2:$B$1321,$C$3,Sales!$C$2:$C$1321,"&lt;="&amp;$C$7,Sales!$E$2:$E$1321,$C$4,Sales!$F$2:$F$1321,$C$5,Sales!$G$2:$G$1321,B42)</f>
        <v>560390</v>
      </c>
      <c r="D42" s="43" t="n">
        <f aca="false">SUMIFS(Sales!$L$2:$L$1321,Sales!$B$2:$B$1321,$C$3-1,Sales!$C$2:$C$1321,"&lt;="&amp;$C$7,Sales!$E$2:$E$1321,$C$4,Sales!$F$2:$F$1321,$C$5,Sales!$G$2:$G$1321,B42)</f>
        <v>480000</v>
      </c>
      <c r="E42" s="45" t="n">
        <f aca="false">IF(D42=0,"",C42/D42-1)</f>
        <v>0.167479166666667</v>
      </c>
      <c r="F42" s="45" t="n">
        <f aca="false">IF(C42=0,0,SUMIFS(Sales!$N$2:$N$1321,Sales!$B$2:$B$1321,$C$3,Sales!$C$2:$C$1321,"&lt;="&amp;$C$7,Sales!$E$2:$E$1321,$C$4,Sales!$F$2:$F$1321,$C$5,Sales!$G$2:$G$1321,B42)/C42)</f>
        <v>0.512705437284748</v>
      </c>
      <c r="G42" s="45" t="n">
        <f aca="false">IFERROR(SUMIFS(Sales!$K$2:$K$1321,Sales!$B$2:$B$1321,$C$3,Sales!$C$2:$C$1321,"&lt;="&amp;$C$7,Sales!$E$2:$E$1321,$C$4,Sales!$F$2:$F$1321,$C$5,Sales!$G$2:$G$1321,B42)/SUMIFS(Sales!$J$2:$J$1321,Sales!$B$2:$B$1321,$C$3,Sales!$C$2:$C$1321,"&lt;="&amp;$C$7,Sales!$E$2:$E$1321,$C$4,Sales!$F$2:$F$1321,$C$5,Sales!$G$2:$G$1321,B42),0)</f>
        <v>0.0312414644350018</v>
      </c>
      <c r="H42" s="43" t="n">
        <f aca="false">SUMIFS(Sales!$I$2:$I$1321,Sales!$B$2:$B$1321,$C$3,Sales!$C$2:$C$1321,"&lt;="&amp;$C$7,Sales!$E$2:$E$1321,$C$4,Sales!$F$2:$F$1321,$C$5,Sales!$G$2:$G$1321,B42)</f>
        <v>13229</v>
      </c>
      <c r="I42" s="41"/>
      <c r="J42" s="41"/>
      <c r="K42" s="41"/>
      <c r="L42" s="41"/>
      <c r="M42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44" t="s">
        <v>23</v>
      </c>
      <c r="B1" s="44" t="s">
        <v>26</v>
      </c>
      <c r="C1" s="44" t="s">
        <v>27</v>
      </c>
      <c r="D1" s="44" t="s">
        <v>17</v>
      </c>
    </row>
    <row r="2" customFormat="false" ht="15" hidden="false" customHeight="false" outlineLevel="0" collapsed="false">
      <c r="A2" s="0" t="n">
        <v>2026</v>
      </c>
      <c r="B2" s="0" t="s">
        <v>4</v>
      </c>
      <c r="C2" s="0" t="s">
        <v>6</v>
      </c>
      <c r="D2" s="0" t="s">
        <v>8</v>
      </c>
    </row>
    <row r="3" customFormat="false" ht="15" hidden="false" customHeight="false" outlineLevel="0" collapsed="false">
      <c r="A3" s="0" t="n">
        <v>2025</v>
      </c>
      <c r="B3" s="0" t="s">
        <v>35</v>
      </c>
      <c r="C3" s="0" t="s">
        <v>36</v>
      </c>
      <c r="D3" s="0" t="s">
        <v>37</v>
      </c>
    </row>
    <row r="4" customFormat="false" ht="15" hidden="false" customHeight="false" outlineLevel="0" collapsed="false">
      <c r="B4" s="0" t="s">
        <v>44</v>
      </c>
      <c r="C4" s="0" t="s">
        <v>42</v>
      </c>
      <c r="D4" s="0" t="s">
        <v>38</v>
      </c>
    </row>
    <row r="5" customFormat="false" ht="15" hidden="false" customHeight="false" outlineLevel="0" collapsed="false">
      <c r="B5" s="0" t="s">
        <v>45</v>
      </c>
      <c r="C5" s="0" t="s">
        <v>43</v>
      </c>
      <c r="D5" s="0" t="s">
        <v>39</v>
      </c>
    </row>
    <row r="6" customFormat="false" ht="15" hidden="false" customHeight="false" outlineLevel="0" collapsed="false">
      <c r="B6" s="0" t="s">
        <v>46</v>
      </c>
      <c r="D6" s="0" t="s">
        <v>40</v>
      </c>
    </row>
    <row r="7" customFormat="false" ht="15" hidden="false" customHeight="false" outlineLevel="0" collapsed="false">
      <c r="D7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B2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48" t="s">
        <v>72</v>
      </c>
    </row>
    <row r="3" customFormat="false" ht="15" hidden="false" customHeight="false" outlineLevel="0" collapsed="false">
      <c r="B3" s="49"/>
    </row>
    <row r="4" customFormat="false" ht="26.85" hidden="false" customHeight="false" outlineLevel="0" collapsed="false">
      <c r="B4" s="50" t="s">
        <v>73</v>
      </c>
    </row>
    <row r="5" customFormat="false" ht="39.55" hidden="false" customHeight="false" outlineLevel="0" collapsed="false">
      <c r="B5" s="50" t="s">
        <v>74</v>
      </c>
    </row>
    <row r="6" customFormat="false" ht="26.85" hidden="false" customHeight="false" outlineLevel="0" collapsed="false">
      <c r="B6" s="50" t="s">
        <v>75</v>
      </c>
    </row>
    <row r="7" customFormat="false" ht="15" hidden="false" customHeight="false" outlineLevel="0" collapsed="false">
      <c r="B7" s="50" t="s">
        <v>76</v>
      </c>
    </row>
    <row r="8" customFormat="false" ht="15" hidden="false" customHeight="false" outlineLevel="0" collapsed="false">
      <c r="B8" s="49"/>
    </row>
    <row r="9" customFormat="false" ht="26.85" hidden="false" customHeight="false" outlineLevel="0" collapsed="false">
      <c r="B9" s="50" t="s">
        <v>77</v>
      </c>
    </row>
    <row r="10" customFormat="false" ht="15" hidden="false" customHeight="false" outlineLevel="0" collapsed="false">
      <c r="B10" s="50" t="s">
        <v>78</v>
      </c>
    </row>
    <row r="11" customFormat="false" ht="26.85" hidden="false" customHeight="false" outlineLevel="0" collapsed="false">
      <c r="B11" s="5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2026-10-30T03:21:07Z</dcterms:created>
  <dc:creator>openpyxl</dc:creator>
  <dc:description/>
  <dc:language>en-US</dc:language>
  <cp:lastModifiedBy/>
  <dcterms:modified xsi:type="dcterms:W3CDTF">2026-10-30T03:21:11Z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