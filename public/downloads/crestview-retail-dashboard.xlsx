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5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ales" sheetId="2" state="visible" r:id="rId4"/>
    <sheet name="Products" sheetId="3" state="visible" r:id="rId5"/>
    <sheet name="Customers" sheetId="4" state="visible" r:id="rId6"/>
    <sheet name="Orders" sheetId="5" state="visible" r:id="rId7"/>
    <sheet name="Calc" sheetId="6" state="visible" r:id="rId8"/>
    <sheet name="Lists" sheetId="7" state="visible" r:id="rId9"/>
    <sheet name="How to use" sheetId="8" state="visible" r:id="rId10"/>
  </sheets>
  <definedNames>
    <definedName function="false" hidden="false" localSheetId="0" name="_xlnm.Print_Area" vbProcedure="false">Overview!$A$1:$S$35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Helper columns (formulas): N and O mark a customer's first order in a year / month, so the dashboard can count distinct customers. P marks orders inside the selected period, for "Recent orders". Keep rows sorted by date.</t>
        </r>
      </text>
    </comment>
  </commentList>
</comments>
</file>

<file path=xl/sharedStrings.xml><?xml version="1.0" encoding="utf-8"?>
<sst xmlns="http://schemas.openxmlformats.org/spreadsheetml/2006/main" count="15560" uniqueCount="3495">
  <si>
    <t xml:space="preserve">CRESTVIEW</t>
  </si>
  <si>
    <t xml:space="preserve">DASHBOARD OVERVIEW</t>
  </si>
  <si>
    <t xml:space="preserve">Year</t>
  </si>
  <si>
    <t xml:space="preserve">Month</t>
  </si>
  <si>
    <t xml:space="preserve">All</t>
  </si>
  <si>
    <t xml:space="preserve">RETAIL CO.</t>
  </si>
  <si>
    <t xml:space="preserve">TOTAL SALES</t>
  </si>
  <si>
    <t xml:space="preserve">TOTAL PROFIT</t>
  </si>
  <si>
    <t xml:space="preserve">TOTAL ORDERS</t>
  </si>
  <si>
    <t xml:space="preserve">TOTAL CUSTOMERS</t>
  </si>
  <si>
    <t xml:space="preserve">$</t>
  </si>
  <si>
    <t xml:space="preserve">▮▮</t>
  </si>
  <si>
    <t xml:space="preserve">◫</t>
  </si>
  <si>
    <t xml:space="preserve">☺</t>
  </si>
  <si>
    <t xml:space="preserve">TOP 5 PRODUCTS</t>
  </si>
  <si>
    <t xml:space="preserve">RECENT ORDERS</t>
  </si>
  <si>
    <t xml:space="preserve">Product</t>
  </si>
  <si>
    <t xml:space="preserve">Sales</t>
  </si>
  <si>
    <t xml:space="preserve">Customer</t>
  </si>
  <si>
    <t xml:space="preserve">Date</t>
  </si>
  <si>
    <t xml:space="preserve">Amount</t>
  </si>
  <si>
    <t xml:space="preserve">Click to open a page</t>
  </si>
  <si>
    <t xml:space="preserve">Sales by month</t>
  </si>
  <si>
    <t xml:space="preserve">◀ Back to Overview</t>
  </si>
  <si>
    <t xml:space="preserve">Sales ($)</t>
  </si>
  <si>
    <t xml:space="preserve">Profit ($)</t>
  </si>
  <si>
    <t xml:space="preserve">Margin</t>
  </si>
  <si>
    <t xml:space="preserve">Orders</t>
  </si>
  <si>
    <t xml:space="preserve">Avg order ($)</t>
  </si>
  <si>
    <t xml:space="preserve">Total</t>
  </si>
  <si>
    <t xml:space="preserve">Products</t>
  </si>
  <si>
    <t xml:space="preserve">Category</t>
  </si>
  <si>
    <t xml:space="preserve">Unit price ($)</t>
  </si>
  <si>
    <t xml:space="preserve">Units sold</t>
  </si>
  <si>
    <t xml:space="preserve">Wireless Earbuds Pro</t>
  </si>
  <si>
    <t xml:space="preserve">Electronics</t>
  </si>
  <si>
    <t xml:space="preserve">Smart Watch S2</t>
  </si>
  <si>
    <t xml:space="preserve">Bluetooth Speaker</t>
  </si>
  <si>
    <t xml:space="preserve">4K Streaming Stick</t>
  </si>
  <si>
    <t xml:space="preserve">Everyday Hoodie</t>
  </si>
  <si>
    <t xml:space="preserve">Clothing</t>
  </si>
  <si>
    <t xml:space="preserve">Slim Fit Chinos</t>
  </si>
  <si>
    <t xml:space="preserve">Running Jacket</t>
  </si>
  <si>
    <t xml:space="preserve">Cotton Tee 3-Pack</t>
  </si>
  <si>
    <t xml:space="preserve">Air Fryer 5L</t>
  </si>
  <si>
    <t xml:space="preserve">Home &amp; Kitchen</t>
  </si>
  <si>
    <t xml:space="preserve">Ceramic Cookware Set</t>
  </si>
  <si>
    <t xml:space="preserve">Cold Brew Maker</t>
  </si>
  <si>
    <t xml:space="preserve">Linen Bedding Set</t>
  </si>
  <si>
    <t xml:space="preserve">Vitamin C Serum</t>
  </si>
  <si>
    <t xml:space="preserve">Beauty</t>
  </si>
  <si>
    <t xml:space="preserve">Hair Dryer Ionic</t>
  </si>
  <si>
    <t xml:space="preserve">Skincare Gift Set</t>
  </si>
  <si>
    <t xml:space="preserve">Yoga Mat</t>
  </si>
  <si>
    <t xml:space="preserve">Others</t>
  </si>
  <si>
    <t xml:space="preserve">Travel Backpack</t>
  </si>
  <si>
    <t xml:space="preserve">Desk Lamp LED</t>
  </si>
  <si>
    <t xml:space="preserve">Top 15 customers</t>
  </si>
  <si>
    <t xml:space="preserve">Rank</t>
  </si>
  <si>
    <t xml:space="preserve">Region</t>
  </si>
  <si>
    <t xml:space="preserve">Order ID</t>
  </si>
  <si>
    <t xml:space="preserve">Month #</t>
  </si>
  <si>
    <t xml:space="preserve">Qty</t>
  </si>
  <si>
    <t xml:space="preserve">Unit cost ($)</t>
  </si>
  <si>
    <t xml:space="preserve">New customer (year)</t>
  </si>
  <si>
    <t xml:space="preserve">New customer (month)</t>
  </si>
  <si>
    <t xml:space="preserve">In view #</t>
  </si>
  <si>
    <t xml:space="preserve">CR-10001</t>
  </si>
  <si>
    <t xml:space="preserve">Harper Moore</t>
  </si>
  <si>
    <t xml:space="preserve">South</t>
  </si>
  <si>
    <t xml:space="preserve">CR-10002</t>
  </si>
  <si>
    <t xml:space="preserve">Olivia Brown</t>
  </si>
  <si>
    <t xml:space="preserve">West</t>
  </si>
  <si>
    <t xml:space="preserve">CR-10003</t>
  </si>
  <si>
    <t xml:space="preserve">Olivia Wilson</t>
  </si>
  <si>
    <t xml:space="preserve">North</t>
  </si>
  <si>
    <t xml:space="preserve">CR-10004</t>
  </si>
  <si>
    <t xml:space="preserve">Harper Lewis</t>
  </si>
  <si>
    <t xml:space="preserve">East</t>
  </si>
  <si>
    <t xml:space="preserve">CR-10005</t>
  </si>
  <si>
    <t xml:space="preserve">Mia Taylor</t>
  </si>
  <si>
    <t xml:space="preserve">Central</t>
  </si>
  <si>
    <t xml:space="preserve">CR-10006</t>
  </si>
  <si>
    <t xml:space="preserve">Lucas Wilson</t>
  </si>
  <si>
    <t xml:space="preserve">CR-10007</t>
  </si>
  <si>
    <t xml:space="preserve">Jack Davis</t>
  </si>
  <si>
    <t xml:space="preserve">CR-10008</t>
  </si>
  <si>
    <t xml:space="preserve">Ryan Miller</t>
  </si>
  <si>
    <t xml:space="preserve">CR-10009</t>
  </si>
  <si>
    <t xml:space="preserve">Harper King</t>
  </si>
  <si>
    <t xml:space="preserve">CR-10010</t>
  </si>
  <si>
    <t xml:space="preserve">Ethan King</t>
  </si>
  <si>
    <t xml:space="preserve">CR-10011</t>
  </si>
  <si>
    <t xml:space="preserve">Ava Wilson</t>
  </si>
  <si>
    <t xml:space="preserve">CR-10012</t>
  </si>
  <si>
    <t xml:space="preserve">Grace Anderson</t>
  </si>
  <si>
    <t xml:space="preserve">CR-10013</t>
  </si>
  <si>
    <t xml:space="preserve">Nora Green</t>
  </si>
  <si>
    <t xml:space="preserve">CR-10014</t>
  </si>
  <si>
    <t xml:space="preserve">CR-10015</t>
  </si>
  <si>
    <t xml:space="preserve">Mason Clark</t>
  </si>
  <si>
    <t xml:space="preserve">CR-10016</t>
  </si>
  <si>
    <t xml:space="preserve">Ryan Anderson</t>
  </si>
  <si>
    <t xml:space="preserve">CR-10017</t>
  </si>
  <si>
    <t xml:space="preserve">Ruby Scott</t>
  </si>
  <si>
    <t xml:space="preserve">CR-10018</t>
  </si>
  <si>
    <t xml:space="preserve">Ella Young</t>
  </si>
  <si>
    <t xml:space="preserve">CR-10019</t>
  </si>
  <si>
    <t xml:space="preserve">Emma Taylor</t>
  </si>
  <si>
    <t xml:space="preserve">CR-10020</t>
  </si>
  <si>
    <t xml:space="preserve">Chloe Brown</t>
  </si>
  <si>
    <t xml:space="preserve">CR-10021</t>
  </si>
  <si>
    <t xml:space="preserve">Harper Brown</t>
  </si>
  <si>
    <t xml:space="preserve">CR-10022</t>
  </si>
  <si>
    <t xml:space="preserve">James Moore</t>
  </si>
  <si>
    <t xml:space="preserve">CR-10023</t>
  </si>
  <si>
    <t xml:space="preserve">Ruby Miller</t>
  </si>
  <si>
    <t xml:space="preserve">CR-10024</t>
  </si>
  <si>
    <t xml:space="preserve">Dylan Brown</t>
  </si>
  <si>
    <t xml:space="preserve">CR-10025</t>
  </si>
  <si>
    <t xml:space="preserve">Ava Lewis</t>
  </si>
  <si>
    <t xml:space="preserve">CR-10026</t>
  </si>
  <si>
    <t xml:space="preserve">Noah King</t>
  </si>
  <si>
    <t xml:space="preserve">CR-10027</t>
  </si>
  <si>
    <t xml:space="preserve">CR-10028</t>
  </si>
  <si>
    <t xml:space="preserve">Grace Moore</t>
  </si>
  <si>
    <t xml:space="preserve">CR-10029</t>
  </si>
  <si>
    <t xml:space="preserve">Mia Moore</t>
  </si>
  <si>
    <t xml:space="preserve">CR-10030</t>
  </si>
  <si>
    <t xml:space="preserve">Aiden Taylor</t>
  </si>
  <si>
    <t xml:space="preserve">CR-10031</t>
  </si>
  <si>
    <t xml:space="preserve">Dylan Wright</t>
  </si>
  <si>
    <t xml:space="preserve">CR-10032</t>
  </si>
  <si>
    <t xml:space="preserve">Harper Smith</t>
  </si>
  <si>
    <t xml:space="preserve">CR-10033</t>
  </si>
  <si>
    <t xml:space="preserve">Chloe Moore</t>
  </si>
  <si>
    <t xml:space="preserve">CR-10034</t>
  </si>
  <si>
    <t xml:space="preserve">Lily Martin</t>
  </si>
  <si>
    <t xml:space="preserve">CR-10035</t>
  </si>
  <si>
    <t xml:space="preserve">CR-10036</t>
  </si>
  <si>
    <t xml:space="preserve">Jack Wright</t>
  </si>
  <si>
    <t xml:space="preserve">CR-10037</t>
  </si>
  <si>
    <t xml:space="preserve">Chloe Taylor</t>
  </si>
  <si>
    <t xml:space="preserve">CR-10038</t>
  </si>
  <si>
    <t xml:space="preserve">Olivia Lewis</t>
  </si>
  <si>
    <t xml:space="preserve">CR-10039</t>
  </si>
  <si>
    <t xml:space="preserve">Mason Anderson</t>
  </si>
  <si>
    <t xml:space="preserve">CR-10040</t>
  </si>
  <si>
    <t xml:space="preserve">James Wilson</t>
  </si>
  <si>
    <t xml:space="preserve">CR-10041</t>
  </si>
  <si>
    <t xml:space="preserve">Ryan Scott</t>
  </si>
  <si>
    <t xml:space="preserve">CR-10042</t>
  </si>
  <si>
    <t xml:space="preserve">James Clark</t>
  </si>
  <si>
    <t xml:space="preserve">CR-10043</t>
  </si>
  <si>
    <t xml:space="preserve">Mason Smith</t>
  </si>
  <si>
    <t xml:space="preserve">CR-10044</t>
  </si>
  <si>
    <t xml:space="preserve">Olivia Clark</t>
  </si>
  <si>
    <t xml:space="preserve">CR-10045</t>
  </si>
  <si>
    <t xml:space="preserve">Emma Johnson</t>
  </si>
  <si>
    <t xml:space="preserve">CR-10046</t>
  </si>
  <si>
    <t xml:space="preserve">Liam Thomas</t>
  </si>
  <si>
    <t xml:space="preserve">CR-10047</t>
  </si>
  <si>
    <t xml:space="preserve">Sophia Brown</t>
  </si>
  <si>
    <t xml:space="preserve">CR-10048</t>
  </si>
  <si>
    <t xml:space="preserve">Emma King</t>
  </si>
  <si>
    <t xml:space="preserve">CR-10049</t>
  </si>
  <si>
    <t xml:space="preserve">Ruby Taylor</t>
  </si>
  <si>
    <t xml:space="preserve">CR-10050</t>
  </si>
  <si>
    <t xml:space="preserve">Ruby Lewis</t>
  </si>
  <si>
    <t xml:space="preserve">CR-10051</t>
  </si>
  <si>
    <t xml:space="preserve">Sophia Johnson</t>
  </si>
  <si>
    <t xml:space="preserve">CR-10052</t>
  </si>
  <si>
    <t xml:space="preserve">CR-10053</t>
  </si>
  <si>
    <t xml:space="preserve">Nora King</t>
  </si>
  <si>
    <t xml:space="preserve">CR-10054</t>
  </si>
  <si>
    <t xml:space="preserve">Logan Walker</t>
  </si>
  <si>
    <t xml:space="preserve">CR-10055</t>
  </si>
  <si>
    <t xml:space="preserve">Olivia Johnson</t>
  </si>
  <si>
    <t xml:space="preserve">CR-10056</t>
  </si>
  <si>
    <t xml:space="preserve">Noah Wilson</t>
  </si>
  <si>
    <t xml:space="preserve">CR-10057</t>
  </si>
  <si>
    <t xml:space="preserve">Lily Anderson</t>
  </si>
  <si>
    <t xml:space="preserve">CR-10058</t>
  </si>
  <si>
    <t xml:space="preserve">Ethan Davis</t>
  </si>
  <si>
    <t xml:space="preserve">CR-10059</t>
  </si>
  <si>
    <t xml:space="preserve">Olivia Davis</t>
  </si>
  <si>
    <t xml:space="preserve">CR-10060</t>
  </si>
  <si>
    <t xml:space="preserve">Ruby Walker</t>
  </si>
  <si>
    <t xml:space="preserve">CR-10061</t>
  </si>
  <si>
    <t xml:space="preserve">Sophia Taylor</t>
  </si>
  <si>
    <t xml:space="preserve">CR-10062</t>
  </si>
  <si>
    <t xml:space="preserve">Grace Taylor</t>
  </si>
  <si>
    <t xml:space="preserve">CR-10063</t>
  </si>
  <si>
    <t xml:space="preserve">Jack Walker</t>
  </si>
  <si>
    <t xml:space="preserve">CR-10064</t>
  </si>
  <si>
    <t xml:space="preserve">CR-10065</t>
  </si>
  <si>
    <t xml:space="preserve">Liam Scott</t>
  </si>
  <si>
    <t xml:space="preserve">CR-10066</t>
  </si>
  <si>
    <t xml:space="preserve">CR-10067</t>
  </si>
  <si>
    <t xml:space="preserve">Ella Martin</t>
  </si>
  <si>
    <t xml:space="preserve">CR-10068</t>
  </si>
  <si>
    <t xml:space="preserve">Olivia Taylor</t>
  </si>
  <si>
    <t xml:space="preserve">CR-10069</t>
  </si>
  <si>
    <t xml:space="preserve">Dylan Young</t>
  </si>
  <si>
    <t xml:space="preserve">CR-10070</t>
  </si>
  <si>
    <t xml:space="preserve">CR-10071</t>
  </si>
  <si>
    <t xml:space="preserve">Noah Young</t>
  </si>
  <si>
    <t xml:space="preserve">CR-10072</t>
  </si>
  <si>
    <t xml:space="preserve">Ethan Wilson</t>
  </si>
  <si>
    <t xml:space="preserve">CR-10073</t>
  </si>
  <si>
    <t xml:space="preserve">CR-10074</t>
  </si>
  <si>
    <t xml:space="preserve">Mia Scott</t>
  </si>
  <si>
    <t xml:space="preserve">CR-10075</t>
  </si>
  <si>
    <t xml:space="preserve">Owen Walker</t>
  </si>
  <si>
    <t xml:space="preserve">CR-10076</t>
  </si>
  <si>
    <t xml:space="preserve">Nora Hall</t>
  </si>
  <si>
    <t xml:space="preserve">CR-10077</t>
  </si>
  <si>
    <t xml:space="preserve">Ava Hall</t>
  </si>
  <si>
    <t xml:space="preserve">CR-10078</t>
  </si>
  <si>
    <t xml:space="preserve">Jack Hall</t>
  </si>
  <si>
    <t xml:space="preserve">CR-10079</t>
  </si>
  <si>
    <t xml:space="preserve">Chloe Smith</t>
  </si>
  <si>
    <t xml:space="preserve">CR-10080</t>
  </si>
  <si>
    <t xml:space="preserve">Logan Thomas</t>
  </si>
  <si>
    <t xml:space="preserve">CR-10081</t>
  </si>
  <si>
    <t xml:space="preserve">Ava Wright</t>
  </si>
  <si>
    <t xml:space="preserve">CR-10082</t>
  </si>
  <si>
    <t xml:space="preserve">Logan Brown</t>
  </si>
  <si>
    <t xml:space="preserve">CR-10083</t>
  </si>
  <si>
    <t xml:space="preserve">Noah Lewis</t>
  </si>
  <si>
    <t xml:space="preserve">CR-10084</t>
  </si>
  <si>
    <t xml:space="preserve">Grace Smith</t>
  </si>
  <si>
    <t xml:space="preserve">CR-10085</t>
  </si>
  <si>
    <t xml:space="preserve">Sophia Davis</t>
  </si>
  <si>
    <t xml:space="preserve">CR-10086</t>
  </si>
  <si>
    <t xml:space="preserve">Lucas Davis</t>
  </si>
  <si>
    <t xml:space="preserve">CR-10087</t>
  </si>
  <si>
    <t xml:space="preserve">CR-10088</t>
  </si>
  <si>
    <t xml:space="preserve">Owen Johnson</t>
  </si>
  <si>
    <t xml:space="preserve">CR-10089</t>
  </si>
  <si>
    <t xml:space="preserve">Owen Smith</t>
  </si>
  <si>
    <t xml:space="preserve">CR-10090</t>
  </si>
  <si>
    <t xml:space="preserve">CR-10091</t>
  </si>
  <si>
    <t xml:space="preserve">CR-10092</t>
  </si>
  <si>
    <t xml:space="preserve">CR-10093</t>
  </si>
  <si>
    <t xml:space="preserve">Olivia Anderson</t>
  </si>
  <si>
    <t xml:space="preserve">CR-10094</t>
  </si>
  <si>
    <t xml:space="preserve">CR-10095</t>
  </si>
  <si>
    <t xml:space="preserve">Ella Johnson</t>
  </si>
  <si>
    <t xml:space="preserve">CR-10096</t>
  </si>
  <si>
    <t xml:space="preserve">Ella Anderson</t>
  </si>
  <si>
    <t xml:space="preserve">CR-10097</t>
  </si>
  <si>
    <t xml:space="preserve">Liam King</t>
  </si>
  <si>
    <t xml:space="preserve">CR-10098</t>
  </si>
  <si>
    <t xml:space="preserve">Caleb Brown</t>
  </si>
  <si>
    <t xml:space="preserve">CR-10099</t>
  </si>
  <si>
    <t xml:space="preserve">Mason Davis</t>
  </si>
  <si>
    <t xml:space="preserve">CR-10100</t>
  </si>
  <si>
    <t xml:space="preserve">CR-10101</t>
  </si>
  <si>
    <t xml:space="preserve">Aiden Martin</t>
  </si>
  <si>
    <t xml:space="preserve">CR-10102</t>
  </si>
  <si>
    <t xml:space="preserve">Lucas Johnson</t>
  </si>
  <si>
    <t xml:space="preserve">CR-10103</t>
  </si>
  <si>
    <t xml:space="preserve">Caleb Thomas</t>
  </si>
  <si>
    <t xml:space="preserve">CR-10104</t>
  </si>
  <si>
    <t xml:space="preserve">Nora Scott</t>
  </si>
  <si>
    <t xml:space="preserve">CR-10105</t>
  </si>
  <si>
    <t xml:space="preserve">Nora Martin</t>
  </si>
  <si>
    <t xml:space="preserve">CR-10106</t>
  </si>
  <si>
    <t xml:space="preserve">Lucas Scott</t>
  </si>
  <si>
    <t xml:space="preserve">CR-10107</t>
  </si>
  <si>
    <t xml:space="preserve">Logan Clark</t>
  </si>
  <si>
    <t xml:space="preserve">CR-10108</t>
  </si>
  <si>
    <t xml:space="preserve">Owen Davis</t>
  </si>
  <si>
    <t xml:space="preserve">CR-10109</t>
  </si>
  <si>
    <t xml:space="preserve">Olivia Martin</t>
  </si>
  <si>
    <t xml:space="preserve">CR-10110</t>
  </si>
  <si>
    <t xml:space="preserve">Mason Green</t>
  </si>
  <si>
    <t xml:space="preserve">CR-10111</t>
  </si>
  <si>
    <t xml:space="preserve">Aiden Johnson</t>
  </si>
  <si>
    <t xml:space="preserve">CR-10112</t>
  </si>
  <si>
    <t xml:space="preserve">James Hall</t>
  </si>
  <si>
    <t xml:space="preserve">CR-10113</t>
  </si>
  <si>
    <t xml:space="preserve">CR-10114</t>
  </si>
  <si>
    <t xml:space="preserve">CR-10115</t>
  </si>
  <si>
    <t xml:space="preserve">Ryan Martin</t>
  </si>
  <si>
    <t xml:space="preserve">CR-10116</t>
  </si>
  <si>
    <t xml:space="preserve">CR-10117</t>
  </si>
  <si>
    <t xml:space="preserve">CR-10118</t>
  </si>
  <si>
    <t xml:space="preserve">CR-10119</t>
  </si>
  <si>
    <t xml:space="preserve">Lily Miller</t>
  </si>
  <si>
    <t xml:space="preserve">CR-10120</t>
  </si>
  <si>
    <t xml:space="preserve">Noah Davis</t>
  </si>
  <si>
    <t xml:space="preserve">CR-10121</t>
  </si>
  <si>
    <t xml:space="preserve">Sophia Martin</t>
  </si>
  <si>
    <t xml:space="preserve">CR-10122</t>
  </si>
  <si>
    <t xml:space="preserve">Mia Lewis</t>
  </si>
  <si>
    <t xml:space="preserve">CR-10123</t>
  </si>
  <si>
    <t xml:space="preserve">Harper Anderson</t>
  </si>
  <si>
    <t xml:space="preserve">CR-10124</t>
  </si>
  <si>
    <t xml:space="preserve">Lucas Anderson</t>
  </si>
  <si>
    <t xml:space="preserve">CR-10125</t>
  </si>
  <si>
    <t xml:space="preserve">Ryan King</t>
  </si>
  <si>
    <t xml:space="preserve">CR-10126</t>
  </si>
  <si>
    <t xml:space="preserve">Aiden Thomas</t>
  </si>
  <si>
    <t xml:space="preserve">CR-10127</t>
  </si>
  <si>
    <t xml:space="preserve">CR-10128</t>
  </si>
  <si>
    <t xml:space="preserve">Lily Green</t>
  </si>
  <si>
    <t xml:space="preserve">CR-10129</t>
  </si>
  <si>
    <t xml:space="preserve">Ava Clark</t>
  </si>
  <si>
    <t xml:space="preserve">CR-10130</t>
  </si>
  <si>
    <t xml:space="preserve">Logan Martin</t>
  </si>
  <si>
    <t xml:space="preserve">CR-10131</t>
  </si>
  <si>
    <t xml:space="preserve">Harper Thomas</t>
  </si>
  <si>
    <t xml:space="preserve">CR-10132</t>
  </si>
  <si>
    <t xml:space="preserve">Ryan Taylor</t>
  </si>
  <si>
    <t xml:space="preserve">CR-10133</t>
  </si>
  <si>
    <t xml:space="preserve">Ava Martin</t>
  </si>
  <si>
    <t xml:space="preserve">CR-10134</t>
  </si>
  <si>
    <t xml:space="preserve">James Thomas</t>
  </si>
  <si>
    <t xml:space="preserve">CR-10135</t>
  </si>
  <si>
    <t xml:space="preserve">Chloe Young</t>
  </si>
  <si>
    <t xml:space="preserve">CR-10136</t>
  </si>
  <si>
    <t xml:space="preserve">James Scott</t>
  </si>
  <si>
    <t xml:space="preserve">CR-10137</t>
  </si>
  <si>
    <t xml:space="preserve">CR-10138</t>
  </si>
  <si>
    <t xml:space="preserve">Mason Wilson</t>
  </si>
  <si>
    <t xml:space="preserve">CR-10139</t>
  </si>
  <si>
    <t xml:space="preserve">Jack Wilson</t>
  </si>
  <si>
    <t xml:space="preserve">CR-10140</t>
  </si>
  <si>
    <t xml:space="preserve">CR-10141</t>
  </si>
  <si>
    <t xml:space="preserve">CR-10142</t>
  </si>
  <si>
    <t xml:space="preserve">Ryan Young</t>
  </si>
  <si>
    <t xml:space="preserve">CR-10143</t>
  </si>
  <si>
    <t xml:space="preserve">CR-10144</t>
  </si>
  <si>
    <t xml:space="preserve">Chloe Anderson</t>
  </si>
  <si>
    <t xml:space="preserve">CR-10145</t>
  </si>
  <si>
    <t xml:space="preserve">CR-10146</t>
  </si>
  <si>
    <t xml:space="preserve">Caleb Miller</t>
  </si>
  <si>
    <t xml:space="preserve">CR-10147</t>
  </si>
  <si>
    <t xml:space="preserve">Ella Miller</t>
  </si>
  <si>
    <t xml:space="preserve">CR-10148</t>
  </si>
  <si>
    <t xml:space="preserve">Lucas Smith</t>
  </si>
  <si>
    <t xml:space="preserve">CR-10149</t>
  </si>
  <si>
    <t xml:space="preserve">Aiden King</t>
  </si>
  <si>
    <t xml:space="preserve">CR-10150</t>
  </si>
  <si>
    <t xml:space="preserve">CR-10151</t>
  </si>
  <si>
    <t xml:space="preserve">Nora Moore</t>
  </si>
  <si>
    <t xml:space="preserve">CR-10152</t>
  </si>
  <si>
    <t xml:space="preserve">Ryan Thomas</t>
  </si>
  <si>
    <t xml:space="preserve">CR-10153</t>
  </si>
  <si>
    <t xml:space="preserve">James Taylor</t>
  </si>
  <si>
    <t xml:space="preserve">CR-10154</t>
  </si>
  <si>
    <t xml:space="preserve">Jack Brown</t>
  </si>
  <si>
    <t xml:space="preserve">CR-10155</t>
  </si>
  <si>
    <t xml:space="preserve">Dylan Moore</t>
  </si>
  <si>
    <t xml:space="preserve">CR-10156</t>
  </si>
  <si>
    <t xml:space="preserve">Logan Davis</t>
  </si>
  <si>
    <t xml:space="preserve">CR-10157</t>
  </si>
  <si>
    <t xml:space="preserve">Owen Hall</t>
  </si>
  <si>
    <t xml:space="preserve">CR-10158</t>
  </si>
  <si>
    <t xml:space="preserve">Liam Wilson</t>
  </si>
  <si>
    <t xml:space="preserve">CR-10159</t>
  </si>
  <si>
    <t xml:space="preserve">Liam Davis</t>
  </si>
  <si>
    <t xml:space="preserve">CR-10160</t>
  </si>
  <si>
    <t xml:space="preserve">CR-10161</t>
  </si>
  <si>
    <t xml:space="preserve">CR-10162</t>
  </si>
  <si>
    <t xml:space="preserve">CR-10163</t>
  </si>
  <si>
    <t xml:space="preserve">Noah Moore</t>
  </si>
  <si>
    <t xml:space="preserve">CR-10164</t>
  </si>
  <si>
    <t xml:space="preserve">Caleb Young</t>
  </si>
  <si>
    <t xml:space="preserve">CR-10165</t>
  </si>
  <si>
    <t xml:space="preserve">Harper Martin</t>
  </si>
  <si>
    <t xml:space="preserve">CR-10166</t>
  </si>
  <si>
    <t xml:space="preserve">James Smith</t>
  </si>
  <si>
    <t xml:space="preserve">CR-10167</t>
  </si>
  <si>
    <t xml:space="preserve">Ruby Davis</t>
  </si>
  <si>
    <t xml:space="preserve">CR-10168</t>
  </si>
  <si>
    <t xml:space="preserve">Lucas Clark</t>
  </si>
  <si>
    <t xml:space="preserve">CR-10169</t>
  </si>
  <si>
    <t xml:space="preserve">Dylan Martin</t>
  </si>
  <si>
    <t xml:space="preserve">CR-10170</t>
  </si>
  <si>
    <t xml:space="preserve">Chloe Scott</t>
  </si>
  <si>
    <t xml:space="preserve">CR-10171</t>
  </si>
  <si>
    <t xml:space="preserve">Noah Green</t>
  </si>
  <si>
    <t xml:space="preserve">CR-10172</t>
  </si>
  <si>
    <t xml:space="preserve">Noah Thomas</t>
  </si>
  <si>
    <t xml:space="preserve">CR-10173</t>
  </si>
  <si>
    <t xml:space="preserve">Caleb Scott</t>
  </si>
  <si>
    <t xml:space="preserve">CR-10174</t>
  </si>
  <si>
    <t xml:space="preserve">Emma Davis</t>
  </si>
  <si>
    <t xml:space="preserve">CR-10175</t>
  </si>
  <si>
    <t xml:space="preserve">CR-10176</t>
  </si>
  <si>
    <t xml:space="preserve">Ethan Miller</t>
  </si>
  <si>
    <t xml:space="preserve">CR-10177</t>
  </si>
  <si>
    <t xml:space="preserve">Liam Lewis</t>
  </si>
  <si>
    <t xml:space="preserve">CR-10178</t>
  </si>
  <si>
    <t xml:space="preserve">Grace Thomas</t>
  </si>
  <si>
    <t xml:space="preserve">CR-10179</t>
  </si>
  <si>
    <t xml:space="preserve">Grace Martin</t>
  </si>
  <si>
    <t xml:space="preserve">CR-10180</t>
  </si>
  <si>
    <t xml:space="preserve">CR-10181</t>
  </si>
  <si>
    <t xml:space="preserve">Aiden Green</t>
  </si>
  <si>
    <t xml:space="preserve">CR-10182</t>
  </si>
  <si>
    <t xml:space="preserve">Ella Hall</t>
  </si>
  <si>
    <t xml:space="preserve">CR-10183</t>
  </si>
  <si>
    <t xml:space="preserve">Sophia Thomas</t>
  </si>
  <si>
    <t xml:space="preserve">CR-10184</t>
  </si>
  <si>
    <t xml:space="preserve">CR-10185</t>
  </si>
  <si>
    <t xml:space="preserve">Ethan Moore</t>
  </si>
  <si>
    <t xml:space="preserve">CR-10186</t>
  </si>
  <si>
    <t xml:space="preserve">Owen Thomas</t>
  </si>
  <si>
    <t xml:space="preserve">CR-10187</t>
  </si>
  <si>
    <t xml:space="preserve">CR-10188</t>
  </si>
  <si>
    <t xml:space="preserve">CR-10189</t>
  </si>
  <si>
    <t xml:space="preserve">Logan Moore</t>
  </si>
  <si>
    <t xml:space="preserve">CR-10190</t>
  </si>
  <si>
    <t xml:space="preserve">CR-10191</t>
  </si>
  <si>
    <t xml:space="preserve">Harper Scott</t>
  </si>
  <si>
    <t xml:space="preserve">CR-10192</t>
  </si>
  <si>
    <t xml:space="preserve">CR-10193</t>
  </si>
  <si>
    <t xml:space="preserve">CR-10194</t>
  </si>
  <si>
    <t xml:space="preserve">CR-10195</t>
  </si>
  <si>
    <t xml:space="preserve">CR-10196</t>
  </si>
  <si>
    <t xml:space="preserve">Lucas Hall</t>
  </si>
  <si>
    <t xml:space="preserve">CR-10197</t>
  </si>
  <si>
    <t xml:space="preserve">CR-10198</t>
  </si>
  <si>
    <t xml:space="preserve">CR-10199</t>
  </si>
  <si>
    <t xml:space="preserve">Lily Davis</t>
  </si>
  <si>
    <t xml:space="preserve">CR-10200</t>
  </si>
  <si>
    <t xml:space="preserve">Dylan Johnson</t>
  </si>
  <si>
    <t xml:space="preserve">CR-10201</t>
  </si>
  <si>
    <t xml:space="preserve">CR-10202</t>
  </si>
  <si>
    <t xml:space="preserve">CR-10203</t>
  </si>
  <si>
    <t xml:space="preserve">Chloe King</t>
  </si>
  <si>
    <t xml:space="preserve">CR-10204</t>
  </si>
  <si>
    <t xml:space="preserve">CR-10205</t>
  </si>
  <si>
    <t xml:space="preserve">CR-10206</t>
  </si>
  <si>
    <t xml:space="preserve">CR-10207</t>
  </si>
  <si>
    <t xml:space="preserve">CR-10208</t>
  </si>
  <si>
    <t xml:space="preserve">Ruby Wilson</t>
  </si>
  <si>
    <t xml:space="preserve">CR-10209</t>
  </si>
  <si>
    <t xml:space="preserve">CR-10210</t>
  </si>
  <si>
    <t xml:space="preserve">Logan Miller</t>
  </si>
  <si>
    <t xml:space="preserve">CR-10211</t>
  </si>
  <si>
    <t xml:space="preserve">CR-10212</t>
  </si>
  <si>
    <t xml:space="preserve">Lucas Thomas</t>
  </si>
  <si>
    <t xml:space="preserve">CR-10213</t>
  </si>
  <si>
    <t xml:space="preserve">Nora Miller</t>
  </si>
  <si>
    <t xml:space="preserve">CR-10214</t>
  </si>
  <si>
    <t xml:space="preserve">Ava Green</t>
  </si>
  <si>
    <t xml:space="preserve">CR-10215</t>
  </si>
  <si>
    <t xml:space="preserve">Owen Brown</t>
  </si>
  <si>
    <t xml:space="preserve">CR-10216</t>
  </si>
  <si>
    <t xml:space="preserve">CR-10217</t>
  </si>
  <si>
    <t xml:space="preserve">Ethan Clark</t>
  </si>
  <si>
    <t xml:space="preserve">CR-10218</t>
  </si>
  <si>
    <t xml:space="preserve">CR-10219</t>
  </si>
  <si>
    <t xml:space="preserve">Liam Anderson</t>
  </si>
  <si>
    <t xml:space="preserve">CR-10220</t>
  </si>
  <si>
    <t xml:space="preserve">CR-10221</t>
  </si>
  <si>
    <t xml:space="preserve">Lucas Taylor</t>
  </si>
  <si>
    <t xml:space="preserve">CR-10222</t>
  </si>
  <si>
    <t xml:space="preserve">CR-10223</t>
  </si>
  <si>
    <t xml:space="preserve">CR-10224</t>
  </si>
  <si>
    <t xml:space="preserve">CR-10225</t>
  </si>
  <si>
    <t xml:space="preserve">Sophia Green</t>
  </si>
  <si>
    <t xml:space="preserve">CR-10226</t>
  </si>
  <si>
    <t xml:space="preserve">Aiden Walker</t>
  </si>
  <si>
    <t xml:space="preserve">CR-10227</t>
  </si>
  <si>
    <t xml:space="preserve">Liam Clark</t>
  </si>
  <si>
    <t xml:space="preserve">CR-10228</t>
  </si>
  <si>
    <t xml:space="preserve">CR-10229</t>
  </si>
  <si>
    <t xml:space="preserve">CR-10230</t>
  </si>
  <si>
    <t xml:space="preserve">CR-10231</t>
  </si>
  <si>
    <t xml:space="preserve">Owen King</t>
  </si>
  <si>
    <t xml:space="preserve">CR-10232</t>
  </si>
  <si>
    <t xml:space="preserve">Caleb Wilson</t>
  </si>
  <si>
    <t xml:space="preserve">CR-10233</t>
  </si>
  <si>
    <t xml:space="preserve">Aiden Anderson</t>
  </si>
  <si>
    <t xml:space="preserve">CR-10234</t>
  </si>
  <si>
    <t xml:space="preserve">CR-10235</t>
  </si>
  <si>
    <t xml:space="preserve">CR-10236</t>
  </si>
  <si>
    <t xml:space="preserve">CR-10237</t>
  </si>
  <si>
    <t xml:space="preserve">CR-10238</t>
  </si>
  <si>
    <t xml:space="preserve">CR-10239</t>
  </si>
  <si>
    <t xml:space="preserve">Chloe Johnson</t>
  </si>
  <si>
    <t xml:space="preserve">CR-10240</t>
  </si>
  <si>
    <t xml:space="preserve">Ruby Hall</t>
  </si>
  <si>
    <t xml:space="preserve">CR-10241</t>
  </si>
  <si>
    <t xml:space="preserve">Harper Taylor</t>
  </si>
  <si>
    <t xml:space="preserve">CR-10242</t>
  </si>
  <si>
    <t xml:space="preserve">Ethan Walker</t>
  </si>
  <si>
    <t xml:space="preserve">CR-10243</t>
  </si>
  <si>
    <t xml:space="preserve">Dylan Green</t>
  </si>
  <si>
    <t xml:space="preserve">CR-10244</t>
  </si>
  <si>
    <t xml:space="preserve">CR-10245</t>
  </si>
  <si>
    <t xml:space="preserve">CR-10246</t>
  </si>
  <si>
    <t xml:space="preserve">Lucas Miller</t>
  </si>
  <si>
    <t xml:space="preserve">CR-10247</t>
  </si>
  <si>
    <t xml:space="preserve">Liam Taylor</t>
  </si>
  <si>
    <t xml:space="preserve">CR-10248</t>
  </si>
  <si>
    <t xml:space="preserve">Emma Anderson</t>
  </si>
  <si>
    <t xml:space="preserve">CR-10249</t>
  </si>
  <si>
    <t xml:space="preserve">Logan Hall</t>
  </si>
  <si>
    <t xml:space="preserve">CR-10250</t>
  </si>
  <si>
    <t xml:space="preserve">Lily Smith</t>
  </si>
  <si>
    <t xml:space="preserve">CR-10251</t>
  </si>
  <si>
    <t xml:space="preserve">Mason Scott</t>
  </si>
  <si>
    <t xml:space="preserve">CR-10252</t>
  </si>
  <si>
    <t xml:space="preserve">Zoe Scott</t>
  </si>
  <si>
    <t xml:space="preserve">CR-10253</t>
  </si>
  <si>
    <t xml:space="preserve">Aiden Moore</t>
  </si>
  <si>
    <t xml:space="preserve">CR-10254</t>
  </si>
  <si>
    <t xml:space="preserve">Owen Scott</t>
  </si>
  <si>
    <t xml:space="preserve">CR-10255</t>
  </si>
  <si>
    <t xml:space="preserve">CR-10256</t>
  </si>
  <si>
    <t xml:space="preserve">CR-10257</t>
  </si>
  <si>
    <t xml:space="preserve">CR-10258</t>
  </si>
  <si>
    <t xml:space="preserve">CR-10259</t>
  </si>
  <si>
    <t xml:space="preserve">Olivia King</t>
  </si>
  <si>
    <t xml:space="preserve">CR-10260</t>
  </si>
  <si>
    <t xml:space="preserve">CR-10261</t>
  </si>
  <si>
    <t xml:space="preserve">Mason Hall</t>
  </si>
  <si>
    <t xml:space="preserve">CR-10262</t>
  </si>
  <si>
    <t xml:space="preserve">Caleb King</t>
  </si>
  <si>
    <t xml:space="preserve">CR-10263</t>
  </si>
  <si>
    <t xml:space="preserve">CR-10264</t>
  </si>
  <si>
    <t xml:space="preserve">Zoe Anderson</t>
  </si>
  <si>
    <t xml:space="preserve">CR-10265</t>
  </si>
  <si>
    <t xml:space="preserve">Olivia Walker</t>
  </si>
  <si>
    <t xml:space="preserve">CR-10266</t>
  </si>
  <si>
    <t xml:space="preserve">CR-10267</t>
  </si>
  <si>
    <t xml:space="preserve">CR-10268</t>
  </si>
  <si>
    <t xml:space="preserve">CR-10269</t>
  </si>
  <si>
    <t xml:space="preserve">Harper Hall</t>
  </si>
  <si>
    <t xml:space="preserve">CR-10270</t>
  </si>
  <si>
    <t xml:space="preserve">Liam Walker</t>
  </si>
  <si>
    <t xml:space="preserve">CR-10271</t>
  </si>
  <si>
    <t xml:space="preserve">Zoe Wilson</t>
  </si>
  <si>
    <t xml:space="preserve">CR-10272</t>
  </si>
  <si>
    <t xml:space="preserve">Harper Wilson</t>
  </si>
  <si>
    <t xml:space="preserve">CR-10273</t>
  </si>
  <si>
    <t xml:space="preserve">Logan King</t>
  </si>
  <si>
    <t xml:space="preserve">CR-10274</t>
  </si>
  <si>
    <t xml:space="preserve">CR-10275</t>
  </si>
  <si>
    <t xml:space="preserve">CR-10276</t>
  </si>
  <si>
    <t xml:space="preserve">Noah Martin</t>
  </si>
  <si>
    <t xml:space="preserve">CR-10277</t>
  </si>
  <si>
    <t xml:space="preserve">CR-10278</t>
  </si>
  <si>
    <t xml:space="preserve">Jack Moore</t>
  </si>
  <si>
    <t xml:space="preserve">CR-10279</t>
  </si>
  <si>
    <t xml:space="preserve">CR-10280</t>
  </si>
  <si>
    <t xml:space="preserve">Jack Miller</t>
  </si>
  <si>
    <t xml:space="preserve">CR-10281</t>
  </si>
  <si>
    <t xml:space="preserve">CR-10282</t>
  </si>
  <si>
    <t xml:space="preserve">Ruby Moore</t>
  </si>
  <si>
    <t xml:space="preserve">CR-10283</t>
  </si>
  <si>
    <t xml:space="preserve">Logan Lewis</t>
  </si>
  <si>
    <t xml:space="preserve">CR-10284</t>
  </si>
  <si>
    <t xml:space="preserve">CR-10285</t>
  </si>
  <si>
    <t xml:space="preserve">CR-10286</t>
  </si>
  <si>
    <t xml:space="preserve">Harper Johnson</t>
  </si>
  <si>
    <t xml:space="preserve">CR-10287</t>
  </si>
  <si>
    <t xml:space="preserve">Jack Smith</t>
  </si>
  <si>
    <t xml:space="preserve">CR-10288</t>
  </si>
  <si>
    <t xml:space="preserve">Mason Brown</t>
  </si>
  <si>
    <t xml:space="preserve">CR-10289</t>
  </si>
  <si>
    <t xml:space="preserve">CR-10290</t>
  </si>
  <si>
    <t xml:space="preserve">Lucas Moore</t>
  </si>
  <si>
    <t xml:space="preserve">CR-10291</t>
  </si>
  <si>
    <t xml:space="preserve">Ryan Green</t>
  </si>
  <si>
    <t xml:space="preserve">CR-10292</t>
  </si>
  <si>
    <t xml:space="preserve">CR-10293</t>
  </si>
  <si>
    <t xml:space="preserve">CR-10294</t>
  </si>
  <si>
    <t xml:space="preserve">CR-10295</t>
  </si>
  <si>
    <t xml:space="preserve">CR-10296</t>
  </si>
  <si>
    <t xml:space="preserve">CR-10297</t>
  </si>
  <si>
    <t xml:space="preserve">Lily Walker</t>
  </si>
  <si>
    <t xml:space="preserve">CR-10298</t>
  </si>
  <si>
    <t xml:space="preserve">Ruby Green</t>
  </si>
  <si>
    <t xml:space="preserve">CR-10299</t>
  </si>
  <si>
    <t xml:space="preserve">Lily Moore</t>
  </si>
  <si>
    <t xml:space="preserve">CR-10300</t>
  </si>
  <si>
    <t xml:space="preserve">Zoe Hall</t>
  </si>
  <si>
    <t xml:space="preserve">CR-10301</t>
  </si>
  <si>
    <t xml:space="preserve">Jack Martin</t>
  </si>
  <si>
    <t xml:space="preserve">CR-10302</t>
  </si>
  <si>
    <t xml:space="preserve">CR-10303</t>
  </si>
  <si>
    <t xml:space="preserve">Caleb Martin</t>
  </si>
  <si>
    <t xml:space="preserve">CR-10304</t>
  </si>
  <si>
    <t xml:space="preserve">CR-10305</t>
  </si>
  <si>
    <t xml:space="preserve">CR-10306</t>
  </si>
  <si>
    <t xml:space="preserve">CR-10307</t>
  </si>
  <si>
    <t xml:space="preserve">Ava Thomas</t>
  </si>
  <si>
    <t xml:space="preserve">CR-10308</t>
  </si>
  <si>
    <t xml:space="preserve">CR-10309</t>
  </si>
  <si>
    <t xml:space="preserve">CR-10310</t>
  </si>
  <si>
    <t xml:space="preserve">CR-10311</t>
  </si>
  <si>
    <t xml:space="preserve">CR-10312</t>
  </si>
  <si>
    <t xml:space="preserve">CR-10313</t>
  </si>
  <si>
    <t xml:space="preserve">Ryan Wright</t>
  </si>
  <si>
    <t xml:space="preserve">CR-10314</t>
  </si>
  <si>
    <t xml:space="preserve">Mason Wright</t>
  </si>
  <si>
    <t xml:space="preserve">CR-10315</t>
  </si>
  <si>
    <t xml:space="preserve">Grace Walker</t>
  </si>
  <si>
    <t xml:space="preserve">CR-10316</t>
  </si>
  <si>
    <t xml:space="preserve">CR-10317</t>
  </si>
  <si>
    <t xml:space="preserve">CR-10318</t>
  </si>
  <si>
    <t xml:space="preserve">CR-10319</t>
  </si>
  <si>
    <t xml:space="preserve">CR-10320</t>
  </si>
  <si>
    <t xml:space="preserve">Mia Wilson</t>
  </si>
  <si>
    <t xml:space="preserve">CR-10321</t>
  </si>
  <si>
    <t xml:space="preserve">Noah Miller</t>
  </si>
  <si>
    <t xml:space="preserve">CR-10322</t>
  </si>
  <si>
    <t xml:space="preserve">CR-10323</t>
  </si>
  <si>
    <t xml:space="preserve">CR-10324</t>
  </si>
  <si>
    <t xml:space="preserve">Grace Green</t>
  </si>
  <si>
    <t xml:space="preserve">CR-10325</t>
  </si>
  <si>
    <t xml:space="preserve">CR-10326</t>
  </si>
  <si>
    <t xml:space="preserve">Zoe Green</t>
  </si>
  <si>
    <t xml:space="preserve">CR-10327</t>
  </si>
  <si>
    <t xml:space="preserve">Ethan Wright</t>
  </si>
  <si>
    <t xml:space="preserve">CR-10328</t>
  </si>
  <si>
    <t xml:space="preserve">CR-10329</t>
  </si>
  <si>
    <t xml:space="preserve">CR-10330</t>
  </si>
  <si>
    <t xml:space="preserve">Dylan Thomas</t>
  </si>
  <si>
    <t xml:space="preserve">CR-10331</t>
  </si>
  <si>
    <t xml:space="preserve">CR-10332</t>
  </si>
  <si>
    <t xml:space="preserve">Grace Brown</t>
  </si>
  <si>
    <t xml:space="preserve">CR-10333</t>
  </si>
  <si>
    <t xml:space="preserve">James Young</t>
  </si>
  <si>
    <t xml:space="preserve">CR-10334</t>
  </si>
  <si>
    <t xml:space="preserve">CR-10335</t>
  </si>
  <si>
    <t xml:space="preserve">CR-10336</t>
  </si>
  <si>
    <t xml:space="preserve">Ruby Anderson</t>
  </si>
  <si>
    <t xml:space="preserve">CR-10337</t>
  </si>
  <si>
    <t xml:space="preserve">CR-10338</t>
  </si>
  <si>
    <t xml:space="preserve">CR-10339</t>
  </si>
  <si>
    <t xml:space="preserve">CR-10340</t>
  </si>
  <si>
    <t xml:space="preserve">CR-10341</t>
  </si>
  <si>
    <t xml:space="preserve">Mia Martin</t>
  </si>
  <si>
    <t xml:space="preserve">CR-10342</t>
  </si>
  <si>
    <t xml:space="preserve">CR-10343</t>
  </si>
  <si>
    <t xml:space="preserve">CR-10344</t>
  </si>
  <si>
    <t xml:space="preserve">CR-10345</t>
  </si>
  <si>
    <t xml:space="preserve">James Anderson</t>
  </si>
  <si>
    <t xml:space="preserve">CR-10346</t>
  </si>
  <si>
    <t xml:space="preserve">CR-10347</t>
  </si>
  <si>
    <t xml:space="preserve">Zoe Taylor</t>
  </si>
  <si>
    <t xml:space="preserve">CR-10348</t>
  </si>
  <si>
    <t xml:space="preserve">CR-10349</t>
  </si>
  <si>
    <t xml:space="preserve">CR-10350</t>
  </si>
  <si>
    <t xml:space="preserve">Aiden Hall</t>
  </si>
  <si>
    <t xml:space="preserve">CR-10351</t>
  </si>
  <si>
    <t xml:space="preserve">CR-10352</t>
  </si>
  <si>
    <t xml:space="preserve">CR-10353</t>
  </si>
  <si>
    <t xml:space="preserve">Caleb Wright</t>
  </si>
  <si>
    <t xml:space="preserve">CR-10354</t>
  </si>
  <si>
    <t xml:space="preserve">CR-10355</t>
  </si>
  <si>
    <t xml:space="preserve">Emma Young</t>
  </si>
  <si>
    <t xml:space="preserve">CR-10356</t>
  </si>
  <si>
    <t xml:space="preserve">Emma Brown</t>
  </si>
  <si>
    <t xml:space="preserve">CR-10357</t>
  </si>
  <si>
    <t xml:space="preserve">CR-10358</t>
  </si>
  <si>
    <t xml:space="preserve">CR-10359</t>
  </si>
  <si>
    <t xml:space="preserve">Sophia Wilson</t>
  </si>
  <si>
    <t xml:space="preserve">CR-10360</t>
  </si>
  <si>
    <t xml:space="preserve">Nora Brown</t>
  </si>
  <si>
    <t xml:space="preserve">CR-10361</t>
  </si>
  <si>
    <t xml:space="preserve">CR-10362</t>
  </si>
  <si>
    <t xml:space="preserve">CR-10363</t>
  </si>
  <si>
    <t xml:space="preserve">Grace Wilson</t>
  </si>
  <si>
    <t xml:space="preserve">CR-10364</t>
  </si>
  <si>
    <t xml:space="preserve">CR-10365</t>
  </si>
  <si>
    <t xml:space="preserve">Zoe Davis</t>
  </si>
  <si>
    <t xml:space="preserve">CR-10366</t>
  </si>
  <si>
    <t xml:space="preserve">CR-10367</t>
  </si>
  <si>
    <t xml:space="preserve">CR-10368</t>
  </si>
  <si>
    <t xml:space="preserve">CR-10369</t>
  </si>
  <si>
    <t xml:space="preserve">Aiden Wright</t>
  </si>
  <si>
    <t xml:space="preserve">CR-10370</t>
  </si>
  <si>
    <t xml:space="preserve">CR-10371</t>
  </si>
  <si>
    <t xml:space="preserve">CR-10372</t>
  </si>
  <si>
    <t xml:space="preserve">CR-10373</t>
  </si>
  <si>
    <t xml:space="preserve">Lily Thomas</t>
  </si>
  <si>
    <t xml:space="preserve">CR-10374</t>
  </si>
  <si>
    <t xml:space="preserve">Zoe Martin</t>
  </si>
  <si>
    <t xml:space="preserve">CR-10375</t>
  </si>
  <si>
    <t xml:space="preserve">CR-10376</t>
  </si>
  <si>
    <t xml:space="preserve">CR-10377</t>
  </si>
  <si>
    <t xml:space="preserve">Ethan Lewis</t>
  </si>
  <si>
    <t xml:space="preserve">CR-10378</t>
  </si>
  <si>
    <t xml:space="preserve">CR-10379</t>
  </si>
  <si>
    <t xml:space="preserve">CR-10380</t>
  </si>
  <si>
    <t xml:space="preserve">CR-10381</t>
  </si>
  <si>
    <t xml:space="preserve">Ryan Smith</t>
  </si>
  <si>
    <t xml:space="preserve">CR-10382</t>
  </si>
  <si>
    <t xml:space="preserve">Ryan Walker</t>
  </si>
  <si>
    <t xml:space="preserve">CR-10383</t>
  </si>
  <si>
    <t xml:space="preserve">CR-10384</t>
  </si>
  <si>
    <t xml:space="preserve">CR-10385</t>
  </si>
  <si>
    <t xml:space="preserve">Lily Wilson</t>
  </si>
  <si>
    <t xml:space="preserve">CR-10386</t>
  </si>
  <si>
    <t xml:space="preserve">CR-10387</t>
  </si>
  <si>
    <t xml:space="preserve">CR-10388</t>
  </si>
  <si>
    <t xml:space="preserve">CR-10389</t>
  </si>
  <si>
    <t xml:space="preserve">CR-10390</t>
  </si>
  <si>
    <t xml:space="preserve">CR-10391</t>
  </si>
  <si>
    <t xml:space="preserve">CR-10392</t>
  </si>
  <si>
    <t xml:space="preserve">CR-10393</t>
  </si>
  <si>
    <t xml:space="preserve">CR-10394</t>
  </si>
  <si>
    <t xml:space="preserve">Mason Johnson</t>
  </si>
  <si>
    <t xml:space="preserve">CR-10395</t>
  </si>
  <si>
    <t xml:space="preserve">CR-10396</t>
  </si>
  <si>
    <t xml:space="preserve">Mason Young</t>
  </si>
  <si>
    <t xml:space="preserve">CR-10397</t>
  </si>
  <si>
    <t xml:space="preserve">CR-10398</t>
  </si>
  <si>
    <t xml:space="preserve">CR-10399</t>
  </si>
  <si>
    <t xml:space="preserve">Emma Thomas</t>
  </si>
  <si>
    <t xml:space="preserve">CR-10400</t>
  </si>
  <si>
    <t xml:space="preserve">Logan Scott</t>
  </si>
  <si>
    <t xml:space="preserve">CR-10401</t>
  </si>
  <si>
    <t xml:space="preserve">CR-10402</t>
  </si>
  <si>
    <t xml:space="preserve">CR-10403</t>
  </si>
  <si>
    <t xml:space="preserve">Lucas Green</t>
  </si>
  <si>
    <t xml:space="preserve">CR-10404</t>
  </si>
  <si>
    <t xml:space="preserve">CR-10405</t>
  </si>
  <si>
    <t xml:space="preserve">Chloe Wright</t>
  </si>
  <si>
    <t xml:space="preserve">CR-10406</t>
  </si>
  <si>
    <t xml:space="preserve">CR-10407</t>
  </si>
  <si>
    <t xml:space="preserve">CR-10408</t>
  </si>
  <si>
    <t xml:space="preserve">CR-10409</t>
  </si>
  <si>
    <t xml:space="preserve">CR-10410</t>
  </si>
  <si>
    <t xml:space="preserve">Dylan Miller</t>
  </si>
  <si>
    <t xml:space="preserve">CR-10411</t>
  </si>
  <si>
    <t xml:space="preserve">CR-10412</t>
  </si>
  <si>
    <t xml:space="preserve">CR-10413</t>
  </si>
  <si>
    <t xml:space="preserve">CR-10414</t>
  </si>
  <si>
    <t xml:space="preserve">CR-10415</t>
  </si>
  <si>
    <t xml:space="preserve">CR-10416</t>
  </si>
  <si>
    <t xml:space="preserve">CR-10417</t>
  </si>
  <si>
    <t xml:space="preserve">CR-10418</t>
  </si>
  <si>
    <t xml:space="preserve">Jack Scott</t>
  </si>
  <si>
    <t xml:space="preserve">CR-10419</t>
  </si>
  <si>
    <t xml:space="preserve">CR-10420</t>
  </si>
  <si>
    <t xml:space="preserve">Chloe Walker</t>
  </si>
  <si>
    <t xml:space="preserve">CR-10421</t>
  </si>
  <si>
    <t xml:space="preserve">Nora Smith</t>
  </si>
  <si>
    <t xml:space="preserve">CR-10422</t>
  </si>
  <si>
    <t xml:space="preserve">Sophia Young</t>
  </si>
  <si>
    <t xml:space="preserve">CR-10423</t>
  </si>
  <si>
    <t xml:space="preserve">Grace Scott</t>
  </si>
  <si>
    <t xml:space="preserve">CR-10424</t>
  </si>
  <si>
    <t xml:space="preserve">CR-10425</t>
  </si>
  <si>
    <t xml:space="preserve">CR-10426</t>
  </si>
  <si>
    <t xml:space="preserve">Chloe Hall</t>
  </si>
  <si>
    <t xml:space="preserve">CR-10427</t>
  </si>
  <si>
    <t xml:space="preserve">Harper Green</t>
  </si>
  <si>
    <t xml:space="preserve">CR-10428</t>
  </si>
  <si>
    <t xml:space="preserve">CR-10429</t>
  </si>
  <si>
    <t xml:space="preserve">Caleb Smith</t>
  </si>
  <si>
    <t xml:space="preserve">CR-10430</t>
  </si>
  <si>
    <t xml:space="preserve">CR-10431</t>
  </si>
  <si>
    <t xml:space="preserve">CR-10432</t>
  </si>
  <si>
    <t xml:space="preserve">Caleb Clark</t>
  </si>
  <si>
    <t xml:space="preserve">CR-10433</t>
  </si>
  <si>
    <t xml:space="preserve">CR-10434</t>
  </si>
  <si>
    <t xml:space="preserve">CR-10435</t>
  </si>
  <si>
    <t xml:space="preserve">CR-10436</t>
  </si>
  <si>
    <t xml:space="preserve">Logan Wilson</t>
  </si>
  <si>
    <t xml:space="preserve">CR-10437</t>
  </si>
  <si>
    <t xml:space="preserve">CR-10438</t>
  </si>
  <si>
    <t xml:space="preserve">James Davis</t>
  </si>
  <si>
    <t xml:space="preserve">CR-10439</t>
  </si>
  <si>
    <t xml:space="preserve">CR-10440</t>
  </si>
  <si>
    <t xml:space="preserve">CR-10441</t>
  </si>
  <si>
    <t xml:space="preserve">CR-10442</t>
  </si>
  <si>
    <t xml:space="preserve">CR-10443</t>
  </si>
  <si>
    <t xml:space="preserve">Ruby Young</t>
  </si>
  <si>
    <t xml:space="preserve">CR-10444</t>
  </si>
  <si>
    <t xml:space="preserve">CR-10445</t>
  </si>
  <si>
    <t xml:space="preserve">CR-10446</t>
  </si>
  <si>
    <t xml:space="preserve">Logan Johnson</t>
  </si>
  <si>
    <t xml:space="preserve">CR-10447</t>
  </si>
  <si>
    <t xml:space="preserve">CR-10448</t>
  </si>
  <si>
    <t xml:space="preserve">CR-10449</t>
  </si>
  <si>
    <t xml:space="preserve">CR-10450</t>
  </si>
  <si>
    <t xml:space="preserve">CR-10451</t>
  </si>
  <si>
    <t xml:space="preserve">CR-10452</t>
  </si>
  <si>
    <t xml:space="preserve">CR-10453</t>
  </si>
  <si>
    <t xml:space="preserve">CR-10454</t>
  </si>
  <si>
    <t xml:space="preserve">CR-10455</t>
  </si>
  <si>
    <t xml:space="preserve">CR-10456</t>
  </si>
  <si>
    <t xml:space="preserve">Aiden Scott</t>
  </si>
  <si>
    <t xml:space="preserve">CR-10457</t>
  </si>
  <si>
    <t xml:space="preserve">Owen Martin</t>
  </si>
  <si>
    <t xml:space="preserve">CR-10458</t>
  </si>
  <si>
    <t xml:space="preserve">CR-10459</t>
  </si>
  <si>
    <t xml:space="preserve">CR-10460</t>
  </si>
  <si>
    <t xml:space="preserve">CR-10461</t>
  </si>
  <si>
    <t xml:space="preserve">CR-10462</t>
  </si>
  <si>
    <t xml:space="preserve">CR-10463</t>
  </si>
  <si>
    <t xml:space="preserve">CR-10464</t>
  </si>
  <si>
    <t xml:space="preserve">CR-10465</t>
  </si>
  <si>
    <t xml:space="preserve">CR-10466</t>
  </si>
  <si>
    <t xml:space="preserve">CR-10467</t>
  </si>
  <si>
    <t xml:space="preserve">CR-10468</t>
  </si>
  <si>
    <t xml:space="preserve">Liam Wright</t>
  </si>
  <si>
    <t xml:space="preserve">CR-10469</t>
  </si>
  <si>
    <t xml:space="preserve">CR-10470</t>
  </si>
  <si>
    <t xml:space="preserve">CR-10471</t>
  </si>
  <si>
    <t xml:space="preserve">CR-10472</t>
  </si>
  <si>
    <t xml:space="preserve">CR-10473</t>
  </si>
  <si>
    <t xml:space="preserve">CR-10474</t>
  </si>
  <si>
    <t xml:space="preserve">CR-10475</t>
  </si>
  <si>
    <t xml:space="preserve">CR-10476</t>
  </si>
  <si>
    <t xml:space="preserve">CR-10477</t>
  </si>
  <si>
    <t xml:space="preserve">Ava Scott</t>
  </si>
  <si>
    <t xml:space="preserve">CR-10478</t>
  </si>
  <si>
    <t xml:space="preserve">Grace Hall</t>
  </si>
  <si>
    <t xml:space="preserve">CR-10479</t>
  </si>
  <si>
    <t xml:space="preserve">CR-10480</t>
  </si>
  <si>
    <t xml:space="preserve">Emma Green</t>
  </si>
  <si>
    <t xml:space="preserve">CR-10481</t>
  </si>
  <si>
    <t xml:space="preserve">Ethan Brown</t>
  </si>
  <si>
    <t xml:space="preserve">CR-10482</t>
  </si>
  <si>
    <t xml:space="preserve">Caleb Hall</t>
  </si>
  <si>
    <t xml:space="preserve">CR-10483</t>
  </si>
  <si>
    <t xml:space="preserve">Zoe Miller</t>
  </si>
  <si>
    <t xml:space="preserve">CR-10484</t>
  </si>
  <si>
    <t xml:space="preserve">CR-10485</t>
  </si>
  <si>
    <t xml:space="preserve">CR-10486</t>
  </si>
  <si>
    <t xml:space="preserve">Caleb Anderson</t>
  </si>
  <si>
    <t xml:space="preserve">CR-10487</t>
  </si>
  <si>
    <t xml:space="preserve">CR-10488</t>
  </si>
  <si>
    <t xml:space="preserve">Olivia Miller</t>
  </si>
  <si>
    <t xml:space="preserve">CR-10489</t>
  </si>
  <si>
    <t xml:space="preserve">Ava Brown</t>
  </si>
  <si>
    <t xml:space="preserve">CR-10490</t>
  </si>
  <si>
    <t xml:space="preserve">CR-10491</t>
  </si>
  <si>
    <t xml:space="preserve">Liam Moore</t>
  </si>
  <si>
    <t xml:space="preserve">CR-10492</t>
  </si>
  <si>
    <t xml:space="preserve">Mia Wright</t>
  </si>
  <si>
    <t xml:space="preserve">CR-10493</t>
  </si>
  <si>
    <t xml:space="preserve">CR-10494</t>
  </si>
  <si>
    <t xml:space="preserve">CR-10495</t>
  </si>
  <si>
    <t xml:space="preserve">James Wright</t>
  </si>
  <si>
    <t xml:space="preserve">CR-10496</t>
  </si>
  <si>
    <t xml:space="preserve">CR-10497</t>
  </si>
  <si>
    <t xml:space="preserve">Lily Hall</t>
  </si>
  <si>
    <t xml:space="preserve">CR-10498</t>
  </si>
  <si>
    <t xml:space="preserve">Logan Green</t>
  </si>
  <si>
    <t xml:space="preserve">CR-10499</t>
  </si>
  <si>
    <t xml:space="preserve">Ethan Johnson</t>
  </si>
  <si>
    <t xml:space="preserve">CR-10500</t>
  </si>
  <si>
    <t xml:space="preserve">Nora Johnson</t>
  </si>
  <si>
    <t xml:space="preserve">CR-10501</t>
  </si>
  <si>
    <t xml:space="preserve">CR-10502</t>
  </si>
  <si>
    <t xml:space="preserve">CR-10503</t>
  </si>
  <si>
    <t xml:space="preserve">CR-10504</t>
  </si>
  <si>
    <t xml:space="preserve">CR-10505</t>
  </si>
  <si>
    <t xml:space="preserve">Jack Lewis</t>
  </si>
  <si>
    <t xml:space="preserve">CR-10506</t>
  </si>
  <si>
    <t xml:space="preserve">CR-10507</t>
  </si>
  <si>
    <t xml:space="preserve">CR-10508</t>
  </si>
  <si>
    <t xml:space="preserve">CR-10509</t>
  </si>
  <si>
    <t xml:space="preserve">CR-10510</t>
  </si>
  <si>
    <t xml:space="preserve">CR-10511</t>
  </si>
  <si>
    <t xml:space="preserve">CR-10512</t>
  </si>
  <si>
    <t xml:space="preserve">CR-10513</t>
  </si>
  <si>
    <t xml:space="preserve">Liam Johnson</t>
  </si>
  <si>
    <t xml:space="preserve">CR-10514</t>
  </si>
  <si>
    <t xml:space="preserve">CR-10515</t>
  </si>
  <si>
    <t xml:space="preserve">CR-10516</t>
  </si>
  <si>
    <t xml:space="preserve">CR-10517</t>
  </si>
  <si>
    <t xml:space="preserve">CR-10518</t>
  </si>
  <si>
    <t xml:space="preserve">Mia Johnson</t>
  </si>
  <si>
    <t xml:space="preserve">CR-10519</t>
  </si>
  <si>
    <t xml:space="preserve">CR-10520</t>
  </si>
  <si>
    <t xml:space="preserve">CR-10521</t>
  </si>
  <si>
    <t xml:space="preserve">CR-10522</t>
  </si>
  <si>
    <t xml:space="preserve">CR-10523</t>
  </si>
  <si>
    <t xml:space="preserve">CR-10524</t>
  </si>
  <si>
    <t xml:space="preserve">Mia Young</t>
  </si>
  <si>
    <t xml:space="preserve">CR-10525</t>
  </si>
  <si>
    <t xml:space="preserve">CR-10526</t>
  </si>
  <si>
    <t xml:space="preserve">Ryan Clark</t>
  </si>
  <si>
    <t xml:space="preserve">CR-10527</t>
  </si>
  <si>
    <t xml:space="preserve">CR-10528</t>
  </si>
  <si>
    <t xml:space="preserve">CR-10529</t>
  </si>
  <si>
    <t xml:space="preserve">CR-10530</t>
  </si>
  <si>
    <t xml:space="preserve">CR-10531</t>
  </si>
  <si>
    <t xml:space="preserve">CR-10532</t>
  </si>
  <si>
    <t xml:space="preserve">CR-10533</t>
  </si>
  <si>
    <t xml:space="preserve">CR-10534</t>
  </si>
  <si>
    <t xml:space="preserve">CR-10535</t>
  </si>
  <si>
    <t xml:space="preserve">Ruby Johnson</t>
  </si>
  <si>
    <t xml:space="preserve">CR-10536</t>
  </si>
  <si>
    <t xml:space="preserve">Ethan Taylor</t>
  </si>
  <si>
    <t xml:space="preserve">CR-10537</t>
  </si>
  <si>
    <t xml:space="preserve">CR-10538</t>
  </si>
  <si>
    <t xml:space="preserve">CR-10539</t>
  </si>
  <si>
    <t xml:space="preserve">James King</t>
  </si>
  <si>
    <t xml:space="preserve">CR-10540</t>
  </si>
  <si>
    <t xml:space="preserve">CR-10541</t>
  </si>
  <si>
    <t xml:space="preserve">Ethan Young</t>
  </si>
  <si>
    <t xml:space="preserve">CR-10542</t>
  </si>
  <si>
    <t xml:space="preserve">Emma Hall</t>
  </si>
  <si>
    <t xml:space="preserve">CR-10543</t>
  </si>
  <si>
    <t xml:space="preserve">CR-10544</t>
  </si>
  <si>
    <t xml:space="preserve">CR-10545</t>
  </si>
  <si>
    <t xml:space="preserve">CR-10546</t>
  </si>
  <si>
    <t xml:space="preserve">CR-10547</t>
  </si>
  <si>
    <t xml:space="preserve">Lucas King</t>
  </si>
  <si>
    <t xml:space="preserve">CR-10548</t>
  </si>
  <si>
    <t xml:space="preserve">CR-10549</t>
  </si>
  <si>
    <t xml:space="preserve">CR-10550</t>
  </si>
  <si>
    <t xml:space="preserve">Ethan Martin</t>
  </si>
  <si>
    <t xml:space="preserve">CR-10551</t>
  </si>
  <si>
    <t xml:space="preserve">CR-10552</t>
  </si>
  <si>
    <t xml:space="preserve">CR-10553</t>
  </si>
  <si>
    <t xml:space="preserve">CR-10554</t>
  </si>
  <si>
    <t xml:space="preserve">CR-10555</t>
  </si>
  <si>
    <t xml:space="preserve">Ella Green</t>
  </si>
  <si>
    <t xml:space="preserve">CR-10556</t>
  </si>
  <si>
    <t xml:space="preserve">CR-10557</t>
  </si>
  <si>
    <t xml:space="preserve">CR-10558</t>
  </si>
  <si>
    <t xml:space="preserve">CR-10559</t>
  </si>
  <si>
    <t xml:space="preserve">Lily Brown</t>
  </si>
  <si>
    <t xml:space="preserve">CR-10560</t>
  </si>
  <si>
    <t xml:space="preserve">CR-10561</t>
  </si>
  <si>
    <t xml:space="preserve">CR-10562</t>
  </si>
  <si>
    <t xml:space="preserve">CR-10563</t>
  </si>
  <si>
    <t xml:space="preserve">CR-10564</t>
  </si>
  <si>
    <t xml:space="preserve">Olivia Thomas</t>
  </si>
  <si>
    <t xml:space="preserve">CR-10565</t>
  </si>
  <si>
    <t xml:space="preserve">Liam Martin</t>
  </si>
  <si>
    <t xml:space="preserve">CR-10566</t>
  </si>
  <si>
    <t xml:space="preserve">CR-10567</t>
  </si>
  <si>
    <t xml:space="preserve">CR-10568</t>
  </si>
  <si>
    <t xml:space="preserve">CR-10569</t>
  </si>
  <si>
    <t xml:space="preserve">Ella Clark</t>
  </si>
  <si>
    <t xml:space="preserve">CR-10570</t>
  </si>
  <si>
    <t xml:space="preserve">CR-10571</t>
  </si>
  <si>
    <t xml:space="preserve">CR-10572</t>
  </si>
  <si>
    <t xml:space="preserve">CR-10573</t>
  </si>
  <si>
    <t xml:space="preserve">CR-10574</t>
  </si>
  <si>
    <t xml:space="preserve">Owen Clark</t>
  </si>
  <si>
    <t xml:space="preserve">CR-10575</t>
  </si>
  <si>
    <t xml:space="preserve">CR-10576</t>
  </si>
  <si>
    <t xml:space="preserve">Sophia Lewis</t>
  </si>
  <si>
    <t xml:space="preserve">CR-10577</t>
  </si>
  <si>
    <t xml:space="preserve">CR-10578</t>
  </si>
  <si>
    <t xml:space="preserve">CR-10579</t>
  </si>
  <si>
    <t xml:space="preserve">CR-10580</t>
  </si>
  <si>
    <t xml:space="preserve">CR-10581</t>
  </si>
  <si>
    <t xml:space="preserve">Nora Wright</t>
  </si>
  <si>
    <t xml:space="preserve">CR-10582</t>
  </si>
  <si>
    <t xml:space="preserve">CR-10583</t>
  </si>
  <si>
    <t xml:space="preserve">James Martin</t>
  </si>
  <si>
    <t xml:space="preserve">CR-10584</t>
  </si>
  <si>
    <t xml:space="preserve">CR-10585</t>
  </si>
  <si>
    <t xml:space="preserve">Sophia Anderson</t>
  </si>
  <si>
    <t xml:space="preserve">CR-10586</t>
  </si>
  <si>
    <t xml:space="preserve">Emma Miller</t>
  </si>
  <si>
    <t xml:space="preserve">CR-10587</t>
  </si>
  <si>
    <t xml:space="preserve">CR-10588</t>
  </si>
  <si>
    <t xml:space="preserve">CR-10589</t>
  </si>
  <si>
    <t xml:space="preserve">CR-10590</t>
  </si>
  <si>
    <t xml:space="preserve">Ella Scott</t>
  </si>
  <si>
    <t xml:space="preserve">CR-10591</t>
  </si>
  <si>
    <t xml:space="preserve">CR-10592</t>
  </si>
  <si>
    <t xml:space="preserve">Grace Miller</t>
  </si>
  <si>
    <t xml:space="preserve">CR-10593</t>
  </si>
  <si>
    <t xml:space="preserve">CR-10594</t>
  </si>
  <si>
    <t xml:space="preserve">Logan Taylor</t>
  </si>
  <si>
    <t xml:space="preserve">CR-10595</t>
  </si>
  <si>
    <t xml:space="preserve">Mia Miller</t>
  </si>
  <si>
    <t xml:space="preserve">CR-10596</t>
  </si>
  <si>
    <t xml:space="preserve">CR-10597</t>
  </si>
  <si>
    <t xml:space="preserve">CR-10598</t>
  </si>
  <si>
    <t xml:space="preserve">CR-10599</t>
  </si>
  <si>
    <t xml:space="preserve">Owen Wilson</t>
  </si>
  <si>
    <t xml:space="preserve">CR-10600</t>
  </si>
  <si>
    <t xml:space="preserve">CR-10601</t>
  </si>
  <si>
    <t xml:space="preserve">Harper Walker</t>
  </si>
  <si>
    <t xml:space="preserve">CR-10602</t>
  </si>
  <si>
    <t xml:space="preserve">CR-10603</t>
  </si>
  <si>
    <t xml:space="preserve">CR-10604</t>
  </si>
  <si>
    <t xml:space="preserve">CR-10605</t>
  </si>
  <si>
    <t xml:space="preserve">CR-10606</t>
  </si>
  <si>
    <t xml:space="preserve">CR-10607</t>
  </si>
  <si>
    <t xml:space="preserve">CR-10608</t>
  </si>
  <si>
    <t xml:space="preserve">CR-10609</t>
  </si>
  <si>
    <t xml:space="preserve">CR-10610</t>
  </si>
  <si>
    <t xml:space="preserve">Ryan Wilson</t>
  </si>
  <si>
    <t xml:space="preserve">CR-10611</t>
  </si>
  <si>
    <t xml:space="preserve">Olivia Smith</t>
  </si>
  <si>
    <t xml:space="preserve">CR-10612</t>
  </si>
  <si>
    <t xml:space="preserve">CR-10613</t>
  </si>
  <si>
    <t xml:space="preserve">CR-10614</t>
  </si>
  <si>
    <t xml:space="preserve">CR-10615</t>
  </si>
  <si>
    <t xml:space="preserve">CR-10616</t>
  </si>
  <si>
    <t xml:space="preserve">CR-10617</t>
  </si>
  <si>
    <t xml:space="preserve">CR-10618</t>
  </si>
  <si>
    <t xml:space="preserve">CR-10619</t>
  </si>
  <si>
    <t xml:space="preserve">CR-10620</t>
  </si>
  <si>
    <t xml:space="preserve">Mia Anderson</t>
  </si>
  <si>
    <t xml:space="preserve">CR-10621</t>
  </si>
  <si>
    <t xml:space="preserve">CR-10622</t>
  </si>
  <si>
    <t xml:space="preserve">Zoe Lewis</t>
  </si>
  <si>
    <t xml:space="preserve">CR-10623</t>
  </si>
  <si>
    <t xml:space="preserve">CR-10624</t>
  </si>
  <si>
    <t xml:space="preserve">Jack Clark</t>
  </si>
  <si>
    <t xml:space="preserve">CR-10625</t>
  </si>
  <si>
    <t xml:space="preserve">CR-10626</t>
  </si>
  <si>
    <t xml:space="preserve">CR-10627</t>
  </si>
  <si>
    <t xml:space="preserve">CR-10628</t>
  </si>
  <si>
    <t xml:space="preserve">CR-10629</t>
  </si>
  <si>
    <t xml:space="preserve">CR-10630</t>
  </si>
  <si>
    <t xml:space="preserve">CR-10631</t>
  </si>
  <si>
    <t xml:space="preserve">Zoe Wright</t>
  </si>
  <si>
    <t xml:space="preserve">CR-10632</t>
  </si>
  <si>
    <t xml:space="preserve">Lily Taylor</t>
  </si>
  <si>
    <t xml:space="preserve">CR-10633</t>
  </si>
  <si>
    <t xml:space="preserve">CR-10634</t>
  </si>
  <si>
    <t xml:space="preserve">CR-10635</t>
  </si>
  <si>
    <t xml:space="preserve">CR-10636</t>
  </si>
  <si>
    <t xml:space="preserve">CR-10637</t>
  </si>
  <si>
    <t xml:space="preserve">CR-10638</t>
  </si>
  <si>
    <t xml:space="preserve">CR-10639</t>
  </si>
  <si>
    <t xml:space="preserve">Grace Davis</t>
  </si>
  <si>
    <t xml:space="preserve">CR-10640</t>
  </si>
  <si>
    <t xml:space="preserve">Ella King</t>
  </si>
  <si>
    <t xml:space="preserve">CR-10641</t>
  </si>
  <si>
    <t xml:space="preserve">CR-10642</t>
  </si>
  <si>
    <t xml:space="preserve">CR-10643</t>
  </si>
  <si>
    <t xml:space="preserve">Caleb Davis</t>
  </si>
  <si>
    <t xml:space="preserve">CR-10644</t>
  </si>
  <si>
    <t xml:space="preserve">CR-10645</t>
  </si>
  <si>
    <t xml:space="preserve">CR-10646</t>
  </si>
  <si>
    <t xml:space="preserve">CR-10647</t>
  </si>
  <si>
    <t xml:space="preserve">CR-10648</t>
  </si>
  <si>
    <t xml:space="preserve">CR-10649</t>
  </si>
  <si>
    <t xml:space="preserve">CR-10650</t>
  </si>
  <si>
    <t xml:space="preserve">Noah Taylor</t>
  </si>
  <si>
    <t xml:space="preserve">CR-10651</t>
  </si>
  <si>
    <t xml:space="preserve">CR-10652</t>
  </si>
  <si>
    <t xml:space="preserve">Chloe Thomas</t>
  </si>
  <si>
    <t xml:space="preserve">CR-10653</t>
  </si>
  <si>
    <t xml:space="preserve">CR-10654</t>
  </si>
  <si>
    <t xml:space="preserve">CR-10655</t>
  </si>
  <si>
    <t xml:space="preserve">James Johnson</t>
  </si>
  <si>
    <t xml:space="preserve">CR-10656</t>
  </si>
  <si>
    <t xml:space="preserve">CR-10657</t>
  </si>
  <si>
    <t xml:space="preserve">CR-10658</t>
  </si>
  <si>
    <t xml:space="preserve">CR-10659</t>
  </si>
  <si>
    <t xml:space="preserve">CR-10660</t>
  </si>
  <si>
    <t xml:space="preserve">CR-10661</t>
  </si>
  <si>
    <t xml:space="preserve">CR-10662</t>
  </si>
  <si>
    <t xml:space="preserve">CR-10663</t>
  </si>
  <si>
    <t xml:space="preserve">Caleb Walker</t>
  </si>
  <si>
    <t xml:space="preserve">CR-10664</t>
  </si>
  <si>
    <t xml:space="preserve">CR-10665</t>
  </si>
  <si>
    <t xml:space="preserve">CR-10666</t>
  </si>
  <si>
    <t xml:space="preserve">CR-10667</t>
  </si>
  <si>
    <t xml:space="preserve">CR-10668</t>
  </si>
  <si>
    <t xml:space="preserve">CR-10669</t>
  </si>
  <si>
    <t xml:space="preserve">CR-10670</t>
  </si>
  <si>
    <t xml:space="preserve">Nora Wilson</t>
  </si>
  <si>
    <t xml:space="preserve">CR-10671</t>
  </si>
  <si>
    <t xml:space="preserve">CR-10672</t>
  </si>
  <si>
    <t xml:space="preserve">CR-10673</t>
  </si>
  <si>
    <t xml:space="preserve">CR-10674</t>
  </si>
  <si>
    <t xml:space="preserve">CR-10675</t>
  </si>
  <si>
    <t xml:space="preserve">CR-10676</t>
  </si>
  <si>
    <t xml:space="preserve">Aiden Clark</t>
  </si>
  <si>
    <t xml:space="preserve">CR-10677</t>
  </si>
  <si>
    <t xml:space="preserve">CR-10678</t>
  </si>
  <si>
    <t xml:space="preserve">Ethan Smith</t>
  </si>
  <si>
    <t xml:space="preserve">CR-10679</t>
  </si>
  <si>
    <t xml:space="preserve">CR-10680</t>
  </si>
  <si>
    <t xml:space="preserve">CR-10681</t>
  </si>
  <si>
    <t xml:space="preserve">Owen Wright</t>
  </si>
  <si>
    <t xml:space="preserve">CR-10682</t>
  </si>
  <si>
    <t xml:space="preserve">CR-10683</t>
  </si>
  <si>
    <t xml:space="preserve">CR-10684</t>
  </si>
  <si>
    <t xml:space="preserve">CR-10685</t>
  </si>
  <si>
    <t xml:space="preserve">CR-10686</t>
  </si>
  <si>
    <t xml:space="preserve">CR-10687</t>
  </si>
  <si>
    <t xml:space="preserve">CR-10688</t>
  </si>
  <si>
    <t xml:space="preserve">Ava Davis</t>
  </si>
  <si>
    <t xml:space="preserve">CR-10689</t>
  </si>
  <si>
    <t xml:space="preserve">CR-10690</t>
  </si>
  <si>
    <t xml:space="preserve">CR-10691</t>
  </si>
  <si>
    <t xml:space="preserve">CR-10692</t>
  </si>
  <si>
    <t xml:space="preserve">CR-10693</t>
  </si>
  <si>
    <t xml:space="preserve">CR-10694</t>
  </si>
  <si>
    <t xml:space="preserve">CR-10695</t>
  </si>
  <si>
    <t xml:space="preserve">CR-10696</t>
  </si>
  <si>
    <t xml:space="preserve">Lily Scott</t>
  </si>
  <si>
    <t xml:space="preserve">CR-10697</t>
  </si>
  <si>
    <t xml:space="preserve">CR-10698</t>
  </si>
  <si>
    <t xml:space="preserve">CR-10699</t>
  </si>
  <si>
    <t xml:space="preserve">CR-10700</t>
  </si>
  <si>
    <t xml:space="preserve">CR-10701</t>
  </si>
  <si>
    <t xml:space="preserve">Liam Young</t>
  </si>
  <si>
    <t xml:space="preserve">CR-10702</t>
  </si>
  <si>
    <t xml:space="preserve">Aiden Lewis</t>
  </si>
  <si>
    <t xml:space="preserve">CR-10703</t>
  </si>
  <si>
    <t xml:space="preserve">CR-10704</t>
  </si>
  <si>
    <t xml:space="preserve">CR-10705</t>
  </si>
  <si>
    <t xml:space="preserve">CR-10706</t>
  </si>
  <si>
    <t xml:space="preserve">Owen Taylor</t>
  </si>
  <si>
    <t xml:space="preserve">CR-10707</t>
  </si>
  <si>
    <t xml:space="preserve">CR-10708</t>
  </si>
  <si>
    <t xml:space="preserve">CR-10709</t>
  </si>
  <si>
    <t xml:space="preserve">CR-10710</t>
  </si>
  <si>
    <t xml:space="preserve">CR-10711</t>
  </si>
  <si>
    <t xml:space="preserve">CR-10712</t>
  </si>
  <si>
    <t xml:space="preserve">CR-10713</t>
  </si>
  <si>
    <t xml:space="preserve">Zoe Johnson</t>
  </si>
  <si>
    <t xml:space="preserve">CR-10714</t>
  </si>
  <si>
    <t xml:space="preserve">Emma Moore</t>
  </si>
  <si>
    <t xml:space="preserve">CR-10715</t>
  </si>
  <si>
    <t xml:space="preserve">CR-10716</t>
  </si>
  <si>
    <t xml:space="preserve">CR-10717</t>
  </si>
  <si>
    <t xml:space="preserve">CR-10718</t>
  </si>
  <si>
    <t xml:space="preserve">CR-10719</t>
  </si>
  <si>
    <t xml:space="preserve">CR-10720</t>
  </si>
  <si>
    <t xml:space="preserve">CR-10721</t>
  </si>
  <si>
    <t xml:space="preserve">CR-10722</t>
  </si>
  <si>
    <t xml:space="preserve">CR-10723</t>
  </si>
  <si>
    <t xml:space="preserve">CR-10724</t>
  </si>
  <si>
    <t xml:space="preserve">CR-10725</t>
  </si>
  <si>
    <t xml:space="preserve">CR-10726</t>
  </si>
  <si>
    <t xml:space="preserve">CR-10727</t>
  </si>
  <si>
    <t xml:space="preserve">CR-10728</t>
  </si>
  <si>
    <t xml:space="preserve">Noah Wright</t>
  </si>
  <si>
    <t xml:space="preserve">CR-10729</t>
  </si>
  <si>
    <t xml:space="preserve">CR-10730</t>
  </si>
  <si>
    <t xml:space="preserve">CR-10731</t>
  </si>
  <si>
    <t xml:space="preserve">CR-10732</t>
  </si>
  <si>
    <t xml:space="preserve">CR-10733</t>
  </si>
  <si>
    <t xml:space="preserve">Sophia Moore</t>
  </si>
  <si>
    <t xml:space="preserve">CR-10734</t>
  </si>
  <si>
    <t xml:space="preserve">CR-10735</t>
  </si>
  <si>
    <t xml:space="preserve">CR-10736</t>
  </si>
  <si>
    <t xml:space="preserve">Sophia Clark</t>
  </si>
  <si>
    <t xml:space="preserve">CR-10737</t>
  </si>
  <si>
    <t xml:space="preserve">Sophia Smith</t>
  </si>
  <si>
    <t xml:space="preserve">CR-10738</t>
  </si>
  <si>
    <t xml:space="preserve">CR-10739</t>
  </si>
  <si>
    <t xml:space="preserve">CR-10740</t>
  </si>
  <si>
    <t xml:space="preserve">Emma Clark</t>
  </si>
  <si>
    <t xml:space="preserve">CR-10741</t>
  </si>
  <si>
    <t xml:space="preserve">Zoe Young</t>
  </si>
  <si>
    <t xml:space="preserve">CR-10742</t>
  </si>
  <si>
    <t xml:space="preserve">CR-10743</t>
  </si>
  <si>
    <t xml:space="preserve">CR-10744</t>
  </si>
  <si>
    <t xml:space="preserve">CR-10745</t>
  </si>
  <si>
    <t xml:space="preserve">CR-10746</t>
  </si>
  <si>
    <t xml:space="preserve">CR-10747</t>
  </si>
  <si>
    <t xml:space="preserve">CR-10748</t>
  </si>
  <si>
    <t xml:space="preserve">CR-10749</t>
  </si>
  <si>
    <t xml:space="preserve">CR-10750</t>
  </si>
  <si>
    <t xml:space="preserve">CR-10751</t>
  </si>
  <si>
    <t xml:space="preserve">CR-10752</t>
  </si>
  <si>
    <t xml:space="preserve">CR-10753</t>
  </si>
  <si>
    <t xml:space="preserve">CR-10754</t>
  </si>
  <si>
    <t xml:space="preserve">CR-10755</t>
  </si>
  <si>
    <t xml:space="preserve">Ethan Thomas</t>
  </si>
  <si>
    <t xml:space="preserve">CR-10756</t>
  </si>
  <si>
    <t xml:space="preserve">CR-10757</t>
  </si>
  <si>
    <t xml:space="preserve">Mia Thomas</t>
  </si>
  <si>
    <t xml:space="preserve">CR-10758</t>
  </si>
  <si>
    <t xml:space="preserve">CR-10759</t>
  </si>
  <si>
    <t xml:space="preserve">CR-10760</t>
  </si>
  <si>
    <t xml:space="preserve">CR-10761</t>
  </si>
  <si>
    <t xml:space="preserve">CR-10762</t>
  </si>
  <si>
    <t xml:space="preserve">CR-10763</t>
  </si>
  <si>
    <t xml:space="preserve">CR-10764</t>
  </si>
  <si>
    <t xml:space="preserve">CR-10765</t>
  </si>
  <si>
    <t xml:space="preserve">CR-10766</t>
  </si>
  <si>
    <t xml:space="preserve">CR-10767</t>
  </si>
  <si>
    <t xml:space="preserve">CR-10768</t>
  </si>
  <si>
    <t xml:space="preserve">CR-10769</t>
  </si>
  <si>
    <t xml:space="preserve">Noah Hall</t>
  </si>
  <si>
    <t xml:space="preserve">CR-10770</t>
  </si>
  <si>
    <t xml:space="preserve">CR-10771</t>
  </si>
  <si>
    <t xml:space="preserve">CR-10772</t>
  </si>
  <si>
    <t xml:space="preserve">CR-10773</t>
  </si>
  <si>
    <t xml:space="preserve">CR-10774</t>
  </si>
  <si>
    <t xml:space="preserve">CR-10775</t>
  </si>
  <si>
    <t xml:space="preserve">Mia Smith</t>
  </si>
  <si>
    <t xml:space="preserve">CR-10776</t>
  </si>
  <si>
    <t xml:space="preserve">CR-10777</t>
  </si>
  <si>
    <t xml:space="preserve">CR-10778</t>
  </si>
  <si>
    <t xml:space="preserve">CR-10779</t>
  </si>
  <si>
    <t xml:space="preserve">CR-10780</t>
  </si>
  <si>
    <t xml:space="preserve">CR-10781</t>
  </si>
  <si>
    <t xml:space="preserve">CR-10782</t>
  </si>
  <si>
    <t xml:space="preserve">CR-10783</t>
  </si>
  <si>
    <t xml:space="preserve">CR-10784</t>
  </si>
  <si>
    <t xml:space="preserve">CR-10785</t>
  </si>
  <si>
    <t xml:space="preserve">Ella Taylor</t>
  </si>
  <si>
    <t xml:space="preserve">CR-10786</t>
  </si>
  <si>
    <t xml:space="preserve">CR-10787</t>
  </si>
  <si>
    <t xml:space="preserve">CR-10788</t>
  </si>
  <si>
    <t xml:space="preserve">CR-10789</t>
  </si>
  <si>
    <t xml:space="preserve">CR-10790</t>
  </si>
  <si>
    <t xml:space="preserve">CR-10791</t>
  </si>
  <si>
    <t xml:space="preserve">CR-10792</t>
  </si>
  <si>
    <t xml:space="preserve">CR-10793</t>
  </si>
  <si>
    <t xml:space="preserve">CR-10794</t>
  </si>
  <si>
    <t xml:space="preserve">James Lewis</t>
  </si>
  <si>
    <t xml:space="preserve">CR-10795</t>
  </si>
  <si>
    <t xml:space="preserve">Grace Young</t>
  </si>
  <si>
    <t xml:space="preserve">CR-10796</t>
  </si>
  <si>
    <t xml:space="preserve">CR-10797</t>
  </si>
  <si>
    <t xml:space="preserve">CR-10798</t>
  </si>
  <si>
    <t xml:space="preserve">CR-10799</t>
  </si>
  <si>
    <t xml:space="preserve">CR-10800</t>
  </si>
  <si>
    <t xml:space="preserve">CR-10801</t>
  </si>
  <si>
    <t xml:space="preserve">CR-10802</t>
  </si>
  <si>
    <t xml:space="preserve">CR-10803</t>
  </si>
  <si>
    <t xml:space="preserve">CR-10804</t>
  </si>
  <si>
    <t xml:space="preserve">CR-10805</t>
  </si>
  <si>
    <t xml:space="preserve">CR-10806</t>
  </si>
  <si>
    <t xml:space="preserve">CR-10807</t>
  </si>
  <si>
    <t xml:space="preserve">CR-10808</t>
  </si>
  <si>
    <t xml:space="preserve">CR-10809</t>
  </si>
  <si>
    <t xml:space="preserve">CR-10810</t>
  </si>
  <si>
    <t xml:space="preserve">Harper Wright</t>
  </si>
  <si>
    <t xml:space="preserve">CR-10811</t>
  </si>
  <si>
    <t xml:space="preserve">CR-10812</t>
  </si>
  <si>
    <t xml:space="preserve">Owen Green</t>
  </si>
  <si>
    <t xml:space="preserve">CR-10813</t>
  </si>
  <si>
    <t xml:space="preserve">CR-10814</t>
  </si>
  <si>
    <t xml:space="preserve">Dylan Scott</t>
  </si>
  <si>
    <t xml:space="preserve">CR-10815</t>
  </si>
  <si>
    <t xml:space="preserve">CR-10816</t>
  </si>
  <si>
    <t xml:space="preserve">CR-10817</t>
  </si>
  <si>
    <t xml:space="preserve">Jack Green</t>
  </si>
  <si>
    <t xml:space="preserve">CR-10818</t>
  </si>
  <si>
    <t xml:space="preserve">CR-10819</t>
  </si>
  <si>
    <t xml:space="preserve">CR-10820</t>
  </si>
  <si>
    <t xml:space="preserve">CR-10821</t>
  </si>
  <si>
    <t xml:space="preserve">CR-10822</t>
  </si>
  <si>
    <t xml:space="preserve">CR-10823</t>
  </si>
  <si>
    <t xml:space="preserve">CR-10824</t>
  </si>
  <si>
    <t xml:space="preserve">CR-10825</t>
  </si>
  <si>
    <t xml:space="preserve">Ethan Hall</t>
  </si>
  <si>
    <t xml:space="preserve">CR-10826</t>
  </si>
  <si>
    <t xml:space="preserve">CR-10827</t>
  </si>
  <si>
    <t xml:space="preserve">CR-10828</t>
  </si>
  <si>
    <t xml:space="preserve">Owen Young</t>
  </si>
  <si>
    <t xml:space="preserve">CR-10829</t>
  </si>
  <si>
    <t xml:space="preserve">CR-10830</t>
  </si>
  <si>
    <t xml:space="preserve">Chloe Wilson</t>
  </si>
  <si>
    <t xml:space="preserve">CR-10831</t>
  </si>
  <si>
    <t xml:space="preserve">CR-10832</t>
  </si>
  <si>
    <t xml:space="preserve">CR-10833</t>
  </si>
  <si>
    <t xml:space="preserve">CR-10834</t>
  </si>
  <si>
    <t xml:space="preserve">CR-10835</t>
  </si>
  <si>
    <t xml:space="preserve">Zoe Moore</t>
  </si>
  <si>
    <t xml:space="preserve">CR-10836</t>
  </si>
  <si>
    <t xml:space="preserve">CR-10837</t>
  </si>
  <si>
    <t xml:space="preserve">CR-10838</t>
  </si>
  <si>
    <t xml:space="preserve">CR-10839</t>
  </si>
  <si>
    <t xml:space="preserve">CR-10840</t>
  </si>
  <si>
    <t xml:space="preserve">CR-10841</t>
  </si>
  <si>
    <t xml:space="preserve">CR-10842</t>
  </si>
  <si>
    <t xml:space="preserve">CR-10843</t>
  </si>
  <si>
    <t xml:space="preserve">Owen Moore</t>
  </si>
  <si>
    <t xml:space="preserve">CR-10844</t>
  </si>
  <si>
    <t xml:space="preserve">Ruby King</t>
  </si>
  <si>
    <t xml:space="preserve">CR-10845</t>
  </si>
  <si>
    <t xml:space="preserve">CR-10846</t>
  </si>
  <si>
    <t xml:space="preserve">CR-10847</t>
  </si>
  <si>
    <t xml:space="preserve">CR-10848</t>
  </si>
  <si>
    <t xml:space="preserve">CR-10849</t>
  </si>
  <si>
    <t xml:space="preserve">CR-10850</t>
  </si>
  <si>
    <t xml:space="preserve">CR-10851</t>
  </si>
  <si>
    <t xml:space="preserve">CR-10852</t>
  </si>
  <si>
    <t xml:space="preserve">CR-10853</t>
  </si>
  <si>
    <t xml:space="preserve">CR-10854</t>
  </si>
  <si>
    <t xml:space="preserve">CR-10855</t>
  </si>
  <si>
    <t xml:space="preserve">CR-10856</t>
  </si>
  <si>
    <t xml:space="preserve">Mason Walker</t>
  </si>
  <si>
    <t xml:space="preserve">CR-10857</t>
  </si>
  <si>
    <t xml:space="preserve">Logan Young</t>
  </si>
  <si>
    <t xml:space="preserve">CR-10858</t>
  </si>
  <si>
    <t xml:space="preserve">Nora Taylor</t>
  </si>
  <si>
    <t xml:space="preserve">CR-10859</t>
  </si>
  <si>
    <t xml:space="preserve">CR-10860</t>
  </si>
  <si>
    <t xml:space="preserve">CR-10861</t>
  </si>
  <si>
    <t xml:space="preserve">CR-10862</t>
  </si>
  <si>
    <t xml:space="preserve">CR-10863</t>
  </si>
  <si>
    <t xml:space="preserve">CR-10864</t>
  </si>
  <si>
    <t xml:space="preserve">CR-10865</t>
  </si>
  <si>
    <t xml:space="preserve">Noah Smith</t>
  </si>
  <si>
    <t xml:space="preserve">CR-10866</t>
  </si>
  <si>
    <t xml:space="preserve">Lily King</t>
  </si>
  <si>
    <t xml:space="preserve">CR-10867</t>
  </si>
  <si>
    <t xml:space="preserve">CR-10868</t>
  </si>
  <si>
    <t xml:space="preserve">Aiden Young</t>
  </si>
  <si>
    <t xml:space="preserve">CR-10869</t>
  </si>
  <si>
    <t xml:space="preserve">Caleb Green</t>
  </si>
  <si>
    <t xml:space="preserve">CR-10870</t>
  </si>
  <si>
    <t xml:space="preserve">CR-10871</t>
  </si>
  <si>
    <t xml:space="preserve">CR-10872</t>
  </si>
  <si>
    <t xml:space="preserve">Ava Anderson</t>
  </si>
  <si>
    <t xml:space="preserve">CR-10873</t>
  </si>
  <si>
    <t xml:space="preserve">CR-10874</t>
  </si>
  <si>
    <t xml:space="preserve">CR-10875</t>
  </si>
  <si>
    <t xml:space="preserve">CR-10876</t>
  </si>
  <si>
    <t xml:space="preserve">Ruby Thomas</t>
  </si>
  <si>
    <t xml:space="preserve">CR-10877</t>
  </si>
  <si>
    <t xml:space="preserve">CR-10878</t>
  </si>
  <si>
    <t xml:space="preserve">CR-10879</t>
  </si>
  <si>
    <t xml:space="preserve">CR-10880</t>
  </si>
  <si>
    <t xml:space="preserve">CR-10881</t>
  </si>
  <si>
    <t xml:space="preserve">CR-10882</t>
  </si>
  <si>
    <t xml:space="preserve">CR-10883</t>
  </si>
  <si>
    <t xml:space="preserve">Chloe Davis</t>
  </si>
  <si>
    <t xml:space="preserve">CR-10884</t>
  </si>
  <si>
    <t xml:space="preserve">CR-10885</t>
  </si>
  <si>
    <t xml:space="preserve">Liam Green</t>
  </si>
  <si>
    <t xml:space="preserve">CR-10886</t>
  </si>
  <si>
    <t xml:space="preserve">CR-10887</t>
  </si>
  <si>
    <t xml:space="preserve">CR-10888</t>
  </si>
  <si>
    <t xml:space="preserve">CR-10889</t>
  </si>
  <si>
    <t xml:space="preserve">CR-10890</t>
  </si>
  <si>
    <t xml:space="preserve">CR-10891</t>
  </si>
  <si>
    <t xml:space="preserve">CR-10892</t>
  </si>
  <si>
    <t xml:space="preserve">CR-10893</t>
  </si>
  <si>
    <t xml:space="preserve">Grace Wright</t>
  </si>
  <si>
    <t xml:space="preserve">CR-10894</t>
  </si>
  <si>
    <t xml:space="preserve">CR-10895</t>
  </si>
  <si>
    <t xml:space="preserve">CR-10896</t>
  </si>
  <si>
    <t xml:space="preserve">Jack Young</t>
  </si>
  <si>
    <t xml:space="preserve">CR-10897</t>
  </si>
  <si>
    <t xml:space="preserve">CR-10898</t>
  </si>
  <si>
    <t xml:space="preserve">CR-10899</t>
  </si>
  <si>
    <t xml:space="preserve">CR-10900</t>
  </si>
  <si>
    <t xml:space="preserve">CR-10901</t>
  </si>
  <si>
    <t xml:space="preserve">CR-10902</t>
  </si>
  <si>
    <t xml:space="preserve">CR-10903</t>
  </si>
  <si>
    <t xml:space="preserve">CR-10904</t>
  </si>
  <si>
    <t xml:space="preserve">Owen Anderson</t>
  </si>
  <si>
    <t xml:space="preserve">CR-10905</t>
  </si>
  <si>
    <t xml:space="preserve">CR-10906</t>
  </si>
  <si>
    <t xml:space="preserve">CR-10907</t>
  </si>
  <si>
    <t xml:space="preserve">CR-10908</t>
  </si>
  <si>
    <t xml:space="preserve">CR-10909</t>
  </si>
  <si>
    <t xml:space="preserve">CR-10910</t>
  </si>
  <si>
    <t xml:space="preserve">Noah Johnson</t>
  </si>
  <si>
    <t xml:space="preserve">CR-10911</t>
  </si>
  <si>
    <t xml:space="preserve">CR-10912</t>
  </si>
  <si>
    <t xml:space="preserve">CR-10913</t>
  </si>
  <si>
    <t xml:space="preserve">CR-10914</t>
  </si>
  <si>
    <t xml:space="preserve">CR-10915</t>
  </si>
  <si>
    <t xml:space="preserve">CR-10916</t>
  </si>
  <si>
    <t xml:space="preserve">CR-10917</t>
  </si>
  <si>
    <t xml:space="preserve">CR-10918</t>
  </si>
  <si>
    <t xml:space="preserve">CR-10919</t>
  </si>
  <si>
    <t xml:space="preserve">CR-10920</t>
  </si>
  <si>
    <t xml:space="preserve">CR-10921</t>
  </si>
  <si>
    <t xml:space="preserve">CR-10922</t>
  </si>
  <si>
    <t xml:space="preserve">CR-10923</t>
  </si>
  <si>
    <t xml:space="preserve">CR-10924</t>
  </si>
  <si>
    <t xml:space="preserve">CR-10925</t>
  </si>
  <si>
    <t xml:space="preserve">CR-10926</t>
  </si>
  <si>
    <t xml:space="preserve">CR-10927</t>
  </si>
  <si>
    <t xml:space="preserve">CR-10928</t>
  </si>
  <si>
    <t xml:space="preserve">CR-10929</t>
  </si>
  <si>
    <t xml:space="preserve">CR-10930</t>
  </si>
  <si>
    <t xml:space="preserve">CR-10931</t>
  </si>
  <si>
    <t xml:space="preserve">CR-10932</t>
  </si>
  <si>
    <t xml:space="preserve">CR-10933</t>
  </si>
  <si>
    <t xml:space="preserve">Owen Lewis</t>
  </si>
  <si>
    <t xml:space="preserve">CR-10934</t>
  </si>
  <si>
    <t xml:space="preserve">CR-10935</t>
  </si>
  <si>
    <t xml:space="preserve">CR-10936</t>
  </si>
  <si>
    <t xml:space="preserve">CR-10937</t>
  </si>
  <si>
    <t xml:space="preserve">Nora Young</t>
  </si>
  <si>
    <t xml:space="preserve">CR-10938</t>
  </si>
  <si>
    <t xml:space="preserve">Grace Lewis</t>
  </si>
  <si>
    <t xml:space="preserve">CR-10939</t>
  </si>
  <si>
    <t xml:space="preserve">CR-10940</t>
  </si>
  <si>
    <t xml:space="preserve">Lucas Lewis</t>
  </si>
  <si>
    <t xml:space="preserve">CR-10941</t>
  </si>
  <si>
    <t xml:space="preserve">CR-10942</t>
  </si>
  <si>
    <t xml:space="preserve">Zoe Clark</t>
  </si>
  <si>
    <t xml:space="preserve">CR-10943</t>
  </si>
  <si>
    <t xml:space="preserve">CR-10944</t>
  </si>
  <si>
    <t xml:space="preserve">Dylan Smith</t>
  </si>
  <si>
    <t xml:space="preserve">CR-10945</t>
  </si>
  <si>
    <t xml:space="preserve">CR-10946</t>
  </si>
  <si>
    <t xml:space="preserve">CR-10947</t>
  </si>
  <si>
    <t xml:space="preserve">CR-10948</t>
  </si>
  <si>
    <t xml:space="preserve">CR-10949</t>
  </si>
  <si>
    <t xml:space="preserve">CR-10950</t>
  </si>
  <si>
    <t xml:space="preserve">CR-10951</t>
  </si>
  <si>
    <t xml:space="preserve">CR-10952</t>
  </si>
  <si>
    <t xml:space="preserve">CR-10953</t>
  </si>
  <si>
    <t xml:space="preserve">CR-10954</t>
  </si>
  <si>
    <t xml:space="preserve">CR-10955</t>
  </si>
  <si>
    <t xml:space="preserve">CR-10956</t>
  </si>
  <si>
    <t xml:space="preserve">CR-10957</t>
  </si>
  <si>
    <t xml:space="preserve">CR-10958</t>
  </si>
  <si>
    <t xml:space="preserve">Olivia Moore</t>
  </si>
  <si>
    <t xml:space="preserve">CR-10959</t>
  </si>
  <si>
    <t xml:space="preserve">CR-10960</t>
  </si>
  <si>
    <t xml:space="preserve">CR-10961</t>
  </si>
  <si>
    <t xml:space="preserve">Lily Johnson</t>
  </si>
  <si>
    <t xml:space="preserve">CR-10962</t>
  </si>
  <si>
    <t xml:space="preserve">CR-10963</t>
  </si>
  <si>
    <t xml:space="preserve">CR-10964</t>
  </si>
  <si>
    <t xml:space="preserve">CR-10965</t>
  </si>
  <si>
    <t xml:space="preserve">CR-10966</t>
  </si>
  <si>
    <t xml:space="preserve">CR-10967</t>
  </si>
  <si>
    <t xml:space="preserve">CR-10968</t>
  </si>
  <si>
    <t xml:space="preserve">CR-10969</t>
  </si>
  <si>
    <t xml:space="preserve">CR-10970</t>
  </si>
  <si>
    <t xml:space="preserve">CR-10971</t>
  </si>
  <si>
    <t xml:space="preserve">CR-10972</t>
  </si>
  <si>
    <t xml:space="preserve">CR-10973</t>
  </si>
  <si>
    <t xml:space="preserve">Sophia Scott</t>
  </si>
  <si>
    <t xml:space="preserve">CR-10974</t>
  </si>
  <si>
    <t xml:space="preserve">CR-10975</t>
  </si>
  <si>
    <t xml:space="preserve">CR-10976</t>
  </si>
  <si>
    <t xml:space="preserve">CR-10977</t>
  </si>
  <si>
    <t xml:space="preserve">Dylan Wilson</t>
  </si>
  <si>
    <t xml:space="preserve">CR-10978</t>
  </si>
  <si>
    <t xml:space="preserve">Caleb Lewis</t>
  </si>
  <si>
    <t xml:space="preserve">CR-10979</t>
  </si>
  <si>
    <t xml:space="preserve">CR-10980</t>
  </si>
  <si>
    <t xml:space="preserve">CR-10981</t>
  </si>
  <si>
    <t xml:space="preserve">CR-10982</t>
  </si>
  <si>
    <t xml:space="preserve">CR-10983</t>
  </si>
  <si>
    <t xml:space="preserve">CR-10984</t>
  </si>
  <si>
    <t xml:space="preserve">Ethan Anderson</t>
  </si>
  <si>
    <t xml:space="preserve">CR-10985</t>
  </si>
  <si>
    <t xml:space="preserve">Nora Thomas</t>
  </si>
  <si>
    <t xml:space="preserve">CR-10986</t>
  </si>
  <si>
    <t xml:space="preserve">CR-10987</t>
  </si>
  <si>
    <t xml:space="preserve">Emma Smith</t>
  </si>
  <si>
    <t xml:space="preserve">CR-10988</t>
  </si>
  <si>
    <t xml:space="preserve">CR-10989</t>
  </si>
  <si>
    <t xml:space="preserve">CR-10990</t>
  </si>
  <si>
    <t xml:space="preserve">CR-10991</t>
  </si>
  <si>
    <t xml:space="preserve">CR-10992</t>
  </si>
  <si>
    <t xml:space="preserve">CR-10993</t>
  </si>
  <si>
    <t xml:space="preserve">CR-10994</t>
  </si>
  <si>
    <t xml:space="preserve">CR-10995</t>
  </si>
  <si>
    <t xml:space="preserve">CR-10996</t>
  </si>
  <si>
    <t xml:space="preserve">CR-10997</t>
  </si>
  <si>
    <t xml:space="preserve">CR-10998</t>
  </si>
  <si>
    <t xml:space="preserve">CR-10999</t>
  </si>
  <si>
    <t xml:space="preserve">CR-11000</t>
  </si>
  <si>
    <t xml:space="preserve">CR-11001</t>
  </si>
  <si>
    <t xml:space="preserve">CR-11002</t>
  </si>
  <si>
    <t xml:space="preserve">CR-11003</t>
  </si>
  <si>
    <t xml:space="preserve">Logan Anderson</t>
  </si>
  <si>
    <t xml:space="preserve">CR-11004</t>
  </si>
  <si>
    <t xml:space="preserve">CR-11005</t>
  </si>
  <si>
    <t xml:space="preserve">CR-11006</t>
  </si>
  <si>
    <t xml:space="preserve">CR-11007</t>
  </si>
  <si>
    <t xml:space="preserve">CR-11008</t>
  </si>
  <si>
    <t xml:space="preserve">CR-11009</t>
  </si>
  <si>
    <t xml:space="preserve">CR-11010</t>
  </si>
  <si>
    <t xml:space="preserve">CR-11011</t>
  </si>
  <si>
    <t xml:space="preserve">Chloe Martin</t>
  </si>
  <si>
    <t xml:space="preserve">CR-11012</t>
  </si>
  <si>
    <t xml:space="preserve">CR-11013</t>
  </si>
  <si>
    <t xml:space="preserve">Jack Thomas</t>
  </si>
  <si>
    <t xml:space="preserve">CR-11014</t>
  </si>
  <si>
    <t xml:space="preserve">CR-11015</t>
  </si>
  <si>
    <t xml:space="preserve">CR-11016</t>
  </si>
  <si>
    <t xml:space="preserve">CR-11017</t>
  </si>
  <si>
    <t xml:space="preserve">CR-11018</t>
  </si>
  <si>
    <t xml:space="preserve">CR-11019</t>
  </si>
  <si>
    <t xml:space="preserve">CR-11020</t>
  </si>
  <si>
    <t xml:space="preserve">CR-11021</t>
  </si>
  <si>
    <t xml:space="preserve">CR-11022</t>
  </si>
  <si>
    <t xml:space="preserve">Aiden Smith</t>
  </si>
  <si>
    <t xml:space="preserve">CR-11023</t>
  </si>
  <si>
    <t xml:space="preserve">CR-11024</t>
  </si>
  <si>
    <t xml:space="preserve">Grace King</t>
  </si>
  <si>
    <t xml:space="preserve">CR-11025</t>
  </si>
  <si>
    <t xml:space="preserve">Mia King</t>
  </si>
  <si>
    <t xml:space="preserve">CR-11026</t>
  </si>
  <si>
    <t xml:space="preserve">Mia Davis</t>
  </si>
  <si>
    <t xml:space="preserve">CR-11027</t>
  </si>
  <si>
    <t xml:space="preserve">CR-11028</t>
  </si>
  <si>
    <t xml:space="preserve">Dylan Taylor</t>
  </si>
  <si>
    <t xml:space="preserve">CR-11029</t>
  </si>
  <si>
    <t xml:space="preserve">CR-11030</t>
  </si>
  <si>
    <t xml:space="preserve">CR-11031</t>
  </si>
  <si>
    <t xml:space="preserve">CR-11032</t>
  </si>
  <si>
    <t xml:space="preserve">CR-11033</t>
  </si>
  <si>
    <t xml:space="preserve">CR-11034</t>
  </si>
  <si>
    <t xml:space="preserve">CR-11035</t>
  </si>
  <si>
    <t xml:space="preserve">CR-11036</t>
  </si>
  <si>
    <t xml:space="preserve">CR-11037</t>
  </si>
  <si>
    <t xml:space="preserve">CR-11038</t>
  </si>
  <si>
    <t xml:space="preserve">Nora Lewis</t>
  </si>
  <si>
    <t xml:space="preserve">CR-11039</t>
  </si>
  <si>
    <t xml:space="preserve">CR-11040</t>
  </si>
  <si>
    <t xml:space="preserve">CR-11041</t>
  </si>
  <si>
    <t xml:space="preserve">CR-11042</t>
  </si>
  <si>
    <t xml:space="preserve">CR-11043</t>
  </si>
  <si>
    <t xml:space="preserve">CR-11044</t>
  </si>
  <si>
    <t xml:space="preserve">CR-11045</t>
  </si>
  <si>
    <t xml:space="preserve">CR-11046</t>
  </si>
  <si>
    <t xml:space="preserve">CR-11047</t>
  </si>
  <si>
    <t xml:space="preserve">Nora Clark</t>
  </si>
  <si>
    <t xml:space="preserve">CR-11048</t>
  </si>
  <si>
    <t xml:space="preserve">CR-11049</t>
  </si>
  <si>
    <t xml:space="preserve">CR-11050</t>
  </si>
  <si>
    <t xml:space="preserve">Ava Young</t>
  </si>
  <si>
    <t xml:space="preserve">CR-11051</t>
  </si>
  <si>
    <t xml:space="preserve">CR-11052</t>
  </si>
  <si>
    <t xml:space="preserve">CR-11053</t>
  </si>
  <si>
    <t xml:space="preserve">CR-11054</t>
  </si>
  <si>
    <t xml:space="preserve">CR-11055</t>
  </si>
  <si>
    <t xml:space="preserve">CR-11056</t>
  </si>
  <si>
    <t xml:space="preserve">CR-11057</t>
  </si>
  <si>
    <t xml:space="preserve">CR-11058</t>
  </si>
  <si>
    <t xml:space="preserve">CR-11059</t>
  </si>
  <si>
    <t xml:space="preserve">CR-11060</t>
  </si>
  <si>
    <t xml:space="preserve">CR-11061</t>
  </si>
  <si>
    <t xml:space="preserve">CR-11062</t>
  </si>
  <si>
    <t xml:space="preserve">CR-11063</t>
  </si>
  <si>
    <t xml:space="preserve">Jack Johnson</t>
  </si>
  <si>
    <t xml:space="preserve">CR-11064</t>
  </si>
  <si>
    <t xml:space="preserve">Ava Smith</t>
  </si>
  <si>
    <t xml:space="preserve">CR-11065</t>
  </si>
  <si>
    <t xml:space="preserve">CR-11066</t>
  </si>
  <si>
    <t xml:space="preserve">CR-11067</t>
  </si>
  <si>
    <t xml:space="preserve">CR-11068</t>
  </si>
  <si>
    <t xml:space="preserve">CR-11069</t>
  </si>
  <si>
    <t xml:space="preserve">CR-11070</t>
  </si>
  <si>
    <t xml:space="preserve">CR-11071</t>
  </si>
  <si>
    <t xml:space="preserve">Ava Moore</t>
  </si>
  <si>
    <t xml:space="preserve">CR-11072</t>
  </si>
  <si>
    <t xml:space="preserve">CR-11073</t>
  </si>
  <si>
    <t xml:space="preserve">CR-11074</t>
  </si>
  <si>
    <t xml:space="preserve">CR-11075</t>
  </si>
  <si>
    <t xml:space="preserve">CR-11076</t>
  </si>
  <si>
    <t xml:space="preserve">Ella Moore</t>
  </si>
  <si>
    <t xml:space="preserve">CR-11077</t>
  </si>
  <si>
    <t xml:space="preserve">CR-11078</t>
  </si>
  <si>
    <t xml:space="preserve">CR-11079</t>
  </si>
  <si>
    <t xml:space="preserve">CR-11080</t>
  </si>
  <si>
    <t xml:space="preserve">CR-11081</t>
  </si>
  <si>
    <t xml:space="preserve">CR-11082</t>
  </si>
  <si>
    <t xml:space="preserve">CR-11083</t>
  </si>
  <si>
    <t xml:space="preserve">CR-11084</t>
  </si>
  <si>
    <t xml:space="preserve">CR-11085</t>
  </si>
  <si>
    <t xml:space="preserve">CR-11086</t>
  </si>
  <si>
    <t xml:space="preserve">CR-11087</t>
  </si>
  <si>
    <t xml:space="preserve">CR-11088</t>
  </si>
  <si>
    <t xml:space="preserve">CR-11089</t>
  </si>
  <si>
    <t xml:space="preserve">Dylan Walker</t>
  </si>
  <si>
    <t xml:space="preserve">CR-11090</t>
  </si>
  <si>
    <t xml:space="preserve">CR-11091</t>
  </si>
  <si>
    <t xml:space="preserve">CR-11092</t>
  </si>
  <si>
    <t xml:space="preserve">CR-11093</t>
  </si>
  <si>
    <t xml:space="preserve">CR-11094</t>
  </si>
  <si>
    <t xml:space="preserve">CR-11095</t>
  </si>
  <si>
    <t xml:space="preserve">CR-11096</t>
  </si>
  <si>
    <t xml:space="preserve">CR-11097</t>
  </si>
  <si>
    <t xml:space="preserve">CR-11098</t>
  </si>
  <si>
    <t xml:space="preserve">CR-11099</t>
  </si>
  <si>
    <t xml:space="preserve">CR-11100</t>
  </si>
  <si>
    <t xml:space="preserve">CR-11101</t>
  </si>
  <si>
    <t xml:space="preserve">Mia Hall</t>
  </si>
  <si>
    <t xml:space="preserve">CR-11102</t>
  </si>
  <si>
    <t xml:space="preserve">CR-11103</t>
  </si>
  <si>
    <t xml:space="preserve">CR-11104</t>
  </si>
  <si>
    <t xml:space="preserve">Ethan Scott</t>
  </si>
  <si>
    <t xml:space="preserve">CR-11105</t>
  </si>
  <si>
    <t xml:space="preserve">Mason Lewis</t>
  </si>
  <si>
    <t xml:space="preserve">CR-11106</t>
  </si>
  <si>
    <t xml:space="preserve">CR-11107</t>
  </si>
  <si>
    <t xml:space="preserve">Ella Wright</t>
  </si>
  <si>
    <t xml:space="preserve">CR-11108</t>
  </si>
  <si>
    <t xml:space="preserve">James Brown</t>
  </si>
  <si>
    <t xml:space="preserve">CR-11109</t>
  </si>
  <si>
    <t xml:space="preserve">CR-11110</t>
  </si>
  <si>
    <t xml:space="preserve">CR-11111</t>
  </si>
  <si>
    <t xml:space="preserve">CR-11112</t>
  </si>
  <si>
    <t xml:space="preserve">CR-11113</t>
  </si>
  <si>
    <t xml:space="preserve">CR-11114</t>
  </si>
  <si>
    <t xml:space="preserve">CR-11115</t>
  </si>
  <si>
    <t xml:space="preserve">CR-11116</t>
  </si>
  <si>
    <t xml:space="preserve">CR-11117</t>
  </si>
  <si>
    <t xml:space="preserve">CR-11118</t>
  </si>
  <si>
    <t xml:space="preserve">Grace Johnson</t>
  </si>
  <si>
    <t xml:space="preserve">CR-11119</t>
  </si>
  <si>
    <t xml:space="preserve">CR-11120</t>
  </si>
  <si>
    <t xml:space="preserve">CR-11121</t>
  </si>
  <si>
    <t xml:space="preserve">CR-11122</t>
  </si>
  <si>
    <t xml:space="preserve">CR-11123</t>
  </si>
  <si>
    <t xml:space="preserve">CR-11124</t>
  </si>
  <si>
    <t xml:space="preserve">CR-11125</t>
  </si>
  <si>
    <t xml:space="preserve">CR-11126</t>
  </si>
  <si>
    <t xml:space="preserve">CR-11127</t>
  </si>
  <si>
    <t xml:space="preserve">CR-11128</t>
  </si>
  <si>
    <t xml:space="preserve">CR-11129</t>
  </si>
  <si>
    <t xml:space="preserve">CR-11130</t>
  </si>
  <si>
    <t xml:space="preserve">CR-11131</t>
  </si>
  <si>
    <t xml:space="preserve">CR-11132</t>
  </si>
  <si>
    <t xml:space="preserve">CR-11133</t>
  </si>
  <si>
    <t xml:space="preserve">CR-11134</t>
  </si>
  <si>
    <t xml:space="preserve">Caleb Moore</t>
  </si>
  <si>
    <t xml:space="preserve">CR-11135</t>
  </si>
  <si>
    <t xml:space="preserve">CR-11136</t>
  </si>
  <si>
    <t xml:space="preserve">CR-11137</t>
  </si>
  <si>
    <t xml:space="preserve">CR-11138</t>
  </si>
  <si>
    <t xml:space="preserve">CR-11139</t>
  </si>
  <si>
    <t xml:space="preserve">CR-11140</t>
  </si>
  <si>
    <t xml:space="preserve">CR-11141</t>
  </si>
  <si>
    <t xml:space="preserve">CR-11142</t>
  </si>
  <si>
    <t xml:space="preserve">CR-11143</t>
  </si>
  <si>
    <t xml:space="preserve">CR-11144</t>
  </si>
  <si>
    <t xml:space="preserve">CR-11145</t>
  </si>
  <si>
    <t xml:space="preserve">CR-11146</t>
  </si>
  <si>
    <t xml:space="preserve">CR-11147</t>
  </si>
  <si>
    <t xml:space="preserve">CR-11148</t>
  </si>
  <si>
    <t xml:space="preserve">CR-11149</t>
  </si>
  <si>
    <t xml:space="preserve">CR-11150</t>
  </si>
  <si>
    <t xml:space="preserve">CR-11151</t>
  </si>
  <si>
    <t xml:space="preserve">CR-11152</t>
  </si>
  <si>
    <t xml:space="preserve">Lily Lewis</t>
  </si>
  <si>
    <t xml:space="preserve">CR-11153</t>
  </si>
  <si>
    <t xml:space="preserve">CR-11154</t>
  </si>
  <si>
    <t xml:space="preserve">CR-11155</t>
  </si>
  <si>
    <t xml:space="preserve">CR-11156</t>
  </si>
  <si>
    <t xml:space="preserve">CR-11157</t>
  </si>
  <si>
    <t xml:space="preserve">CR-11158</t>
  </si>
  <si>
    <t xml:space="preserve">CR-11159</t>
  </si>
  <si>
    <t xml:space="preserve">CR-11160</t>
  </si>
  <si>
    <t xml:space="preserve">CR-11161</t>
  </si>
  <si>
    <t xml:space="preserve">CR-11162</t>
  </si>
  <si>
    <t xml:space="preserve">CR-11163</t>
  </si>
  <si>
    <t xml:space="preserve">Ryan Davis</t>
  </si>
  <si>
    <t xml:space="preserve">CR-11164</t>
  </si>
  <si>
    <t xml:space="preserve">CR-11165</t>
  </si>
  <si>
    <t xml:space="preserve">CR-11166</t>
  </si>
  <si>
    <t xml:space="preserve">CR-11167</t>
  </si>
  <si>
    <t xml:space="preserve">CR-11168</t>
  </si>
  <si>
    <t xml:space="preserve">CR-11169</t>
  </si>
  <si>
    <t xml:space="preserve">CR-11170</t>
  </si>
  <si>
    <t xml:space="preserve">Ella Smith</t>
  </si>
  <si>
    <t xml:space="preserve">CR-11171</t>
  </si>
  <si>
    <t xml:space="preserve">CR-11172</t>
  </si>
  <si>
    <t xml:space="preserve">CR-11173</t>
  </si>
  <si>
    <t xml:space="preserve">CR-11174</t>
  </si>
  <si>
    <t xml:space="preserve">CR-11175</t>
  </si>
  <si>
    <t xml:space="preserve">Dylan Anderson</t>
  </si>
  <si>
    <t xml:space="preserve">CR-11176</t>
  </si>
  <si>
    <t xml:space="preserve">CR-11177</t>
  </si>
  <si>
    <t xml:space="preserve">CR-11178</t>
  </si>
  <si>
    <t xml:space="preserve">CR-11179</t>
  </si>
  <si>
    <t xml:space="preserve">CR-11180</t>
  </si>
  <si>
    <t xml:space="preserve">CR-11181</t>
  </si>
  <si>
    <t xml:space="preserve">CR-11182</t>
  </si>
  <si>
    <t xml:space="preserve">CR-11183</t>
  </si>
  <si>
    <t xml:space="preserve">CR-11184</t>
  </si>
  <si>
    <t xml:space="preserve">CR-11185</t>
  </si>
  <si>
    <t xml:space="preserve">CR-11186</t>
  </si>
  <si>
    <t xml:space="preserve">CR-11187</t>
  </si>
  <si>
    <t xml:space="preserve">CR-11188</t>
  </si>
  <si>
    <t xml:space="preserve">CR-11189</t>
  </si>
  <si>
    <t xml:space="preserve">CR-11190</t>
  </si>
  <si>
    <t xml:space="preserve">CR-11191</t>
  </si>
  <si>
    <t xml:space="preserve">Mason King</t>
  </si>
  <si>
    <t xml:space="preserve">CR-11192</t>
  </si>
  <si>
    <t xml:space="preserve">CR-11193</t>
  </si>
  <si>
    <t xml:space="preserve">CR-11194</t>
  </si>
  <si>
    <t xml:space="preserve">CR-11195</t>
  </si>
  <si>
    <t xml:space="preserve">CR-11196</t>
  </si>
  <si>
    <t xml:space="preserve">CR-11197</t>
  </si>
  <si>
    <t xml:space="preserve">Jack Anderson</t>
  </si>
  <si>
    <t xml:space="preserve">CR-11198</t>
  </si>
  <si>
    <t xml:space="preserve">CR-11199</t>
  </si>
  <si>
    <t xml:space="preserve">Ava Walker</t>
  </si>
  <si>
    <t xml:space="preserve">CR-11200</t>
  </si>
  <si>
    <t xml:space="preserve">CR-11201</t>
  </si>
  <si>
    <t xml:space="preserve">CR-11202</t>
  </si>
  <si>
    <t xml:space="preserve">CR-11203</t>
  </si>
  <si>
    <t xml:space="preserve">CR-11204</t>
  </si>
  <si>
    <t xml:space="preserve">CR-11205</t>
  </si>
  <si>
    <t xml:space="preserve">CR-11206</t>
  </si>
  <si>
    <t xml:space="preserve">CR-11207</t>
  </si>
  <si>
    <t xml:space="preserve">Aiden Davis</t>
  </si>
  <si>
    <t xml:space="preserve">CR-11208</t>
  </si>
  <si>
    <t xml:space="preserve">CR-11209</t>
  </si>
  <si>
    <t xml:space="preserve">Lucas Brown</t>
  </si>
  <si>
    <t xml:space="preserve">CR-11210</t>
  </si>
  <si>
    <t xml:space="preserve">CR-11211</t>
  </si>
  <si>
    <t xml:space="preserve">CR-11212</t>
  </si>
  <si>
    <t xml:space="preserve">CR-11213</t>
  </si>
  <si>
    <t xml:space="preserve">CR-11214</t>
  </si>
  <si>
    <t xml:space="preserve">CR-11215</t>
  </si>
  <si>
    <t xml:space="preserve">CR-11216</t>
  </si>
  <si>
    <t xml:space="preserve">CR-11217</t>
  </si>
  <si>
    <t xml:space="preserve">CR-11218</t>
  </si>
  <si>
    <t xml:space="preserve">CR-11219</t>
  </si>
  <si>
    <t xml:space="preserve">Olivia Wright</t>
  </si>
  <si>
    <t xml:space="preserve">CR-11220</t>
  </si>
  <si>
    <t xml:space="preserve">CR-11221</t>
  </si>
  <si>
    <t xml:space="preserve">CR-11222</t>
  </si>
  <si>
    <t xml:space="preserve">CR-11223</t>
  </si>
  <si>
    <t xml:space="preserve">CR-11224</t>
  </si>
  <si>
    <t xml:space="preserve">CR-11225</t>
  </si>
  <si>
    <t xml:space="preserve">CR-11226</t>
  </si>
  <si>
    <t xml:space="preserve">CR-11227</t>
  </si>
  <si>
    <t xml:space="preserve">CR-11228</t>
  </si>
  <si>
    <t xml:space="preserve">CR-11229</t>
  </si>
  <si>
    <t xml:space="preserve">CR-11230</t>
  </si>
  <si>
    <t xml:space="preserve">CR-11231</t>
  </si>
  <si>
    <t xml:space="preserve">CR-11232</t>
  </si>
  <si>
    <t xml:space="preserve">Mia Clark</t>
  </si>
  <si>
    <t xml:space="preserve">CR-11233</t>
  </si>
  <si>
    <t xml:space="preserve">CR-11234</t>
  </si>
  <si>
    <t xml:space="preserve">CR-11235</t>
  </si>
  <si>
    <t xml:space="preserve">CR-11236</t>
  </si>
  <si>
    <t xml:space="preserve">Lily Clark</t>
  </si>
  <si>
    <t xml:space="preserve">CR-11237</t>
  </si>
  <si>
    <t xml:space="preserve">CR-11238</t>
  </si>
  <si>
    <t xml:space="preserve">CR-11239</t>
  </si>
  <si>
    <t xml:space="preserve">CR-11240</t>
  </si>
  <si>
    <t xml:space="preserve">Ella Lewis</t>
  </si>
  <si>
    <t xml:space="preserve">CR-11241</t>
  </si>
  <si>
    <t xml:space="preserve">CR-11242</t>
  </si>
  <si>
    <t xml:space="preserve">CR-11243</t>
  </si>
  <si>
    <t xml:space="preserve">CR-11244</t>
  </si>
  <si>
    <t xml:space="preserve">CR-11245</t>
  </si>
  <si>
    <t xml:space="preserve">CR-11246</t>
  </si>
  <si>
    <t xml:space="preserve">CR-11247</t>
  </si>
  <si>
    <t xml:space="preserve">CR-11248</t>
  </si>
  <si>
    <t xml:space="preserve">Noah Clark</t>
  </si>
  <si>
    <t xml:space="preserve">CR-11249</t>
  </si>
  <si>
    <t xml:space="preserve">CR-11250</t>
  </si>
  <si>
    <t xml:space="preserve">CR-11251</t>
  </si>
  <si>
    <t xml:space="preserve">CR-11252</t>
  </si>
  <si>
    <t xml:space="preserve">CR-11253</t>
  </si>
  <si>
    <t xml:space="preserve">CR-11254</t>
  </si>
  <si>
    <t xml:space="preserve">CR-11255</t>
  </si>
  <si>
    <t xml:space="preserve">CR-11256</t>
  </si>
  <si>
    <t xml:space="preserve">CR-11257</t>
  </si>
  <si>
    <t xml:space="preserve">CR-11258</t>
  </si>
  <si>
    <t xml:space="preserve">CR-11259</t>
  </si>
  <si>
    <t xml:space="preserve">Logan Wright</t>
  </si>
  <si>
    <t xml:space="preserve">CR-11260</t>
  </si>
  <si>
    <t xml:space="preserve">CR-11261</t>
  </si>
  <si>
    <t xml:space="preserve">CR-11262</t>
  </si>
  <si>
    <t xml:space="preserve">CR-11263</t>
  </si>
  <si>
    <t xml:space="preserve">CR-11264</t>
  </si>
  <si>
    <t xml:space="preserve">CR-11265</t>
  </si>
  <si>
    <t xml:space="preserve">CR-11266</t>
  </si>
  <si>
    <t xml:space="preserve">CR-11267</t>
  </si>
  <si>
    <t xml:space="preserve">CR-11268</t>
  </si>
  <si>
    <t xml:space="preserve">CR-11269</t>
  </si>
  <si>
    <t xml:space="preserve">CR-11270</t>
  </si>
  <si>
    <t xml:space="preserve">CR-11271</t>
  </si>
  <si>
    <t xml:space="preserve">CR-11272</t>
  </si>
  <si>
    <t xml:space="preserve">CR-11273</t>
  </si>
  <si>
    <t xml:space="preserve">CR-11274</t>
  </si>
  <si>
    <t xml:space="preserve">CR-11275</t>
  </si>
  <si>
    <t xml:space="preserve">CR-11276</t>
  </si>
  <si>
    <t xml:space="preserve">CR-11277</t>
  </si>
  <si>
    <t xml:space="preserve">CR-11278</t>
  </si>
  <si>
    <t xml:space="preserve">CR-11279</t>
  </si>
  <si>
    <t xml:space="preserve">CR-11280</t>
  </si>
  <si>
    <t xml:space="preserve">CR-11281</t>
  </si>
  <si>
    <t xml:space="preserve">CR-11282</t>
  </si>
  <si>
    <t xml:space="preserve">CR-11283</t>
  </si>
  <si>
    <t xml:space="preserve">CR-11284</t>
  </si>
  <si>
    <t xml:space="preserve">CR-11285</t>
  </si>
  <si>
    <t xml:space="preserve">CR-11286</t>
  </si>
  <si>
    <t xml:space="preserve">CR-11287</t>
  </si>
  <si>
    <t xml:space="preserve">CR-11288</t>
  </si>
  <si>
    <t xml:space="preserve">CR-11289</t>
  </si>
  <si>
    <t xml:space="preserve">CR-11290</t>
  </si>
  <si>
    <t xml:space="preserve">CR-11291</t>
  </si>
  <si>
    <t xml:space="preserve">Grace Clark</t>
  </si>
  <si>
    <t xml:space="preserve">CR-11292</t>
  </si>
  <si>
    <t xml:space="preserve">CR-11293</t>
  </si>
  <si>
    <t xml:space="preserve">CR-11294</t>
  </si>
  <si>
    <t xml:space="preserve">CR-11295</t>
  </si>
  <si>
    <t xml:space="preserve">CR-11296</t>
  </si>
  <si>
    <t xml:space="preserve">CR-11297</t>
  </si>
  <si>
    <t xml:space="preserve">CR-11298</t>
  </si>
  <si>
    <t xml:space="preserve">CR-11299</t>
  </si>
  <si>
    <t xml:space="preserve">CR-11300</t>
  </si>
  <si>
    <t xml:space="preserve">CR-11301</t>
  </si>
  <si>
    <t xml:space="preserve">CR-11302</t>
  </si>
  <si>
    <t xml:space="preserve">CR-11303</t>
  </si>
  <si>
    <t xml:space="preserve">CR-11304</t>
  </si>
  <si>
    <t xml:space="preserve">CR-11305</t>
  </si>
  <si>
    <t xml:space="preserve">CR-11306</t>
  </si>
  <si>
    <t xml:space="preserve">Zoe Walker</t>
  </si>
  <si>
    <t xml:space="preserve">CR-11307</t>
  </si>
  <si>
    <t xml:space="preserve">CR-11308</t>
  </si>
  <si>
    <t xml:space="preserve">CR-11309</t>
  </si>
  <si>
    <t xml:space="preserve">CR-11310</t>
  </si>
  <si>
    <t xml:space="preserve">Sophia Wright</t>
  </si>
  <si>
    <t xml:space="preserve">CR-11311</t>
  </si>
  <si>
    <t xml:space="preserve">CR-11312</t>
  </si>
  <si>
    <t xml:space="preserve">CR-11313</t>
  </si>
  <si>
    <t xml:space="preserve">Ryan Hall</t>
  </si>
  <si>
    <t xml:space="preserve">CR-11314</t>
  </si>
  <si>
    <t xml:space="preserve">Ethan Green</t>
  </si>
  <si>
    <t xml:space="preserve">CR-11315</t>
  </si>
  <si>
    <t xml:space="preserve">CR-11316</t>
  </si>
  <si>
    <t xml:space="preserve">CR-11317</t>
  </si>
  <si>
    <t xml:space="preserve">CR-11318</t>
  </si>
  <si>
    <t xml:space="preserve">CR-11319</t>
  </si>
  <si>
    <t xml:space="preserve">Ryan Johnson</t>
  </si>
  <si>
    <t xml:space="preserve">CR-11320</t>
  </si>
  <si>
    <t xml:space="preserve">CR-11321</t>
  </si>
  <si>
    <t xml:space="preserve">CR-11322</t>
  </si>
  <si>
    <t xml:space="preserve">CR-11323</t>
  </si>
  <si>
    <t xml:space="preserve">CR-11324</t>
  </si>
  <si>
    <t xml:space="preserve">CR-11325</t>
  </si>
  <si>
    <t xml:space="preserve">CR-11326</t>
  </si>
  <si>
    <t xml:space="preserve">Mia Green</t>
  </si>
  <si>
    <t xml:space="preserve">CR-11327</t>
  </si>
  <si>
    <t xml:space="preserve">CR-11328</t>
  </si>
  <si>
    <t xml:space="preserve">Dylan Davis</t>
  </si>
  <si>
    <t xml:space="preserve">CR-11329</t>
  </si>
  <si>
    <t xml:space="preserve">CR-11330</t>
  </si>
  <si>
    <t xml:space="preserve">CR-11331</t>
  </si>
  <si>
    <t xml:space="preserve">CR-11332</t>
  </si>
  <si>
    <t xml:space="preserve">CR-11333</t>
  </si>
  <si>
    <t xml:space="preserve">Zoe Thomas</t>
  </si>
  <si>
    <t xml:space="preserve">CR-11334</t>
  </si>
  <si>
    <t xml:space="preserve">CR-11335</t>
  </si>
  <si>
    <t xml:space="preserve">CR-11336</t>
  </si>
  <si>
    <t xml:space="preserve">CR-11337</t>
  </si>
  <si>
    <t xml:space="preserve">CR-11338</t>
  </si>
  <si>
    <t xml:space="preserve">CR-11339</t>
  </si>
  <si>
    <t xml:space="preserve">Emma Martin</t>
  </si>
  <si>
    <t xml:space="preserve">CR-11340</t>
  </si>
  <si>
    <t xml:space="preserve">CR-11341</t>
  </si>
  <si>
    <t xml:space="preserve">CR-11342</t>
  </si>
  <si>
    <t xml:space="preserve">CR-11343</t>
  </si>
  <si>
    <t xml:space="preserve">Mason Thomas</t>
  </si>
  <si>
    <t xml:space="preserve">CR-11344</t>
  </si>
  <si>
    <t xml:space="preserve">CR-11345</t>
  </si>
  <si>
    <t xml:space="preserve">CR-11346</t>
  </si>
  <si>
    <t xml:space="preserve">Liam Brown</t>
  </si>
  <si>
    <t xml:space="preserve">CR-11347</t>
  </si>
  <si>
    <t xml:space="preserve">CR-11348</t>
  </si>
  <si>
    <t xml:space="preserve">CR-11349</t>
  </si>
  <si>
    <t xml:space="preserve">Lucas Walker</t>
  </si>
  <si>
    <t xml:space="preserve">CR-11350</t>
  </si>
  <si>
    <t xml:space="preserve">CR-11351</t>
  </si>
  <si>
    <t xml:space="preserve">CR-11352</t>
  </si>
  <si>
    <t xml:space="preserve">CR-11353</t>
  </si>
  <si>
    <t xml:space="preserve">CR-11354</t>
  </si>
  <si>
    <t xml:space="preserve">CR-11355</t>
  </si>
  <si>
    <t xml:space="preserve">CR-11356</t>
  </si>
  <si>
    <t xml:space="preserve">CR-11357</t>
  </si>
  <si>
    <t xml:space="preserve">CR-11358</t>
  </si>
  <si>
    <t xml:space="preserve">Zoe Brown</t>
  </si>
  <si>
    <t xml:space="preserve">CR-11359</t>
  </si>
  <si>
    <t xml:space="preserve">CR-11360</t>
  </si>
  <si>
    <t xml:space="preserve">CR-11361</t>
  </si>
  <si>
    <t xml:space="preserve">CR-11362</t>
  </si>
  <si>
    <t xml:space="preserve">CR-11363</t>
  </si>
  <si>
    <t xml:space="preserve">CR-11364</t>
  </si>
  <si>
    <t xml:space="preserve">CR-11365</t>
  </si>
  <si>
    <t xml:space="preserve">CR-11366</t>
  </si>
  <si>
    <t xml:space="preserve">CR-11367</t>
  </si>
  <si>
    <t xml:space="preserve">CR-11368</t>
  </si>
  <si>
    <t xml:space="preserve">CR-11369</t>
  </si>
  <si>
    <t xml:space="preserve">Emma Wright</t>
  </si>
  <si>
    <t xml:space="preserve">CR-11370</t>
  </si>
  <si>
    <t xml:space="preserve">CR-11371</t>
  </si>
  <si>
    <t xml:space="preserve">CR-11372</t>
  </si>
  <si>
    <t xml:space="preserve">CR-11373</t>
  </si>
  <si>
    <t xml:space="preserve">CR-11374</t>
  </si>
  <si>
    <t xml:space="preserve">CR-11375</t>
  </si>
  <si>
    <t xml:space="preserve">CR-11376</t>
  </si>
  <si>
    <t xml:space="preserve">CR-11377</t>
  </si>
  <si>
    <t xml:space="preserve">CR-11378</t>
  </si>
  <si>
    <t xml:space="preserve">CR-11379</t>
  </si>
  <si>
    <t xml:space="preserve">CR-11380</t>
  </si>
  <si>
    <t xml:space="preserve">CR-11381</t>
  </si>
  <si>
    <t xml:space="preserve">CR-11382</t>
  </si>
  <si>
    <t xml:space="preserve">CR-11383</t>
  </si>
  <si>
    <t xml:space="preserve">CR-11384</t>
  </si>
  <si>
    <t xml:space="preserve">CR-11385</t>
  </si>
  <si>
    <t xml:space="preserve">CR-11386</t>
  </si>
  <si>
    <t xml:space="preserve">CR-11387</t>
  </si>
  <si>
    <t xml:space="preserve">CR-11388</t>
  </si>
  <si>
    <t xml:space="preserve">CR-11389</t>
  </si>
  <si>
    <t xml:space="preserve">CR-11390</t>
  </si>
  <si>
    <t xml:space="preserve">CR-11391</t>
  </si>
  <si>
    <t xml:space="preserve">CR-11392</t>
  </si>
  <si>
    <t xml:space="preserve">CR-11393</t>
  </si>
  <si>
    <t xml:space="preserve">CR-11394</t>
  </si>
  <si>
    <t xml:space="preserve">CR-11395</t>
  </si>
  <si>
    <t xml:space="preserve">CR-11396</t>
  </si>
  <si>
    <t xml:space="preserve">CR-11397</t>
  </si>
  <si>
    <t xml:space="preserve">CR-11398</t>
  </si>
  <si>
    <t xml:space="preserve">CR-11399</t>
  </si>
  <si>
    <t xml:space="preserve">CR-11400</t>
  </si>
  <si>
    <t xml:space="preserve">CR-11401</t>
  </si>
  <si>
    <t xml:space="preserve">CR-11402</t>
  </si>
  <si>
    <t xml:space="preserve">CR-11403</t>
  </si>
  <si>
    <t xml:space="preserve">Aiden Wilson</t>
  </si>
  <si>
    <t xml:space="preserve">CR-11404</t>
  </si>
  <si>
    <t xml:space="preserve">CR-11405</t>
  </si>
  <si>
    <t xml:space="preserve">CR-11406</t>
  </si>
  <si>
    <t xml:space="preserve">CR-11407</t>
  </si>
  <si>
    <t xml:space="preserve">CR-11408</t>
  </si>
  <si>
    <t xml:space="preserve">CR-11409</t>
  </si>
  <si>
    <t xml:space="preserve">CR-11410</t>
  </si>
  <si>
    <t xml:space="preserve">CR-11411</t>
  </si>
  <si>
    <t xml:space="preserve">CR-11412</t>
  </si>
  <si>
    <t xml:space="preserve">Ruby Wright</t>
  </si>
  <si>
    <t xml:space="preserve">CR-11413</t>
  </si>
  <si>
    <t xml:space="preserve">CR-11414</t>
  </si>
  <si>
    <t xml:space="preserve">CR-11415</t>
  </si>
  <si>
    <t xml:space="preserve">CR-11416</t>
  </si>
  <si>
    <t xml:space="preserve">CR-11417</t>
  </si>
  <si>
    <t xml:space="preserve">CR-11418</t>
  </si>
  <si>
    <t xml:space="preserve">Ryan Lewis</t>
  </si>
  <si>
    <t xml:space="preserve">CR-11419</t>
  </si>
  <si>
    <t xml:space="preserve">CR-11420</t>
  </si>
  <si>
    <t xml:space="preserve">CR-11421</t>
  </si>
  <si>
    <t xml:space="preserve">Mia Brown</t>
  </si>
  <si>
    <t xml:space="preserve">CR-11422</t>
  </si>
  <si>
    <t xml:space="preserve">CR-11423</t>
  </si>
  <si>
    <t xml:space="preserve">CR-11424</t>
  </si>
  <si>
    <t xml:space="preserve">CR-11425</t>
  </si>
  <si>
    <t xml:space="preserve">CR-11426</t>
  </si>
  <si>
    <t xml:space="preserve">CR-11427</t>
  </si>
  <si>
    <t xml:space="preserve">CR-11428</t>
  </si>
  <si>
    <t xml:space="preserve">CR-11429</t>
  </si>
  <si>
    <t xml:space="preserve">CR-11430</t>
  </si>
  <si>
    <t xml:space="preserve">CR-11431</t>
  </si>
  <si>
    <t xml:space="preserve">CR-11432</t>
  </si>
  <si>
    <t xml:space="preserve">CR-11433</t>
  </si>
  <si>
    <t xml:space="preserve">CR-11434</t>
  </si>
  <si>
    <t xml:space="preserve">CR-11435</t>
  </si>
  <si>
    <t xml:space="preserve">CR-11436</t>
  </si>
  <si>
    <t xml:space="preserve">CR-11437</t>
  </si>
  <si>
    <t xml:space="preserve">CR-11438</t>
  </si>
  <si>
    <t xml:space="preserve">CR-11439</t>
  </si>
  <si>
    <t xml:space="preserve">CR-11440</t>
  </si>
  <si>
    <t xml:space="preserve">CR-11441</t>
  </si>
  <si>
    <t xml:space="preserve">CR-11442</t>
  </si>
  <si>
    <t xml:space="preserve">CR-11443</t>
  </si>
  <si>
    <t xml:space="preserve">CR-11444</t>
  </si>
  <si>
    <t xml:space="preserve">CR-11445</t>
  </si>
  <si>
    <t xml:space="preserve">CR-11446</t>
  </si>
  <si>
    <t xml:space="preserve">CR-11447</t>
  </si>
  <si>
    <t xml:space="preserve">CR-11448</t>
  </si>
  <si>
    <t xml:space="preserve">CR-11449</t>
  </si>
  <si>
    <t xml:space="preserve">CR-11450</t>
  </si>
  <si>
    <t xml:space="preserve">CR-11451</t>
  </si>
  <si>
    <t xml:space="preserve">CR-11452</t>
  </si>
  <si>
    <t xml:space="preserve">CR-11453</t>
  </si>
  <si>
    <t xml:space="preserve">CR-11454</t>
  </si>
  <si>
    <t xml:space="preserve">CR-11455</t>
  </si>
  <si>
    <t xml:space="preserve">CR-11456</t>
  </si>
  <si>
    <t xml:space="preserve">CR-11457</t>
  </si>
  <si>
    <t xml:space="preserve">Aiden Brown</t>
  </si>
  <si>
    <t xml:space="preserve">CR-11458</t>
  </si>
  <si>
    <t xml:space="preserve">CR-11459</t>
  </si>
  <si>
    <t xml:space="preserve">James Green</t>
  </si>
  <si>
    <t xml:space="preserve">CR-11460</t>
  </si>
  <si>
    <t xml:space="preserve">CR-11461</t>
  </si>
  <si>
    <t xml:space="preserve">CR-11462</t>
  </si>
  <si>
    <t xml:space="preserve">CR-11463</t>
  </si>
  <si>
    <t xml:space="preserve">CR-11464</t>
  </si>
  <si>
    <t xml:space="preserve">Olivia Green</t>
  </si>
  <si>
    <t xml:space="preserve">CR-11465</t>
  </si>
  <si>
    <t xml:space="preserve">CR-11466</t>
  </si>
  <si>
    <t xml:space="preserve">CR-11467</t>
  </si>
  <si>
    <t xml:space="preserve">CR-11468</t>
  </si>
  <si>
    <t xml:space="preserve">CR-11469</t>
  </si>
  <si>
    <t xml:space="preserve">CR-11470</t>
  </si>
  <si>
    <t xml:space="preserve">CR-11471</t>
  </si>
  <si>
    <t xml:space="preserve">CR-11472</t>
  </si>
  <si>
    <t xml:space="preserve">CR-11473</t>
  </si>
  <si>
    <t xml:space="preserve">CR-11474</t>
  </si>
  <si>
    <t xml:space="preserve">Jack King</t>
  </si>
  <si>
    <t xml:space="preserve">CR-11475</t>
  </si>
  <si>
    <t xml:space="preserve">CR-11476</t>
  </si>
  <si>
    <t xml:space="preserve">CR-11477</t>
  </si>
  <si>
    <t xml:space="preserve">CR-11478</t>
  </si>
  <si>
    <t xml:space="preserve">CR-11479</t>
  </si>
  <si>
    <t xml:space="preserve">Olivia Young</t>
  </si>
  <si>
    <t xml:space="preserve">CR-11480</t>
  </si>
  <si>
    <t xml:space="preserve">CR-11481</t>
  </si>
  <si>
    <t xml:space="preserve">CR-11482</t>
  </si>
  <si>
    <t xml:space="preserve">CR-11483</t>
  </si>
  <si>
    <t xml:space="preserve">CR-11484</t>
  </si>
  <si>
    <t xml:space="preserve">CR-11485</t>
  </si>
  <si>
    <t xml:space="preserve">CR-11486</t>
  </si>
  <si>
    <t xml:space="preserve">CR-11487</t>
  </si>
  <si>
    <t xml:space="preserve">CR-11488</t>
  </si>
  <si>
    <t xml:space="preserve">CR-11489</t>
  </si>
  <si>
    <t xml:space="preserve">CR-11490</t>
  </si>
  <si>
    <t xml:space="preserve">CR-11491</t>
  </si>
  <si>
    <t xml:space="preserve">CR-11492</t>
  </si>
  <si>
    <t xml:space="preserve">CR-11493</t>
  </si>
  <si>
    <t xml:space="preserve">CR-11494</t>
  </si>
  <si>
    <t xml:space="preserve">CR-11495</t>
  </si>
  <si>
    <t xml:space="preserve">CR-11496</t>
  </si>
  <si>
    <t xml:space="preserve">CR-11497</t>
  </si>
  <si>
    <t xml:space="preserve">CR-11498</t>
  </si>
  <si>
    <t xml:space="preserve">CR-11499</t>
  </si>
  <si>
    <t xml:space="preserve">CR-11500</t>
  </si>
  <si>
    <t xml:space="preserve">CR-11501</t>
  </si>
  <si>
    <t xml:space="preserve">CR-11502</t>
  </si>
  <si>
    <t xml:space="preserve">CR-11503</t>
  </si>
  <si>
    <t xml:space="preserve">CR-11504</t>
  </si>
  <si>
    <t xml:space="preserve">CR-11505</t>
  </si>
  <si>
    <t xml:space="preserve">CR-11506</t>
  </si>
  <si>
    <t xml:space="preserve">CR-11507</t>
  </si>
  <si>
    <t xml:space="preserve">CR-11508</t>
  </si>
  <si>
    <t xml:space="preserve">CR-11509</t>
  </si>
  <si>
    <t xml:space="preserve">CR-11510</t>
  </si>
  <si>
    <t xml:space="preserve">CR-11511</t>
  </si>
  <si>
    <t xml:space="preserve">CR-11512</t>
  </si>
  <si>
    <t xml:space="preserve">CR-11513</t>
  </si>
  <si>
    <t xml:space="preserve">CR-11514</t>
  </si>
  <si>
    <t xml:space="preserve">CR-11515</t>
  </si>
  <si>
    <t xml:space="preserve">Ella Davis</t>
  </si>
  <si>
    <t xml:space="preserve">CR-11516</t>
  </si>
  <si>
    <t xml:space="preserve">CR-11517</t>
  </si>
  <si>
    <t xml:space="preserve">CR-11518</t>
  </si>
  <si>
    <t xml:space="preserve">CR-11519</t>
  </si>
  <si>
    <t xml:space="preserve">CR-11520</t>
  </si>
  <si>
    <t xml:space="preserve">CR-11521</t>
  </si>
  <si>
    <t xml:space="preserve">CR-11522</t>
  </si>
  <si>
    <t xml:space="preserve">CR-11523</t>
  </si>
  <si>
    <t xml:space="preserve">CR-11524</t>
  </si>
  <si>
    <t xml:space="preserve">Emma Lewis</t>
  </si>
  <si>
    <t xml:space="preserve">CR-11525</t>
  </si>
  <si>
    <t xml:space="preserve">CR-11526</t>
  </si>
  <si>
    <t xml:space="preserve">CR-11527</t>
  </si>
  <si>
    <t xml:space="preserve">CR-11528</t>
  </si>
  <si>
    <t xml:space="preserve">CR-11529</t>
  </si>
  <si>
    <t xml:space="preserve">CR-11530</t>
  </si>
  <si>
    <t xml:space="preserve">CR-11531</t>
  </si>
  <si>
    <t xml:space="preserve">CR-11532</t>
  </si>
  <si>
    <t xml:space="preserve">CR-11533</t>
  </si>
  <si>
    <t xml:space="preserve">CR-11534</t>
  </si>
  <si>
    <t xml:space="preserve">CR-11535</t>
  </si>
  <si>
    <t xml:space="preserve">CR-11536</t>
  </si>
  <si>
    <t xml:space="preserve">CR-11537</t>
  </si>
  <si>
    <t xml:space="preserve">CR-11538</t>
  </si>
  <si>
    <t xml:space="preserve">CR-11539</t>
  </si>
  <si>
    <t xml:space="preserve">CR-11540</t>
  </si>
  <si>
    <t xml:space="preserve">CR-11541</t>
  </si>
  <si>
    <t xml:space="preserve">CR-11542</t>
  </si>
  <si>
    <t xml:space="preserve">CR-11543</t>
  </si>
  <si>
    <t xml:space="preserve">CR-11544</t>
  </si>
  <si>
    <t xml:space="preserve">CR-11545</t>
  </si>
  <si>
    <t xml:space="preserve">CR-11546</t>
  </si>
  <si>
    <t xml:space="preserve">CR-11547</t>
  </si>
  <si>
    <t xml:space="preserve">CR-11548</t>
  </si>
  <si>
    <t xml:space="preserve">CR-11549</t>
  </si>
  <si>
    <t xml:space="preserve">CR-11550</t>
  </si>
  <si>
    <t xml:space="preserve">CR-11551</t>
  </si>
  <si>
    <t xml:space="preserve">CR-11552</t>
  </si>
  <si>
    <t xml:space="preserve">CR-11553</t>
  </si>
  <si>
    <t xml:space="preserve">CR-11554</t>
  </si>
  <si>
    <t xml:space="preserve">CR-11555</t>
  </si>
  <si>
    <t xml:space="preserve">CR-11556</t>
  </si>
  <si>
    <t xml:space="preserve">Dylan Hall</t>
  </si>
  <si>
    <t xml:space="preserve">CR-11557</t>
  </si>
  <si>
    <t xml:space="preserve">CR-11558</t>
  </si>
  <si>
    <t xml:space="preserve">Ruby Martin</t>
  </si>
  <si>
    <t xml:space="preserve">CR-11559</t>
  </si>
  <si>
    <t xml:space="preserve">CR-11560</t>
  </si>
  <si>
    <t xml:space="preserve">Nora Davis</t>
  </si>
  <si>
    <t xml:space="preserve">CR-11561</t>
  </si>
  <si>
    <t xml:space="preserve">CR-11562</t>
  </si>
  <si>
    <t xml:space="preserve">CR-11563</t>
  </si>
  <si>
    <t xml:space="preserve">CR-11564</t>
  </si>
  <si>
    <t xml:space="preserve">CR-11565</t>
  </si>
  <si>
    <t xml:space="preserve">CR-11566</t>
  </si>
  <si>
    <t xml:space="preserve">CR-11567</t>
  </si>
  <si>
    <t xml:space="preserve">CR-11568</t>
  </si>
  <si>
    <t xml:space="preserve">Harper Miller</t>
  </si>
  <si>
    <t xml:space="preserve">CR-11569</t>
  </si>
  <si>
    <t xml:space="preserve">CR-11570</t>
  </si>
  <si>
    <t xml:space="preserve">CR-11571</t>
  </si>
  <si>
    <t xml:space="preserve">Harper Clark</t>
  </si>
  <si>
    <t xml:space="preserve">CR-11572</t>
  </si>
  <si>
    <t xml:space="preserve">CR-11573</t>
  </si>
  <si>
    <t xml:space="preserve">CR-11574</t>
  </si>
  <si>
    <t xml:space="preserve">CR-11575</t>
  </si>
  <si>
    <t xml:space="preserve">CR-11576</t>
  </si>
  <si>
    <t xml:space="preserve">CR-11577</t>
  </si>
  <si>
    <t xml:space="preserve">CR-11578</t>
  </si>
  <si>
    <t xml:space="preserve">CR-11579</t>
  </si>
  <si>
    <t xml:space="preserve">CR-11580</t>
  </si>
  <si>
    <t xml:space="preserve">CR-11581</t>
  </si>
  <si>
    <t xml:space="preserve">CR-11582</t>
  </si>
  <si>
    <t xml:space="preserve">CR-11583</t>
  </si>
  <si>
    <t xml:space="preserve">CR-11584</t>
  </si>
  <si>
    <t xml:space="preserve">CR-11585</t>
  </si>
  <si>
    <t xml:space="preserve">CR-11586</t>
  </si>
  <si>
    <t xml:space="preserve">CR-11587</t>
  </si>
  <si>
    <t xml:space="preserve">CR-11588</t>
  </si>
  <si>
    <t xml:space="preserve">CR-11589</t>
  </si>
  <si>
    <t xml:space="preserve">CR-11590</t>
  </si>
  <si>
    <t xml:space="preserve">CR-11591</t>
  </si>
  <si>
    <t xml:space="preserve">CR-11592</t>
  </si>
  <si>
    <t xml:space="preserve">CR-11593</t>
  </si>
  <si>
    <t xml:space="preserve">CR-11594</t>
  </si>
  <si>
    <t xml:space="preserve">CR-11595</t>
  </si>
  <si>
    <t xml:space="preserve">CR-11596</t>
  </si>
  <si>
    <t xml:space="preserve">CR-11597</t>
  </si>
  <si>
    <t xml:space="preserve">CR-11598</t>
  </si>
  <si>
    <t xml:space="preserve">CR-11599</t>
  </si>
  <si>
    <t xml:space="preserve">CR-11600</t>
  </si>
  <si>
    <t xml:space="preserve">CR-11601</t>
  </si>
  <si>
    <t xml:space="preserve">CR-11602</t>
  </si>
  <si>
    <t xml:space="preserve">CR-11603</t>
  </si>
  <si>
    <t xml:space="preserve">CR-11604</t>
  </si>
  <si>
    <t xml:space="preserve">CR-11605</t>
  </si>
  <si>
    <t xml:space="preserve">CR-11606</t>
  </si>
  <si>
    <t xml:space="preserve">CR-11607</t>
  </si>
  <si>
    <t xml:space="preserve">CR-11608</t>
  </si>
  <si>
    <t xml:space="preserve">CR-11609</t>
  </si>
  <si>
    <t xml:space="preserve">Ruby Brown</t>
  </si>
  <si>
    <t xml:space="preserve">CR-11610</t>
  </si>
  <si>
    <t xml:space="preserve">CR-11611</t>
  </si>
  <si>
    <t xml:space="preserve">CR-11612</t>
  </si>
  <si>
    <t xml:space="preserve">CR-11613</t>
  </si>
  <si>
    <t xml:space="preserve">CR-11614</t>
  </si>
  <si>
    <t xml:space="preserve">Aiden Miller</t>
  </si>
  <si>
    <t xml:space="preserve">CR-11615</t>
  </si>
  <si>
    <t xml:space="preserve">CR-11616</t>
  </si>
  <si>
    <t xml:space="preserve">CR-11617</t>
  </si>
  <si>
    <t xml:space="preserve">CR-11618</t>
  </si>
  <si>
    <t xml:space="preserve">CR-11619</t>
  </si>
  <si>
    <t xml:space="preserve">CR-11620</t>
  </si>
  <si>
    <t xml:space="preserve">CR-11621</t>
  </si>
  <si>
    <t xml:space="preserve">CR-11622</t>
  </si>
  <si>
    <t xml:space="preserve">CR-11623</t>
  </si>
  <si>
    <t xml:space="preserve">CR-11624</t>
  </si>
  <si>
    <t xml:space="preserve">CR-11625</t>
  </si>
  <si>
    <t xml:space="preserve">CR-11626</t>
  </si>
  <si>
    <t xml:space="preserve">CR-11627</t>
  </si>
  <si>
    <t xml:space="preserve">CR-11628</t>
  </si>
  <si>
    <t xml:space="preserve">CR-11629</t>
  </si>
  <si>
    <t xml:space="preserve">Chloe Miller</t>
  </si>
  <si>
    <t xml:space="preserve">CR-11630</t>
  </si>
  <si>
    <t xml:space="preserve">CR-11631</t>
  </si>
  <si>
    <t xml:space="preserve">CR-11632</t>
  </si>
  <si>
    <t xml:space="preserve">CR-11633</t>
  </si>
  <si>
    <t xml:space="preserve">CR-11634</t>
  </si>
  <si>
    <t xml:space="preserve">CR-11635</t>
  </si>
  <si>
    <t xml:space="preserve">CR-11636</t>
  </si>
  <si>
    <t xml:space="preserve">CR-11637</t>
  </si>
  <si>
    <t xml:space="preserve">CR-11638</t>
  </si>
  <si>
    <t xml:space="preserve">CR-11639</t>
  </si>
  <si>
    <t xml:space="preserve">CR-11640</t>
  </si>
  <si>
    <t xml:space="preserve">CR-11641</t>
  </si>
  <si>
    <t xml:space="preserve">CR-11642</t>
  </si>
  <si>
    <t xml:space="preserve">Emma Walker</t>
  </si>
  <si>
    <t xml:space="preserve">CR-11643</t>
  </si>
  <si>
    <t xml:space="preserve">CR-11644</t>
  </si>
  <si>
    <t xml:space="preserve">CR-11645</t>
  </si>
  <si>
    <t xml:space="preserve">CR-11646</t>
  </si>
  <si>
    <t xml:space="preserve">Emma Scott</t>
  </si>
  <si>
    <t xml:space="preserve">CR-11647</t>
  </si>
  <si>
    <t xml:space="preserve">CR-11648</t>
  </si>
  <si>
    <t xml:space="preserve">CR-11649</t>
  </si>
  <si>
    <t xml:space="preserve">CR-11650</t>
  </si>
  <si>
    <t xml:space="preserve">CR-11651</t>
  </si>
  <si>
    <t xml:space="preserve">CR-11652</t>
  </si>
  <si>
    <t xml:space="preserve">CR-11653</t>
  </si>
  <si>
    <t xml:space="preserve">Sophia Miller</t>
  </si>
  <si>
    <t xml:space="preserve">CR-11654</t>
  </si>
  <si>
    <t xml:space="preserve">Chloe Lewis</t>
  </si>
  <si>
    <t xml:space="preserve">CR-11655</t>
  </si>
  <si>
    <t xml:space="preserve">CR-11656</t>
  </si>
  <si>
    <t xml:space="preserve">CR-11657</t>
  </si>
  <si>
    <t xml:space="preserve">CR-11658</t>
  </si>
  <si>
    <t xml:space="preserve">CR-11659</t>
  </si>
  <si>
    <t xml:space="preserve">CR-11660</t>
  </si>
  <si>
    <t xml:space="preserve">CR-11661</t>
  </si>
  <si>
    <t xml:space="preserve">CR-11662</t>
  </si>
  <si>
    <t xml:space="preserve">CR-11663</t>
  </si>
  <si>
    <t xml:space="preserve">CR-11664</t>
  </si>
  <si>
    <t xml:space="preserve">CR-11665</t>
  </si>
  <si>
    <t xml:space="preserve">CR-11666</t>
  </si>
  <si>
    <t xml:space="preserve">CR-11667</t>
  </si>
  <si>
    <t xml:space="preserve">CR-11668</t>
  </si>
  <si>
    <t xml:space="preserve">CR-11669</t>
  </si>
  <si>
    <t xml:space="preserve">CR-11670</t>
  </si>
  <si>
    <t xml:space="preserve">CR-11671</t>
  </si>
  <si>
    <t xml:space="preserve">CR-11672</t>
  </si>
  <si>
    <t xml:space="preserve">CR-11673</t>
  </si>
  <si>
    <t xml:space="preserve">CR-11674</t>
  </si>
  <si>
    <t xml:space="preserve">CR-11675</t>
  </si>
  <si>
    <t xml:space="preserve">CR-11676</t>
  </si>
  <si>
    <t xml:space="preserve">CR-11677</t>
  </si>
  <si>
    <t xml:space="preserve">CR-11678</t>
  </si>
  <si>
    <t xml:space="preserve">CR-11679</t>
  </si>
  <si>
    <t xml:space="preserve">CR-11680</t>
  </si>
  <si>
    <t xml:space="preserve">CR-11681</t>
  </si>
  <si>
    <t xml:space="preserve">Zoe Smith</t>
  </si>
  <si>
    <t xml:space="preserve">CR-11682</t>
  </si>
  <si>
    <t xml:space="preserve">CR-11683</t>
  </si>
  <si>
    <t xml:space="preserve">CR-11684</t>
  </si>
  <si>
    <t xml:space="preserve">CR-11685</t>
  </si>
  <si>
    <t xml:space="preserve">CR-11686</t>
  </si>
  <si>
    <t xml:space="preserve">CR-11687</t>
  </si>
  <si>
    <t xml:space="preserve">Noah Anderson</t>
  </si>
  <si>
    <t xml:space="preserve">CR-11688</t>
  </si>
  <si>
    <t xml:space="preserve">CR-11689</t>
  </si>
  <si>
    <t xml:space="preserve">CR-11690</t>
  </si>
  <si>
    <t xml:space="preserve">CR-11691</t>
  </si>
  <si>
    <t xml:space="preserve">CR-11692</t>
  </si>
  <si>
    <t xml:space="preserve">CR-11693</t>
  </si>
  <si>
    <t xml:space="preserve">CR-11694</t>
  </si>
  <si>
    <t xml:space="preserve">CR-11695</t>
  </si>
  <si>
    <t xml:space="preserve">CR-11696</t>
  </si>
  <si>
    <t xml:space="preserve">CR-11697</t>
  </si>
  <si>
    <t xml:space="preserve">CR-11698</t>
  </si>
  <si>
    <t xml:space="preserve">CR-11699</t>
  </si>
  <si>
    <t xml:space="preserve">CR-11700</t>
  </si>
  <si>
    <t xml:space="preserve">CR-11701</t>
  </si>
  <si>
    <t xml:space="preserve">CR-11702</t>
  </si>
  <si>
    <t xml:space="preserve">CR-11703</t>
  </si>
  <si>
    <t xml:space="preserve">CR-11704</t>
  </si>
  <si>
    <t xml:space="preserve">CR-11705</t>
  </si>
  <si>
    <t xml:space="preserve">CR-11706</t>
  </si>
  <si>
    <t xml:space="preserve">CR-11707</t>
  </si>
  <si>
    <t xml:space="preserve">CR-11708</t>
  </si>
  <si>
    <t xml:space="preserve">Sophia Hall</t>
  </si>
  <si>
    <t xml:space="preserve">CR-11709</t>
  </si>
  <si>
    <t xml:space="preserve">CR-11710</t>
  </si>
  <si>
    <t xml:space="preserve">Ruby Clark</t>
  </si>
  <si>
    <t xml:space="preserve">CR-11711</t>
  </si>
  <si>
    <t xml:space="preserve">CR-11712</t>
  </si>
  <si>
    <t xml:space="preserve">CR-11713</t>
  </si>
  <si>
    <t xml:space="preserve">CR-11714</t>
  </si>
  <si>
    <t xml:space="preserve">CR-11715</t>
  </si>
  <si>
    <t xml:space="preserve">CR-11716</t>
  </si>
  <si>
    <t xml:space="preserve">CR-11717</t>
  </si>
  <si>
    <t xml:space="preserve">CR-11718</t>
  </si>
  <si>
    <t xml:space="preserve">CR-11719</t>
  </si>
  <si>
    <t xml:space="preserve">CR-11720</t>
  </si>
  <si>
    <t xml:space="preserve">CR-11721</t>
  </si>
  <si>
    <t xml:space="preserve">CR-11722</t>
  </si>
  <si>
    <t xml:space="preserve">CR-11723</t>
  </si>
  <si>
    <t xml:space="preserve">CR-11724</t>
  </si>
  <si>
    <t xml:space="preserve">CR-11725</t>
  </si>
  <si>
    <t xml:space="preserve">CR-11726</t>
  </si>
  <si>
    <t xml:space="preserve">CR-11727</t>
  </si>
  <si>
    <t xml:space="preserve">CR-11728</t>
  </si>
  <si>
    <t xml:space="preserve">CR-11729</t>
  </si>
  <si>
    <t xml:space="preserve">CR-11730</t>
  </si>
  <si>
    <t xml:space="preserve">CR-11731</t>
  </si>
  <si>
    <t xml:space="preserve">CR-11732</t>
  </si>
  <si>
    <t xml:space="preserve">CR-11733</t>
  </si>
  <si>
    <t xml:space="preserve">CR-11734</t>
  </si>
  <si>
    <t xml:space="preserve">CR-11735</t>
  </si>
  <si>
    <t xml:space="preserve">CR-11736</t>
  </si>
  <si>
    <t xml:space="preserve">CR-11737</t>
  </si>
  <si>
    <t xml:space="preserve">CR-11738</t>
  </si>
  <si>
    <t xml:space="preserve">CR-11739</t>
  </si>
  <si>
    <t xml:space="preserve">CR-11740</t>
  </si>
  <si>
    <t xml:space="preserve">CR-11741</t>
  </si>
  <si>
    <t xml:space="preserve">CR-11742</t>
  </si>
  <si>
    <t xml:space="preserve">CR-11743</t>
  </si>
  <si>
    <t xml:space="preserve">CR-11744</t>
  </si>
  <si>
    <t xml:space="preserve">CR-11745</t>
  </si>
  <si>
    <t xml:space="preserve">CR-11746</t>
  </si>
  <si>
    <t xml:space="preserve">CR-11747</t>
  </si>
  <si>
    <t xml:space="preserve">CR-11748</t>
  </si>
  <si>
    <t xml:space="preserve">CR-11749</t>
  </si>
  <si>
    <t xml:space="preserve">CR-11750</t>
  </si>
  <si>
    <t xml:space="preserve">CR-11751</t>
  </si>
  <si>
    <t xml:space="preserve">CR-11752</t>
  </si>
  <si>
    <t xml:space="preserve">CR-11753</t>
  </si>
  <si>
    <t xml:space="preserve">CR-11754</t>
  </si>
  <si>
    <t xml:space="preserve">CR-11755</t>
  </si>
  <si>
    <t xml:space="preserve">CR-11756</t>
  </si>
  <si>
    <t xml:space="preserve">CR-11757</t>
  </si>
  <si>
    <t xml:space="preserve">CR-11758</t>
  </si>
  <si>
    <t xml:space="preserve">CR-11759</t>
  </si>
  <si>
    <t xml:space="preserve">CR-11760</t>
  </si>
  <si>
    <t xml:space="preserve">CR-11761</t>
  </si>
  <si>
    <t xml:space="preserve">CR-11762</t>
  </si>
  <si>
    <t xml:space="preserve">CR-11763</t>
  </si>
  <si>
    <t xml:space="preserve">CR-11764</t>
  </si>
  <si>
    <t xml:space="preserve">Nora Anderson</t>
  </si>
  <si>
    <t xml:space="preserve">CR-11765</t>
  </si>
  <si>
    <t xml:space="preserve">CR-11766</t>
  </si>
  <si>
    <t xml:space="preserve">CR-11767</t>
  </si>
  <si>
    <t xml:space="preserve">CR-11768</t>
  </si>
  <si>
    <t xml:space="preserve">CR-11769</t>
  </si>
  <si>
    <t xml:space="preserve">CR-11770</t>
  </si>
  <si>
    <t xml:space="preserve">CR-11771</t>
  </si>
  <si>
    <t xml:space="preserve">CR-11772</t>
  </si>
  <si>
    <t xml:space="preserve">CR-11773</t>
  </si>
  <si>
    <t xml:space="preserve">CR-11774</t>
  </si>
  <si>
    <t xml:space="preserve">CR-11775</t>
  </si>
  <si>
    <t xml:space="preserve">CR-11776</t>
  </si>
  <si>
    <t xml:space="preserve">CR-11777</t>
  </si>
  <si>
    <t xml:space="preserve">CR-11778</t>
  </si>
  <si>
    <t xml:space="preserve">CR-11779</t>
  </si>
  <si>
    <t xml:space="preserve">CR-11780</t>
  </si>
  <si>
    <t xml:space="preserve">CR-11781</t>
  </si>
  <si>
    <t xml:space="preserve">CR-11782</t>
  </si>
  <si>
    <t xml:space="preserve">CR-11783</t>
  </si>
  <si>
    <t xml:space="preserve">CR-11784</t>
  </si>
  <si>
    <t xml:space="preserve">CR-11785</t>
  </si>
  <si>
    <t xml:space="preserve">CR-11786</t>
  </si>
  <si>
    <t xml:space="preserve">CR-11787</t>
  </si>
  <si>
    <t xml:space="preserve">CR-11788</t>
  </si>
  <si>
    <t xml:space="preserve">CR-11789</t>
  </si>
  <si>
    <t xml:space="preserve">CR-11790</t>
  </si>
  <si>
    <t xml:space="preserve">CR-11791</t>
  </si>
  <si>
    <t xml:space="preserve">CR-11792</t>
  </si>
  <si>
    <t xml:space="preserve">CR-11793</t>
  </si>
  <si>
    <t xml:space="preserve">Harper Young</t>
  </si>
  <si>
    <t xml:space="preserve">CR-11794</t>
  </si>
  <si>
    <t xml:space="preserve">CR-11795</t>
  </si>
  <si>
    <t xml:space="preserve">CR-11796</t>
  </si>
  <si>
    <t xml:space="preserve">CR-11797</t>
  </si>
  <si>
    <t xml:space="preserve">CR-11798</t>
  </si>
  <si>
    <t xml:space="preserve">CR-11799</t>
  </si>
  <si>
    <t xml:space="preserve">CR-11800</t>
  </si>
  <si>
    <t xml:space="preserve">CR-11801</t>
  </si>
  <si>
    <t xml:space="preserve">CR-11802</t>
  </si>
  <si>
    <t xml:space="preserve">CR-11803</t>
  </si>
  <si>
    <t xml:space="preserve">CR-11804</t>
  </si>
  <si>
    <t xml:space="preserve">CR-11805</t>
  </si>
  <si>
    <t xml:space="preserve">CR-11806</t>
  </si>
  <si>
    <t xml:space="preserve">CR-11807</t>
  </si>
  <si>
    <t xml:space="preserve">CR-11808</t>
  </si>
  <si>
    <t xml:space="preserve">CR-11809</t>
  </si>
  <si>
    <t xml:space="preserve">CR-11810</t>
  </si>
  <si>
    <t xml:space="preserve">CR-11811</t>
  </si>
  <si>
    <t xml:space="preserve">CR-11812</t>
  </si>
  <si>
    <t xml:space="preserve">CR-11813</t>
  </si>
  <si>
    <t xml:space="preserve">CR-11814</t>
  </si>
  <si>
    <t xml:space="preserve">CR-11815</t>
  </si>
  <si>
    <t xml:space="preserve">CR-11816</t>
  </si>
  <si>
    <t xml:space="preserve">CR-11817</t>
  </si>
  <si>
    <t xml:space="preserve">CR-11818</t>
  </si>
  <si>
    <t xml:space="preserve">CR-11819</t>
  </si>
  <si>
    <t xml:space="preserve">CR-11820</t>
  </si>
  <si>
    <t xml:space="preserve">CR-11821</t>
  </si>
  <si>
    <t xml:space="preserve">CR-11822</t>
  </si>
  <si>
    <t xml:space="preserve">CR-11823</t>
  </si>
  <si>
    <t xml:space="preserve">CR-11824</t>
  </si>
  <si>
    <t xml:space="preserve">CR-11825</t>
  </si>
  <si>
    <t xml:space="preserve">CR-11826</t>
  </si>
  <si>
    <t xml:space="preserve">CR-11827</t>
  </si>
  <si>
    <t xml:space="preserve">CR-11828</t>
  </si>
  <si>
    <t xml:space="preserve">CR-11829</t>
  </si>
  <si>
    <t xml:space="preserve">CR-11830</t>
  </si>
  <si>
    <t xml:space="preserve">CR-11831</t>
  </si>
  <si>
    <t xml:space="preserve">CR-11832</t>
  </si>
  <si>
    <t xml:space="preserve">CR-11833</t>
  </si>
  <si>
    <t xml:space="preserve">CR-11834</t>
  </si>
  <si>
    <t xml:space="preserve">CR-11835</t>
  </si>
  <si>
    <t xml:space="preserve">CR-11836</t>
  </si>
  <si>
    <t xml:space="preserve">CR-11837</t>
  </si>
  <si>
    <t xml:space="preserve">CR-11838</t>
  </si>
  <si>
    <t xml:space="preserve">CR-11839</t>
  </si>
  <si>
    <t xml:space="preserve">CR-11840</t>
  </si>
  <si>
    <t xml:space="preserve">CR-11841</t>
  </si>
  <si>
    <t xml:space="preserve">CR-11842</t>
  </si>
  <si>
    <t xml:space="preserve">CR-11843</t>
  </si>
  <si>
    <t xml:space="preserve">CR-11844</t>
  </si>
  <si>
    <t xml:space="preserve">CR-11845</t>
  </si>
  <si>
    <t xml:space="preserve">CR-11846</t>
  </si>
  <si>
    <t xml:space="preserve">CR-11847</t>
  </si>
  <si>
    <t xml:space="preserve">CR-11848</t>
  </si>
  <si>
    <t xml:space="preserve">CR-11849</t>
  </si>
  <si>
    <t xml:space="preserve">CR-11850</t>
  </si>
  <si>
    <t xml:space="preserve">CR-11851</t>
  </si>
  <si>
    <t xml:space="preserve">CR-11852</t>
  </si>
  <si>
    <t xml:space="preserve">CR-11853</t>
  </si>
  <si>
    <t xml:space="preserve">Sophia Walker</t>
  </si>
  <si>
    <t xml:space="preserve">CR-11854</t>
  </si>
  <si>
    <t xml:space="preserve">CR-11855</t>
  </si>
  <si>
    <t xml:space="preserve">CR-11856</t>
  </si>
  <si>
    <t xml:space="preserve">CR-11857</t>
  </si>
  <si>
    <t xml:space="preserve">CR-11858</t>
  </si>
  <si>
    <t xml:space="preserve">CR-11859</t>
  </si>
  <si>
    <t xml:space="preserve">CR-11860</t>
  </si>
  <si>
    <t xml:space="preserve">CR-11861</t>
  </si>
  <si>
    <t xml:space="preserve">Mason Moore</t>
  </si>
  <si>
    <t xml:space="preserve">CR-11862</t>
  </si>
  <si>
    <t xml:space="preserve">CR-11863</t>
  </si>
  <si>
    <t xml:space="preserve">CR-11864</t>
  </si>
  <si>
    <t xml:space="preserve">CR-11865</t>
  </si>
  <si>
    <t xml:space="preserve">CR-11866</t>
  </si>
  <si>
    <t xml:space="preserve">CR-11867</t>
  </si>
  <si>
    <t xml:space="preserve">CR-11868</t>
  </si>
  <si>
    <t xml:space="preserve">CR-11869</t>
  </si>
  <si>
    <t xml:space="preserve">CR-11870</t>
  </si>
  <si>
    <t xml:space="preserve">CR-11871</t>
  </si>
  <si>
    <t xml:space="preserve">CR-11872</t>
  </si>
  <si>
    <t xml:space="preserve">CR-11873</t>
  </si>
  <si>
    <t xml:space="preserve">Olivia Scott</t>
  </si>
  <si>
    <t xml:space="preserve">CR-11874</t>
  </si>
  <si>
    <t xml:space="preserve">CR-11875</t>
  </si>
  <si>
    <t xml:space="preserve">CR-11876</t>
  </si>
  <si>
    <t xml:space="preserve">CR-11877</t>
  </si>
  <si>
    <t xml:space="preserve">CR-11878</t>
  </si>
  <si>
    <t xml:space="preserve">CR-11879</t>
  </si>
  <si>
    <t xml:space="preserve">CR-11880</t>
  </si>
  <si>
    <t xml:space="preserve">CR-11881</t>
  </si>
  <si>
    <t xml:space="preserve">CR-11882</t>
  </si>
  <si>
    <t xml:space="preserve">CR-11883</t>
  </si>
  <si>
    <t xml:space="preserve">CR-11884</t>
  </si>
  <si>
    <t xml:space="preserve">CR-11885</t>
  </si>
  <si>
    <t xml:space="preserve">CR-11886</t>
  </si>
  <si>
    <t xml:space="preserve">CR-11887</t>
  </si>
  <si>
    <t xml:space="preserve">CR-11888</t>
  </si>
  <si>
    <t xml:space="preserve">CR-11889</t>
  </si>
  <si>
    <t xml:space="preserve">CR-11890</t>
  </si>
  <si>
    <t xml:space="preserve">CR-11891</t>
  </si>
  <si>
    <t xml:space="preserve">CR-11892</t>
  </si>
  <si>
    <t xml:space="preserve">CR-11893</t>
  </si>
  <si>
    <t xml:space="preserve">CR-11894</t>
  </si>
  <si>
    <t xml:space="preserve">CR-11895</t>
  </si>
  <si>
    <t xml:space="preserve">CR-11896</t>
  </si>
  <si>
    <t xml:space="preserve">CR-11897</t>
  </si>
  <si>
    <t xml:space="preserve">CR-11898</t>
  </si>
  <si>
    <t xml:space="preserve">CR-11899</t>
  </si>
  <si>
    <t xml:space="preserve">CR-11900</t>
  </si>
  <si>
    <t xml:space="preserve">CR-11901</t>
  </si>
  <si>
    <t xml:space="preserve">CR-11902</t>
  </si>
  <si>
    <t xml:space="preserve">CR-11903</t>
  </si>
  <si>
    <t xml:space="preserve">CR-11904</t>
  </si>
  <si>
    <t xml:space="preserve">CR-11905</t>
  </si>
  <si>
    <t xml:space="preserve">CR-11906</t>
  </si>
  <si>
    <t xml:space="preserve">CR-11907</t>
  </si>
  <si>
    <t xml:space="preserve">CR-11908</t>
  </si>
  <si>
    <t xml:space="preserve">CR-11909</t>
  </si>
  <si>
    <t xml:space="preserve">CR-11910</t>
  </si>
  <si>
    <t xml:space="preserve">CR-11911</t>
  </si>
  <si>
    <t xml:space="preserve">CR-11912</t>
  </si>
  <si>
    <t xml:space="preserve">CR-11913</t>
  </si>
  <si>
    <t xml:space="preserve">CR-11914</t>
  </si>
  <si>
    <t xml:space="preserve">CR-11915</t>
  </si>
  <si>
    <t xml:space="preserve">CR-11916</t>
  </si>
  <si>
    <t xml:space="preserve">CR-11917</t>
  </si>
  <si>
    <t xml:space="preserve">CR-11918</t>
  </si>
  <si>
    <t xml:space="preserve">Noah Walker</t>
  </si>
  <si>
    <t xml:space="preserve">CR-11919</t>
  </si>
  <si>
    <t xml:space="preserve">CR-11920</t>
  </si>
  <si>
    <t xml:space="preserve">CR-11921</t>
  </si>
  <si>
    <t xml:space="preserve">CR-11922</t>
  </si>
  <si>
    <t xml:space="preserve">CR-11923</t>
  </si>
  <si>
    <t xml:space="preserve">CR-11924</t>
  </si>
  <si>
    <t xml:space="preserve">CR-11925</t>
  </si>
  <si>
    <t xml:space="preserve">CR-11926</t>
  </si>
  <si>
    <t xml:space="preserve">CR-11927</t>
  </si>
  <si>
    <t xml:space="preserve">CR-11928</t>
  </si>
  <si>
    <t xml:space="preserve">CR-11929</t>
  </si>
  <si>
    <t xml:space="preserve">CR-11930</t>
  </si>
  <si>
    <t xml:space="preserve">CR-11931</t>
  </si>
  <si>
    <t xml:space="preserve">CR-11932</t>
  </si>
  <si>
    <t xml:space="preserve">CR-11933</t>
  </si>
  <si>
    <t xml:space="preserve">CR-11934</t>
  </si>
  <si>
    <t xml:space="preserve">CR-11935</t>
  </si>
  <si>
    <t xml:space="preserve">CR-11936</t>
  </si>
  <si>
    <t xml:space="preserve">CR-11937</t>
  </si>
  <si>
    <t xml:space="preserve">CR-11938</t>
  </si>
  <si>
    <t xml:space="preserve">CR-11939</t>
  </si>
  <si>
    <t xml:space="preserve">CR-11940</t>
  </si>
  <si>
    <t xml:space="preserve">CR-11941</t>
  </si>
  <si>
    <t xml:space="preserve">CR-11942</t>
  </si>
  <si>
    <t xml:space="preserve">CR-11943</t>
  </si>
  <si>
    <t xml:space="preserve">CR-11944</t>
  </si>
  <si>
    <t xml:space="preserve">CR-11945</t>
  </si>
  <si>
    <t xml:space="preserve">CR-11946</t>
  </si>
  <si>
    <t xml:space="preserve">CR-11947</t>
  </si>
  <si>
    <t xml:space="preserve">CR-11948</t>
  </si>
  <si>
    <t xml:space="preserve">CR-11949</t>
  </si>
  <si>
    <t xml:space="preserve">CR-11950</t>
  </si>
  <si>
    <t xml:space="preserve">Jack Taylor</t>
  </si>
  <si>
    <t xml:space="preserve">CR-11951</t>
  </si>
  <si>
    <t xml:space="preserve">Lucas Young</t>
  </si>
  <si>
    <t xml:space="preserve">CR-11952</t>
  </si>
  <si>
    <t xml:space="preserve">CR-11953</t>
  </si>
  <si>
    <t xml:space="preserve">CR-11954</t>
  </si>
  <si>
    <t xml:space="preserve">CR-11955</t>
  </si>
  <si>
    <t xml:space="preserve">CR-11956</t>
  </si>
  <si>
    <t xml:space="preserve">CR-11957</t>
  </si>
  <si>
    <t xml:space="preserve">CR-11958</t>
  </si>
  <si>
    <t xml:space="preserve">CR-11959</t>
  </si>
  <si>
    <t xml:space="preserve">CR-11960</t>
  </si>
  <si>
    <t xml:space="preserve">CR-11961</t>
  </si>
  <si>
    <t xml:space="preserve">CR-11962</t>
  </si>
  <si>
    <t xml:space="preserve">CR-11963</t>
  </si>
  <si>
    <t xml:space="preserve">CR-11964</t>
  </si>
  <si>
    <t xml:space="preserve">CR-11965</t>
  </si>
  <si>
    <t xml:space="preserve">CR-11966</t>
  </si>
  <si>
    <t xml:space="preserve">CR-11967</t>
  </si>
  <si>
    <t xml:space="preserve">CR-11968</t>
  </si>
  <si>
    <t xml:space="preserve">CR-11969</t>
  </si>
  <si>
    <t xml:space="preserve">CR-11970</t>
  </si>
  <si>
    <t xml:space="preserve">CR-11971</t>
  </si>
  <si>
    <t xml:space="preserve">CR-11972</t>
  </si>
  <si>
    <t xml:space="preserve">CR-11973</t>
  </si>
  <si>
    <t xml:space="preserve">CR-11974</t>
  </si>
  <si>
    <t xml:space="preserve">CR-11975</t>
  </si>
  <si>
    <t xml:space="preserve">CR-11976</t>
  </si>
  <si>
    <t xml:space="preserve">CR-11977</t>
  </si>
  <si>
    <t xml:space="preserve">CR-11978</t>
  </si>
  <si>
    <t xml:space="preserve">Ava Miller</t>
  </si>
  <si>
    <t xml:space="preserve">CR-11979</t>
  </si>
  <si>
    <t xml:space="preserve">CR-11980</t>
  </si>
  <si>
    <t xml:space="preserve">CR-11981</t>
  </si>
  <si>
    <t xml:space="preserve">CR-11982</t>
  </si>
  <si>
    <t xml:space="preserve">CR-11983</t>
  </si>
  <si>
    <t xml:space="preserve">CR-11984</t>
  </si>
  <si>
    <t xml:space="preserve">CR-11985</t>
  </si>
  <si>
    <t xml:space="preserve">CR-11986</t>
  </si>
  <si>
    <t xml:space="preserve">CR-11987</t>
  </si>
  <si>
    <t xml:space="preserve">CR-11988</t>
  </si>
  <si>
    <t xml:space="preserve">CR-11989</t>
  </si>
  <si>
    <t xml:space="preserve">CR-11990</t>
  </si>
  <si>
    <t xml:space="preserve">CR-11991</t>
  </si>
  <si>
    <t xml:space="preserve">CR-11992</t>
  </si>
  <si>
    <t xml:space="preserve">CR-11993</t>
  </si>
  <si>
    <t xml:space="preserve">CR-11994</t>
  </si>
  <si>
    <t xml:space="preserve">CR-11995</t>
  </si>
  <si>
    <t xml:space="preserve">CR-11996</t>
  </si>
  <si>
    <t xml:space="preserve">CR-11997</t>
  </si>
  <si>
    <t xml:space="preserve">CR-11998</t>
  </si>
  <si>
    <t xml:space="preserve">CR-11999</t>
  </si>
  <si>
    <t xml:space="preserve">CR-12000</t>
  </si>
  <si>
    <t xml:space="preserve">CR-12001</t>
  </si>
  <si>
    <t xml:space="preserve">CR-12002</t>
  </si>
  <si>
    <t xml:space="preserve">CR-12003</t>
  </si>
  <si>
    <t xml:space="preserve">CR-12004</t>
  </si>
  <si>
    <t xml:space="preserve">CR-12005</t>
  </si>
  <si>
    <t xml:space="preserve">CR-12006</t>
  </si>
  <si>
    <t xml:space="preserve">CR-12007</t>
  </si>
  <si>
    <t xml:space="preserve">CR-12008</t>
  </si>
  <si>
    <t xml:space="preserve">CR-12009</t>
  </si>
  <si>
    <t xml:space="preserve">CR-12010</t>
  </si>
  <si>
    <t xml:space="preserve">CR-12011</t>
  </si>
  <si>
    <t xml:space="preserve">CR-12012</t>
  </si>
  <si>
    <t xml:space="preserve">CR-12013</t>
  </si>
  <si>
    <t xml:space="preserve">CR-12014</t>
  </si>
  <si>
    <t xml:space="preserve">CR-12015</t>
  </si>
  <si>
    <t xml:space="preserve">CR-12016</t>
  </si>
  <si>
    <t xml:space="preserve">CR-12017</t>
  </si>
  <si>
    <t xml:space="preserve">CR-12018</t>
  </si>
  <si>
    <t xml:space="preserve">Lily Wright</t>
  </si>
  <si>
    <t xml:space="preserve">CR-12019</t>
  </si>
  <si>
    <t xml:space="preserve">CR-12020</t>
  </si>
  <si>
    <t xml:space="preserve">CR-12021</t>
  </si>
  <si>
    <t xml:space="preserve">CR-12022</t>
  </si>
  <si>
    <t xml:space="preserve">CR-12023</t>
  </si>
  <si>
    <t xml:space="preserve">CR-12024</t>
  </si>
  <si>
    <t xml:space="preserve">CR-12025</t>
  </si>
  <si>
    <t xml:space="preserve">CR-12026</t>
  </si>
  <si>
    <t xml:space="preserve">CR-12027</t>
  </si>
  <si>
    <t xml:space="preserve">CR-12028</t>
  </si>
  <si>
    <t xml:space="preserve">CR-12029</t>
  </si>
  <si>
    <t xml:space="preserve">CR-12030</t>
  </si>
  <si>
    <t xml:space="preserve">CR-12031</t>
  </si>
  <si>
    <t xml:space="preserve">CR-12032</t>
  </si>
  <si>
    <t xml:space="preserve">CR-12033</t>
  </si>
  <si>
    <t xml:space="preserve">CR-12034</t>
  </si>
  <si>
    <t xml:space="preserve">CR-12035</t>
  </si>
  <si>
    <t xml:space="preserve">Lucas Wright</t>
  </si>
  <si>
    <t xml:space="preserve">CR-12036</t>
  </si>
  <si>
    <t xml:space="preserve">CR-12037</t>
  </si>
  <si>
    <t xml:space="preserve">CR-12038</t>
  </si>
  <si>
    <t xml:space="preserve">Chloe Clark</t>
  </si>
  <si>
    <t xml:space="preserve">CR-12039</t>
  </si>
  <si>
    <t xml:space="preserve">CR-12040</t>
  </si>
  <si>
    <t xml:space="preserve">CR-12041</t>
  </si>
  <si>
    <t xml:space="preserve">CR-12042</t>
  </si>
  <si>
    <t xml:space="preserve">Ava Johnson</t>
  </si>
  <si>
    <t xml:space="preserve">CR-12043</t>
  </si>
  <si>
    <t xml:space="preserve">CR-12044</t>
  </si>
  <si>
    <t xml:space="preserve">CR-12045</t>
  </si>
  <si>
    <t xml:space="preserve">CR-12046</t>
  </si>
  <si>
    <t xml:space="preserve">CR-12047</t>
  </si>
  <si>
    <t xml:space="preserve">CR-12048</t>
  </si>
  <si>
    <t xml:space="preserve">CR-12049</t>
  </si>
  <si>
    <t xml:space="preserve">CR-12050</t>
  </si>
  <si>
    <t xml:space="preserve">CR-12051</t>
  </si>
  <si>
    <t xml:space="preserve">CR-12052</t>
  </si>
  <si>
    <t xml:space="preserve">CR-12053</t>
  </si>
  <si>
    <t xml:space="preserve">CR-12054</t>
  </si>
  <si>
    <t xml:space="preserve">CR-12055</t>
  </si>
  <si>
    <t xml:space="preserve">CR-12056</t>
  </si>
  <si>
    <t xml:space="preserve">CR-12057</t>
  </si>
  <si>
    <t xml:space="preserve">CR-12058</t>
  </si>
  <si>
    <t xml:space="preserve">CR-12059</t>
  </si>
  <si>
    <t xml:space="preserve">CR-12060</t>
  </si>
  <si>
    <t xml:space="preserve">CR-12061</t>
  </si>
  <si>
    <t xml:space="preserve">CR-12062</t>
  </si>
  <si>
    <t xml:space="preserve">CR-12063</t>
  </si>
  <si>
    <t xml:space="preserve">CR-12064</t>
  </si>
  <si>
    <t xml:space="preserve">CR-12065</t>
  </si>
  <si>
    <t xml:space="preserve">CR-12066</t>
  </si>
  <si>
    <t xml:space="preserve">CR-12067</t>
  </si>
  <si>
    <t xml:space="preserve">CR-12068</t>
  </si>
  <si>
    <t xml:space="preserve">CR-12069</t>
  </si>
  <si>
    <t xml:space="preserve">CR-12070</t>
  </si>
  <si>
    <t xml:space="preserve">CR-12071</t>
  </si>
  <si>
    <t xml:space="preserve">CR-12072</t>
  </si>
  <si>
    <t xml:space="preserve">CR-12073</t>
  </si>
  <si>
    <t xml:space="preserve">CR-12074</t>
  </si>
  <si>
    <t xml:space="preserve">CR-12075</t>
  </si>
  <si>
    <t xml:space="preserve">CR-12076</t>
  </si>
  <si>
    <t xml:space="preserve">CR-12077</t>
  </si>
  <si>
    <t xml:space="preserve">CR-12078</t>
  </si>
  <si>
    <t xml:space="preserve">CR-12079</t>
  </si>
  <si>
    <t xml:space="preserve">CR-12080</t>
  </si>
  <si>
    <t xml:space="preserve">CR-12081</t>
  </si>
  <si>
    <t xml:space="preserve">CR-12082</t>
  </si>
  <si>
    <t xml:space="preserve">CR-12083</t>
  </si>
  <si>
    <t xml:space="preserve">CR-12084</t>
  </si>
  <si>
    <t xml:space="preserve">CR-12085</t>
  </si>
  <si>
    <t xml:space="preserve">CR-12086</t>
  </si>
  <si>
    <t xml:space="preserve">CR-12087</t>
  </si>
  <si>
    <t xml:space="preserve">CR-12088</t>
  </si>
  <si>
    <t xml:space="preserve">CR-12089</t>
  </si>
  <si>
    <t xml:space="preserve">CR-12090</t>
  </si>
  <si>
    <t xml:space="preserve">CR-12091</t>
  </si>
  <si>
    <t xml:space="preserve">CR-12092</t>
  </si>
  <si>
    <t xml:space="preserve">CR-12093</t>
  </si>
  <si>
    <t xml:space="preserve">CR-12094</t>
  </si>
  <si>
    <t xml:space="preserve">CR-12095</t>
  </si>
  <si>
    <t xml:space="preserve">CR-12096</t>
  </si>
  <si>
    <t xml:space="preserve">CR-12097</t>
  </si>
  <si>
    <t xml:space="preserve">CR-12098</t>
  </si>
  <si>
    <t xml:space="preserve">CR-12099</t>
  </si>
  <si>
    <t xml:space="preserve">CR-12100</t>
  </si>
  <si>
    <t xml:space="preserve">CR-12101</t>
  </si>
  <si>
    <t xml:space="preserve">CR-12102</t>
  </si>
  <si>
    <t xml:space="preserve">CR-12103</t>
  </si>
  <si>
    <t xml:space="preserve">CR-12104</t>
  </si>
  <si>
    <t xml:space="preserve">CR-12105</t>
  </si>
  <si>
    <t xml:space="preserve">CR-12106</t>
  </si>
  <si>
    <t xml:space="preserve">CR-12107</t>
  </si>
  <si>
    <t xml:space="preserve">CR-12108</t>
  </si>
  <si>
    <t xml:space="preserve">CR-12109</t>
  </si>
  <si>
    <t xml:space="preserve">CR-12110</t>
  </si>
  <si>
    <t xml:space="preserve">CR-12111</t>
  </si>
  <si>
    <t xml:space="preserve">CR-12112</t>
  </si>
  <si>
    <t xml:space="preserve">CR-12113</t>
  </si>
  <si>
    <t xml:space="preserve">CR-12114</t>
  </si>
  <si>
    <t xml:space="preserve">CR-12115</t>
  </si>
  <si>
    <t xml:space="preserve">CR-12116</t>
  </si>
  <si>
    <t xml:space="preserve">CR-12117</t>
  </si>
  <si>
    <t xml:space="preserve">CR-12118</t>
  </si>
  <si>
    <t xml:space="preserve">CR-12119</t>
  </si>
  <si>
    <t xml:space="preserve">CR-12120</t>
  </si>
  <si>
    <t xml:space="preserve">CR-12121</t>
  </si>
  <si>
    <t xml:space="preserve">Emma Wilson</t>
  </si>
  <si>
    <t xml:space="preserve">CR-12122</t>
  </si>
  <si>
    <t xml:space="preserve">CR-12123</t>
  </si>
  <si>
    <t xml:space="preserve">CR-12124</t>
  </si>
  <si>
    <t xml:space="preserve">CR-12125</t>
  </si>
  <si>
    <t xml:space="preserve">CR-12126</t>
  </si>
  <si>
    <t xml:space="preserve">CR-12127</t>
  </si>
  <si>
    <t xml:space="preserve">CR-12128</t>
  </si>
  <si>
    <t xml:space="preserve">CR-12129</t>
  </si>
  <si>
    <t xml:space="preserve">CR-12130</t>
  </si>
  <si>
    <t xml:space="preserve">CR-12131</t>
  </si>
  <si>
    <t xml:space="preserve">CR-12132</t>
  </si>
  <si>
    <t xml:space="preserve">CR-12133</t>
  </si>
  <si>
    <t xml:space="preserve">CR-12134</t>
  </si>
  <si>
    <t xml:space="preserve">CR-12135</t>
  </si>
  <si>
    <t xml:space="preserve">CR-12136</t>
  </si>
  <si>
    <t xml:space="preserve">CR-12137</t>
  </si>
  <si>
    <t xml:space="preserve">CR-12138</t>
  </si>
  <si>
    <t xml:space="preserve">CR-12139</t>
  </si>
  <si>
    <t xml:space="preserve">CR-12140</t>
  </si>
  <si>
    <t xml:space="preserve">CR-12141</t>
  </si>
  <si>
    <t xml:space="preserve">CR-12142</t>
  </si>
  <si>
    <t xml:space="preserve">CR-12143</t>
  </si>
  <si>
    <t xml:space="preserve">CR-12144</t>
  </si>
  <si>
    <t xml:space="preserve">CR-12145</t>
  </si>
  <si>
    <t xml:space="preserve">CR-12146</t>
  </si>
  <si>
    <t xml:space="preserve">CR-12147</t>
  </si>
  <si>
    <t xml:space="preserve">CR-12148</t>
  </si>
  <si>
    <t xml:space="preserve">CR-12149</t>
  </si>
  <si>
    <t xml:space="preserve">CR-12150</t>
  </si>
  <si>
    <t xml:space="preserve">CR-12151</t>
  </si>
  <si>
    <t xml:space="preserve">CR-12152</t>
  </si>
  <si>
    <t xml:space="preserve">CR-12153</t>
  </si>
  <si>
    <t xml:space="preserve">CR-12154</t>
  </si>
  <si>
    <t xml:space="preserve">CR-12155</t>
  </si>
  <si>
    <t xml:space="preserve">CR-12156</t>
  </si>
  <si>
    <t xml:space="preserve">CR-12157</t>
  </si>
  <si>
    <t xml:space="preserve">CR-12158</t>
  </si>
  <si>
    <t xml:space="preserve">CR-12159</t>
  </si>
  <si>
    <t xml:space="preserve">CR-12160</t>
  </si>
  <si>
    <t xml:space="preserve">CR-12161</t>
  </si>
  <si>
    <t xml:space="preserve">CR-12162</t>
  </si>
  <si>
    <t xml:space="preserve">CR-12163</t>
  </si>
  <si>
    <t xml:space="preserve">CR-12164</t>
  </si>
  <si>
    <t xml:space="preserve">CR-12165</t>
  </si>
  <si>
    <t xml:space="preserve">CR-12166</t>
  </si>
  <si>
    <t xml:space="preserve">CR-12167</t>
  </si>
  <si>
    <t xml:space="preserve">CR-12168</t>
  </si>
  <si>
    <t xml:space="preserve">CR-12169</t>
  </si>
  <si>
    <t xml:space="preserve">CR-12170</t>
  </si>
  <si>
    <t xml:space="preserve">CR-12171</t>
  </si>
  <si>
    <t xml:space="preserve">CR-12172</t>
  </si>
  <si>
    <t xml:space="preserve">CR-12173</t>
  </si>
  <si>
    <t xml:space="preserve">Owen Miller</t>
  </si>
  <si>
    <t xml:space="preserve">CR-12174</t>
  </si>
  <si>
    <t xml:space="preserve">CR-12175</t>
  </si>
  <si>
    <t xml:space="preserve">CR-12176</t>
  </si>
  <si>
    <t xml:space="preserve">CR-12177</t>
  </si>
  <si>
    <t xml:space="preserve">CR-12178</t>
  </si>
  <si>
    <t xml:space="preserve">CR-12179</t>
  </si>
  <si>
    <t xml:space="preserve">CR-12180</t>
  </si>
  <si>
    <t xml:space="preserve">CR-12181</t>
  </si>
  <si>
    <t xml:space="preserve">CR-12182</t>
  </si>
  <si>
    <t xml:space="preserve">CR-12183</t>
  </si>
  <si>
    <t xml:space="preserve">CR-12184</t>
  </si>
  <si>
    <t xml:space="preserve">CR-12185</t>
  </si>
  <si>
    <t xml:space="preserve">CR-12186</t>
  </si>
  <si>
    <t xml:space="preserve">CR-12187</t>
  </si>
  <si>
    <t xml:space="preserve">CR-12188</t>
  </si>
  <si>
    <t xml:space="preserve">CR-12189</t>
  </si>
  <si>
    <t xml:space="preserve">CR-12190</t>
  </si>
  <si>
    <t xml:space="preserve">CR-12191</t>
  </si>
  <si>
    <t xml:space="preserve">CR-12192</t>
  </si>
  <si>
    <t xml:space="preserve">CR-12193</t>
  </si>
  <si>
    <t xml:space="preserve">CR-12194</t>
  </si>
  <si>
    <t xml:space="preserve">CR-12195</t>
  </si>
  <si>
    <t xml:space="preserve">CR-12196</t>
  </si>
  <si>
    <t xml:space="preserve">CR-12197</t>
  </si>
  <si>
    <t xml:space="preserve">CR-12198</t>
  </si>
  <si>
    <t xml:space="preserve">CR-12199</t>
  </si>
  <si>
    <t xml:space="preserve">CR-12200</t>
  </si>
  <si>
    <t xml:space="preserve">CR-12201</t>
  </si>
  <si>
    <t xml:space="preserve">CR-12202</t>
  </si>
  <si>
    <t xml:space="preserve">Mia Walker</t>
  </si>
  <si>
    <t xml:space="preserve">CR-12203</t>
  </si>
  <si>
    <t xml:space="preserve">CR-12204</t>
  </si>
  <si>
    <t xml:space="preserve">CR-12205</t>
  </si>
  <si>
    <t xml:space="preserve">CR-12206</t>
  </si>
  <si>
    <t xml:space="preserve">CR-12207</t>
  </si>
  <si>
    <t xml:space="preserve">CR-12208</t>
  </si>
  <si>
    <t xml:space="preserve">CR-12209</t>
  </si>
  <si>
    <t xml:space="preserve">CR-12210</t>
  </si>
  <si>
    <t xml:space="preserve">CR-12211</t>
  </si>
  <si>
    <t xml:space="preserve">CR-12212</t>
  </si>
  <si>
    <t xml:space="preserve">CR-12213</t>
  </si>
  <si>
    <t xml:space="preserve">CR-12214</t>
  </si>
  <si>
    <t xml:space="preserve">CR-12215</t>
  </si>
  <si>
    <t xml:space="preserve">CR-12216</t>
  </si>
  <si>
    <t xml:space="preserve">CR-12217</t>
  </si>
  <si>
    <t xml:space="preserve">CR-12218</t>
  </si>
  <si>
    <t xml:space="preserve">CR-12219</t>
  </si>
  <si>
    <t xml:space="preserve">CR-12220</t>
  </si>
  <si>
    <t xml:space="preserve">CR-12221</t>
  </si>
  <si>
    <t xml:space="preserve">CR-12222</t>
  </si>
  <si>
    <t xml:space="preserve">Olivia Hall</t>
  </si>
  <si>
    <t xml:space="preserve">CR-12223</t>
  </si>
  <si>
    <t xml:space="preserve">CR-12224</t>
  </si>
  <si>
    <t xml:space="preserve">CR-12225</t>
  </si>
  <si>
    <t xml:space="preserve">CR-12226</t>
  </si>
  <si>
    <t xml:space="preserve">CR-12227</t>
  </si>
  <si>
    <t xml:space="preserve">CR-12228</t>
  </si>
  <si>
    <t xml:space="preserve">Sophia King</t>
  </si>
  <si>
    <t xml:space="preserve">CR-12229</t>
  </si>
  <si>
    <t xml:space="preserve">CR-12230</t>
  </si>
  <si>
    <t xml:space="preserve">CR-12231</t>
  </si>
  <si>
    <t xml:space="preserve">CR-12232</t>
  </si>
  <si>
    <t xml:space="preserve">CR-12233</t>
  </si>
  <si>
    <t xml:space="preserve">CR-12234</t>
  </si>
  <si>
    <t xml:space="preserve">CR-12235</t>
  </si>
  <si>
    <t xml:space="preserve">CR-12236</t>
  </si>
  <si>
    <t xml:space="preserve">CR-12237</t>
  </si>
  <si>
    <t xml:space="preserve">CR-12238</t>
  </si>
  <si>
    <t xml:space="preserve">CR-12239</t>
  </si>
  <si>
    <t xml:space="preserve">CR-12240</t>
  </si>
  <si>
    <t xml:space="preserve">CR-12241</t>
  </si>
  <si>
    <t xml:space="preserve">CR-12242</t>
  </si>
  <si>
    <t xml:space="preserve">CR-12243</t>
  </si>
  <si>
    <t xml:space="preserve">CR-12244</t>
  </si>
  <si>
    <t xml:space="preserve">CR-12245</t>
  </si>
  <si>
    <t xml:space="preserve">CR-12246</t>
  </si>
  <si>
    <t xml:space="preserve">CR-12247</t>
  </si>
  <si>
    <t xml:space="preserve">CR-12248</t>
  </si>
  <si>
    <t xml:space="preserve">CR-12249</t>
  </si>
  <si>
    <t xml:space="preserve">CR-12250</t>
  </si>
  <si>
    <t xml:space="preserve">CR-12251</t>
  </si>
  <si>
    <t xml:space="preserve">CR-12252</t>
  </si>
  <si>
    <t xml:space="preserve">CR-12253</t>
  </si>
  <si>
    <t xml:space="preserve">CR-12254</t>
  </si>
  <si>
    <t xml:space="preserve">CR-12255</t>
  </si>
  <si>
    <t xml:space="preserve">CR-12256</t>
  </si>
  <si>
    <t xml:space="preserve">CR-12257</t>
  </si>
  <si>
    <t xml:space="preserve">CR-12258</t>
  </si>
  <si>
    <t xml:space="preserve">CR-12259</t>
  </si>
  <si>
    <t xml:space="preserve">CR-12260</t>
  </si>
  <si>
    <t xml:space="preserve">CR-12261</t>
  </si>
  <si>
    <t xml:space="preserve">CR-12262</t>
  </si>
  <si>
    <t xml:space="preserve">CR-12263</t>
  </si>
  <si>
    <t xml:space="preserve">CR-12264</t>
  </si>
  <si>
    <t xml:space="preserve">CR-12265</t>
  </si>
  <si>
    <t xml:space="preserve">CR-12266</t>
  </si>
  <si>
    <t xml:space="preserve">CR-12267</t>
  </si>
  <si>
    <t xml:space="preserve">CR-12268</t>
  </si>
  <si>
    <t xml:space="preserve">CR-12269</t>
  </si>
  <si>
    <t xml:space="preserve">CR-12270</t>
  </si>
  <si>
    <t xml:space="preserve">CR-12271</t>
  </si>
  <si>
    <t xml:space="preserve">CR-12272</t>
  </si>
  <si>
    <t xml:space="preserve">CR-12273</t>
  </si>
  <si>
    <t xml:space="preserve">CR-12274</t>
  </si>
  <si>
    <t xml:space="preserve">CR-12275</t>
  </si>
  <si>
    <t xml:space="preserve">CR-12276</t>
  </si>
  <si>
    <t xml:space="preserve">CR-12277</t>
  </si>
  <si>
    <t xml:space="preserve">CR-12278</t>
  </si>
  <si>
    <t xml:space="preserve">CR-12279</t>
  </si>
  <si>
    <t xml:space="preserve">Lily Young</t>
  </si>
  <si>
    <t xml:space="preserve">CR-12280</t>
  </si>
  <si>
    <t xml:space="preserve">CR-12281</t>
  </si>
  <si>
    <t xml:space="preserve">CR-12282</t>
  </si>
  <si>
    <t xml:space="preserve">Lucas Martin</t>
  </si>
  <si>
    <t xml:space="preserve">CR-12283</t>
  </si>
  <si>
    <t xml:space="preserve">CR-12284</t>
  </si>
  <si>
    <t xml:space="preserve">CR-12285</t>
  </si>
  <si>
    <t xml:space="preserve">CR-12286</t>
  </si>
  <si>
    <t xml:space="preserve">CR-12287</t>
  </si>
  <si>
    <t xml:space="preserve">CR-12288</t>
  </si>
  <si>
    <t xml:space="preserve">CR-12289</t>
  </si>
  <si>
    <t xml:space="preserve">CR-12290</t>
  </si>
  <si>
    <t xml:space="preserve">CR-12291</t>
  </si>
  <si>
    <t xml:space="preserve">CR-12292</t>
  </si>
  <si>
    <t xml:space="preserve">CR-12293</t>
  </si>
  <si>
    <t xml:space="preserve">CR-12294</t>
  </si>
  <si>
    <t xml:space="preserve">CR-12295</t>
  </si>
  <si>
    <t xml:space="preserve">CR-12296</t>
  </si>
  <si>
    <t xml:space="preserve">CR-12297</t>
  </si>
  <si>
    <t xml:space="preserve">Zoe King</t>
  </si>
  <si>
    <t xml:space="preserve">CR-12298</t>
  </si>
  <si>
    <t xml:space="preserve">CR-12299</t>
  </si>
  <si>
    <t xml:space="preserve">CR-12300</t>
  </si>
  <si>
    <t xml:space="preserve">CR-12301</t>
  </si>
  <si>
    <t xml:space="preserve">CR-12302</t>
  </si>
  <si>
    <t xml:space="preserve">CR-12303</t>
  </si>
  <si>
    <t xml:space="preserve">CR-12304</t>
  </si>
  <si>
    <t xml:space="preserve">Mason Martin</t>
  </si>
  <si>
    <t xml:space="preserve">CR-12305</t>
  </si>
  <si>
    <t xml:space="preserve">CR-12306</t>
  </si>
  <si>
    <t xml:space="preserve">CR-12307</t>
  </si>
  <si>
    <t xml:space="preserve">CR-12308</t>
  </si>
  <si>
    <t xml:space="preserve">CR-12309</t>
  </si>
  <si>
    <t xml:space="preserve">CR-12310</t>
  </si>
  <si>
    <t xml:space="preserve">CR-12311</t>
  </si>
  <si>
    <t xml:space="preserve">Ella Brown</t>
  </si>
  <si>
    <t xml:space="preserve">CR-12312</t>
  </si>
  <si>
    <t xml:space="preserve">CR-12313</t>
  </si>
  <si>
    <t xml:space="preserve">CR-12314</t>
  </si>
  <si>
    <t xml:space="preserve">CR-12315</t>
  </si>
  <si>
    <t xml:space="preserve">CR-12316</t>
  </si>
  <si>
    <t xml:space="preserve">CR-12317</t>
  </si>
  <si>
    <t xml:space="preserve">CR-12318</t>
  </si>
  <si>
    <t xml:space="preserve">CR-12319</t>
  </si>
  <si>
    <t xml:space="preserve">CR-12320</t>
  </si>
  <si>
    <t xml:space="preserve">CR-12321</t>
  </si>
  <si>
    <t xml:space="preserve">CR-12322</t>
  </si>
  <si>
    <t xml:space="preserve">CR-12323</t>
  </si>
  <si>
    <t xml:space="preserve">CR-12324</t>
  </si>
  <si>
    <t xml:space="preserve">CR-12325</t>
  </si>
  <si>
    <t xml:space="preserve">CR-12326</t>
  </si>
  <si>
    <t xml:space="preserve">Liam Miller</t>
  </si>
  <si>
    <t xml:space="preserve">CR-12327</t>
  </si>
  <si>
    <t xml:space="preserve">CR-12328</t>
  </si>
  <si>
    <t xml:space="preserve">CR-12329</t>
  </si>
  <si>
    <t xml:space="preserve">CR-12330</t>
  </si>
  <si>
    <t xml:space="preserve">CR-12331</t>
  </si>
  <si>
    <t xml:space="preserve">CR-12332</t>
  </si>
  <si>
    <t xml:space="preserve">CR-12333</t>
  </si>
  <si>
    <t xml:space="preserve">CR-12334</t>
  </si>
  <si>
    <t xml:space="preserve">CR-12335</t>
  </si>
  <si>
    <t xml:space="preserve">CR-12336</t>
  </si>
  <si>
    <t xml:space="preserve">CR-12337</t>
  </si>
  <si>
    <t xml:space="preserve">CR-12338</t>
  </si>
  <si>
    <t xml:space="preserve">CR-12339</t>
  </si>
  <si>
    <t xml:space="preserve">CR-12340</t>
  </si>
  <si>
    <t xml:space="preserve">CR-12341</t>
  </si>
  <si>
    <t xml:space="preserve">CR-12342</t>
  </si>
  <si>
    <t xml:space="preserve">CR-12343</t>
  </si>
  <si>
    <t xml:space="preserve">CR-12344</t>
  </si>
  <si>
    <t xml:space="preserve">CR-12345</t>
  </si>
  <si>
    <t xml:space="preserve">CR-12346</t>
  </si>
  <si>
    <t xml:space="preserve">CR-12347</t>
  </si>
  <si>
    <t xml:space="preserve">CR-12348</t>
  </si>
  <si>
    <t xml:space="preserve">CR-12349</t>
  </si>
  <si>
    <t xml:space="preserve">CR-12350</t>
  </si>
  <si>
    <t xml:space="preserve">CR-12351</t>
  </si>
  <si>
    <t xml:space="preserve">CR-12352</t>
  </si>
  <si>
    <t xml:space="preserve">CR-12353</t>
  </si>
  <si>
    <t xml:space="preserve">CR-12354</t>
  </si>
  <si>
    <t xml:space="preserve">CR-12355</t>
  </si>
  <si>
    <t xml:space="preserve">CR-12356</t>
  </si>
  <si>
    <t xml:space="preserve">CR-12357</t>
  </si>
  <si>
    <t xml:space="preserve">CR-12358</t>
  </si>
  <si>
    <t xml:space="preserve">CR-12359</t>
  </si>
  <si>
    <t xml:space="preserve">CR-12360</t>
  </si>
  <si>
    <t xml:space="preserve">CR-12361</t>
  </si>
  <si>
    <t xml:space="preserve">CR-12362</t>
  </si>
  <si>
    <t xml:space="preserve">CR-12363</t>
  </si>
  <si>
    <t xml:space="preserve">CR-12364</t>
  </si>
  <si>
    <t xml:space="preserve">CR-12365</t>
  </si>
  <si>
    <t xml:space="preserve">CR-12366</t>
  </si>
  <si>
    <t xml:space="preserve">CR-12367</t>
  </si>
  <si>
    <t xml:space="preserve">CR-12368</t>
  </si>
  <si>
    <t xml:space="preserve">CR-12369</t>
  </si>
  <si>
    <t xml:space="preserve">CR-12370</t>
  </si>
  <si>
    <t xml:space="preserve">CR-12371</t>
  </si>
  <si>
    <t xml:space="preserve">CR-12372</t>
  </si>
  <si>
    <t xml:space="preserve">CR-12373</t>
  </si>
  <si>
    <t xml:space="preserve">CR-12374</t>
  </si>
  <si>
    <t xml:space="preserve">CR-12375</t>
  </si>
  <si>
    <t xml:space="preserve">CR-12376</t>
  </si>
  <si>
    <t xml:space="preserve">CR-12377</t>
  </si>
  <si>
    <t xml:space="preserve">CR-12378</t>
  </si>
  <si>
    <t xml:space="preserve">CR-12379</t>
  </si>
  <si>
    <t xml:space="preserve">CR-12380</t>
  </si>
  <si>
    <t xml:space="preserve">CR-12381</t>
  </si>
  <si>
    <t xml:space="preserve">CR-12382</t>
  </si>
  <si>
    <t xml:space="preserve">CR-12383</t>
  </si>
  <si>
    <t xml:space="preserve">CR-12384</t>
  </si>
  <si>
    <t xml:space="preserve">CR-12385</t>
  </si>
  <si>
    <t xml:space="preserve">CR-12386</t>
  </si>
  <si>
    <t xml:space="preserve">CR-12387</t>
  </si>
  <si>
    <t xml:space="preserve">CR-12388</t>
  </si>
  <si>
    <t xml:space="preserve">CR-12389</t>
  </si>
  <si>
    <t xml:space="preserve">CR-12390</t>
  </si>
  <si>
    <t xml:space="preserve">CR-12391</t>
  </si>
  <si>
    <t xml:space="preserve">CR-12392</t>
  </si>
  <si>
    <t xml:space="preserve">CR-12393</t>
  </si>
  <si>
    <t xml:space="preserve">CR-12394</t>
  </si>
  <si>
    <t xml:space="preserve">CR-12395</t>
  </si>
  <si>
    <t xml:space="preserve">CR-12396</t>
  </si>
  <si>
    <t xml:space="preserve">CR-12397</t>
  </si>
  <si>
    <t xml:space="preserve">CR-12398</t>
  </si>
  <si>
    <t xml:space="preserve">CR-12399</t>
  </si>
  <si>
    <t xml:space="preserve">CR-12400</t>
  </si>
  <si>
    <t xml:space="preserve">CR-12401</t>
  </si>
  <si>
    <t xml:space="preserve">CR-12402</t>
  </si>
  <si>
    <t xml:space="preserve">CR-12403</t>
  </si>
  <si>
    <t xml:space="preserve">CR-12404</t>
  </si>
  <si>
    <t xml:space="preserve">CR-12405</t>
  </si>
  <si>
    <t xml:space="preserve">CR-12406</t>
  </si>
  <si>
    <t xml:space="preserve">CR-12407</t>
  </si>
  <si>
    <t xml:space="preserve">CR-12408</t>
  </si>
  <si>
    <t xml:space="preserve">CR-12409</t>
  </si>
  <si>
    <t xml:space="preserve">CR-12410</t>
  </si>
  <si>
    <t xml:space="preserve">CR-12411</t>
  </si>
  <si>
    <t xml:space="preserve">CR-12412</t>
  </si>
  <si>
    <t xml:space="preserve">CR-12413</t>
  </si>
  <si>
    <t xml:space="preserve">CR-12414</t>
  </si>
  <si>
    <t xml:space="preserve">CR-12415</t>
  </si>
  <si>
    <t xml:space="preserve">CR-12416</t>
  </si>
  <si>
    <t xml:space="preserve">CR-12417</t>
  </si>
  <si>
    <t xml:space="preserve">CR-12418</t>
  </si>
  <si>
    <t xml:space="preserve">CR-12419</t>
  </si>
  <si>
    <t xml:space="preserve">CR-12420</t>
  </si>
  <si>
    <t xml:space="preserve">CR-12421</t>
  </si>
  <si>
    <t xml:space="preserve">CR-12422</t>
  </si>
  <si>
    <t xml:space="preserve">CR-12423</t>
  </si>
  <si>
    <t xml:space="preserve">CR-12424</t>
  </si>
  <si>
    <t xml:space="preserve">CR-12425</t>
  </si>
  <si>
    <t xml:space="preserve">CR-12426</t>
  </si>
  <si>
    <t xml:space="preserve">CR-12427</t>
  </si>
  <si>
    <t xml:space="preserve">CR-12428</t>
  </si>
  <si>
    <t xml:space="preserve">CR-12429</t>
  </si>
  <si>
    <t xml:space="preserve">CR-12430</t>
  </si>
  <si>
    <t xml:space="preserve">CR-12431</t>
  </si>
  <si>
    <t xml:space="preserve">CR-12432</t>
  </si>
  <si>
    <t xml:space="preserve">CR-12433</t>
  </si>
  <si>
    <t xml:space="preserve">CR-12434</t>
  </si>
  <si>
    <t xml:space="preserve">CR-12435</t>
  </si>
  <si>
    <t xml:space="preserve">CR-12436</t>
  </si>
  <si>
    <t xml:space="preserve">CR-12437</t>
  </si>
  <si>
    <t xml:space="preserve">CR-12438</t>
  </si>
  <si>
    <t xml:space="preserve">CR-12439</t>
  </si>
  <si>
    <t xml:space="preserve">CR-12440</t>
  </si>
  <si>
    <t xml:space="preserve">CR-12441</t>
  </si>
  <si>
    <t xml:space="preserve">CR-12442</t>
  </si>
  <si>
    <t xml:space="preserve">CR-12443</t>
  </si>
  <si>
    <t xml:space="preserve">CR-12444</t>
  </si>
  <si>
    <t xml:space="preserve">CR-12445</t>
  </si>
  <si>
    <t xml:space="preserve">CR-12446</t>
  </si>
  <si>
    <t xml:space="preserve">CR-12447</t>
  </si>
  <si>
    <t xml:space="preserve">CR-12448</t>
  </si>
  <si>
    <t xml:space="preserve">CR-12449</t>
  </si>
  <si>
    <t xml:space="preserve">CR-12450</t>
  </si>
  <si>
    <t xml:space="preserve">CR-12451</t>
  </si>
  <si>
    <t xml:space="preserve">CR-12452</t>
  </si>
  <si>
    <t xml:space="preserve">CR-12453</t>
  </si>
  <si>
    <t xml:space="preserve">CR-12454</t>
  </si>
  <si>
    <t xml:space="preserve">CR-12455</t>
  </si>
  <si>
    <t xml:space="preserve">CR-12456</t>
  </si>
  <si>
    <t xml:space="preserve">CR-12457</t>
  </si>
  <si>
    <t xml:space="preserve">CR-12458</t>
  </si>
  <si>
    <t xml:space="preserve">CR-12459</t>
  </si>
  <si>
    <t xml:space="preserve">CR-12460</t>
  </si>
  <si>
    <t xml:space="preserve">CR-12461</t>
  </si>
  <si>
    <t xml:space="preserve">CR-12462</t>
  </si>
  <si>
    <t xml:space="preserve">CR-12463</t>
  </si>
  <si>
    <t xml:space="preserve">CR-12464</t>
  </si>
  <si>
    <t xml:space="preserve">CR-12465</t>
  </si>
  <si>
    <t xml:space="preserve">CR-12466</t>
  </si>
  <si>
    <t xml:space="preserve">CR-12467</t>
  </si>
  <si>
    <t xml:space="preserve">CR-12468</t>
  </si>
  <si>
    <t xml:space="preserve">CR-12469</t>
  </si>
  <si>
    <t xml:space="preserve">Caleb Taylor</t>
  </si>
  <si>
    <t xml:space="preserve">CR-12470</t>
  </si>
  <si>
    <t xml:space="preserve">CR-12471</t>
  </si>
  <si>
    <t xml:space="preserve">CR-12472</t>
  </si>
  <si>
    <t xml:space="preserve">CR-12473</t>
  </si>
  <si>
    <t xml:space="preserve">CR-12474</t>
  </si>
  <si>
    <t xml:space="preserve">CR-12475</t>
  </si>
  <si>
    <t xml:space="preserve">CR-12476</t>
  </si>
  <si>
    <t xml:space="preserve">CR-12477</t>
  </si>
  <si>
    <t xml:space="preserve">CR-12478</t>
  </si>
  <si>
    <t xml:space="preserve">CR-12479</t>
  </si>
  <si>
    <t xml:space="preserve">CR-12480</t>
  </si>
  <si>
    <t xml:space="preserve">CR-12481</t>
  </si>
  <si>
    <t xml:space="preserve">CR-12482</t>
  </si>
  <si>
    <t xml:space="preserve">CR-12483</t>
  </si>
  <si>
    <t xml:space="preserve">CR-12484</t>
  </si>
  <si>
    <t xml:space="preserve">CR-12485</t>
  </si>
  <si>
    <t xml:space="preserve">CR-12486</t>
  </si>
  <si>
    <t xml:space="preserve">CR-12487</t>
  </si>
  <si>
    <t xml:space="preserve">CR-12488</t>
  </si>
  <si>
    <t xml:space="preserve">CR-12489</t>
  </si>
  <si>
    <t xml:space="preserve">CR-12490</t>
  </si>
  <si>
    <t xml:space="preserve">CR-12491</t>
  </si>
  <si>
    <t xml:space="preserve">CR-12492</t>
  </si>
  <si>
    <t xml:space="preserve">CR-12493</t>
  </si>
  <si>
    <t xml:space="preserve">CR-12494</t>
  </si>
  <si>
    <t xml:space="preserve">CR-12495</t>
  </si>
  <si>
    <t xml:space="preserve">CR-12496</t>
  </si>
  <si>
    <t xml:space="preserve">CR-12497</t>
  </si>
  <si>
    <t xml:space="preserve">CR-12498</t>
  </si>
  <si>
    <t xml:space="preserve">CR-12499</t>
  </si>
  <si>
    <t xml:space="preserve">CR-12500</t>
  </si>
  <si>
    <t xml:space="preserve">CR-12501</t>
  </si>
  <si>
    <t xml:space="preserve">CR-12502</t>
  </si>
  <si>
    <t xml:space="preserve">CR-12503</t>
  </si>
  <si>
    <t xml:space="preserve">CR-12504</t>
  </si>
  <si>
    <t xml:space="preserve">CR-12505</t>
  </si>
  <si>
    <t xml:space="preserve">CR-12506</t>
  </si>
  <si>
    <t xml:space="preserve">CR-12507</t>
  </si>
  <si>
    <t xml:space="preserve">CR-12508</t>
  </si>
  <si>
    <t xml:space="preserve">CR-12509</t>
  </si>
  <si>
    <t xml:space="preserve">CR-12510</t>
  </si>
  <si>
    <t xml:space="preserve">CR-12511</t>
  </si>
  <si>
    <t xml:space="preserve">CR-12512</t>
  </si>
  <si>
    <t xml:space="preserve">CR-12513</t>
  </si>
  <si>
    <t xml:space="preserve">CR-12514</t>
  </si>
  <si>
    <t xml:space="preserve">CR-12515</t>
  </si>
  <si>
    <t xml:space="preserve">CR-12516</t>
  </si>
  <si>
    <t xml:space="preserve">CR-12517</t>
  </si>
  <si>
    <t xml:space="preserve">CR-12518</t>
  </si>
  <si>
    <t xml:space="preserve">CR-12519</t>
  </si>
  <si>
    <t xml:space="preserve">CR-12520</t>
  </si>
  <si>
    <t xml:space="preserve">CR-12521</t>
  </si>
  <si>
    <t xml:space="preserve">CR-12522</t>
  </si>
  <si>
    <t xml:space="preserve">CR-12523</t>
  </si>
  <si>
    <t xml:space="preserve">CR-12524</t>
  </si>
  <si>
    <t xml:space="preserve">CR-12525</t>
  </si>
  <si>
    <t xml:space="preserve">CR-12526</t>
  </si>
  <si>
    <t xml:space="preserve">CR-12527</t>
  </si>
  <si>
    <t xml:space="preserve">CR-12528</t>
  </si>
  <si>
    <t xml:space="preserve">CR-12529</t>
  </si>
  <si>
    <t xml:space="preserve">CR-12530</t>
  </si>
  <si>
    <t xml:space="preserve">CR-12531</t>
  </si>
  <si>
    <t xml:space="preserve">CR-12532</t>
  </si>
  <si>
    <t xml:space="preserve">CR-12533</t>
  </si>
  <si>
    <t xml:space="preserve">CR-12534</t>
  </si>
  <si>
    <t xml:space="preserve">CR-12535</t>
  </si>
  <si>
    <t xml:space="preserve">CR-12536</t>
  </si>
  <si>
    <t xml:space="preserve">CR-12537</t>
  </si>
  <si>
    <t xml:space="preserve">CR-12538</t>
  </si>
  <si>
    <t xml:space="preserve">CR-12539</t>
  </si>
  <si>
    <t xml:space="preserve">CR-12540</t>
  </si>
  <si>
    <t xml:space="preserve">CR-12541</t>
  </si>
  <si>
    <t xml:space="preserve">CR-12542</t>
  </si>
  <si>
    <t xml:space="preserve">CR-12543</t>
  </si>
  <si>
    <t xml:space="preserve">CR-12544</t>
  </si>
  <si>
    <t xml:space="preserve">CR-12545</t>
  </si>
  <si>
    <t xml:space="preserve">CR-12546</t>
  </si>
  <si>
    <t xml:space="preserve">CR-12547</t>
  </si>
  <si>
    <t xml:space="preserve">CR-12548</t>
  </si>
  <si>
    <t xml:space="preserve">CR-12549</t>
  </si>
  <si>
    <t xml:space="preserve">CR-12550</t>
  </si>
  <si>
    <t xml:space="preserve">CR-12551</t>
  </si>
  <si>
    <t xml:space="preserve">CR-12552</t>
  </si>
  <si>
    <t xml:space="preserve">CR-12553</t>
  </si>
  <si>
    <t xml:space="preserve">CR-12554</t>
  </si>
  <si>
    <t xml:space="preserve">CR-12555</t>
  </si>
  <si>
    <t xml:space="preserve">CR-12556</t>
  </si>
  <si>
    <t xml:space="preserve">CR-12557</t>
  </si>
  <si>
    <t xml:space="preserve">CR-12558</t>
  </si>
  <si>
    <t xml:space="preserve">CR-12559</t>
  </si>
  <si>
    <t xml:space="preserve">CR-12560</t>
  </si>
  <si>
    <t xml:space="preserve">CR-12561</t>
  </si>
  <si>
    <t xml:space="preserve">Noah Scott</t>
  </si>
  <si>
    <t xml:space="preserve">CR-12562</t>
  </si>
  <si>
    <t xml:space="preserve">CR-12563</t>
  </si>
  <si>
    <t xml:space="preserve">CR-12564</t>
  </si>
  <si>
    <t xml:space="preserve">CR-12565</t>
  </si>
  <si>
    <t xml:space="preserve">CR-12566</t>
  </si>
  <si>
    <t xml:space="preserve">CR-12567</t>
  </si>
  <si>
    <t xml:space="preserve">CR-12568</t>
  </si>
  <si>
    <t xml:space="preserve">CR-12569</t>
  </si>
  <si>
    <t xml:space="preserve">CR-12570</t>
  </si>
  <si>
    <t xml:space="preserve">CR-12571</t>
  </si>
  <si>
    <t xml:space="preserve">CR-12572</t>
  </si>
  <si>
    <t xml:space="preserve">CR-12573</t>
  </si>
  <si>
    <t xml:space="preserve">CR-12574</t>
  </si>
  <si>
    <t xml:space="preserve">CR-12575</t>
  </si>
  <si>
    <t xml:space="preserve">CR-12576</t>
  </si>
  <si>
    <t xml:space="preserve">CR-12577</t>
  </si>
  <si>
    <t xml:space="preserve">CR-12578</t>
  </si>
  <si>
    <t xml:space="preserve">CR-12579</t>
  </si>
  <si>
    <t xml:space="preserve">CR-12580</t>
  </si>
  <si>
    <t xml:space="preserve">CR-12581</t>
  </si>
  <si>
    <t xml:space="preserve">CR-12582</t>
  </si>
  <si>
    <t xml:space="preserve">CR-12583</t>
  </si>
  <si>
    <t xml:space="preserve">CR-12584</t>
  </si>
  <si>
    <t xml:space="preserve">CR-12585</t>
  </si>
  <si>
    <t xml:space="preserve">CR-12586</t>
  </si>
  <si>
    <t xml:space="preserve">CR-12587</t>
  </si>
  <si>
    <t xml:space="preserve">CR-12588</t>
  </si>
  <si>
    <t xml:space="preserve">CR-12589</t>
  </si>
  <si>
    <t xml:space="preserve">CR-12590</t>
  </si>
  <si>
    <t xml:space="preserve">CR-12591</t>
  </si>
  <si>
    <t xml:space="preserve">CR-12592</t>
  </si>
  <si>
    <t xml:space="preserve">CR-12593</t>
  </si>
  <si>
    <t xml:space="preserve">CR-12594</t>
  </si>
  <si>
    <t xml:space="preserve">CR-12595</t>
  </si>
  <si>
    <t xml:space="preserve">CR-12596</t>
  </si>
  <si>
    <t xml:space="preserve">CR-12597</t>
  </si>
  <si>
    <t xml:space="preserve">CR-12598</t>
  </si>
  <si>
    <t xml:space="preserve">CR-12599</t>
  </si>
  <si>
    <t xml:space="preserve">CR-12600</t>
  </si>
  <si>
    <t xml:space="preserve">CR-12601</t>
  </si>
  <si>
    <t xml:space="preserve">CR-12602</t>
  </si>
  <si>
    <t xml:space="preserve">CR-12603</t>
  </si>
  <si>
    <t xml:space="preserve">CR-12604</t>
  </si>
  <si>
    <t xml:space="preserve">CR-12605</t>
  </si>
  <si>
    <t xml:space="preserve">CR-12606</t>
  </si>
  <si>
    <t xml:space="preserve">CR-12607</t>
  </si>
  <si>
    <t xml:space="preserve">CR-12608</t>
  </si>
  <si>
    <t xml:space="preserve">CR-12609</t>
  </si>
  <si>
    <t xml:space="preserve">CR-12610</t>
  </si>
  <si>
    <t xml:space="preserve">CR-12611</t>
  </si>
  <si>
    <t xml:space="preserve">CR-12612</t>
  </si>
  <si>
    <t xml:space="preserve">CR-12613</t>
  </si>
  <si>
    <t xml:space="preserve">CR-12614</t>
  </si>
  <si>
    <t xml:space="preserve">CR-12615</t>
  </si>
  <si>
    <t xml:space="preserve">CR-12616</t>
  </si>
  <si>
    <t xml:space="preserve">CR-12617</t>
  </si>
  <si>
    <t xml:space="preserve">CR-12618</t>
  </si>
  <si>
    <t xml:space="preserve">CR-12619</t>
  </si>
  <si>
    <t xml:space="preserve">CR-12620</t>
  </si>
  <si>
    <t xml:space="preserve">CR-12621</t>
  </si>
  <si>
    <t xml:space="preserve">CR-12622</t>
  </si>
  <si>
    <t xml:space="preserve">CR-12623</t>
  </si>
  <si>
    <t xml:space="preserve">CR-12624</t>
  </si>
  <si>
    <t xml:space="preserve">CR-12625</t>
  </si>
  <si>
    <t xml:space="preserve">CR-12626</t>
  </si>
  <si>
    <t xml:space="preserve">CR-12627</t>
  </si>
  <si>
    <t xml:space="preserve">CR-12628</t>
  </si>
  <si>
    <t xml:space="preserve">Liam Hall</t>
  </si>
  <si>
    <t xml:space="preserve">CR-12629</t>
  </si>
  <si>
    <t xml:space="preserve">CR-12630</t>
  </si>
  <si>
    <t xml:space="preserve">CR-12631</t>
  </si>
  <si>
    <t xml:space="preserve">CR-12632</t>
  </si>
  <si>
    <t xml:space="preserve">CR-12633</t>
  </si>
  <si>
    <t xml:space="preserve">CR-12634</t>
  </si>
  <si>
    <t xml:space="preserve">CR-12635</t>
  </si>
  <si>
    <t xml:space="preserve">CR-12636</t>
  </si>
  <si>
    <t xml:space="preserve">CR-12637</t>
  </si>
  <si>
    <t xml:space="preserve">CR-12638</t>
  </si>
  <si>
    <t xml:space="preserve">CR-12639</t>
  </si>
  <si>
    <t xml:space="preserve">CR-12640</t>
  </si>
  <si>
    <t xml:space="preserve">CR-12641</t>
  </si>
  <si>
    <t xml:space="preserve">CR-12642</t>
  </si>
  <si>
    <t xml:space="preserve">CR-12643</t>
  </si>
  <si>
    <t xml:space="preserve">CR-12644</t>
  </si>
  <si>
    <t xml:space="preserve">CR-12645</t>
  </si>
  <si>
    <t xml:space="preserve">CR-12646</t>
  </si>
  <si>
    <t xml:space="preserve">CR-12647</t>
  </si>
  <si>
    <t xml:space="preserve">CR-12648</t>
  </si>
  <si>
    <t xml:space="preserve">CR-12649</t>
  </si>
  <si>
    <t xml:space="preserve">CR-12650</t>
  </si>
  <si>
    <t xml:space="preserve">CR-12651</t>
  </si>
  <si>
    <t xml:space="preserve">CR-12652</t>
  </si>
  <si>
    <t xml:space="preserve">CR-12653</t>
  </si>
  <si>
    <t xml:space="preserve">CR-12654</t>
  </si>
  <si>
    <t xml:space="preserve">CR-12655</t>
  </si>
  <si>
    <t xml:space="preserve">CR-12656</t>
  </si>
  <si>
    <t xml:space="preserve">CR-12657</t>
  </si>
  <si>
    <t xml:space="preserve">CR-12658</t>
  </si>
  <si>
    <t xml:space="preserve">CR-12659</t>
  </si>
  <si>
    <t xml:space="preserve">CR-12660</t>
  </si>
  <si>
    <t xml:space="preserve">CR-12661</t>
  </si>
  <si>
    <t xml:space="preserve">CR-12662</t>
  </si>
  <si>
    <t xml:space="preserve">CR-12663</t>
  </si>
  <si>
    <t xml:space="preserve">CR-12664</t>
  </si>
  <si>
    <t xml:space="preserve">CR-12665</t>
  </si>
  <si>
    <t xml:space="preserve">CR-12666</t>
  </si>
  <si>
    <t xml:space="preserve">CR-12667</t>
  </si>
  <si>
    <t xml:space="preserve">CR-12668</t>
  </si>
  <si>
    <t xml:space="preserve">CR-12669</t>
  </si>
  <si>
    <t xml:space="preserve">CR-12670</t>
  </si>
  <si>
    <t xml:space="preserve">CR-12671</t>
  </si>
  <si>
    <t xml:space="preserve">CR-12672</t>
  </si>
  <si>
    <t xml:space="preserve">CR-12673</t>
  </si>
  <si>
    <t xml:space="preserve">CR-12674</t>
  </si>
  <si>
    <t xml:space="preserve">CR-12675</t>
  </si>
  <si>
    <t xml:space="preserve">CR-12676</t>
  </si>
  <si>
    <t xml:space="preserve">CR-12677</t>
  </si>
  <si>
    <t xml:space="preserve">CR-12678</t>
  </si>
  <si>
    <t xml:space="preserve">CR-12679</t>
  </si>
  <si>
    <t xml:space="preserve">CR-12680</t>
  </si>
  <si>
    <t xml:space="preserve">CR-12681</t>
  </si>
  <si>
    <t xml:space="preserve">CR-12682</t>
  </si>
  <si>
    <t xml:space="preserve">CR-12683</t>
  </si>
  <si>
    <t xml:space="preserve">CR-12684</t>
  </si>
  <si>
    <t xml:space="preserve">CR-12685</t>
  </si>
  <si>
    <t xml:space="preserve">CR-12686</t>
  </si>
  <si>
    <t xml:space="preserve">CR-12687</t>
  </si>
  <si>
    <t xml:space="preserve">CR-12688</t>
  </si>
  <si>
    <t xml:space="preserve">CR-12689</t>
  </si>
  <si>
    <t xml:space="preserve">CR-12690</t>
  </si>
  <si>
    <t xml:space="preserve">CR-12691</t>
  </si>
  <si>
    <t xml:space="preserve">CR-12692</t>
  </si>
  <si>
    <t xml:space="preserve">CR-12693</t>
  </si>
  <si>
    <t xml:space="preserve">CR-12694</t>
  </si>
  <si>
    <t xml:space="preserve">CR-12695</t>
  </si>
  <si>
    <t xml:space="preserve">CR-12696</t>
  </si>
  <si>
    <t xml:space="preserve">CR-12697</t>
  </si>
  <si>
    <t xml:space="preserve">CR-12698</t>
  </si>
  <si>
    <t xml:space="preserve">CR-12699</t>
  </si>
  <si>
    <t xml:space="preserve">CR-12700</t>
  </si>
  <si>
    <t xml:space="preserve">CR-12701</t>
  </si>
  <si>
    <t xml:space="preserve">Dylan King</t>
  </si>
  <si>
    <t xml:space="preserve">CR-12702</t>
  </si>
  <si>
    <t xml:space="preserve">CR-12703</t>
  </si>
  <si>
    <t xml:space="preserve">CR-12704</t>
  </si>
  <si>
    <t xml:space="preserve">CR-12705</t>
  </si>
  <si>
    <t xml:space="preserve">CR-12706</t>
  </si>
  <si>
    <t xml:space="preserve">CR-12707</t>
  </si>
  <si>
    <t xml:space="preserve">CR-12708</t>
  </si>
  <si>
    <t xml:space="preserve">Ryan Brown</t>
  </si>
  <si>
    <t xml:space="preserve">CR-12709</t>
  </si>
  <si>
    <t xml:space="preserve">CR-12710</t>
  </si>
  <si>
    <t xml:space="preserve">CR-12711</t>
  </si>
  <si>
    <t xml:space="preserve">CR-12712</t>
  </si>
  <si>
    <t xml:space="preserve">CR-12713</t>
  </si>
  <si>
    <t xml:space="preserve">CR-12714</t>
  </si>
  <si>
    <t xml:space="preserve">CR-12715</t>
  </si>
  <si>
    <t xml:space="preserve">CR-12716</t>
  </si>
  <si>
    <t xml:space="preserve">CR-12717</t>
  </si>
  <si>
    <t xml:space="preserve">CR-12718</t>
  </si>
  <si>
    <t xml:space="preserve">CR-12719</t>
  </si>
  <si>
    <t xml:space="preserve">CR-12720</t>
  </si>
  <si>
    <t xml:space="preserve">CR-12721</t>
  </si>
  <si>
    <t xml:space="preserve">Harper Davis</t>
  </si>
  <si>
    <t xml:space="preserve">CR-12722</t>
  </si>
  <si>
    <t xml:space="preserve">CR-12723</t>
  </si>
  <si>
    <t xml:space="preserve">CR-12724</t>
  </si>
  <si>
    <t xml:space="preserve">CR-12725</t>
  </si>
  <si>
    <t xml:space="preserve">CR-12726</t>
  </si>
  <si>
    <t xml:space="preserve">CR-12727</t>
  </si>
  <si>
    <t xml:space="preserve">CR-12728</t>
  </si>
  <si>
    <t xml:space="preserve">CR-12729</t>
  </si>
  <si>
    <t xml:space="preserve">CR-12730</t>
  </si>
  <si>
    <t xml:space="preserve">CR-12731</t>
  </si>
  <si>
    <t xml:space="preserve">CR-12732</t>
  </si>
  <si>
    <t xml:space="preserve">CR-12733</t>
  </si>
  <si>
    <t xml:space="preserve">CR-12734</t>
  </si>
  <si>
    <t xml:space="preserve">CR-12735</t>
  </si>
  <si>
    <t xml:space="preserve">CR-12736</t>
  </si>
  <si>
    <t xml:space="preserve">CR-12737</t>
  </si>
  <si>
    <t xml:space="preserve">CR-12738</t>
  </si>
  <si>
    <t xml:space="preserve">CR-12739</t>
  </si>
  <si>
    <t xml:space="preserve">CR-12740</t>
  </si>
  <si>
    <t xml:space="preserve">CR-12741</t>
  </si>
  <si>
    <t xml:space="preserve">CR-12742</t>
  </si>
  <si>
    <t xml:space="preserve">CR-12743</t>
  </si>
  <si>
    <t xml:space="preserve">CR-12744</t>
  </si>
  <si>
    <t xml:space="preserve">CR-12745</t>
  </si>
  <si>
    <t xml:space="preserve">CR-12746</t>
  </si>
  <si>
    <t xml:space="preserve">CR-12747</t>
  </si>
  <si>
    <t xml:space="preserve">CR-12748</t>
  </si>
  <si>
    <t xml:space="preserve">CR-12749</t>
  </si>
  <si>
    <t xml:space="preserve">CR-12750</t>
  </si>
  <si>
    <t xml:space="preserve">CR-12751</t>
  </si>
  <si>
    <t xml:space="preserve">CR-12752</t>
  </si>
  <si>
    <t xml:space="preserve">CR-12753</t>
  </si>
  <si>
    <t xml:space="preserve">CR-12754</t>
  </si>
  <si>
    <t xml:space="preserve">CR-12755</t>
  </si>
  <si>
    <t xml:space="preserve">CR-12756</t>
  </si>
  <si>
    <t xml:space="preserve">CR-12757</t>
  </si>
  <si>
    <t xml:space="preserve">CR-12758</t>
  </si>
  <si>
    <t xml:space="preserve">CR-12759</t>
  </si>
  <si>
    <t xml:space="preserve">CR-12760</t>
  </si>
  <si>
    <t xml:space="preserve">CR-12761</t>
  </si>
  <si>
    <t xml:space="preserve">CR-12762</t>
  </si>
  <si>
    <t xml:space="preserve">CR-12763</t>
  </si>
  <si>
    <t xml:space="preserve">CR-12764</t>
  </si>
  <si>
    <t xml:space="preserve">CR-12765</t>
  </si>
  <si>
    <t xml:space="preserve">CR-12766</t>
  </si>
  <si>
    <t xml:space="preserve">CR-12767</t>
  </si>
  <si>
    <t xml:space="preserve">CR-12768</t>
  </si>
  <si>
    <t xml:space="preserve">CR-12769</t>
  </si>
  <si>
    <t xml:space="preserve">CR-12770</t>
  </si>
  <si>
    <t xml:space="preserve">Mason Miller</t>
  </si>
  <si>
    <t xml:space="preserve">CR-12771</t>
  </si>
  <si>
    <t xml:space="preserve">CR-12772</t>
  </si>
  <si>
    <t xml:space="preserve">CR-12773</t>
  </si>
  <si>
    <t xml:space="preserve">CR-12774</t>
  </si>
  <si>
    <t xml:space="preserve">CR-12775</t>
  </si>
  <si>
    <t xml:space="preserve">CR-12776</t>
  </si>
  <si>
    <t xml:space="preserve">CR-12777</t>
  </si>
  <si>
    <t xml:space="preserve">CR-12778</t>
  </si>
  <si>
    <t xml:space="preserve">CR-12779</t>
  </si>
  <si>
    <t xml:space="preserve">CR-12780</t>
  </si>
  <si>
    <t xml:space="preserve">CR-12781</t>
  </si>
  <si>
    <t xml:space="preserve">CR-12782</t>
  </si>
  <si>
    <t xml:space="preserve">CR-12783</t>
  </si>
  <si>
    <t xml:space="preserve">CR-12784</t>
  </si>
  <si>
    <t xml:space="preserve">CR-12785</t>
  </si>
  <si>
    <t xml:space="preserve">CR-12786</t>
  </si>
  <si>
    <t xml:space="preserve">CR-12787</t>
  </si>
  <si>
    <t xml:space="preserve">CR-12788</t>
  </si>
  <si>
    <t xml:space="preserve">CR-12789</t>
  </si>
  <si>
    <t xml:space="preserve">CR-12790</t>
  </si>
  <si>
    <t xml:space="preserve">CR-12791</t>
  </si>
  <si>
    <t xml:space="preserve">CR-12792</t>
  </si>
  <si>
    <t xml:space="preserve">CR-12793</t>
  </si>
  <si>
    <t xml:space="preserve">CR-12794</t>
  </si>
  <si>
    <t xml:space="preserve">CR-12795</t>
  </si>
  <si>
    <t xml:space="preserve">CR-12796</t>
  </si>
  <si>
    <t xml:space="preserve">CR-12797</t>
  </si>
  <si>
    <t xml:space="preserve">CR-12798</t>
  </si>
  <si>
    <t xml:space="preserve">CR-12799</t>
  </si>
  <si>
    <t xml:space="preserve">CR-12800</t>
  </si>
  <si>
    <t xml:space="preserve">CR-12801</t>
  </si>
  <si>
    <t xml:space="preserve">CR-12802</t>
  </si>
  <si>
    <t xml:space="preserve">CR-12803</t>
  </si>
  <si>
    <t xml:space="preserve">CR-12804</t>
  </si>
  <si>
    <t xml:space="preserve">CR-12805</t>
  </si>
  <si>
    <t xml:space="preserve">CR-12806</t>
  </si>
  <si>
    <t xml:space="preserve">CR-12807</t>
  </si>
  <si>
    <t xml:space="preserve">CR-12808</t>
  </si>
  <si>
    <t xml:space="preserve">CR-12809</t>
  </si>
  <si>
    <t xml:space="preserve">CR-12810</t>
  </si>
  <si>
    <t xml:space="preserve">CR-12811</t>
  </si>
  <si>
    <t xml:space="preserve">CR-12812</t>
  </si>
  <si>
    <t xml:space="preserve">CR-12813</t>
  </si>
  <si>
    <t xml:space="preserve">CR-12814</t>
  </si>
  <si>
    <t xml:space="preserve">CR-12815</t>
  </si>
  <si>
    <t xml:space="preserve">CR-12816</t>
  </si>
  <si>
    <t xml:space="preserve">CR-12817</t>
  </si>
  <si>
    <t xml:space="preserve">CR-12818</t>
  </si>
  <si>
    <t xml:space="preserve">CR-12819</t>
  </si>
  <si>
    <t xml:space="preserve">CR-12820</t>
  </si>
  <si>
    <t xml:space="preserve">CR-12821</t>
  </si>
  <si>
    <t xml:space="preserve">CR-12822</t>
  </si>
  <si>
    <t xml:space="preserve">CR-12823</t>
  </si>
  <si>
    <t xml:space="preserve">CR-12824</t>
  </si>
  <si>
    <t xml:space="preserve">CR-12825</t>
  </si>
  <si>
    <t xml:space="preserve">CR-12826</t>
  </si>
  <si>
    <t xml:space="preserve">CR-12827</t>
  </si>
  <si>
    <t xml:space="preserve">CR-12828</t>
  </si>
  <si>
    <t xml:space="preserve">CR-12829</t>
  </si>
  <si>
    <t xml:space="preserve">CR-12830</t>
  </si>
  <si>
    <t xml:space="preserve">CR-12831</t>
  </si>
  <si>
    <t xml:space="preserve">CR-12832</t>
  </si>
  <si>
    <t xml:space="preserve">CR-12833</t>
  </si>
  <si>
    <t xml:space="preserve">CR-12834</t>
  </si>
  <si>
    <t xml:space="preserve">CR-12835</t>
  </si>
  <si>
    <t xml:space="preserve">James Miller</t>
  </si>
  <si>
    <t xml:space="preserve">CR-12836</t>
  </si>
  <si>
    <t xml:space="preserve">CR-12837</t>
  </si>
  <si>
    <t xml:space="preserve">CR-12838</t>
  </si>
  <si>
    <t xml:space="preserve">CR-12839</t>
  </si>
  <si>
    <t xml:space="preserve">CR-12840</t>
  </si>
  <si>
    <t xml:space="preserve">CR-12841</t>
  </si>
  <si>
    <t xml:space="preserve">CR-12842</t>
  </si>
  <si>
    <t xml:space="preserve">CR-12843</t>
  </si>
  <si>
    <t xml:space="preserve">CR-12844</t>
  </si>
  <si>
    <t xml:space="preserve">CR-12845</t>
  </si>
  <si>
    <t xml:space="preserve">CR-12846</t>
  </si>
  <si>
    <t xml:space="preserve">CR-12847</t>
  </si>
  <si>
    <t xml:space="preserve">CR-12848</t>
  </si>
  <si>
    <t xml:space="preserve">CR-12849</t>
  </si>
  <si>
    <t xml:space="preserve">CR-12850</t>
  </si>
  <si>
    <t xml:space="preserve">CR-12851</t>
  </si>
  <si>
    <t xml:space="preserve">CR-12852</t>
  </si>
  <si>
    <t xml:space="preserve">CR-12853</t>
  </si>
  <si>
    <t xml:space="preserve">CR-12854</t>
  </si>
  <si>
    <t xml:space="preserve">CR-12855</t>
  </si>
  <si>
    <t xml:space="preserve">CR-12856</t>
  </si>
  <si>
    <t xml:space="preserve">CR-12857</t>
  </si>
  <si>
    <t xml:space="preserve">CR-12858</t>
  </si>
  <si>
    <t xml:space="preserve">CR-12859</t>
  </si>
  <si>
    <t xml:space="preserve">CR-12860</t>
  </si>
  <si>
    <t xml:space="preserve">CR-12861</t>
  </si>
  <si>
    <t xml:space="preserve">CR-12862</t>
  </si>
  <si>
    <t xml:space="preserve">CR-12863</t>
  </si>
  <si>
    <t xml:space="preserve">Helper calculations (do not edit). Filters come from the Overview sheet.</t>
  </si>
  <si>
    <t xml:space="preserve">Month # (0 = all)</t>
  </si>
  <si>
    <t xml:space="preserve">Previous year</t>
  </si>
  <si>
    <t xml:space="preserve">Previous month # (0 = all)</t>
  </si>
  <si>
    <t xml:space="preserve">Previous period label</t>
  </si>
  <si>
    <t xml:space="preserve">Period label</t>
  </si>
  <si>
    <t xml:space="preserve">Earlier data exists?</t>
  </si>
  <si>
    <t xml:space="preserve">KPI</t>
  </si>
  <si>
    <t xml:space="preserve">Selected period</t>
  </si>
  <si>
    <t xml:space="preserve">Previous period</t>
  </si>
  <si>
    <t xml:space="preserve">Total sales</t>
  </si>
  <si>
    <t xml:space="preserve">Total profit</t>
  </si>
  <si>
    <t xml:space="preserve">Total orders</t>
  </si>
  <si>
    <t xml:space="preserve">Total customers</t>
  </si>
  <si>
    <t xml:space="preserve">Profit margin</t>
  </si>
  <si>
    <t xml:space="preserve">Profit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</si>
  <si>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</si>
  <si>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</si>
  <si>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</si>
  <si>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</si>
  <si>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</si>
  <si>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</si>
  <si>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</si>
  <si>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</si>
  <si>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</si>
  <si>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</si>
  <si>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</si>
  <si>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</si>
  <si>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Units</t>
  </si>
  <si>
    <t xml:space="preserve">Sort key</t>
  </si>
  <si>
    <t xml:space="preserve">Top #</t>
  </si>
  <si>
    <t xml:space="preserve">Recent #</t>
  </si>
  <si>
    <t xml:space="preserve">Row</t>
  </si>
  <si>
    <t xml:space="preserve">Ryan Moore</t>
  </si>
  <si>
    <t xml:space="preserve">Logan Smith</t>
  </si>
  <si>
    <t xml:space="preserve">Chloe Green</t>
  </si>
  <si>
    <t xml:space="preserve">Ava Taylor</t>
  </si>
  <si>
    <t xml:space="preserve">Dylan Lewis</t>
  </si>
  <si>
    <t xml:space="preserve">Mason Taylor</t>
  </si>
  <si>
    <t xml:space="preserve">Ruby Smith</t>
  </si>
  <si>
    <t xml:space="preserve">Ella Thomas</t>
  </si>
  <si>
    <t xml:space="preserve">Ava King</t>
  </si>
  <si>
    <t xml:space="preserve">Ella Walker</t>
  </si>
  <si>
    <t xml:space="preserve">James Walker</t>
  </si>
  <si>
    <t xml:space="preserve">Noah Brown</t>
  </si>
  <si>
    <t xml:space="preserve">Nora Walker</t>
  </si>
  <si>
    <t xml:space="preserve">Dylan Clark</t>
  </si>
  <si>
    <t xml:space="preserve">Caleb Johnson</t>
  </si>
  <si>
    <t xml:space="preserve">Ella Wilson</t>
  </si>
  <si>
    <t xml:space="preserve">Liam Smith</t>
  </si>
  <si>
    <t xml:space="preserve">How to use this dashboard</t>
  </si>
  <si>
    <t xml:space="preserve">1. On the Overview sheet, choose a Year and a Month (or "All") in the navy header. KPIs, charts and tables update; ↑/↓ compares with the previous month or year.</t>
  </si>
  <si>
    <t xml:space="preserve">2. Click the sidebar (Overview, Sales, Products, Customers, Orders) to jump between pages. Each page has a "Back to Overview" link.</t>
  </si>
  <si>
    <t xml:space="preserve">3. Add new orders at the bottom of the Orders sheet (an Excel table — keep it sorted by date). Type only the blue columns and the text columns; the formula columns fill themselves.</t>
  </si>
  <si>
    <t xml:space="preserve">4. The Calc sheet holds the helper formulas behind the charts — no need to edit it.</t>
  </si>
  <si>
    <t xml:space="preserve">Definitions: Sales = qty × unit price · Profit = sales − qty × unit cost · Total customers = distinct customers who ordered in the period.</t>
  </si>
  <si>
    <t xml:space="preserve">Crestview Retail Co. is a fictional company; all figures are demo data. Works in Excel 2010 or later, Excel for the web and LibreOffice. No macros.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</si>
</sst>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"/>
    <numFmt numFmtId="166" formatCode="#,##0"/>
    <numFmt numFmtId="167" formatCode=";;;"/>
    <numFmt numFmtId="168" formatCode="dd\ mmm\ yy"/>
    <numFmt numFmtId="169" formatCode="\$#,##0,\K"/>
    <numFmt numFmtId="170" formatCode="@"/>
    <numFmt numFmtId="171" formatCode="0.0%"/>
    <numFmt numFmtId="172" formatCode="0"/>
    <numFmt numFmtId="173" formatCode="dd\ mmm\ yyyy"/>
    <numFmt numFmtId="174" formatCode="#,##0.00"/>
    <numFmt numFmtId="175" formatCode="General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C7D2F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3306B"/>
      <name val="Arial"/>
      <family val="0"/>
      <charset val="1"/>
    </font>
    <font>
      <b val="true"/>
      <sz val="7"/>
      <color rgb="FFA5B4FC"/>
      <name val="Arial"/>
      <family val="0"/>
      <charset val="1"/>
    </font>
    <font>
      <b val="true"/>
      <sz val="8"/>
      <color rgb="FF64748B"/>
      <name val="Arial"/>
      <family val="0"/>
      <charset val="1"/>
    </font>
    <font>
      <b val="true"/>
      <sz val="18"/>
      <color rgb="FF16A34A"/>
      <name val="Arial"/>
      <family val="0"/>
      <charset val="1"/>
    </font>
    <font>
      <b val="true"/>
      <sz val="18"/>
      <color rgb="FF0F172A"/>
      <name val="Arial"/>
      <family val="0"/>
      <charset val="1"/>
    </font>
    <font>
      <b val="true"/>
      <sz val="18"/>
      <color rgb="FF2A78D6"/>
      <name val="Arial"/>
      <family val="0"/>
      <charset val="1"/>
    </font>
    <font>
      <b val="true"/>
      <sz val="18"/>
      <color rgb="FF334155"/>
      <name val="Arial"/>
      <family val="0"/>
      <charset val="1"/>
    </font>
    <font>
      <b val="true"/>
      <sz val="18"/>
      <color rgb="FFF59E0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C7D2FE"/>
      <name val="Arial"/>
      <family val="0"/>
      <charset val="1"/>
    </font>
    <font>
      <b val="true"/>
      <sz val="9"/>
      <color rgb="FF0F172A"/>
      <name val="Arial"/>
      <family val="0"/>
      <charset val="1"/>
    </font>
    <font>
      <sz val="9"/>
      <color rgb="FF0F172A"/>
      <name val="Arial"/>
      <family val="0"/>
      <charset val="1"/>
    </font>
    <font>
      <i val="true"/>
      <sz val="8"/>
      <color rgb="FF64748B"/>
      <name val="Arial"/>
      <family val="0"/>
      <charset val="1"/>
    </font>
    <font>
      <i val="true"/>
      <sz val="7"/>
      <color rgb="FFA5B4FC"/>
      <name val="Arial"/>
      <family val="0"/>
      <charset val="1"/>
    </font>
    <font>
      <b val="true"/>
      <sz val="11"/>
      <color rgb="FF475569"/>
      <name val="Arial"/>
      <family val="2"/>
    </font>
    <font>
      <sz val="8"/>
      <color rgb="FF475569"/>
      <name val="Arial"/>
      <family val="2"/>
    </font>
    <font>
      <b val="true"/>
      <sz val="7"/>
      <color rgb="FFFFFFFF"/>
      <name val="Arial"/>
      <family val="2"/>
    </font>
    <font>
      <b val="true"/>
      <sz val="7"/>
      <color rgb="FF475569"/>
      <name val="Arial"/>
      <family val="2"/>
    </font>
    <font>
      <b val="true"/>
      <sz val="16"/>
      <color rgb="FF13306B"/>
      <name val="Arial"/>
      <family val="0"/>
      <charset val="1"/>
    </font>
    <font>
      <b val="true"/>
      <sz val="10"/>
      <color rgb="FF2A78D6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rgb="FF0F172A"/>
      <name val="Arial"/>
      <family val="0"/>
      <charset val="1"/>
    </font>
    <font>
      <sz val="11"/>
      <color rgb="FF0F172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EF2F8"/>
        <bgColor rgb="FFF1F5FB"/>
      </patternFill>
    </fill>
    <fill>
      <patternFill patternType="solid">
        <fgColor rgb="FF13306B"/>
        <bgColor rgb="FF1D4289"/>
      </patternFill>
    </fill>
    <fill>
      <patternFill patternType="solid">
        <fgColor rgb="FFFFFFFF"/>
        <bgColor rgb="FFF1F5FB"/>
      </patternFill>
    </fill>
    <fill>
      <patternFill patternType="solid">
        <fgColor rgb="FF1D4289"/>
        <bgColor rgb="FF13306B"/>
      </patternFill>
    </fill>
    <fill>
      <patternFill patternType="solid">
        <fgColor rgb="FF16A34A"/>
        <bgColor rgb="FF1BAF7A"/>
      </patternFill>
    </fill>
    <fill>
      <patternFill patternType="solid">
        <fgColor rgb="FFF1F5FB"/>
        <bgColor rgb="FFEEF2F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 diagonalUp="false" diagonalDown="false">
      <left style="thin">
        <color rgb="FFDCE3EE"/>
      </left>
      <right/>
      <top style="thin">
        <color rgb="FFDCE3EE"/>
      </top>
      <bottom/>
      <diagonal/>
    </border>
    <border diagonalUp="false" diagonalDown="false">
      <left/>
      <right style="thin">
        <color rgb="FFDCE3EE"/>
      </right>
      <top style="thin">
        <color rgb="FFDCE3EE"/>
      </top>
      <bottom/>
      <diagonal/>
    </border>
    <border diagonalUp="false" diagonalDown="false">
      <left style="thin">
        <color rgb="FFDCE3EE"/>
      </left>
      <right/>
      <top/>
      <bottom/>
      <diagonal/>
    </border>
    <border diagonalUp="false" diagonalDown="false">
      <left/>
      <right style="thin">
        <color rgb="FFDCE3EE"/>
      </right>
      <top/>
      <bottom/>
      <diagonal/>
    </border>
    <border diagonalUp="false" diagonalDown="false">
      <left style="thin">
        <color rgb="FFDCE3EE"/>
      </left>
      <right/>
      <top/>
      <bottom style="thin">
        <color rgb="FFDCE3EE"/>
      </bottom>
      <diagonal/>
    </border>
    <border diagonalUp="false" diagonalDown="false">
      <left/>
      <right/>
      <top/>
      <bottom style="thin">
        <color rgb="FFDCE3EE"/>
      </bottom>
      <diagonal/>
    </border>
    <border diagonalUp="false" diagonalDown="false">
      <left/>
      <right style="thin">
        <color rgb="FFDCE3EE"/>
      </right>
      <top/>
      <bottom style="thin">
        <color rgb="FFDCE3EE"/>
      </bottom>
      <diagonal/>
    </border>
    <border diagonalUp="false" diagonalDown="false">
      <left style="thin">
        <color rgb="FFDCE3EE"/>
      </left>
      <right style="thin">
        <color rgb="FFDCE3EE"/>
      </right>
      <top style="thin">
        <color rgb="FFDCE3EE"/>
      </top>
      <bottom/>
      <diagonal/>
    </border>
    <border diagonalUp="false" diagonalDown="false">
      <left/>
      <right/>
      <top style="thin">
        <color rgb="FF0F172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8" fillId="5" borderId="9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6" borderId="9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4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4" borderId="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0" fillId="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21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1" fillId="4" borderId="5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8" fontId="21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3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31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1" fontId="31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31" fillId="7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31" fillId="7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1" fontId="31" fillId="7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32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32" fillId="0" borderId="1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1" fontId="32" fillId="0" borderId="1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33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6" fontId="33" fillId="7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3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3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31" fillId="7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32" fillId="7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16A34A"/>
        <sz val="8"/>
      </font>
    </dxf>
    <dxf>
      <font>
        <name val="Arial"/>
        <charset val="1"/>
        <family val="0"/>
        <b val="1"/>
        <color rgb="FFD03B3B"/>
        <sz val="8"/>
      </font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CD9"/>
      <rgbColor rgb="FF4F81BD"/>
      <rgbColor rgb="FFA5B4FC"/>
      <rgbColor rgb="FFD03B3B"/>
      <rgbColor rgb="FFF1F5FB"/>
      <rgbColor rgb="FFEEF2F8"/>
      <rgbColor rgb="FF660066"/>
      <rgbColor rgb="FFE87BA4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EE"/>
      <rgbColor rgb="FFCCFFCC"/>
      <rgbColor rgb="FFFFFF99"/>
      <rgbColor rgb="FF93C5FD"/>
      <rgbColor rgb="FFFF99CC"/>
      <rgbColor rgb="FFCC99FF"/>
      <rgbColor rgb="FFFFCC99"/>
      <rgbColor rgb="FF2A78D6"/>
      <rgbColor rgb="FF1BAF7A"/>
      <rgbColor rgb="FF99CC00"/>
      <rgbColor rgb="FFEDA100"/>
      <rgbColor rgb="FFF59E0B"/>
      <rgbColor rgb="FFEB6834"/>
      <rgbColor rgb="FF64748B"/>
      <rgbColor rgb="FF94A3B8"/>
      <rgbColor rgb="FF13306B"/>
      <rgbColor rgb="FF16A34A"/>
      <rgbColor rgb="FF0F172A"/>
      <rgbColor rgb="FF475569"/>
      <rgbColor rgb="FF993300"/>
      <rgbColor rgb="FF993366"/>
      <rgbColor rgb="FF1D428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475569"/>
                </a:solidFill>
                <a:latin typeface="Arial"/>
              </a:defRPr>
            </a:pPr>
            <a:r>
              <a:rPr b="1" sz="1100" spc="-1" strike="noStrike">
                <a:solidFill>
                  <a:srgbClr val="475569"/>
                </a:solidFill>
                <a:latin typeface="Arial"/>
              </a:rPr>
              <a:t>SALES TREND (selected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Calc!C19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a78d6"/>
            </a:solidFill>
            <a:ln w="28080">
              <a:solidFill>
                <a:srgbClr val="2a78d6"/>
              </a:solidFill>
              <a:round/>
            </a:ln>
          </c:spPr>
          <c:marker>
            <c:symbol val="circle"/>
            <c:size val="7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Calc!$B$20:$B$31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Calc!$C$20:$C$31</c:f>
              <c:numCache>
                <c:formatCode>General</c:formatCode>
                <c:ptCount val="12"/>
                <c:pt idx="0">
                  <c:v>10478</c:v>
                </c:pt>
                <c:pt idx="1">
                  <c:v>7012</c:v>
                </c:pt>
                <c:pt idx="2">
                  <c:v>9908</c:v>
                </c:pt>
                <c:pt idx="3">
                  <c:v>11615</c:v>
                </c:pt>
                <c:pt idx="4">
                  <c:v>13184</c:v>
                </c:pt>
                <c:pt idx="5">
                  <c:v>10831</c:v>
                </c:pt>
                <c:pt idx="6">
                  <c:v>12807</c:v>
                </c:pt>
                <c:pt idx="7">
                  <c:v>12764</c:v>
                </c:pt>
                <c:pt idx="8">
                  <c:v>10019</c:v>
                </c:pt>
                <c:pt idx="9">
                  <c:v>13036</c:v>
                </c:pt>
                <c:pt idx="10">
                  <c:v>16289</c:v>
                </c:pt>
                <c:pt idx="11">
                  <c:v>18392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444315"/>
        <c:axId val="65867535"/>
      </c:lineChart>
      <c:catAx>
        <c:axId val="804443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ce3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65867535"/>
        <c:crosses val="autoZero"/>
        <c:auto val="1"/>
        <c:lblAlgn val="ctr"/>
        <c:lblOffset val="100"/>
        <c:noMultiLvlLbl val="0"/>
      </c:catAx>
      <c:valAx>
        <c:axId val="65867535"/>
        <c:scaling>
          <c:orientation val="minMax"/>
        </c:scaling>
        <c:delete val="0"/>
        <c:axPos val="l"/>
        <c:majorGridlines>
          <c:spPr>
            <a:ln w="9360">
              <a:solidFill>
                <a:srgbClr val="dce3ee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dce3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804443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ce3ee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475569"/>
                </a:solidFill>
                <a:latin typeface="Arial"/>
              </a:defRPr>
            </a:pPr>
            <a:r>
              <a:rPr b="1" sz="1100" spc="-1" strike="noStrike">
                <a:solidFill>
                  <a:srgbClr val="475569"/>
                </a:solidFill>
                <a:latin typeface="Arial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Calc!I19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b6834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baf7a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eda100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87ba4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7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7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7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1" sz="7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1" sz="7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Calc!$H$20:$H$24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Beauty</c:v>
                </c:pt>
                <c:pt idx="4">
                  <c:v>Others</c:v>
                </c:pt>
              </c:strCache>
            </c:strRef>
          </c:cat>
          <c:val>
            <c:numRef>
              <c:f>Calc!$I$20:$I$24</c:f>
              <c:numCache>
                <c:formatCode>General</c:formatCode>
                <c:ptCount val="5"/>
                <c:pt idx="0">
                  <c:v>69815</c:v>
                </c:pt>
                <c:pt idx="1">
                  <c:v>24000</c:v>
                </c:pt>
                <c:pt idx="2">
                  <c:v>38529</c:v>
                </c:pt>
                <c:pt idx="3">
                  <c:v>9542</c:v>
                </c:pt>
                <c:pt idx="4">
                  <c:v>4449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47556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ce3ee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475569"/>
                </a:solidFill>
                <a:latin typeface="Arial"/>
              </a:defRPr>
            </a:pPr>
            <a:r>
              <a:rPr b="1" sz="1100" spc="-1" strike="noStrike">
                <a:solidFill>
                  <a:srgbClr val="475569"/>
                </a:solidFill>
                <a:latin typeface="Arial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Calc!L19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6a34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47556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Calc!$K$20:$K$24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Calc!$L$20:$L$24</c:f>
              <c:numCache>
                <c:formatCode>\$#,##0</c:formatCode>
                <c:ptCount val="5"/>
                <c:pt idx="0">
                  <c:v>35816</c:v>
                </c:pt>
                <c:pt idx="1">
                  <c:v>36753</c:v>
                </c:pt>
                <c:pt idx="2">
                  <c:v>36149</c:v>
                </c:pt>
                <c:pt idx="3">
                  <c:v>18737</c:v>
                </c:pt>
                <c:pt idx="4">
                  <c:v>18880</c:v>
                </c:pt>
              </c:numCache>
            </c:numRef>
          </c:val>
        </c:ser>
        <c:gapWidth val="45"/>
        <c:overlap val="0"/>
        <c:axId val="79383715"/>
        <c:axId val="86131967"/>
      </c:barChart>
      <c:catAx>
        <c:axId val="793837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ce3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86131967"/>
        <c:crosses val="autoZero"/>
        <c:auto val="1"/>
        <c:lblAlgn val="ctr"/>
        <c:lblOffset val="100"/>
        <c:noMultiLvlLbl val="0"/>
      </c:catAx>
      <c:valAx>
        <c:axId val="86131967"/>
        <c:scaling>
          <c:orientation val="minMax"/>
        </c:scaling>
        <c:delete val="1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dce3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7938371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ce3ee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475569"/>
                </a:solidFill>
                <a:latin typeface="Arial"/>
              </a:defRPr>
            </a:pPr>
            <a:r>
              <a:rPr b="1" sz="1100" spc="-1" strike="noStrike">
                <a:solidFill>
                  <a:srgbClr val="475569"/>
                </a:solidFill>
                <a:latin typeface="Arial"/>
              </a:rPr>
              <a:t>MONTHLY SALES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3cc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Calc!$B$20:$B$31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Calc!$D$20:$D$31</c:f>
              <c:numCache>
                <c:formatCode>General</c:formatCode>
                <c:ptCount val="12"/>
                <c:pt idx="0">
                  <c:v>8752</c:v>
                </c:pt>
                <c:pt idx="1">
                  <c:v>6282</c:v>
                </c:pt>
                <c:pt idx="2">
                  <c:v>9882</c:v>
                </c:pt>
                <c:pt idx="3">
                  <c:v>9934</c:v>
                </c:pt>
                <c:pt idx="4">
                  <c:v>12553</c:v>
                </c:pt>
                <c:pt idx="5">
                  <c:v>9668</c:v>
                </c:pt>
                <c:pt idx="6">
                  <c:v>10537</c:v>
                </c:pt>
                <c:pt idx="7">
                  <c:v>10954</c:v>
                </c:pt>
                <c:pt idx="8">
                  <c:v>10759</c:v>
                </c:pt>
                <c:pt idx="9">
                  <c:v>11894</c:v>
                </c:pt>
                <c:pt idx="10">
                  <c:v>13765</c:v>
                </c:pt>
                <c:pt idx="11">
                  <c:v>19615</c:v>
                </c:pt>
              </c:numCache>
            </c:numRef>
          </c:val>
        </c:ser>
        <c:ser>
          <c:idx val="1"/>
          <c:order val="1"/>
          <c:tx>
            <c:strRef>
              <c:f>Calc!C19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Calc!$B$20:$B$31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Calc!$C$20:$C$31</c:f>
              <c:numCache>
                <c:formatCode>General</c:formatCode>
                <c:ptCount val="12"/>
                <c:pt idx="0">
                  <c:v>10478</c:v>
                </c:pt>
                <c:pt idx="1">
                  <c:v>7012</c:v>
                </c:pt>
                <c:pt idx="2">
                  <c:v>9908</c:v>
                </c:pt>
                <c:pt idx="3">
                  <c:v>11615</c:v>
                </c:pt>
                <c:pt idx="4">
                  <c:v>13184</c:v>
                </c:pt>
                <c:pt idx="5">
                  <c:v>10831</c:v>
                </c:pt>
                <c:pt idx="6">
                  <c:v>12807</c:v>
                </c:pt>
                <c:pt idx="7">
                  <c:v>12764</c:v>
                </c:pt>
                <c:pt idx="8">
                  <c:v>10019</c:v>
                </c:pt>
                <c:pt idx="9">
                  <c:v>13036</c:v>
                </c:pt>
                <c:pt idx="10">
                  <c:v>16289</c:v>
                </c:pt>
                <c:pt idx="11">
                  <c:v>18392</c:v>
                </c:pt>
              </c:numCache>
            </c:numRef>
          </c:val>
        </c:ser>
        <c:gapWidth val="70"/>
        <c:overlap val="-5"/>
        <c:axId val="67183966"/>
        <c:axId val="68646222"/>
      </c:barChart>
      <c:catAx>
        <c:axId val="671839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ce3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68646222"/>
        <c:crosses val="autoZero"/>
        <c:auto val="1"/>
        <c:lblAlgn val="ctr"/>
        <c:lblOffset val="100"/>
        <c:noMultiLvlLbl val="0"/>
      </c:catAx>
      <c:valAx>
        <c:axId val="68646222"/>
        <c:scaling>
          <c:orientation val="minMax"/>
        </c:scaling>
        <c:delete val="0"/>
        <c:axPos val="l"/>
        <c:majorGridlines>
          <c:spPr>
            <a:ln w="9360">
              <a:solidFill>
                <a:srgbClr val="dce3ee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dce3ee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67183966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475569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ce3ee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0</xdr:rowOff>
    </xdr:from>
    <xdr:to>
      <xdr:col>10</xdr:col>
      <xdr:colOff>50760</xdr:colOff>
      <xdr:row>19</xdr:row>
      <xdr:rowOff>221040</xdr:rowOff>
    </xdr:to>
    <xdr:graphicFrame>
      <xdr:nvGraphicFramePr>
        <xdr:cNvPr id="0" name="Chart 1"/>
        <xdr:cNvGraphicFramePr/>
      </xdr:nvGraphicFramePr>
      <xdr:xfrm>
        <a:off x="1339920" y="1943280"/>
        <a:ext cx="52664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8</xdr:row>
      <xdr:rowOff>0</xdr:rowOff>
    </xdr:from>
    <xdr:to>
      <xdr:col>14</xdr:col>
      <xdr:colOff>5040</xdr:colOff>
      <xdr:row>19</xdr:row>
      <xdr:rowOff>221040</xdr:rowOff>
    </xdr:to>
    <xdr:graphicFrame>
      <xdr:nvGraphicFramePr>
        <xdr:cNvPr id="1" name="Chart 2"/>
        <xdr:cNvGraphicFramePr/>
      </xdr:nvGraphicFramePr>
      <xdr:xfrm>
        <a:off x="6696720" y="1943280"/>
        <a:ext cx="254232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8</xdr:row>
      <xdr:rowOff>0</xdr:rowOff>
    </xdr:from>
    <xdr:to>
      <xdr:col>18</xdr:col>
      <xdr:colOff>4680</xdr:colOff>
      <xdr:row>19</xdr:row>
      <xdr:rowOff>221040</xdr:rowOff>
    </xdr:to>
    <xdr:graphicFrame>
      <xdr:nvGraphicFramePr>
        <xdr:cNvPr id="2" name="Chart 3"/>
        <xdr:cNvGraphicFramePr/>
      </xdr:nvGraphicFramePr>
      <xdr:xfrm>
        <a:off x="9375120" y="1943280"/>
        <a:ext cx="254232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14</xdr:col>
      <xdr:colOff>50760</xdr:colOff>
      <xdr:row>27</xdr:row>
      <xdr:rowOff>377640</xdr:rowOff>
    </xdr:to>
    <xdr:graphicFrame>
      <xdr:nvGraphicFramePr>
        <xdr:cNvPr id="3" name="Chart 4"/>
        <xdr:cNvGraphicFramePr/>
      </xdr:nvGraphicFramePr>
      <xdr:xfrm>
        <a:off x="4018320" y="4915080"/>
        <a:ext cx="52664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Data" displayName="OrdersData" ref="A1:P2864" headerRowCount="1" totalsRowCount="0" totalsRowShown="0">
  <autoFilter ref="A1:P2864"/>
  <tableColumns count="16">
    <tableColumn id="1" name="Order ID"/>
    <tableColumn id="2" name="Date"/>
    <tableColumn id="3" name="Year"/>
    <tableColumn id="4" name="Month #"/>
    <tableColumn id="5" name="Customer"/>
    <tableColumn id="6" name="Region"/>
    <tableColumn id="7" name="Category"/>
    <tableColumn id="8" name="Product"/>
    <tableColumn id="9" name="Qty"/>
    <tableColumn id="10" name="Unit price ($)"/>
    <tableColumn id="11" name="Unit cost ($)"/>
    <tableColumn id="12" name="Sales ($)"/>
    <tableColumn id="13" name="Profit ($)"/>
    <tableColumn id="14" name="New customer (year)"/>
    <tableColumn id="15" name="New customer (month)"/>
    <tableColumn id="16" name="In view #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crestview-retail-dashboard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crestview-retail-dashboard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crestview-retail-dashboard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crestview-retail-dashboard.xlsx" TargetMode="Externa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06B"/>
    <pageSetUpPr fitToPage="true"/>
  </sheetPr>
  <dimension ref="A1:S3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6"/>
    <col collapsed="false" customWidth="true" hidden="false" outlineLevel="0" max="3" min="3" style="0" width="1.51"/>
    <col collapsed="false" customWidth="true" hidden="false" outlineLevel="0" max="6" min="4" style="0" width="12"/>
    <col collapsed="false" customWidth="true" hidden="false" outlineLevel="0" max="7" min="7" style="0" width="2"/>
    <col collapsed="false" customWidth="true" hidden="false" outlineLevel="0" max="10" min="8" style="0" width="12"/>
    <col collapsed="false" customWidth="true" hidden="false" outlineLevel="0" max="11" min="11" style="0" width="2"/>
    <col collapsed="false" customWidth="true" hidden="false" outlineLevel="0" max="14" min="12" style="0" width="12"/>
    <col collapsed="false" customWidth="true" hidden="false" outlineLevel="0" max="15" min="15" style="0" width="2"/>
    <col collapsed="false" customWidth="true" hidden="false" outlineLevel="0" max="18" min="16" style="0" width="12"/>
    <col collapsed="false" customWidth="true" hidden="false" outlineLevel="0" max="19" min="19" style="0" width="1.51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1"/>
      <c r="B2" s="2" t="s">
        <v>0</v>
      </c>
      <c r="C2" s="1"/>
      <c r="D2" s="3" t="s">
        <v>1</v>
      </c>
      <c r="E2" s="3"/>
      <c r="F2" s="3"/>
      <c r="G2" s="3"/>
      <c r="H2" s="3"/>
      <c r="I2" s="3"/>
      <c r="J2" s="3"/>
      <c r="K2" s="4" t="str">
        <f aca="false">Calc!$C$8</f>
        <v>Full year 2025</v>
      </c>
      <c r="L2" s="5"/>
      <c r="M2" s="6" t="s">
        <v>2</v>
      </c>
      <c r="N2" s="7" t="n">
        <v>2025</v>
      </c>
      <c r="O2" s="5"/>
      <c r="P2" s="6" t="s">
        <v>3</v>
      </c>
      <c r="Q2" s="7" t="s">
        <v>4</v>
      </c>
      <c r="R2" s="7"/>
      <c r="S2" s="1"/>
    </row>
    <row r="3" customFormat="false" ht="18" hidden="false" customHeight="true" outlineLevel="0" collapsed="false">
      <c r="A3" s="1"/>
      <c r="B3" s="8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8" hidden="false" customHeight="true" outlineLevel="0" collapsed="false">
      <c r="A4" s="1"/>
      <c r="B4" s="5"/>
      <c r="C4" s="1"/>
      <c r="D4" s="9"/>
      <c r="E4" s="10" t="s">
        <v>6</v>
      </c>
      <c r="F4" s="10"/>
      <c r="G4" s="1"/>
      <c r="H4" s="9"/>
      <c r="I4" s="10" t="s">
        <v>7</v>
      </c>
      <c r="J4" s="10"/>
      <c r="K4" s="1"/>
      <c r="L4" s="9"/>
      <c r="M4" s="10" t="s">
        <v>8</v>
      </c>
      <c r="N4" s="10"/>
      <c r="O4" s="1"/>
      <c r="P4" s="9"/>
      <c r="Q4" s="10" t="s">
        <v>9</v>
      </c>
      <c r="R4" s="10"/>
      <c r="S4" s="1"/>
    </row>
    <row r="5" customFormat="false" ht="25.5" hidden="false" customHeight="true" outlineLevel="0" collapsed="false">
      <c r="A5" s="1"/>
      <c r="B5" s="5"/>
      <c r="C5" s="1"/>
      <c r="D5" s="11" t="s">
        <v>10</v>
      </c>
      <c r="E5" s="12" t="n">
        <f aca="false">Calc!C12</f>
        <v>146335</v>
      </c>
      <c r="F5" s="12"/>
      <c r="G5" s="1"/>
      <c r="H5" s="13" t="s">
        <v>11</v>
      </c>
      <c r="I5" s="12" t="n">
        <f aca="false">Calc!C13</f>
        <v>81660</v>
      </c>
      <c r="J5" s="12"/>
      <c r="K5" s="1"/>
      <c r="L5" s="14" t="s">
        <v>12</v>
      </c>
      <c r="M5" s="15" t="n">
        <f aca="false">Calc!C14</f>
        <v>1514</v>
      </c>
      <c r="N5" s="15"/>
      <c r="O5" s="1"/>
      <c r="P5" s="16" t="s">
        <v>13</v>
      </c>
      <c r="Q5" s="15" t="n">
        <f aca="false">Calc!C15</f>
        <v>448</v>
      </c>
      <c r="R5" s="15"/>
      <c r="S5" s="1"/>
    </row>
    <row r="6" customFormat="false" ht="18" hidden="false" customHeight="true" outlineLevel="0" collapsed="false">
      <c r="A6" s="1"/>
      <c r="B6" s="17" t="str">
        <f aca="false">HYPERLINK("#'Overview'!A1","⌂")</f>
        <v>⌂</v>
      </c>
      <c r="C6" s="1"/>
      <c r="D6" s="11"/>
      <c r="E6" s="18" t="str">
        <f aca="false">IF(OR(NOT(Calc!$C$9),Calc!D12=0),"No earlier data",IF(Calc!C12&gt;=Calc!D12,"↑ ","↓ ")&amp;TEXT(ABS(Calc!C12/Calc!D12-1),"0.0%")&amp;" vs "&amp;Calc!$C$7)</f>
        <v>↑ 8.7% vs 2024</v>
      </c>
      <c r="F6" s="18"/>
      <c r="G6" s="1"/>
      <c r="H6" s="13"/>
      <c r="I6" s="18" t="str">
        <f aca="false">IF(OR(NOT(Calc!$C$9),Calc!D13=0),"No earlier data",IF(Calc!C13&gt;=Calc!D13,"↑ ","↓ ")&amp;TEXT(ABS(Calc!C13/Calc!D13-1),"0.0%")&amp;" vs "&amp;Calc!$C$7)</f>
        <v>↑ 9.2% vs 2024</v>
      </c>
      <c r="J6" s="18"/>
      <c r="K6" s="1"/>
      <c r="L6" s="14"/>
      <c r="M6" s="18" t="str">
        <f aca="false">IF(OR(NOT(Calc!$C$9),Calc!D14=0),"No earlier data",IF(Calc!C14&gt;=Calc!D14,"↑ ","↓ ")&amp;TEXT(ABS(Calc!C14/Calc!D14-1),"0.0%")&amp;" vs "&amp;Calc!$C$7)</f>
        <v>↑ 12.2% vs 2024</v>
      </c>
      <c r="N6" s="18"/>
      <c r="O6" s="1"/>
      <c r="P6" s="16"/>
      <c r="Q6" s="18" t="str">
        <f aca="false">IF(OR(NOT(Calc!$C$9),Calc!D15=0),"No earlier data",IF(Calc!C15&gt;=Calc!D15,"↑ ","↓ ")&amp;TEXT(ABS(Calc!C15/Calc!D15-1),"0.0%")&amp;" vs "&amp;Calc!$C$7)</f>
        <v>↑ 1.4% vs 2024</v>
      </c>
      <c r="R6" s="18"/>
      <c r="S6" s="1"/>
    </row>
    <row r="7" customFormat="false" ht="18" hidden="false" customHeight="true" outlineLevel="0" collapsed="false">
      <c r="A7" s="1"/>
      <c r="B7" s="19" t="str">
        <f aca="false">HYPERLINK("#'Overview'!A1","Overview")</f>
        <v>Overview</v>
      </c>
      <c r="C7" s="1"/>
      <c r="D7" s="20"/>
      <c r="E7" s="21"/>
      <c r="F7" s="22"/>
      <c r="G7" s="1"/>
      <c r="H7" s="20"/>
      <c r="I7" s="21"/>
      <c r="J7" s="22"/>
      <c r="K7" s="1"/>
      <c r="L7" s="20"/>
      <c r="M7" s="21"/>
      <c r="N7" s="22"/>
      <c r="O7" s="1"/>
      <c r="P7" s="20"/>
      <c r="Q7" s="21"/>
      <c r="R7" s="22"/>
      <c r="S7" s="1"/>
    </row>
    <row r="8" customFormat="false" ht="18" hidden="false" customHeight="true" outlineLevel="0" collapsed="false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customFormat="false" ht="18" hidden="false" customHeight="true" outlineLevel="0" collapsed="false">
      <c r="A9" s="1"/>
      <c r="B9" s="23" t="str">
        <f aca="false">HYPERLINK("#'Sales'!A1","▮▮")</f>
        <v>▮▮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8" hidden="false" customHeight="true" outlineLevel="0" collapsed="false">
      <c r="A10" s="1"/>
      <c r="B10" s="24" t="str">
        <f aca="false">HYPERLINK("#'Sales'!A1","Sales")</f>
        <v>Sales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8" hidden="false" customHeight="true" outlineLevel="0" collapsed="false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8" hidden="false" customHeight="true" outlineLevel="0" collapsed="false">
      <c r="A12" s="1"/>
      <c r="B12" s="23" t="str">
        <f aca="false">HYPERLINK("#'Products'!A1","◈")</f>
        <v>◈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8" hidden="false" customHeight="true" outlineLevel="0" collapsed="false">
      <c r="A13" s="1"/>
      <c r="B13" s="24" t="str">
        <f aca="false">HYPERLINK("#'Products'!A1","Products")</f>
        <v>Products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8" hidden="false" customHeight="true" outlineLevel="0" collapsed="false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8" hidden="false" customHeight="true" outlineLevel="0" collapsed="false">
      <c r="A15" s="1"/>
      <c r="B15" s="23" t="str">
        <f aca="false">HYPERLINK("#'Customers'!A1","☺")</f>
        <v>☺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8" hidden="false" customHeight="true" outlineLevel="0" collapsed="false">
      <c r="A16" s="1"/>
      <c r="B16" s="24" t="str">
        <f aca="false">HYPERLINK("#'Customers'!A1","Customers")</f>
        <v>Customers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customFormat="false" ht="18" hidden="false" customHeight="true" outlineLevel="0" collapsed="false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customFormat="false" ht="18" hidden="false" customHeight="true" outlineLevel="0" collapsed="false">
      <c r="A18" s="1"/>
      <c r="B18" s="23" t="str">
        <f aca="false">HYPERLINK("#'Orders'!A1","☰")</f>
        <v>☰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customFormat="false" ht="18" hidden="false" customHeight="true" outlineLevel="0" collapsed="false">
      <c r="A19" s="1"/>
      <c r="B19" s="24" t="str">
        <f aca="false">HYPERLINK("#'Orders'!A1","Orders")</f>
        <v>Orders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customFormat="false" ht="18" hidden="false" customHeight="true" outlineLevel="0" collapsed="false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customFormat="false" ht="18" hidden="false" customHeight="true" outlineLevel="0" collapsed="false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customFormat="false" ht="18" hidden="false" customHeight="true" outlineLevel="0" collapsed="false">
      <c r="A22" s="1"/>
      <c r="B22" s="5"/>
      <c r="C22" s="1"/>
      <c r="D22" s="25" t="s">
        <v>14</v>
      </c>
      <c r="E22" s="25"/>
      <c r="F22" s="25"/>
      <c r="G22" s="1"/>
      <c r="H22" s="1"/>
      <c r="I22" s="1"/>
      <c r="J22" s="1"/>
      <c r="K22" s="1"/>
      <c r="L22" s="1"/>
      <c r="M22" s="1"/>
      <c r="N22" s="1"/>
      <c r="O22" s="1"/>
      <c r="P22" s="26" t="s">
        <v>15</v>
      </c>
      <c r="Q22" s="26"/>
      <c r="R22" s="26"/>
      <c r="S22" s="1"/>
    </row>
    <row r="23" customFormat="false" ht="18" hidden="false" customHeight="true" outlineLevel="0" collapsed="false">
      <c r="A23" s="1"/>
      <c r="B23" s="5"/>
      <c r="C23" s="1"/>
      <c r="D23" s="27" t="s">
        <v>16</v>
      </c>
      <c r="E23" s="27"/>
      <c r="F23" s="28" t="s">
        <v>17</v>
      </c>
      <c r="G23" s="1"/>
      <c r="H23" s="1"/>
      <c r="I23" s="1"/>
      <c r="J23" s="1"/>
      <c r="K23" s="1"/>
      <c r="L23" s="1"/>
      <c r="M23" s="1"/>
      <c r="N23" s="1"/>
      <c r="O23" s="1"/>
      <c r="P23" s="27" t="s">
        <v>18</v>
      </c>
      <c r="Q23" s="27" t="s">
        <v>19</v>
      </c>
      <c r="R23" s="28" t="s">
        <v>20</v>
      </c>
      <c r="S23" s="1"/>
    </row>
    <row r="24" customFormat="false" ht="36" hidden="false" customHeight="true" outlineLevel="0" collapsed="false">
      <c r="A24" s="1"/>
      <c r="B24" s="5"/>
      <c r="C24" s="1"/>
      <c r="D24" s="29" t="str">
        <f aca="false">Calc!J36</f>
        <v>Smart Watch S2</v>
      </c>
      <c r="E24" s="30" t="n">
        <f aca="false">Calc!K36</f>
        <v>31683</v>
      </c>
      <c r="F24" s="31" t="n">
        <f aca="false">Calc!K36</f>
        <v>31683</v>
      </c>
      <c r="G24" s="1"/>
      <c r="H24" s="1"/>
      <c r="I24" s="1"/>
      <c r="J24" s="1"/>
      <c r="K24" s="1"/>
      <c r="L24" s="1"/>
      <c r="M24" s="1"/>
      <c r="N24" s="1"/>
      <c r="O24" s="1"/>
      <c r="P24" s="29" t="str">
        <f aca="false">Calc!K44</f>
        <v>Ryan Wilson</v>
      </c>
      <c r="Q24" s="32" t="n">
        <f aca="false">Calc!L44</f>
        <v>46022</v>
      </c>
      <c r="R24" s="31" t="n">
        <f aca="false">Calc!M44</f>
        <v>49</v>
      </c>
      <c r="S24" s="1"/>
    </row>
    <row r="25" customFormat="false" ht="36" hidden="false" customHeight="true" outlineLevel="0" collapsed="false">
      <c r="A25" s="1"/>
      <c r="B25" s="5"/>
      <c r="C25" s="1"/>
      <c r="D25" s="29" t="str">
        <f aca="false">Calc!J37</f>
        <v>Wireless Earbuds Pro</v>
      </c>
      <c r="E25" s="30" t="n">
        <f aca="false">Calc!K37</f>
        <v>17622</v>
      </c>
      <c r="F25" s="31" t="n">
        <f aca="false">Calc!K37</f>
        <v>17622</v>
      </c>
      <c r="G25" s="1"/>
      <c r="H25" s="1"/>
      <c r="I25" s="1"/>
      <c r="J25" s="1"/>
      <c r="K25" s="1"/>
      <c r="L25" s="1"/>
      <c r="M25" s="1"/>
      <c r="N25" s="1"/>
      <c r="O25" s="1"/>
      <c r="P25" s="29" t="str">
        <f aca="false">Calc!K45</f>
        <v>Owen Martin</v>
      </c>
      <c r="Q25" s="32" t="n">
        <f aca="false">Calc!L45</f>
        <v>46022</v>
      </c>
      <c r="R25" s="31" t="n">
        <f aca="false">Calc!M45</f>
        <v>49</v>
      </c>
      <c r="S25" s="1"/>
    </row>
    <row r="26" customFormat="false" ht="36" hidden="false" customHeight="true" outlineLevel="0" collapsed="false">
      <c r="A26" s="1"/>
      <c r="B26" s="5"/>
      <c r="C26" s="1"/>
      <c r="D26" s="29" t="str">
        <f aca="false">Calc!J38</f>
        <v>Ceramic Cookware Set</v>
      </c>
      <c r="E26" s="30" t="n">
        <f aca="false">Calc!K38</f>
        <v>13410</v>
      </c>
      <c r="F26" s="31" t="n">
        <f aca="false">Calc!K38</f>
        <v>13410</v>
      </c>
      <c r="G26" s="1"/>
      <c r="H26" s="1"/>
      <c r="I26" s="1"/>
      <c r="J26" s="1"/>
      <c r="K26" s="1"/>
      <c r="L26" s="1"/>
      <c r="M26" s="1"/>
      <c r="N26" s="1"/>
      <c r="O26" s="1"/>
      <c r="P26" s="29" t="str">
        <f aca="false">Calc!K46</f>
        <v>Chloe Wright</v>
      </c>
      <c r="Q26" s="32" t="n">
        <f aca="false">Calc!L46</f>
        <v>46022</v>
      </c>
      <c r="R26" s="31" t="n">
        <f aca="false">Calc!M46</f>
        <v>54</v>
      </c>
      <c r="S26" s="1"/>
    </row>
    <row r="27" customFormat="false" ht="36" hidden="false" customHeight="true" outlineLevel="0" collapsed="false">
      <c r="A27" s="1"/>
      <c r="B27" s="5"/>
      <c r="C27" s="1"/>
      <c r="D27" s="29" t="str">
        <f aca="false">Calc!J39</f>
        <v>Air Fryer 5L</v>
      </c>
      <c r="E27" s="30" t="n">
        <f aca="false">Calc!K39</f>
        <v>11186</v>
      </c>
      <c r="F27" s="31" t="n">
        <f aca="false">Calc!K39</f>
        <v>11186</v>
      </c>
      <c r="G27" s="1"/>
      <c r="H27" s="1"/>
      <c r="I27" s="1"/>
      <c r="J27" s="1"/>
      <c r="K27" s="1"/>
      <c r="L27" s="1"/>
      <c r="M27" s="1"/>
      <c r="N27" s="1"/>
      <c r="O27" s="1"/>
      <c r="P27" s="29" t="str">
        <f aca="false">Calc!K47</f>
        <v>Emma King</v>
      </c>
      <c r="Q27" s="32" t="n">
        <f aca="false">Calc!L47</f>
        <v>46022</v>
      </c>
      <c r="R27" s="31" t="n">
        <f aca="false">Calc!M47</f>
        <v>238</v>
      </c>
      <c r="S27" s="1"/>
    </row>
    <row r="28" customFormat="false" ht="36" hidden="false" customHeight="true" outlineLevel="0" collapsed="false">
      <c r="A28" s="1"/>
      <c r="B28" s="5"/>
      <c r="C28" s="1"/>
      <c r="D28" s="29" t="str">
        <f aca="false">Calc!J40</f>
        <v>Bluetooth Speaker</v>
      </c>
      <c r="E28" s="30" t="n">
        <f aca="false">Calc!K40</f>
        <v>11151</v>
      </c>
      <c r="F28" s="31" t="n">
        <f aca="false">Calc!K40</f>
        <v>11151</v>
      </c>
      <c r="G28" s="1"/>
      <c r="H28" s="1"/>
      <c r="I28" s="1"/>
      <c r="J28" s="1"/>
      <c r="K28" s="1"/>
      <c r="L28" s="1"/>
      <c r="M28" s="1"/>
      <c r="N28" s="1"/>
      <c r="O28" s="1"/>
      <c r="P28" s="29" t="str">
        <f aca="false">Calc!K48</f>
        <v>Liam Clark</v>
      </c>
      <c r="Q28" s="32" t="n">
        <f aca="false">Calc!L48</f>
        <v>46022</v>
      </c>
      <c r="R28" s="31" t="n">
        <f aca="false">Calc!M48</f>
        <v>178</v>
      </c>
      <c r="S28" s="1"/>
    </row>
    <row r="29" customFormat="false" ht="18" hidden="false" customHeight="true" outlineLevel="0" collapsed="false">
      <c r="A29" s="1"/>
      <c r="B29" s="5"/>
      <c r="C29" s="1"/>
      <c r="D29" s="20"/>
      <c r="E29" s="21"/>
      <c r="F29" s="22"/>
      <c r="G29" s="1"/>
      <c r="H29" s="1"/>
      <c r="I29" s="1"/>
      <c r="J29" s="1"/>
      <c r="K29" s="1"/>
      <c r="L29" s="1"/>
      <c r="M29" s="1"/>
      <c r="N29" s="1"/>
      <c r="O29" s="1"/>
      <c r="P29" s="20"/>
      <c r="Q29" s="21"/>
      <c r="R29" s="22"/>
      <c r="S29" s="1"/>
    </row>
    <row r="30" customFormat="false" ht="18" hidden="false" customHeight="true" outlineLevel="0" collapsed="false">
      <c r="A30" s="1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customFormat="false" ht="18" hidden="false" customHeight="true" outlineLevel="0" collapsed="false">
      <c r="A31" s="1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customFormat="false" ht="18" hidden="false" customHeight="true" outlineLevel="0" collapsed="false">
      <c r="A32" s="1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customFormat="false" ht="18" hidden="false" customHeight="true" outlineLevel="0" collapsed="false">
      <c r="A33" s="1"/>
      <c r="B33" s="5"/>
      <c r="C33" s="1"/>
      <c r="D33" s="33" t="str">
        <f aca="false">"Showing "&amp;Calc!$C$8&amp;" · ↑/↓ compared with "&amp;Calc!$C$7&amp;" · Sales trend and monthly comparison always show the whole year. Crestview Retail Co. is a fictional company (demo data) · Built by Md Muntasir Mamun Mojumder"</f>
        <v>Showing Full year 2025 · ↑/↓ compared with 2024 · Sales trend and monthly comparison always show the whole year. Crestview Retail Co. is a fictional company (demo data) · Built by Md Muntasir Mamun Mojumder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customFormat="false" ht="18" hidden="false" customHeight="true" outlineLevel="0" collapsed="false">
      <c r="A34" s="1"/>
      <c r="B34" s="34" t="s">
        <v>21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</sheetData>
  <mergeCells count="20">
    <mergeCell ref="D2:J2"/>
    <mergeCell ref="Q2:R2"/>
    <mergeCell ref="E4:F4"/>
    <mergeCell ref="I4:J4"/>
    <mergeCell ref="M4:N4"/>
    <mergeCell ref="Q4:R4"/>
    <mergeCell ref="D5:D6"/>
    <mergeCell ref="E5:F5"/>
    <mergeCell ref="H5:H6"/>
    <mergeCell ref="I5:J5"/>
    <mergeCell ref="L5:L6"/>
    <mergeCell ref="M5:N5"/>
    <mergeCell ref="P5:P6"/>
    <mergeCell ref="Q5:R5"/>
    <mergeCell ref="E6:F6"/>
    <mergeCell ref="I6:J6"/>
    <mergeCell ref="M6:N6"/>
    <mergeCell ref="Q6:R6"/>
    <mergeCell ref="D22:F22"/>
    <mergeCell ref="P22:R22"/>
  </mergeCells>
  <conditionalFormatting sqref="E6">
    <cfRule type="expression" priority="2" aboveAverage="0" equalAverage="0" bottom="0" percent="0" rank="0" text="" dxfId="0">
      <formula>LEFT(E6,1)="↑"</formula>
    </cfRule>
    <cfRule type="expression" priority="3" aboveAverage="0" equalAverage="0" bottom="0" percent="0" rank="0" text="" dxfId="1">
      <formula>LEFT(E6,1)="↓"</formula>
    </cfRule>
  </conditionalFormatting>
  <conditionalFormatting sqref="I6">
    <cfRule type="expression" priority="4" aboveAverage="0" equalAverage="0" bottom="0" percent="0" rank="0" text="" dxfId="0">
      <formula>LEFT(I6,1)="↑"</formula>
    </cfRule>
    <cfRule type="expression" priority="5" aboveAverage="0" equalAverage="0" bottom="0" percent="0" rank="0" text="" dxfId="1">
      <formula>LEFT(I6,1)="↓"</formula>
    </cfRule>
  </conditionalFormatting>
  <conditionalFormatting sqref="M6">
    <cfRule type="expression" priority="6" aboveAverage="0" equalAverage="0" bottom="0" percent="0" rank="0" text="" dxfId="0">
      <formula>LEFT(M6,1)="↑"</formula>
    </cfRule>
    <cfRule type="expression" priority="7" aboveAverage="0" equalAverage="0" bottom="0" percent="0" rank="0" text="" dxfId="1">
      <formula>LEFT(M6,1)="↓"</formula>
    </cfRule>
  </conditionalFormatting>
  <conditionalFormatting sqref="Q6">
    <cfRule type="expression" priority="8" aboveAverage="0" equalAverage="0" bottom="0" percent="0" rank="0" text="" dxfId="0">
      <formula>LEFT(Q6,1)="↑"</formula>
    </cfRule>
    <cfRule type="expression" priority="9" aboveAverage="0" equalAverage="0" bottom="0" percent="0" rank="0" text="" dxfId="1">
      <formula>LEFT(Q6,1)="↓"</formula>
    </cfRule>
  </conditionalFormatting>
  <conditionalFormatting sqref="E24:E28">
    <cfRule type="dataBar" priority="10">
      <dataBar showValue="0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{68A7B769-2ABD-4070-B02D-DF3070A24056}</x14:id>
        </ext>
      </extLst>
    </cfRule>
  </conditionalFormatting>
  <dataValidations count="2">
    <dataValidation allowBlank="false" errorStyle="stop" operator="between" prompt="Choose from the list — the whole dashboard updates." promptTitle="Year" showDropDown="false" showErrorMessage="false" showInputMessage="false" sqref="N2" type="list">
      <formula1>Lists!$A$2:$A$3</formula1>
      <formula2>0</formula2>
    </dataValidation>
    <dataValidation allowBlank="false" errorStyle="stop" operator="between" prompt="Choose from the list — the whole dashboard updates." promptTitle="Month" showDropDown="false" showErrorMessage="false" showInputMessage="false" sqref="Q2" type="list">
      <formula1>Lists!$B$2:$B$14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A7B769-2ABD-4070-B02D-DF3070A24056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E24:E28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289"/>
    <pageSetUpPr fitToPage="false"/>
  </sheetPr>
  <dimension ref="B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2"/>
    <col collapsed="false" customWidth="true" hidden="false" outlineLevel="0" max="7" min="7" style="0" width="15"/>
  </cols>
  <sheetData>
    <row r="2" customFormat="false" ht="19.7" hidden="false" customHeight="false" outlineLevel="0" collapsed="false">
      <c r="B2" s="35" t="s">
        <v>22</v>
      </c>
      <c r="G2" s="36" t="s">
        <v>23</v>
      </c>
    </row>
    <row r="3" customFormat="false" ht="15" hidden="false" customHeight="false" outlineLevel="0" collapsed="false">
      <c r="B3" s="37" t="str">
        <f aca="false">"Year: "&amp;Calc!$C$3&amp;"  (change Year on the Overview sheet)"</f>
        <v>Year: 2025  (change Year on the Overview sheet)</v>
      </c>
    </row>
    <row r="5" customFormat="false" ht="15" hidden="false" customHeight="false" outlineLevel="0" collapsed="false">
      <c r="B5" s="38" t="s">
        <v>3</v>
      </c>
      <c r="C5" s="39" t="s">
        <v>24</v>
      </c>
      <c r="D5" s="39" t="s">
        <v>25</v>
      </c>
      <c r="E5" s="39" t="s">
        <v>26</v>
      </c>
      <c r="F5" s="39" t="s">
        <v>27</v>
      </c>
      <c r="G5" s="39" t="s">
        <v>28</v>
      </c>
    </row>
    <row r="6" customFormat="false" ht="15" hidden="false" customHeight="false" outlineLevel="0" collapsed="false">
      <c r="B6" s="40" t="str">
        <f aca="false">Calc!B20</f>
        <v>Jan</v>
      </c>
      <c r="C6" s="41" t="n">
        <f aca="false">Calc!C20</f>
        <v>10478</v>
      </c>
      <c r="D6" s="41" t="n">
        <f aca="false">Calc!E20</f>
        <v>5825</v>
      </c>
      <c r="E6" s="42" t="n">
        <f aca="false">IF(C6=0,0,D6/C6)</f>
        <v>0.555926703569384</v>
      </c>
      <c r="F6" s="41" t="n">
        <f aca="false">Calc!F20</f>
        <v>108</v>
      </c>
      <c r="G6" s="41" t="n">
        <f aca="false">IF(F6=0,0,C6/F6)</f>
        <v>97.0185185185185</v>
      </c>
    </row>
    <row r="7" customFormat="false" ht="15" hidden="false" customHeight="false" outlineLevel="0" collapsed="false">
      <c r="B7" s="43" t="str">
        <f aca="false">Calc!B21</f>
        <v>Feb</v>
      </c>
      <c r="C7" s="44" t="n">
        <f aca="false">Calc!C21</f>
        <v>7012</v>
      </c>
      <c r="D7" s="44" t="n">
        <f aca="false">Calc!E21</f>
        <v>4035</v>
      </c>
      <c r="E7" s="45" t="n">
        <f aca="false">IF(C7=0,0,D7/C7)</f>
        <v>0.575442099258414</v>
      </c>
      <c r="F7" s="44" t="n">
        <f aca="false">Calc!F21</f>
        <v>79</v>
      </c>
      <c r="G7" s="44" t="n">
        <f aca="false">IF(F7=0,0,C7/F7)</f>
        <v>88.7594936708861</v>
      </c>
    </row>
    <row r="8" customFormat="false" ht="15" hidden="false" customHeight="false" outlineLevel="0" collapsed="false">
      <c r="B8" s="40" t="str">
        <f aca="false">Calc!B22</f>
        <v>Mar</v>
      </c>
      <c r="C8" s="41" t="n">
        <f aca="false">Calc!C22</f>
        <v>9908</v>
      </c>
      <c r="D8" s="41" t="n">
        <f aca="false">Calc!E22</f>
        <v>5666</v>
      </c>
      <c r="E8" s="42" t="n">
        <f aca="false">IF(C8=0,0,D8/C8)</f>
        <v>0.571861122325394</v>
      </c>
      <c r="F8" s="41" t="n">
        <f aca="false">Calc!F22</f>
        <v>108</v>
      </c>
      <c r="G8" s="41" t="n">
        <f aca="false">IF(F8=0,0,C8/F8)</f>
        <v>91.7407407407408</v>
      </c>
    </row>
    <row r="9" customFormat="false" ht="15" hidden="false" customHeight="false" outlineLevel="0" collapsed="false">
      <c r="B9" s="43" t="str">
        <f aca="false">Calc!B23</f>
        <v>Apr</v>
      </c>
      <c r="C9" s="44" t="n">
        <f aca="false">Calc!C23</f>
        <v>11615</v>
      </c>
      <c r="D9" s="44" t="n">
        <f aca="false">Calc!E23</f>
        <v>6432</v>
      </c>
      <c r="E9" s="45" t="n">
        <f aca="false">IF(C9=0,0,D9/C9)</f>
        <v>0.553766681015928</v>
      </c>
      <c r="F9" s="44" t="n">
        <f aca="false">Calc!F23</f>
        <v>117</v>
      </c>
      <c r="G9" s="44" t="n">
        <f aca="false">IF(F9=0,0,C9/F9)</f>
        <v>99.2735042735043</v>
      </c>
    </row>
    <row r="10" customFormat="false" ht="15" hidden="false" customHeight="false" outlineLevel="0" collapsed="false">
      <c r="B10" s="40" t="str">
        <f aca="false">Calc!B24</f>
        <v>May</v>
      </c>
      <c r="C10" s="41" t="n">
        <f aca="false">Calc!C24</f>
        <v>13184</v>
      </c>
      <c r="D10" s="41" t="n">
        <f aca="false">Calc!E24</f>
        <v>7474</v>
      </c>
      <c r="E10" s="42" t="n">
        <f aca="false">IF(C10=0,0,D10/C10)</f>
        <v>0.56689927184466</v>
      </c>
      <c r="F10" s="41" t="n">
        <f aca="false">Calc!F24</f>
        <v>134</v>
      </c>
      <c r="G10" s="41" t="n">
        <f aca="false">IF(F10=0,0,C10/F10)</f>
        <v>98.3880597014925</v>
      </c>
    </row>
    <row r="11" customFormat="false" ht="15" hidden="false" customHeight="false" outlineLevel="0" collapsed="false">
      <c r="B11" s="43" t="str">
        <f aca="false">Calc!B25</f>
        <v>Jun</v>
      </c>
      <c r="C11" s="44" t="n">
        <f aca="false">Calc!C25</f>
        <v>10831</v>
      </c>
      <c r="D11" s="44" t="n">
        <f aca="false">Calc!E25</f>
        <v>5983</v>
      </c>
      <c r="E11" s="45" t="n">
        <f aca="false">IF(C11=0,0,D11/C11)</f>
        <v>0.552395900655526</v>
      </c>
      <c r="F11" s="44" t="n">
        <f aca="false">Calc!F25</f>
        <v>113</v>
      </c>
      <c r="G11" s="44" t="n">
        <f aca="false">IF(F11=0,0,C11/F11)</f>
        <v>95.8495575221239</v>
      </c>
    </row>
    <row r="12" customFormat="false" ht="15" hidden="false" customHeight="false" outlineLevel="0" collapsed="false">
      <c r="B12" s="40" t="str">
        <f aca="false">Calc!B26</f>
        <v>Jul</v>
      </c>
      <c r="C12" s="41" t="n">
        <f aca="false">Calc!C26</f>
        <v>12807</v>
      </c>
      <c r="D12" s="41" t="n">
        <f aca="false">Calc!E26</f>
        <v>7079</v>
      </c>
      <c r="E12" s="42" t="n">
        <f aca="false">IF(C12=0,0,D12/C12)</f>
        <v>0.552744592800812</v>
      </c>
      <c r="F12" s="41" t="n">
        <f aca="false">Calc!F26</f>
        <v>125</v>
      </c>
      <c r="G12" s="41" t="n">
        <f aca="false">IF(F12=0,0,C12/F12)</f>
        <v>102.456</v>
      </c>
    </row>
    <row r="13" customFormat="false" ht="15" hidden="false" customHeight="false" outlineLevel="0" collapsed="false">
      <c r="B13" s="43" t="str">
        <f aca="false">Calc!B27</f>
        <v>Aug</v>
      </c>
      <c r="C13" s="44" t="n">
        <f aca="false">Calc!C27</f>
        <v>12764</v>
      </c>
      <c r="D13" s="44" t="n">
        <f aca="false">Calc!E27</f>
        <v>6954</v>
      </c>
      <c r="E13" s="45" t="n">
        <f aca="false">IF(C13=0,0,D13/C13)</f>
        <v>0.544813538075838</v>
      </c>
      <c r="F13" s="44" t="n">
        <f aca="false">Calc!F27</f>
        <v>126</v>
      </c>
      <c r="G13" s="44" t="n">
        <f aca="false">IF(F13=0,0,C13/F13)</f>
        <v>101.301587301587</v>
      </c>
    </row>
    <row r="14" customFormat="false" ht="15" hidden="false" customHeight="false" outlineLevel="0" collapsed="false">
      <c r="B14" s="40" t="str">
        <f aca="false">Calc!B28</f>
        <v>Sep</v>
      </c>
      <c r="C14" s="41" t="n">
        <f aca="false">Calc!C28</f>
        <v>10019</v>
      </c>
      <c r="D14" s="41" t="n">
        <f aca="false">Calc!E28</f>
        <v>5731</v>
      </c>
      <c r="E14" s="42" t="n">
        <f aca="false">IF(C14=0,0,D14/C14)</f>
        <v>0.572013174967562</v>
      </c>
      <c r="F14" s="41" t="n">
        <f aca="false">Calc!F28</f>
        <v>113</v>
      </c>
      <c r="G14" s="41" t="n">
        <f aca="false">IF(F14=0,0,C14/F14)</f>
        <v>88.6637168141593</v>
      </c>
    </row>
    <row r="15" customFormat="false" ht="15" hidden="false" customHeight="false" outlineLevel="0" collapsed="false">
      <c r="B15" s="43" t="str">
        <f aca="false">Calc!B29</f>
        <v>Oct</v>
      </c>
      <c r="C15" s="44" t="n">
        <f aca="false">Calc!C29</f>
        <v>13036</v>
      </c>
      <c r="D15" s="44" t="n">
        <f aca="false">Calc!E29</f>
        <v>7207</v>
      </c>
      <c r="E15" s="45" t="n">
        <f aca="false">IF(C15=0,0,D15/C15)</f>
        <v>0.552853636084689</v>
      </c>
      <c r="F15" s="44" t="n">
        <f aca="false">Calc!F29</f>
        <v>133</v>
      </c>
      <c r="G15" s="44" t="n">
        <f aca="false">IF(F15=0,0,C15/F15)</f>
        <v>98.015037593985</v>
      </c>
    </row>
    <row r="16" customFormat="false" ht="15" hidden="false" customHeight="false" outlineLevel="0" collapsed="false">
      <c r="B16" s="40" t="str">
        <f aca="false">Calc!B30</f>
        <v>Nov</v>
      </c>
      <c r="C16" s="41" t="n">
        <f aca="false">Calc!C30</f>
        <v>16289</v>
      </c>
      <c r="D16" s="41" t="n">
        <f aca="false">Calc!E30</f>
        <v>9036</v>
      </c>
      <c r="E16" s="42" t="n">
        <f aca="false">IF(C16=0,0,D16/C16)</f>
        <v>0.554730186015102</v>
      </c>
      <c r="F16" s="41" t="n">
        <f aca="false">Calc!F30</f>
        <v>167</v>
      </c>
      <c r="G16" s="41" t="n">
        <f aca="false">IF(F16=0,0,C16/F16)</f>
        <v>97.5389221556886</v>
      </c>
    </row>
    <row r="17" customFormat="false" ht="15" hidden="false" customHeight="false" outlineLevel="0" collapsed="false">
      <c r="B17" s="43" t="str">
        <f aca="false">Calc!B31</f>
        <v>Dec</v>
      </c>
      <c r="C17" s="44" t="n">
        <f aca="false">Calc!C31</f>
        <v>18392</v>
      </c>
      <c r="D17" s="44" t="n">
        <f aca="false">Calc!E31</f>
        <v>10238</v>
      </c>
      <c r="E17" s="45" t="n">
        <f aca="false">IF(C17=0,0,D17/C17)</f>
        <v>0.556655067420618</v>
      </c>
      <c r="F17" s="44" t="n">
        <f aca="false">Calc!F31</f>
        <v>191</v>
      </c>
      <c r="G17" s="44" t="n">
        <f aca="false">IF(F17=0,0,C17/F17)</f>
        <v>96.2931937172775</v>
      </c>
    </row>
    <row r="18" customFormat="false" ht="15" hidden="false" customHeight="false" outlineLevel="0" collapsed="false">
      <c r="B18" s="46" t="s">
        <v>29</v>
      </c>
      <c r="C18" s="47" t="n">
        <f aca="false">SUM(C6:C17)</f>
        <v>146335</v>
      </c>
      <c r="D18" s="47" t="n">
        <f aca="false">SUM(D6:D17)</f>
        <v>81660</v>
      </c>
      <c r="E18" s="48" t="n">
        <f aca="false">IF(C18=0,0,D18/C18)</f>
        <v>0.558034646530222</v>
      </c>
      <c r="F18" s="47" t="n">
        <f aca="false">SUM(F6:F17)</f>
        <v>1514</v>
      </c>
      <c r="G18" s="47" t="n">
        <f aca="false">IF(F18=0,0,C18/F18)</f>
        <v>96.6545574636724</v>
      </c>
    </row>
  </sheetData>
  <conditionalFormatting sqref="C6:C17">
    <cfRule type="dataBar" priority="2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{2AF98D54-EF25-4137-B5AB-D010A5E0135D}</x14:id>
        </ext>
      </extLst>
    </cfRule>
  </conditionalFormatting>
  <hyperlinks>
    <hyperlink ref="G2" r:id="rId1" location="'Overview'!A1" display="◀ Back to Overvie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F98D54-EF25-4137-B5AB-D010A5E0135D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C6:C17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289"/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1"/>
  </cols>
  <sheetData>
    <row r="2" customFormat="false" ht="19.7" hidden="false" customHeight="false" outlineLevel="0" collapsed="false">
      <c r="B2" s="35" t="s">
        <v>30</v>
      </c>
      <c r="H2" s="36" t="s">
        <v>23</v>
      </c>
    </row>
    <row r="3" customFormat="false" ht="15" hidden="false" customHeight="false" outlineLevel="0" collapsed="false">
      <c r="B3" s="37" t="str">
        <f aca="false">"Period: "&amp;Calc!$C$8&amp;"  (change Year / Month on the Overview sheet)"</f>
        <v>Period: Full year 2025  (change Year / Month on the Overview sheet)</v>
      </c>
    </row>
    <row r="5" customFormat="false" ht="15" hidden="false" customHeight="false" outlineLevel="0" collapsed="false">
      <c r="B5" s="38" t="s">
        <v>16</v>
      </c>
      <c r="C5" s="39" t="s">
        <v>31</v>
      </c>
      <c r="D5" s="39" t="s">
        <v>32</v>
      </c>
      <c r="E5" s="39" t="s">
        <v>33</v>
      </c>
      <c r="F5" s="39" t="s">
        <v>24</v>
      </c>
      <c r="G5" s="39" t="s">
        <v>25</v>
      </c>
      <c r="H5" s="39" t="s">
        <v>26</v>
      </c>
    </row>
    <row r="6" customFormat="false" ht="15" hidden="false" customHeight="false" outlineLevel="0" collapsed="false">
      <c r="B6" s="40" t="s">
        <v>34</v>
      </c>
      <c r="C6" s="40" t="s">
        <v>35</v>
      </c>
      <c r="D6" s="49" t="n">
        <v>89</v>
      </c>
      <c r="E6" s="41" t="n">
        <f aca="false">Calc!D36</f>
        <v>198</v>
      </c>
      <c r="F6" s="41" t="n">
        <f aca="false">Calc!C36</f>
        <v>17622</v>
      </c>
      <c r="G6" s="41" t="n">
        <f aca="false">Calc!E36</f>
        <v>9504</v>
      </c>
      <c r="H6" s="42" t="n">
        <f aca="false">IF(F6=0,0,G6/F6)</f>
        <v>0.539325842696629</v>
      </c>
    </row>
    <row r="7" customFormat="false" ht="15" hidden="false" customHeight="false" outlineLevel="0" collapsed="false">
      <c r="B7" s="43" t="s">
        <v>36</v>
      </c>
      <c r="C7" s="43" t="s">
        <v>35</v>
      </c>
      <c r="D7" s="50" t="n">
        <v>179</v>
      </c>
      <c r="E7" s="44" t="n">
        <f aca="false">Calc!D37</f>
        <v>177</v>
      </c>
      <c r="F7" s="44" t="n">
        <f aca="false">Calc!C37</f>
        <v>31683</v>
      </c>
      <c r="G7" s="44" t="n">
        <f aca="false">Calc!E37</f>
        <v>15399</v>
      </c>
      <c r="H7" s="45" t="n">
        <f aca="false">IF(F7=0,0,G7/F7)</f>
        <v>0.486033519553073</v>
      </c>
    </row>
    <row r="8" customFormat="false" ht="15" hidden="false" customHeight="false" outlineLevel="0" collapsed="false">
      <c r="B8" s="40" t="s">
        <v>37</v>
      </c>
      <c r="C8" s="40" t="s">
        <v>35</v>
      </c>
      <c r="D8" s="49" t="n">
        <v>59</v>
      </c>
      <c r="E8" s="41" t="n">
        <f aca="false">Calc!D38</f>
        <v>189</v>
      </c>
      <c r="F8" s="41" t="n">
        <f aca="false">Calc!C38</f>
        <v>11151</v>
      </c>
      <c r="G8" s="41" t="n">
        <f aca="false">Calc!E38</f>
        <v>6048</v>
      </c>
      <c r="H8" s="42" t="n">
        <f aca="false">IF(F8=0,0,G8/F8)</f>
        <v>0.542372881355932</v>
      </c>
    </row>
    <row r="9" customFormat="false" ht="15" hidden="false" customHeight="false" outlineLevel="0" collapsed="false">
      <c r="B9" s="43" t="s">
        <v>38</v>
      </c>
      <c r="C9" s="43" t="s">
        <v>35</v>
      </c>
      <c r="D9" s="50" t="n">
        <v>49</v>
      </c>
      <c r="E9" s="44" t="n">
        <f aca="false">Calc!D39</f>
        <v>191</v>
      </c>
      <c r="F9" s="44" t="n">
        <f aca="false">Calc!C39</f>
        <v>9359</v>
      </c>
      <c r="G9" s="44" t="n">
        <f aca="false">Calc!E39</f>
        <v>5157</v>
      </c>
      <c r="H9" s="45" t="n">
        <f aca="false">IF(F9=0,0,G9/F9)</f>
        <v>0.551020408163265</v>
      </c>
    </row>
    <row r="10" customFormat="false" ht="15" hidden="false" customHeight="false" outlineLevel="0" collapsed="false">
      <c r="B10" s="40" t="s">
        <v>39</v>
      </c>
      <c r="C10" s="40" t="s">
        <v>40</v>
      </c>
      <c r="D10" s="49" t="n">
        <v>54</v>
      </c>
      <c r="E10" s="41" t="n">
        <f aca="false">Calc!D40</f>
        <v>114</v>
      </c>
      <c r="F10" s="41" t="n">
        <f aca="false">Calc!C40</f>
        <v>6156</v>
      </c>
      <c r="G10" s="41" t="n">
        <f aca="false">Calc!E40</f>
        <v>3990</v>
      </c>
      <c r="H10" s="42" t="n">
        <f aca="false">IF(F10=0,0,G10/F10)</f>
        <v>0.648148148148148</v>
      </c>
    </row>
    <row r="11" customFormat="false" ht="15" hidden="false" customHeight="false" outlineLevel="0" collapsed="false">
      <c r="B11" s="43" t="s">
        <v>41</v>
      </c>
      <c r="C11" s="43" t="s">
        <v>40</v>
      </c>
      <c r="D11" s="50" t="n">
        <v>46</v>
      </c>
      <c r="E11" s="44" t="n">
        <f aca="false">Calc!D41</f>
        <v>129</v>
      </c>
      <c r="F11" s="44" t="n">
        <f aca="false">Calc!C41</f>
        <v>5934</v>
      </c>
      <c r="G11" s="44" t="n">
        <f aca="false">Calc!E41</f>
        <v>3870</v>
      </c>
      <c r="H11" s="45" t="n">
        <f aca="false">IF(F11=0,0,G11/F11)</f>
        <v>0.652173913043478</v>
      </c>
    </row>
    <row r="12" customFormat="false" ht="15" hidden="false" customHeight="false" outlineLevel="0" collapsed="false">
      <c r="B12" s="40" t="s">
        <v>42</v>
      </c>
      <c r="C12" s="40" t="s">
        <v>40</v>
      </c>
      <c r="D12" s="49" t="n">
        <v>79</v>
      </c>
      <c r="E12" s="41" t="n">
        <f aca="false">Calc!D42</f>
        <v>99</v>
      </c>
      <c r="F12" s="41" t="n">
        <f aca="false">Calc!C42</f>
        <v>7821</v>
      </c>
      <c r="G12" s="41" t="n">
        <f aca="false">Calc!E42</f>
        <v>4752</v>
      </c>
      <c r="H12" s="42" t="n">
        <f aca="false">IF(F12=0,0,G12/F12)</f>
        <v>0.607594936708861</v>
      </c>
    </row>
    <row r="13" customFormat="false" ht="15" hidden="false" customHeight="false" outlineLevel="0" collapsed="false">
      <c r="B13" s="43" t="s">
        <v>43</v>
      </c>
      <c r="C13" s="43" t="s">
        <v>40</v>
      </c>
      <c r="D13" s="50" t="n">
        <v>29</v>
      </c>
      <c r="E13" s="44" t="n">
        <f aca="false">Calc!D43</f>
        <v>141</v>
      </c>
      <c r="F13" s="44" t="n">
        <f aca="false">Calc!C43</f>
        <v>4089</v>
      </c>
      <c r="G13" s="44" t="n">
        <f aca="false">Calc!E43</f>
        <v>2820</v>
      </c>
      <c r="H13" s="45" t="n">
        <f aca="false">IF(F13=0,0,G13/F13)</f>
        <v>0.689655172413793</v>
      </c>
    </row>
    <row r="14" customFormat="false" ht="15" hidden="false" customHeight="false" outlineLevel="0" collapsed="false">
      <c r="B14" s="40" t="s">
        <v>44</v>
      </c>
      <c r="C14" s="40" t="s">
        <v>45</v>
      </c>
      <c r="D14" s="49" t="n">
        <v>119</v>
      </c>
      <c r="E14" s="41" t="n">
        <f aca="false">Calc!D44</f>
        <v>94</v>
      </c>
      <c r="F14" s="41" t="n">
        <f aca="false">Calc!C44</f>
        <v>11186</v>
      </c>
      <c r="G14" s="41" t="n">
        <f aca="false">Calc!E44</f>
        <v>5264</v>
      </c>
      <c r="H14" s="42" t="n">
        <f aca="false">IF(F14=0,0,G14/F14)</f>
        <v>0.470588235294118</v>
      </c>
    </row>
    <row r="15" customFormat="false" ht="15" hidden="false" customHeight="false" outlineLevel="0" collapsed="false">
      <c r="B15" s="43" t="s">
        <v>46</v>
      </c>
      <c r="C15" s="43" t="s">
        <v>45</v>
      </c>
      <c r="D15" s="50" t="n">
        <v>149</v>
      </c>
      <c r="E15" s="44" t="n">
        <f aca="false">Calc!D45</f>
        <v>90</v>
      </c>
      <c r="F15" s="44" t="n">
        <f aca="false">Calc!C45</f>
        <v>13410</v>
      </c>
      <c r="G15" s="44" t="n">
        <f aca="false">Calc!E45</f>
        <v>7020</v>
      </c>
      <c r="H15" s="45" t="n">
        <f aca="false">IF(F15=0,0,G15/F15)</f>
        <v>0.523489932885906</v>
      </c>
    </row>
    <row r="16" customFormat="false" ht="15" hidden="false" customHeight="false" outlineLevel="0" collapsed="false">
      <c r="B16" s="40" t="s">
        <v>47</v>
      </c>
      <c r="C16" s="40" t="s">
        <v>45</v>
      </c>
      <c r="D16" s="49" t="n">
        <v>34</v>
      </c>
      <c r="E16" s="41" t="n">
        <f aca="false">Calc!D46</f>
        <v>139</v>
      </c>
      <c r="F16" s="41" t="n">
        <f aca="false">Calc!C46</f>
        <v>4726</v>
      </c>
      <c r="G16" s="41" t="n">
        <f aca="false">Calc!E46</f>
        <v>3058</v>
      </c>
      <c r="H16" s="42" t="n">
        <f aca="false">IF(F16=0,0,G16/F16)</f>
        <v>0.647058823529412</v>
      </c>
    </row>
    <row r="17" customFormat="false" ht="15" hidden="false" customHeight="false" outlineLevel="0" collapsed="false">
      <c r="B17" s="43" t="s">
        <v>48</v>
      </c>
      <c r="C17" s="43" t="s">
        <v>45</v>
      </c>
      <c r="D17" s="50" t="n">
        <v>99</v>
      </c>
      <c r="E17" s="44" t="n">
        <f aca="false">Calc!D47</f>
        <v>93</v>
      </c>
      <c r="F17" s="44" t="n">
        <f aca="false">Calc!C47</f>
        <v>9207</v>
      </c>
      <c r="G17" s="44" t="n">
        <f aca="false">Calc!E47</f>
        <v>5673</v>
      </c>
      <c r="H17" s="45" t="n">
        <f aca="false">IF(F17=0,0,G17/F17)</f>
        <v>0.616161616161616</v>
      </c>
    </row>
    <row r="18" customFormat="false" ht="15" hidden="false" customHeight="false" outlineLevel="0" collapsed="false">
      <c r="B18" s="40" t="s">
        <v>49</v>
      </c>
      <c r="C18" s="40" t="s">
        <v>50</v>
      </c>
      <c r="D18" s="49" t="n">
        <v>32</v>
      </c>
      <c r="E18" s="41" t="n">
        <f aca="false">Calc!D48</f>
        <v>76</v>
      </c>
      <c r="F18" s="41" t="n">
        <f aca="false">Calc!C48</f>
        <v>2432</v>
      </c>
      <c r="G18" s="41" t="n">
        <f aca="false">Calc!E48</f>
        <v>1900</v>
      </c>
      <c r="H18" s="42" t="n">
        <f aca="false">IF(F18=0,0,G18/F18)</f>
        <v>0.78125</v>
      </c>
    </row>
    <row r="19" customFormat="false" ht="15" hidden="false" customHeight="false" outlineLevel="0" collapsed="false">
      <c r="B19" s="43" t="s">
        <v>51</v>
      </c>
      <c r="C19" s="43" t="s">
        <v>50</v>
      </c>
      <c r="D19" s="50" t="n">
        <v>69</v>
      </c>
      <c r="E19" s="44" t="n">
        <f aca="false">Calc!D49</f>
        <v>60</v>
      </c>
      <c r="F19" s="44" t="n">
        <f aca="false">Calc!C49</f>
        <v>4140</v>
      </c>
      <c r="G19" s="44" t="n">
        <f aca="false">Calc!E49</f>
        <v>2400</v>
      </c>
      <c r="H19" s="45" t="n">
        <f aca="false">IF(F19=0,0,G19/F19)</f>
        <v>0.579710144927536</v>
      </c>
    </row>
    <row r="20" customFormat="false" ht="15" hidden="false" customHeight="false" outlineLevel="0" collapsed="false">
      <c r="B20" s="40" t="s">
        <v>52</v>
      </c>
      <c r="C20" s="40" t="s">
        <v>50</v>
      </c>
      <c r="D20" s="49" t="n">
        <v>45</v>
      </c>
      <c r="E20" s="41" t="n">
        <f aca="false">Calc!D50</f>
        <v>66</v>
      </c>
      <c r="F20" s="41" t="n">
        <f aca="false">Calc!C50</f>
        <v>2970</v>
      </c>
      <c r="G20" s="41" t="n">
        <f aca="false">Calc!E50</f>
        <v>2046</v>
      </c>
      <c r="H20" s="42" t="n">
        <f aca="false">IF(F20=0,0,G20/F20)</f>
        <v>0.688888888888889</v>
      </c>
    </row>
    <row r="21" customFormat="false" ht="15" hidden="false" customHeight="false" outlineLevel="0" collapsed="false">
      <c r="B21" s="43" t="s">
        <v>53</v>
      </c>
      <c r="C21" s="43" t="s">
        <v>54</v>
      </c>
      <c r="D21" s="50" t="n">
        <v>39</v>
      </c>
      <c r="E21" s="44" t="n">
        <f aca="false">Calc!D51</f>
        <v>31</v>
      </c>
      <c r="F21" s="44" t="n">
        <f aca="false">Calc!C51</f>
        <v>1209</v>
      </c>
      <c r="G21" s="44" t="n">
        <f aca="false">Calc!E51</f>
        <v>806</v>
      </c>
      <c r="H21" s="45" t="n">
        <f aca="false">IF(F21=0,0,G21/F21)</f>
        <v>0.666666666666667</v>
      </c>
    </row>
    <row r="22" customFormat="false" ht="15" hidden="false" customHeight="false" outlineLevel="0" collapsed="false">
      <c r="B22" s="40" t="s">
        <v>55</v>
      </c>
      <c r="C22" s="40" t="s">
        <v>54</v>
      </c>
      <c r="D22" s="49" t="n">
        <v>64</v>
      </c>
      <c r="E22" s="41" t="n">
        <f aca="false">Calc!D52</f>
        <v>27</v>
      </c>
      <c r="F22" s="41" t="n">
        <f aca="false">Calc!C52</f>
        <v>1728</v>
      </c>
      <c r="G22" s="41" t="n">
        <f aca="false">Calc!E52</f>
        <v>1053</v>
      </c>
      <c r="H22" s="42" t="n">
        <f aca="false">IF(F22=0,0,G22/F22)</f>
        <v>0.609375</v>
      </c>
    </row>
    <row r="23" customFormat="false" ht="15" hidden="false" customHeight="false" outlineLevel="0" collapsed="false">
      <c r="B23" s="43" t="s">
        <v>56</v>
      </c>
      <c r="C23" s="43" t="s">
        <v>54</v>
      </c>
      <c r="D23" s="50" t="n">
        <v>42</v>
      </c>
      <c r="E23" s="44" t="n">
        <f aca="false">Calc!D53</f>
        <v>36</v>
      </c>
      <c r="F23" s="44" t="n">
        <f aca="false">Calc!C53</f>
        <v>1512</v>
      </c>
      <c r="G23" s="44" t="n">
        <f aca="false">Calc!E53</f>
        <v>900</v>
      </c>
      <c r="H23" s="45" t="n">
        <f aca="false">IF(F23=0,0,G23/F23)</f>
        <v>0.595238095238095</v>
      </c>
    </row>
  </sheetData>
  <conditionalFormatting sqref="F6:F23">
    <cfRule type="dataBar" priority="2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{14EF42A9-1D59-4E33-813F-4B852E7FEBCD}</x14:id>
        </ext>
      </extLst>
    </cfRule>
  </conditionalFormatting>
  <conditionalFormatting sqref="H6:H23">
    <cfRule type="dataBar" priority="3">
      <dataBar showValue="1" minLength="10" maxLength="90">
        <cfvo type="num" val="0"/>
        <cfvo type="max" val="0"/>
        <color rgb="FF16A34A"/>
      </dataBar>
      <extLst>
        <ext xmlns:x14="http://schemas.microsoft.com/office/spreadsheetml/2009/9/main" uri="{B025F937-C7B1-47D3-B67F-A62EFF666E3E}">
          <x14:id>{77AB7034-A1E5-43E7-B8B8-826051FFD079}</x14:id>
        </ext>
      </extLst>
    </cfRule>
  </conditionalFormatting>
  <hyperlinks>
    <hyperlink ref="H2" r:id="rId1" location="'Overview'!A1" display="◀ Back to Overvie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EF42A9-1D59-4E33-813F-4B852E7FEBCD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F6:F23</xm:sqref>
        </x14:conditionalFormatting>
        <x14:conditionalFormatting xmlns:xm="http://schemas.microsoft.com/office/excel/2006/main">
          <x14:cfRule type="dataBar" id="{77AB7034-A1E5-43E7-B8B8-826051FFD079}">
            <x14:dataBar minLength="10" maxLength="90" axisPosition="none" gradient="true">
              <x14:cfvo type="num">
                <xm:f>0</xm:f>
              </x14:cfvo>
              <x14:cfvo type="max"/>
              <x14:negativeFillColor rgb="FF16A34A"/>
              <x14:axisColor rgb="FF000000"/>
            </x14:dataBar>
          </x14:cfRule>
          <xm:sqref>H6:H23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289"/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</cols>
  <sheetData>
    <row r="2" customFormat="false" ht="19.7" hidden="false" customHeight="false" outlineLevel="0" collapsed="false">
      <c r="B2" s="35" t="s">
        <v>57</v>
      </c>
      <c r="F2" s="36" t="s">
        <v>23</v>
      </c>
    </row>
    <row r="3" customFormat="false" ht="15" hidden="false" customHeight="false" outlineLevel="0" collapsed="false">
      <c r="B3" s="37" t="str">
        <f aca="false">"Period: "&amp;Calc!$C$8&amp;"  (change Year / Month on the Overview sheet)"</f>
        <v>Period: Full year 2025  (change Year / Month on the Overview sheet)</v>
      </c>
    </row>
    <row r="5" customFormat="false" ht="15" hidden="false" customHeight="false" outlineLevel="0" collapsed="false">
      <c r="B5" s="38" t="s">
        <v>58</v>
      </c>
      <c r="C5" s="39" t="s">
        <v>18</v>
      </c>
      <c r="D5" s="39" t="s">
        <v>59</v>
      </c>
      <c r="E5" s="39" t="s">
        <v>27</v>
      </c>
      <c r="F5" s="39" t="s">
        <v>24</v>
      </c>
    </row>
    <row r="6" customFormat="false" ht="15" hidden="false" customHeight="false" outlineLevel="0" collapsed="false">
      <c r="B6" s="51" t="n">
        <v>1</v>
      </c>
      <c r="C6" s="52" t="str">
        <f aca="false">INDEX(Calc!$B$61:$B$580,MATCH(1,Calc!$G$61:$G$580,0))</f>
        <v>Olivia Martin</v>
      </c>
      <c r="D6" s="40" t="str">
        <f aca="false">INDEX(Calc!$C$61:$C$580,MATCH(1,Calc!$G$61:$G$580,0))</f>
        <v>North</v>
      </c>
      <c r="E6" s="41" t="n">
        <f aca="false">INDEX(Calc!$E$61:$E$580,MATCH(1,Calc!$G$61:$G$580,0))</f>
        <v>18</v>
      </c>
      <c r="F6" s="41" t="n">
        <f aca="false">INDEX(Calc!$D$61:$D$580,MATCH(1,Calc!$G$61:$G$580,0))</f>
        <v>2070</v>
      </c>
    </row>
    <row r="7" customFormat="false" ht="15" hidden="false" customHeight="false" outlineLevel="0" collapsed="false">
      <c r="B7" s="53" t="n">
        <v>2</v>
      </c>
      <c r="C7" s="54" t="str">
        <f aca="false">INDEX(Calc!$B$61:$B$580,MATCH(2,Calc!$G$61:$G$580,0))</f>
        <v>Sophia Johnson</v>
      </c>
      <c r="D7" s="43" t="str">
        <f aca="false">INDEX(Calc!$C$61:$C$580,MATCH(2,Calc!$G$61:$G$580,0))</f>
        <v>South</v>
      </c>
      <c r="E7" s="44" t="n">
        <f aca="false">INDEX(Calc!$E$61:$E$580,MATCH(2,Calc!$G$61:$G$580,0))</f>
        <v>10</v>
      </c>
      <c r="F7" s="44" t="n">
        <f aca="false">INDEX(Calc!$D$61:$D$580,MATCH(2,Calc!$G$61:$G$580,0))</f>
        <v>1650</v>
      </c>
    </row>
    <row r="8" customFormat="false" ht="15" hidden="false" customHeight="false" outlineLevel="0" collapsed="false">
      <c r="B8" s="51" t="n">
        <v>3</v>
      </c>
      <c r="C8" s="52" t="str">
        <f aca="false">INDEX(Calc!$B$61:$B$580,MATCH(3,Calc!$G$61:$G$580,0))</f>
        <v>Mia Wright</v>
      </c>
      <c r="D8" s="40" t="str">
        <f aca="false">INDEX(Calc!$C$61:$C$580,MATCH(3,Calc!$G$61:$G$580,0))</f>
        <v>North</v>
      </c>
      <c r="E8" s="41" t="n">
        <f aca="false">INDEX(Calc!$E$61:$E$580,MATCH(3,Calc!$G$61:$G$580,0))</f>
        <v>10</v>
      </c>
      <c r="F8" s="41" t="n">
        <f aca="false">INDEX(Calc!$D$61:$D$580,MATCH(3,Calc!$G$61:$G$580,0))</f>
        <v>1426</v>
      </c>
    </row>
    <row r="9" customFormat="false" ht="15" hidden="false" customHeight="false" outlineLevel="0" collapsed="false">
      <c r="B9" s="53" t="n">
        <v>4</v>
      </c>
      <c r="C9" s="54" t="str">
        <f aca="false">INDEX(Calc!$B$61:$B$580,MATCH(4,Calc!$G$61:$G$580,0))</f>
        <v>Liam Scott</v>
      </c>
      <c r="D9" s="43" t="str">
        <f aca="false">INDEX(Calc!$C$61:$C$580,MATCH(4,Calc!$G$61:$G$580,0))</f>
        <v>South</v>
      </c>
      <c r="E9" s="44" t="n">
        <f aca="false">INDEX(Calc!$E$61:$E$580,MATCH(4,Calc!$G$61:$G$580,0))</f>
        <v>10</v>
      </c>
      <c r="F9" s="44" t="n">
        <f aca="false">INDEX(Calc!$D$61:$D$580,MATCH(4,Calc!$G$61:$G$580,0))</f>
        <v>1372</v>
      </c>
    </row>
    <row r="10" customFormat="false" ht="15" hidden="false" customHeight="false" outlineLevel="0" collapsed="false">
      <c r="B10" s="51" t="n">
        <v>5</v>
      </c>
      <c r="C10" s="52" t="str">
        <f aca="false">INDEX(Calc!$B$61:$B$580,MATCH(5,Calc!$G$61:$G$580,0))</f>
        <v>Nora Scott</v>
      </c>
      <c r="D10" s="40" t="str">
        <f aca="false">INDEX(Calc!$C$61:$C$580,MATCH(5,Calc!$G$61:$G$580,0))</f>
        <v>East</v>
      </c>
      <c r="E10" s="41" t="n">
        <f aca="false">INDEX(Calc!$E$61:$E$580,MATCH(5,Calc!$G$61:$G$580,0))</f>
        <v>11</v>
      </c>
      <c r="F10" s="41" t="n">
        <f aca="false">INDEX(Calc!$D$61:$D$580,MATCH(5,Calc!$G$61:$G$580,0))</f>
        <v>1301</v>
      </c>
    </row>
    <row r="11" customFormat="false" ht="15" hidden="false" customHeight="false" outlineLevel="0" collapsed="false">
      <c r="B11" s="53" t="n">
        <v>6</v>
      </c>
      <c r="C11" s="54" t="str">
        <f aca="false">INDEX(Calc!$B$61:$B$580,MATCH(6,Calc!$G$61:$G$580,0))</f>
        <v>Harper Moore</v>
      </c>
      <c r="D11" s="43" t="str">
        <f aca="false">INDEX(Calc!$C$61:$C$580,MATCH(6,Calc!$G$61:$G$580,0))</f>
        <v>South</v>
      </c>
      <c r="E11" s="44" t="n">
        <f aca="false">INDEX(Calc!$E$61:$E$580,MATCH(6,Calc!$G$61:$G$580,0))</f>
        <v>12</v>
      </c>
      <c r="F11" s="44" t="n">
        <f aca="false">INDEX(Calc!$D$61:$D$580,MATCH(6,Calc!$G$61:$G$580,0))</f>
        <v>1297</v>
      </c>
    </row>
    <row r="12" customFormat="false" ht="15" hidden="false" customHeight="false" outlineLevel="0" collapsed="false">
      <c r="B12" s="51" t="n">
        <v>7</v>
      </c>
      <c r="C12" s="52" t="str">
        <f aca="false">INDEX(Calc!$B$61:$B$580,MATCH(7,Calc!$G$61:$G$580,0))</f>
        <v>Liam Wilson</v>
      </c>
      <c r="D12" s="40" t="str">
        <f aca="false">INDEX(Calc!$C$61:$C$580,MATCH(7,Calc!$G$61:$G$580,0))</f>
        <v>South</v>
      </c>
      <c r="E12" s="41" t="n">
        <f aca="false">INDEX(Calc!$E$61:$E$580,MATCH(7,Calc!$G$61:$G$580,0))</f>
        <v>12</v>
      </c>
      <c r="F12" s="41" t="n">
        <f aca="false">INDEX(Calc!$D$61:$D$580,MATCH(7,Calc!$G$61:$G$580,0))</f>
        <v>1193</v>
      </c>
    </row>
    <row r="13" customFormat="false" ht="15" hidden="false" customHeight="false" outlineLevel="0" collapsed="false">
      <c r="B13" s="53" t="n">
        <v>8</v>
      </c>
      <c r="C13" s="54" t="str">
        <f aca="false">INDEX(Calc!$B$61:$B$580,MATCH(8,Calc!$G$61:$G$580,0))</f>
        <v>Harper Thomas</v>
      </c>
      <c r="D13" s="43" t="str">
        <f aca="false">INDEX(Calc!$C$61:$C$580,MATCH(8,Calc!$G$61:$G$580,0))</f>
        <v>North</v>
      </c>
      <c r="E13" s="44" t="n">
        <f aca="false">INDEX(Calc!$E$61:$E$580,MATCH(8,Calc!$G$61:$G$580,0))</f>
        <v>10</v>
      </c>
      <c r="F13" s="44" t="n">
        <f aca="false">INDEX(Calc!$D$61:$D$580,MATCH(8,Calc!$G$61:$G$580,0))</f>
        <v>1169</v>
      </c>
    </row>
    <row r="14" customFormat="false" ht="15" hidden="false" customHeight="false" outlineLevel="0" collapsed="false">
      <c r="B14" s="51" t="n">
        <v>9</v>
      </c>
      <c r="C14" s="52" t="str">
        <f aca="false">INDEX(Calc!$B$61:$B$580,MATCH(9,Calc!$G$61:$G$580,0))</f>
        <v>Ruby Davis</v>
      </c>
      <c r="D14" s="40" t="str">
        <f aca="false">INDEX(Calc!$C$61:$C$580,MATCH(9,Calc!$G$61:$G$580,0))</f>
        <v>East</v>
      </c>
      <c r="E14" s="41" t="n">
        <f aca="false">INDEX(Calc!$E$61:$E$580,MATCH(9,Calc!$G$61:$G$580,0))</f>
        <v>9</v>
      </c>
      <c r="F14" s="41" t="n">
        <f aca="false">INDEX(Calc!$D$61:$D$580,MATCH(9,Calc!$G$61:$G$580,0))</f>
        <v>1159</v>
      </c>
    </row>
    <row r="15" customFormat="false" ht="15" hidden="false" customHeight="false" outlineLevel="0" collapsed="false">
      <c r="B15" s="53" t="n">
        <v>10</v>
      </c>
      <c r="C15" s="54" t="str">
        <f aca="false">INDEX(Calc!$B$61:$B$580,MATCH(10,Calc!$G$61:$G$580,0))</f>
        <v>Liam Lewis</v>
      </c>
      <c r="D15" s="43" t="str">
        <f aca="false">INDEX(Calc!$C$61:$C$580,MATCH(10,Calc!$G$61:$G$580,0))</f>
        <v>South</v>
      </c>
      <c r="E15" s="44" t="n">
        <f aca="false">INDEX(Calc!$E$61:$E$580,MATCH(10,Calc!$G$61:$G$580,0))</f>
        <v>8</v>
      </c>
      <c r="F15" s="44" t="n">
        <f aca="false">INDEX(Calc!$D$61:$D$580,MATCH(10,Calc!$G$61:$G$580,0))</f>
        <v>1131</v>
      </c>
    </row>
    <row r="16" customFormat="false" ht="15" hidden="false" customHeight="false" outlineLevel="0" collapsed="false">
      <c r="B16" s="51" t="n">
        <v>11</v>
      </c>
      <c r="C16" s="52" t="str">
        <f aca="false">INDEX(Calc!$B$61:$B$580,MATCH(11,Calc!$G$61:$G$580,0))</f>
        <v>Mia Clark</v>
      </c>
      <c r="D16" s="40" t="str">
        <f aca="false">INDEX(Calc!$C$61:$C$580,MATCH(11,Calc!$G$61:$G$580,0))</f>
        <v>North</v>
      </c>
      <c r="E16" s="41" t="n">
        <f aca="false">INDEX(Calc!$E$61:$E$580,MATCH(11,Calc!$G$61:$G$580,0))</f>
        <v>12</v>
      </c>
      <c r="F16" s="41" t="n">
        <f aca="false">INDEX(Calc!$D$61:$D$580,MATCH(11,Calc!$G$61:$G$580,0))</f>
        <v>1113</v>
      </c>
    </row>
    <row r="17" customFormat="false" ht="15" hidden="false" customHeight="false" outlineLevel="0" collapsed="false">
      <c r="B17" s="53" t="n">
        <v>12</v>
      </c>
      <c r="C17" s="54" t="str">
        <f aca="false">INDEX(Calc!$B$61:$B$580,MATCH(12,Calc!$G$61:$G$580,0))</f>
        <v>Ava Thomas</v>
      </c>
      <c r="D17" s="43" t="str">
        <f aca="false">INDEX(Calc!$C$61:$C$580,MATCH(12,Calc!$G$61:$G$580,0))</f>
        <v>Central</v>
      </c>
      <c r="E17" s="44" t="n">
        <f aca="false">INDEX(Calc!$E$61:$E$580,MATCH(12,Calc!$G$61:$G$580,0))</f>
        <v>7</v>
      </c>
      <c r="F17" s="44" t="n">
        <f aca="false">INDEX(Calc!$D$61:$D$580,MATCH(12,Calc!$G$61:$G$580,0))</f>
        <v>1076</v>
      </c>
    </row>
    <row r="18" customFormat="false" ht="15" hidden="false" customHeight="false" outlineLevel="0" collapsed="false">
      <c r="B18" s="51" t="n">
        <v>13</v>
      </c>
      <c r="C18" s="52" t="str">
        <f aca="false">INDEX(Calc!$B$61:$B$580,MATCH(13,Calc!$G$61:$G$580,0))</f>
        <v>Liam Taylor</v>
      </c>
      <c r="D18" s="40" t="str">
        <f aca="false">INDEX(Calc!$C$61:$C$580,MATCH(13,Calc!$G$61:$G$580,0))</f>
        <v>West</v>
      </c>
      <c r="E18" s="41" t="n">
        <f aca="false">INDEX(Calc!$E$61:$E$580,MATCH(13,Calc!$G$61:$G$580,0))</f>
        <v>9</v>
      </c>
      <c r="F18" s="41" t="n">
        <f aca="false">INDEX(Calc!$D$61:$D$580,MATCH(13,Calc!$G$61:$G$580,0))</f>
        <v>1075</v>
      </c>
    </row>
    <row r="19" customFormat="false" ht="15" hidden="false" customHeight="false" outlineLevel="0" collapsed="false">
      <c r="B19" s="53" t="n">
        <v>14</v>
      </c>
      <c r="C19" s="54" t="str">
        <f aca="false">INDEX(Calc!$B$61:$B$580,MATCH(14,Calc!$G$61:$G$580,0))</f>
        <v>Caleb Miller</v>
      </c>
      <c r="D19" s="43" t="str">
        <f aca="false">INDEX(Calc!$C$61:$C$580,MATCH(14,Calc!$G$61:$G$580,0))</f>
        <v>East</v>
      </c>
      <c r="E19" s="44" t="n">
        <f aca="false">INDEX(Calc!$E$61:$E$580,MATCH(14,Calc!$G$61:$G$580,0))</f>
        <v>8</v>
      </c>
      <c r="F19" s="44" t="n">
        <f aca="false">INDEX(Calc!$D$61:$D$580,MATCH(14,Calc!$G$61:$G$580,0))</f>
        <v>1068</v>
      </c>
    </row>
    <row r="20" customFormat="false" ht="15" hidden="false" customHeight="false" outlineLevel="0" collapsed="false">
      <c r="B20" s="51" t="n">
        <v>15</v>
      </c>
      <c r="C20" s="52" t="str">
        <f aca="false">INDEX(Calc!$B$61:$B$580,MATCH(15,Calc!$G$61:$G$580,0))</f>
        <v>Lucas Taylor</v>
      </c>
      <c r="D20" s="40" t="str">
        <f aca="false">INDEX(Calc!$C$61:$C$580,MATCH(15,Calc!$G$61:$G$580,0))</f>
        <v>East</v>
      </c>
      <c r="E20" s="41" t="n">
        <f aca="false">INDEX(Calc!$E$61:$E$580,MATCH(15,Calc!$G$61:$G$580,0))</f>
        <v>8</v>
      </c>
      <c r="F20" s="41" t="n">
        <f aca="false">INDEX(Calc!$D$61:$D$580,MATCH(15,Calc!$G$61:$G$580,0))</f>
        <v>1007</v>
      </c>
    </row>
  </sheetData>
  <conditionalFormatting sqref="F6:F20">
    <cfRule type="dataBar" priority="2">
      <dataBar showValue="1" minLength="10" maxLength="90">
        <cfvo type="num" val="0"/>
        <cfvo type="max" val="0"/>
        <color rgb="FFEDA100"/>
      </dataBar>
      <extLst>
        <ext xmlns:x14="http://schemas.microsoft.com/office/spreadsheetml/2009/9/main" uri="{B025F937-C7B1-47D3-B67F-A62EFF666E3E}">
          <x14:id>{93C8F7A6-74A7-44DD-88AA-EEFEDFB6A69D}</x14:id>
        </ext>
      </extLst>
    </cfRule>
  </conditionalFormatting>
  <hyperlinks>
    <hyperlink ref="F2" r:id="rId1" location="'Overview'!A1" display="◀ Back to Overvie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C8F7A6-74A7-44DD-88AA-EEFEDFB6A69D}">
            <x14:dataBar minLength="10" maxLength="90" axisPosition="none" gradient="true">
              <x14:cfvo type="num">
                <xm:f>0</xm:f>
              </x14:cfvo>
              <x14:cfvo type="max"/>
              <x14:negativeFillColor rgb="FFEDA100"/>
              <x14:axisColor rgb="FF000000"/>
            </x14:dataBar>
          </x14:cfRule>
          <xm:sqref>F6:F20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289"/>
    <pageSetUpPr fitToPage="false"/>
  </sheetPr>
  <dimension ref="A1:R28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1" min="10" style="0" width="13"/>
    <col collapsed="false" customWidth="true" hidden="false" outlineLevel="0" max="13" min="12" style="0" width="11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8" min="18" style="0" width="20"/>
  </cols>
  <sheetData>
    <row r="1" customFormat="false" ht="15" hidden="false" customHeight="false" outlineLevel="0" collapsed="false">
      <c r="A1" s="55" t="s">
        <v>60</v>
      </c>
      <c r="B1" s="55" t="s">
        <v>19</v>
      </c>
      <c r="C1" s="55" t="s">
        <v>2</v>
      </c>
      <c r="D1" s="55" t="s">
        <v>61</v>
      </c>
      <c r="E1" s="55" t="s">
        <v>18</v>
      </c>
      <c r="F1" s="55" t="s">
        <v>59</v>
      </c>
      <c r="G1" s="55" t="s">
        <v>31</v>
      </c>
      <c r="H1" s="55" t="s">
        <v>16</v>
      </c>
      <c r="I1" s="55" t="s">
        <v>62</v>
      </c>
      <c r="J1" s="55" t="s">
        <v>32</v>
      </c>
      <c r="K1" s="55" t="s">
        <v>63</v>
      </c>
      <c r="L1" s="55" t="s">
        <v>24</v>
      </c>
      <c r="M1" s="55" t="s">
        <v>25</v>
      </c>
      <c r="N1" s="55" t="s">
        <v>64</v>
      </c>
      <c r="O1" s="55" t="s">
        <v>65</v>
      </c>
      <c r="P1" s="55" t="s">
        <v>66</v>
      </c>
      <c r="R1" s="56" t="s">
        <v>23</v>
      </c>
    </row>
    <row r="2" customFormat="false" ht="15" hidden="false" customHeight="false" outlineLevel="0" collapsed="false">
      <c r="A2" s="57" t="s">
        <v>67</v>
      </c>
      <c r="B2" s="58" t="n">
        <v>45292</v>
      </c>
      <c r="C2" s="57" t="n">
        <f aca="false">YEAR(B2)</f>
        <v>2024</v>
      </c>
      <c r="D2" s="57" t="n">
        <f aca="false">MONTH(B2)</f>
        <v>1</v>
      </c>
      <c r="E2" s="57" t="s">
        <v>68</v>
      </c>
      <c r="F2" s="57" t="s">
        <v>69</v>
      </c>
      <c r="G2" s="57" t="s">
        <v>35</v>
      </c>
      <c r="H2" s="57" t="s">
        <v>38</v>
      </c>
      <c r="I2" s="59" t="n">
        <v>3</v>
      </c>
      <c r="J2" s="60" t="n">
        <v>49</v>
      </c>
      <c r="K2" s="60" t="n">
        <v>22</v>
      </c>
      <c r="L2" s="61" t="n">
        <f aca="false">I2*J2</f>
        <v>147</v>
      </c>
      <c r="M2" s="61" t="n">
        <f aca="false">L2-I2*K2</f>
        <v>81</v>
      </c>
      <c r="N2" s="57" t="n">
        <f aca="false">IF(COUNTIFS(E$2:E2,E2,C$2:C2,C2)=1,1,0)</f>
        <v>1</v>
      </c>
      <c r="O2" s="57" t="n">
        <f aca="false">IF(COUNTIFS(E$2:E2,E2,C$2:C2,C2,D$2:D2,D2)=1,1,0)</f>
        <v>1</v>
      </c>
      <c r="P2" s="57" t="n">
        <f aca="false">IF(AND(C2=Calc!$C$3,OR(Calc!$C$4=0,D2=Calc!$C$4)),ROW(),0)</f>
        <v>0</v>
      </c>
    </row>
    <row r="3" customFormat="false" ht="15" hidden="false" customHeight="false" outlineLevel="0" collapsed="false">
      <c r="A3" s="57" t="s">
        <v>70</v>
      </c>
      <c r="B3" s="58" t="n">
        <v>45292</v>
      </c>
      <c r="C3" s="57" t="n">
        <f aca="false">YEAR(B3)</f>
        <v>2024</v>
      </c>
      <c r="D3" s="57" t="n">
        <f aca="false">MONTH(B3)</f>
        <v>1</v>
      </c>
      <c r="E3" s="57" t="s">
        <v>71</v>
      </c>
      <c r="F3" s="57" t="s">
        <v>72</v>
      </c>
      <c r="G3" s="57" t="s">
        <v>35</v>
      </c>
      <c r="H3" s="57" t="s">
        <v>36</v>
      </c>
      <c r="I3" s="59" t="n">
        <v>1</v>
      </c>
      <c r="J3" s="60" t="n">
        <v>179</v>
      </c>
      <c r="K3" s="60" t="n">
        <v>92</v>
      </c>
      <c r="L3" s="61" t="n">
        <f aca="false">I3*J3</f>
        <v>179</v>
      </c>
      <c r="M3" s="61" t="n">
        <f aca="false">L3-I3*K3</f>
        <v>87</v>
      </c>
      <c r="N3" s="57" t="n">
        <f aca="false">IF(COUNTIFS(E$2:E3,E3,C$2:C3,C3)=1,1,0)</f>
        <v>1</v>
      </c>
      <c r="O3" s="57" t="n">
        <f aca="false">IF(COUNTIFS(E$2:E3,E3,C$2:C3,C3,D$2:D3,D3)=1,1,0)</f>
        <v>1</v>
      </c>
      <c r="P3" s="57" t="n">
        <f aca="false">IF(AND(C3=Calc!$C$3,OR(Calc!$C$4=0,D3=Calc!$C$4)),ROW(),0)</f>
        <v>0</v>
      </c>
    </row>
    <row r="4" customFormat="false" ht="15" hidden="false" customHeight="false" outlineLevel="0" collapsed="false">
      <c r="A4" s="57" t="s">
        <v>73</v>
      </c>
      <c r="B4" s="58" t="n">
        <v>45293</v>
      </c>
      <c r="C4" s="57" t="n">
        <f aca="false">YEAR(B4)</f>
        <v>2024</v>
      </c>
      <c r="D4" s="57" t="n">
        <f aca="false">MONTH(B4)</f>
        <v>1</v>
      </c>
      <c r="E4" s="57" t="s">
        <v>74</v>
      </c>
      <c r="F4" s="57" t="s">
        <v>75</v>
      </c>
      <c r="G4" s="57" t="s">
        <v>35</v>
      </c>
      <c r="H4" s="57" t="s">
        <v>38</v>
      </c>
      <c r="I4" s="59" t="n">
        <v>1</v>
      </c>
      <c r="J4" s="60" t="n">
        <v>49</v>
      </c>
      <c r="K4" s="60" t="n">
        <v>22</v>
      </c>
      <c r="L4" s="61" t="n">
        <f aca="false">I4*J4</f>
        <v>49</v>
      </c>
      <c r="M4" s="61" t="n">
        <f aca="false">L4-I4*K4</f>
        <v>27</v>
      </c>
      <c r="N4" s="57" t="n">
        <f aca="false">IF(COUNTIFS(E$2:E4,E4,C$2:C4,C4)=1,1,0)</f>
        <v>1</v>
      </c>
      <c r="O4" s="57" t="n">
        <f aca="false">IF(COUNTIFS(E$2:E4,E4,C$2:C4,C4,D$2:D4,D4)=1,1,0)</f>
        <v>1</v>
      </c>
      <c r="P4" s="57" t="n">
        <f aca="false">IF(AND(C4=Calc!$C$3,OR(Calc!$C$4=0,D4=Calc!$C$4)),ROW(),0)</f>
        <v>0</v>
      </c>
    </row>
    <row r="5" customFormat="false" ht="15" hidden="false" customHeight="false" outlineLevel="0" collapsed="false">
      <c r="A5" s="57" t="s">
        <v>76</v>
      </c>
      <c r="B5" s="58" t="n">
        <v>45293</v>
      </c>
      <c r="C5" s="57" t="n">
        <f aca="false">YEAR(B5)</f>
        <v>2024</v>
      </c>
      <c r="D5" s="57" t="n">
        <f aca="false">MONTH(B5)</f>
        <v>1</v>
      </c>
      <c r="E5" s="57" t="s">
        <v>77</v>
      </c>
      <c r="F5" s="57" t="s">
        <v>78</v>
      </c>
      <c r="G5" s="57" t="s">
        <v>40</v>
      </c>
      <c r="H5" s="57" t="s">
        <v>41</v>
      </c>
      <c r="I5" s="59" t="n">
        <v>1</v>
      </c>
      <c r="J5" s="60" t="n">
        <v>46</v>
      </c>
      <c r="K5" s="60" t="n">
        <v>16</v>
      </c>
      <c r="L5" s="61" t="n">
        <f aca="false">I5*J5</f>
        <v>46</v>
      </c>
      <c r="M5" s="61" t="n">
        <f aca="false">L5-I5*K5</f>
        <v>30</v>
      </c>
      <c r="N5" s="57" t="n">
        <f aca="false">IF(COUNTIFS(E$2:E5,E5,C$2:C5,C5)=1,1,0)</f>
        <v>1</v>
      </c>
      <c r="O5" s="57" t="n">
        <f aca="false">IF(COUNTIFS(E$2:E5,E5,C$2:C5,C5,D$2:D5,D5)=1,1,0)</f>
        <v>1</v>
      </c>
      <c r="P5" s="57" t="n">
        <f aca="false">IF(AND(C5=Calc!$C$3,OR(Calc!$C$4=0,D5=Calc!$C$4)),ROW(),0)</f>
        <v>0</v>
      </c>
    </row>
    <row r="6" customFormat="false" ht="15" hidden="false" customHeight="false" outlineLevel="0" collapsed="false">
      <c r="A6" s="57" t="s">
        <v>79</v>
      </c>
      <c r="B6" s="58" t="n">
        <v>45294</v>
      </c>
      <c r="C6" s="57" t="n">
        <f aca="false">YEAR(B6)</f>
        <v>2024</v>
      </c>
      <c r="D6" s="57" t="n">
        <f aca="false">MONTH(B6)</f>
        <v>1</v>
      </c>
      <c r="E6" s="57" t="s">
        <v>80</v>
      </c>
      <c r="F6" s="57" t="s">
        <v>81</v>
      </c>
      <c r="G6" s="57" t="s">
        <v>54</v>
      </c>
      <c r="H6" s="57" t="s">
        <v>53</v>
      </c>
      <c r="I6" s="59" t="n">
        <v>3</v>
      </c>
      <c r="J6" s="60" t="n">
        <v>39</v>
      </c>
      <c r="K6" s="60" t="n">
        <v>13</v>
      </c>
      <c r="L6" s="61" t="n">
        <f aca="false">I6*J6</f>
        <v>117</v>
      </c>
      <c r="M6" s="61" t="n">
        <f aca="false">L6-I6*K6</f>
        <v>78</v>
      </c>
      <c r="N6" s="57" t="n">
        <f aca="false">IF(COUNTIFS(E$2:E6,E6,C$2:C6,C6)=1,1,0)</f>
        <v>1</v>
      </c>
      <c r="O6" s="57" t="n">
        <f aca="false">IF(COUNTIFS(E$2:E6,E6,C$2:C6,C6,D$2:D6,D6)=1,1,0)</f>
        <v>1</v>
      </c>
      <c r="P6" s="57" t="n">
        <f aca="false">IF(AND(C6=Calc!$C$3,OR(Calc!$C$4=0,D6=Calc!$C$4)),ROW(),0)</f>
        <v>0</v>
      </c>
    </row>
    <row r="7" customFormat="false" ht="15" hidden="false" customHeight="false" outlineLevel="0" collapsed="false">
      <c r="A7" s="57" t="s">
        <v>82</v>
      </c>
      <c r="B7" s="58" t="n">
        <v>45294</v>
      </c>
      <c r="C7" s="57" t="n">
        <f aca="false">YEAR(B7)</f>
        <v>2024</v>
      </c>
      <c r="D7" s="57" t="n">
        <f aca="false">MONTH(B7)</f>
        <v>1</v>
      </c>
      <c r="E7" s="57" t="s">
        <v>83</v>
      </c>
      <c r="F7" s="57" t="s">
        <v>75</v>
      </c>
      <c r="G7" s="57" t="s">
        <v>40</v>
      </c>
      <c r="H7" s="57" t="s">
        <v>43</v>
      </c>
      <c r="I7" s="59" t="n">
        <v>1</v>
      </c>
      <c r="J7" s="60" t="n">
        <v>29</v>
      </c>
      <c r="K7" s="60" t="n">
        <v>9</v>
      </c>
      <c r="L7" s="61" t="n">
        <f aca="false">I7*J7</f>
        <v>29</v>
      </c>
      <c r="M7" s="61" t="n">
        <f aca="false">L7-I7*K7</f>
        <v>20</v>
      </c>
      <c r="N7" s="57" t="n">
        <f aca="false">IF(COUNTIFS(E$2:E7,E7,C$2:C7,C7)=1,1,0)</f>
        <v>1</v>
      </c>
      <c r="O7" s="57" t="n">
        <f aca="false">IF(COUNTIFS(E$2:E7,E7,C$2:C7,C7,D$2:D7,D7)=1,1,0)</f>
        <v>1</v>
      </c>
      <c r="P7" s="57" t="n">
        <f aca="false">IF(AND(C7=Calc!$C$3,OR(Calc!$C$4=0,D7=Calc!$C$4)),ROW(),0)</f>
        <v>0</v>
      </c>
    </row>
    <row r="8" customFormat="false" ht="15" hidden="false" customHeight="false" outlineLevel="0" collapsed="false">
      <c r="A8" s="57" t="s">
        <v>84</v>
      </c>
      <c r="B8" s="58" t="n">
        <v>45294</v>
      </c>
      <c r="C8" s="57" t="n">
        <f aca="false">YEAR(B8)</f>
        <v>2024</v>
      </c>
      <c r="D8" s="57" t="n">
        <f aca="false">MONTH(B8)</f>
        <v>1</v>
      </c>
      <c r="E8" s="57" t="s">
        <v>85</v>
      </c>
      <c r="F8" s="57" t="s">
        <v>69</v>
      </c>
      <c r="G8" s="57" t="s">
        <v>35</v>
      </c>
      <c r="H8" s="57" t="s">
        <v>38</v>
      </c>
      <c r="I8" s="59" t="n">
        <v>1</v>
      </c>
      <c r="J8" s="60" t="n">
        <v>49</v>
      </c>
      <c r="K8" s="60" t="n">
        <v>22</v>
      </c>
      <c r="L8" s="61" t="n">
        <f aca="false">I8*J8</f>
        <v>49</v>
      </c>
      <c r="M8" s="61" t="n">
        <f aca="false">L8-I8*K8</f>
        <v>27</v>
      </c>
      <c r="N8" s="57" t="n">
        <f aca="false">IF(COUNTIFS(E$2:E8,E8,C$2:C8,C8)=1,1,0)</f>
        <v>1</v>
      </c>
      <c r="O8" s="57" t="n">
        <f aca="false">IF(COUNTIFS(E$2:E8,E8,C$2:C8,C8,D$2:D8,D8)=1,1,0)</f>
        <v>1</v>
      </c>
      <c r="P8" s="57" t="n">
        <f aca="false">IF(AND(C8=Calc!$C$3,OR(Calc!$C$4=0,D8=Calc!$C$4)),ROW(),0)</f>
        <v>0</v>
      </c>
    </row>
    <row r="9" customFormat="false" ht="15" hidden="false" customHeight="false" outlineLevel="0" collapsed="false">
      <c r="A9" s="57" t="s">
        <v>86</v>
      </c>
      <c r="B9" s="58" t="n">
        <v>45294</v>
      </c>
      <c r="C9" s="57" t="n">
        <f aca="false">YEAR(B9)</f>
        <v>2024</v>
      </c>
      <c r="D9" s="57" t="n">
        <f aca="false">MONTH(B9)</f>
        <v>1</v>
      </c>
      <c r="E9" s="57" t="s">
        <v>87</v>
      </c>
      <c r="F9" s="57" t="s">
        <v>72</v>
      </c>
      <c r="G9" s="57" t="s">
        <v>45</v>
      </c>
      <c r="H9" s="57" t="s">
        <v>44</v>
      </c>
      <c r="I9" s="59" t="n">
        <v>3</v>
      </c>
      <c r="J9" s="60" t="n">
        <v>119</v>
      </c>
      <c r="K9" s="60" t="n">
        <v>63</v>
      </c>
      <c r="L9" s="61" t="n">
        <f aca="false">I9*J9</f>
        <v>357</v>
      </c>
      <c r="M9" s="61" t="n">
        <f aca="false">L9-I9*K9</f>
        <v>168</v>
      </c>
      <c r="N9" s="57" t="n">
        <f aca="false">IF(COUNTIFS(E$2:E9,E9,C$2:C9,C9)=1,1,0)</f>
        <v>1</v>
      </c>
      <c r="O9" s="57" t="n">
        <f aca="false">IF(COUNTIFS(E$2:E9,E9,C$2:C9,C9,D$2:D9,D9)=1,1,0)</f>
        <v>1</v>
      </c>
      <c r="P9" s="57" t="n">
        <f aca="false">IF(AND(C9=Calc!$C$3,OR(Calc!$C$4=0,D9=Calc!$C$4)),ROW(),0)</f>
        <v>0</v>
      </c>
    </row>
    <row r="10" customFormat="false" ht="15" hidden="false" customHeight="false" outlineLevel="0" collapsed="false">
      <c r="A10" s="57" t="s">
        <v>88</v>
      </c>
      <c r="B10" s="58" t="n">
        <v>45295</v>
      </c>
      <c r="C10" s="57" t="n">
        <f aca="false">YEAR(B10)</f>
        <v>2024</v>
      </c>
      <c r="D10" s="57" t="n">
        <f aca="false">MONTH(B10)</f>
        <v>1</v>
      </c>
      <c r="E10" s="57" t="s">
        <v>89</v>
      </c>
      <c r="F10" s="57" t="s">
        <v>81</v>
      </c>
      <c r="G10" s="57" t="s">
        <v>35</v>
      </c>
      <c r="H10" s="57" t="s">
        <v>36</v>
      </c>
      <c r="I10" s="59" t="n">
        <v>3</v>
      </c>
      <c r="J10" s="60" t="n">
        <v>179</v>
      </c>
      <c r="K10" s="60" t="n">
        <v>92</v>
      </c>
      <c r="L10" s="61" t="n">
        <f aca="false">I10*J10</f>
        <v>537</v>
      </c>
      <c r="M10" s="61" t="n">
        <f aca="false">L10-I10*K10</f>
        <v>261</v>
      </c>
      <c r="N10" s="57" t="n">
        <f aca="false">IF(COUNTIFS(E$2:E10,E10,C$2:C10,C10)=1,1,0)</f>
        <v>1</v>
      </c>
      <c r="O10" s="57" t="n">
        <f aca="false">IF(COUNTIFS(E$2:E10,E10,C$2:C10,C10,D$2:D10,D10)=1,1,0)</f>
        <v>1</v>
      </c>
      <c r="P10" s="57" t="n">
        <f aca="false">IF(AND(C10=Calc!$C$3,OR(Calc!$C$4=0,D10=Calc!$C$4)),ROW(),0)</f>
        <v>0</v>
      </c>
    </row>
    <row r="11" customFormat="false" ht="15" hidden="false" customHeight="false" outlineLevel="0" collapsed="false">
      <c r="A11" s="57" t="s">
        <v>90</v>
      </c>
      <c r="B11" s="58" t="n">
        <v>45296</v>
      </c>
      <c r="C11" s="57" t="n">
        <f aca="false">YEAR(B11)</f>
        <v>2024</v>
      </c>
      <c r="D11" s="57" t="n">
        <f aca="false">MONTH(B11)</f>
        <v>1</v>
      </c>
      <c r="E11" s="57" t="s">
        <v>91</v>
      </c>
      <c r="F11" s="57" t="s">
        <v>69</v>
      </c>
      <c r="G11" s="57" t="s">
        <v>35</v>
      </c>
      <c r="H11" s="57" t="s">
        <v>38</v>
      </c>
      <c r="I11" s="59" t="n">
        <v>3</v>
      </c>
      <c r="J11" s="60" t="n">
        <v>49</v>
      </c>
      <c r="K11" s="60" t="n">
        <v>22</v>
      </c>
      <c r="L11" s="61" t="n">
        <f aca="false">I11*J11</f>
        <v>147</v>
      </c>
      <c r="M11" s="61" t="n">
        <f aca="false">L11-I11*K11</f>
        <v>81</v>
      </c>
      <c r="N11" s="57" t="n">
        <f aca="false">IF(COUNTIFS(E$2:E11,E11,C$2:C11,C11)=1,1,0)</f>
        <v>1</v>
      </c>
      <c r="O11" s="57" t="n">
        <f aca="false">IF(COUNTIFS(E$2:E11,E11,C$2:C11,C11,D$2:D11,D11)=1,1,0)</f>
        <v>1</v>
      </c>
      <c r="P11" s="57" t="n">
        <f aca="false">IF(AND(C11=Calc!$C$3,OR(Calc!$C$4=0,D11=Calc!$C$4)),ROW(),0)</f>
        <v>0</v>
      </c>
    </row>
    <row r="12" customFormat="false" ht="15" hidden="false" customHeight="false" outlineLevel="0" collapsed="false">
      <c r="A12" s="57" t="s">
        <v>92</v>
      </c>
      <c r="B12" s="58" t="n">
        <v>45296</v>
      </c>
      <c r="C12" s="57" t="n">
        <f aca="false">YEAR(B12)</f>
        <v>2024</v>
      </c>
      <c r="D12" s="57" t="n">
        <f aca="false">MONTH(B12)</f>
        <v>1</v>
      </c>
      <c r="E12" s="57" t="s">
        <v>93</v>
      </c>
      <c r="F12" s="57" t="s">
        <v>81</v>
      </c>
      <c r="G12" s="57" t="s">
        <v>40</v>
      </c>
      <c r="H12" s="57" t="s">
        <v>39</v>
      </c>
      <c r="I12" s="59" t="n">
        <v>1</v>
      </c>
      <c r="J12" s="60" t="n">
        <v>54</v>
      </c>
      <c r="K12" s="60" t="n">
        <v>19</v>
      </c>
      <c r="L12" s="61" t="n">
        <f aca="false">I12*J12</f>
        <v>54</v>
      </c>
      <c r="M12" s="61" t="n">
        <f aca="false">L12-I12*K12</f>
        <v>35</v>
      </c>
      <c r="N12" s="57" t="n">
        <f aca="false">IF(COUNTIFS(E$2:E12,E12,C$2:C12,C12)=1,1,0)</f>
        <v>1</v>
      </c>
      <c r="O12" s="57" t="n">
        <f aca="false">IF(COUNTIFS(E$2:E12,E12,C$2:C12,C12,D$2:D12,D12)=1,1,0)</f>
        <v>1</v>
      </c>
      <c r="P12" s="57" t="n">
        <f aca="false">IF(AND(C12=Calc!$C$3,OR(Calc!$C$4=0,D12=Calc!$C$4)),ROW(),0)</f>
        <v>0</v>
      </c>
    </row>
    <row r="13" customFormat="false" ht="15" hidden="false" customHeight="false" outlineLevel="0" collapsed="false">
      <c r="A13" s="57" t="s">
        <v>94</v>
      </c>
      <c r="B13" s="58" t="n">
        <v>45297</v>
      </c>
      <c r="C13" s="57" t="n">
        <f aca="false">YEAR(B13)</f>
        <v>2024</v>
      </c>
      <c r="D13" s="57" t="n">
        <f aca="false">MONTH(B13)</f>
        <v>1</v>
      </c>
      <c r="E13" s="57" t="s">
        <v>95</v>
      </c>
      <c r="F13" s="57" t="s">
        <v>75</v>
      </c>
      <c r="G13" s="57" t="s">
        <v>40</v>
      </c>
      <c r="H13" s="57" t="s">
        <v>43</v>
      </c>
      <c r="I13" s="59" t="n">
        <v>1</v>
      </c>
      <c r="J13" s="60" t="n">
        <v>29</v>
      </c>
      <c r="K13" s="60" t="n">
        <v>9</v>
      </c>
      <c r="L13" s="61" t="n">
        <f aca="false">I13*J13</f>
        <v>29</v>
      </c>
      <c r="M13" s="61" t="n">
        <f aca="false">L13-I13*K13</f>
        <v>20</v>
      </c>
      <c r="N13" s="57" t="n">
        <f aca="false">IF(COUNTIFS(E$2:E13,E13,C$2:C13,C13)=1,1,0)</f>
        <v>1</v>
      </c>
      <c r="O13" s="57" t="n">
        <f aca="false">IF(COUNTIFS(E$2:E13,E13,C$2:C13,C13,D$2:D13,D13)=1,1,0)</f>
        <v>1</v>
      </c>
      <c r="P13" s="57" t="n">
        <f aca="false">IF(AND(C13=Calc!$C$3,OR(Calc!$C$4=0,D13=Calc!$C$4)),ROW(),0)</f>
        <v>0</v>
      </c>
    </row>
    <row r="14" customFormat="false" ht="15" hidden="false" customHeight="false" outlineLevel="0" collapsed="false">
      <c r="A14" s="57" t="s">
        <v>96</v>
      </c>
      <c r="B14" s="58" t="n">
        <v>45297</v>
      </c>
      <c r="C14" s="57" t="n">
        <f aca="false">YEAR(B14)</f>
        <v>2024</v>
      </c>
      <c r="D14" s="57" t="n">
        <f aca="false">MONTH(B14)</f>
        <v>1</v>
      </c>
      <c r="E14" s="57" t="s">
        <v>97</v>
      </c>
      <c r="F14" s="57" t="s">
        <v>78</v>
      </c>
      <c r="G14" s="57" t="s">
        <v>45</v>
      </c>
      <c r="H14" s="57" t="s">
        <v>46</v>
      </c>
      <c r="I14" s="59" t="n">
        <v>1</v>
      </c>
      <c r="J14" s="60" t="n">
        <v>149</v>
      </c>
      <c r="K14" s="60" t="n">
        <v>71</v>
      </c>
      <c r="L14" s="61" t="n">
        <f aca="false">I14*J14</f>
        <v>149</v>
      </c>
      <c r="M14" s="61" t="n">
        <f aca="false">L14-I14*K14</f>
        <v>78</v>
      </c>
      <c r="N14" s="57" t="n">
        <f aca="false">IF(COUNTIFS(E$2:E14,E14,C$2:C14,C14)=1,1,0)</f>
        <v>1</v>
      </c>
      <c r="O14" s="57" t="n">
        <f aca="false">IF(COUNTIFS(E$2:E14,E14,C$2:C14,C14,D$2:D14,D14)=1,1,0)</f>
        <v>1</v>
      </c>
      <c r="P14" s="57" t="n">
        <f aca="false">IF(AND(C14=Calc!$C$3,OR(Calc!$C$4=0,D14=Calc!$C$4)),ROW(),0)</f>
        <v>0</v>
      </c>
    </row>
    <row r="15" customFormat="false" ht="15" hidden="false" customHeight="false" outlineLevel="0" collapsed="false">
      <c r="A15" s="57" t="s">
        <v>98</v>
      </c>
      <c r="B15" s="58" t="n">
        <v>45298</v>
      </c>
      <c r="C15" s="57" t="n">
        <f aca="false">YEAR(B15)</f>
        <v>2024</v>
      </c>
      <c r="D15" s="57" t="n">
        <f aca="false">MONTH(B15)</f>
        <v>1</v>
      </c>
      <c r="E15" s="57" t="s">
        <v>83</v>
      </c>
      <c r="F15" s="57" t="s">
        <v>75</v>
      </c>
      <c r="G15" s="57" t="s">
        <v>54</v>
      </c>
      <c r="H15" s="57" t="s">
        <v>53</v>
      </c>
      <c r="I15" s="59" t="n">
        <v>1</v>
      </c>
      <c r="J15" s="60" t="n">
        <v>39</v>
      </c>
      <c r="K15" s="60" t="n">
        <v>13</v>
      </c>
      <c r="L15" s="61" t="n">
        <f aca="false">I15*J15</f>
        <v>39</v>
      </c>
      <c r="M15" s="61" t="n">
        <f aca="false">L15-I15*K15</f>
        <v>26</v>
      </c>
      <c r="N15" s="57" t="n">
        <f aca="false">IF(COUNTIFS(E$2:E15,E15,C$2:C15,C15)=1,1,0)</f>
        <v>0</v>
      </c>
      <c r="O15" s="57" t="n">
        <f aca="false">IF(COUNTIFS(E$2:E15,E15,C$2:C15,C15,D$2:D15,D15)=1,1,0)</f>
        <v>0</v>
      </c>
      <c r="P15" s="57" t="n">
        <f aca="false">IF(AND(C15=Calc!$C$3,OR(Calc!$C$4=0,D15=Calc!$C$4)),ROW(),0)</f>
        <v>0</v>
      </c>
    </row>
    <row r="16" customFormat="false" ht="15" hidden="false" customHeight="false" outlineLevel="0" collapsed="false">
      <c r="A16" s="57" t="s">
        <v>99</v>
      </c>
      <c r="B16" s="58" t="n">
        <v>45298</v>
      </c>
      <c r="C16" s="57" t="n">
        <f aca="false">YEAR(B16)</f>
        <v>2024</v>
      </c>
      <c r="D16" s="57" t="n">
        <f aca="false">MONTH(B16)</f>
        <v>1</v>
      </c>
      <c r="E16" s="57" t="s">
        <v>100</v>
      </c>
      <c r="F16" s="57" t="s">
        <v>81</v>
      </c>
      <c r="G16" s="57" t="s">
        <v>35</v>
      </c>
      <c r="H16" s="57" t="s">
        <v>34</v>
      </c>
      <c r="I16" s="59" t="n">
        <v>1</v>
      </c>
      <c r="J16" s="60" t="n">
        <v>89</v>
      </c>
      <c r="K16" s="60" t="n">
        <v>41</v>
      </c>
      <c r="L16" s="61" t="n">
        <f aca="false">I16*J16</f>
        <v>89</v>
      </c>
      <c r="M16" s="61" t="n">
        <f aca="false">L16-I16*K16</f>
        <v>48</v>
      </c>
      <c r="N16" s="57" t="n">
        <f aca="false">IF(COUNTIFS(E$2:E16,E16,C$2:C16,C16)=1,1,0)</f>
        <v>1</v>
      </c>
      <c r="O16" s="57" t="n">
        <f aca="false">IF(COUNTIFS(E$2:E16,E16,C$2:C16,C16,D$2:D16,D16)=1,1,0)</f>
        <v>1</v>
      </c>
      <c r="P16" s="57" t="n">
        <f aca="false">IF(AND(C16=Calc!$C$3,OR(Calc!$C$4=0,D16=Calc!$C$4)),ROW(),0)</f>
        <v>0</v>
      </c>
    </row>
    <row r="17" customFormat="false" ht="15" hidden="false" customHeight="false" outlineLevel="0" collapsed="false">
      <c r="A17" s="57" t="s">
        <v>101</v>
      </c>
      <c r="B17" s="58" t="n">
        <v>45299</v>
      </c>
      <c r="C17" s="57" t="n">
        <f aca="false">YEAR(B17)</f>
        <v>2024</v>
      </c>
      <c r="D17" s="57" t="n">
        <f aca="false">MONTH(B17)</f>
        <v>1</v>
      </c>
      <c r="E17" s="57" t="s">
        <v>102</v>
      </c>
      <c r="F17" s="57" t="s">
        <v>75</v>
      </c>
      <c r="G17" s="57" t="s">
        <v>45</v>
      </c>
      <c r="H17" s="57" t="s">
        <v>44</v>
      </c>
      <c r="I17" s="59" t="n">
        <v>1</v>
      </c>
      <c r="J17" s="60" t="n">
        <v>119</v>
      </c>
      <c r="K17" s="60" t="n">
        <v>63</v>
      </c>
      <c r="L17" s="61" t="n">
        <f aca="false">I17*J17</f>
        <v>119</v>
      </c>
      <c r="M17" s="61" t="n">
        <f aca="false">L17-I17*K17</f>
        <v>56</v>
      </c>
      <c r="N17" s="57" t="n">
        <f aca="false">IF(COUNTIFS(E$2:E17,E17,C$2:C17,C17)=1,1,0)</f>
        <v>1</v>
      </c>
      <c r="O17" s="57" t="n">
        <f aca="false">IF(COUNTIFS(E$2:E17,E17,C$2:C17,C17,D$2:D17,D17)=1,1,0)</f>
        <v>1</v>
      </c>
      <c r="P17" s="57" t="n">
        <f aca="false">IF(AND(C17=Calc!$C$3,OR(Calc!$C$4=0,D17=Calc!$C$4)),ROW(),0)</f>
        <v>0</v>
      </c>
    </row>
    <row r="18" customFormat="false" ht="15" hidden="false" customHeight="false" outlineLevel="0" collapsed="false">
      <c r="A18" s="57" t="s">
        <v>103</v>
      </c>
      <c r="B18" s="58" t="n">
        <v>45299</v>
      </c>
      <c r="C18" s="57" t="n">
        <f aca="false">YEAR(B18)</f>
        <v>2024</v>
      </c>
      <c r="D18" s="57" t="n">
        <f aca="false">MONTH(B18)</f>
        <v>1</v>
      </c>
      <c r="E18" s="57" t="s">
        <v>104</v>
      </c>
      <c r="F18" s="57" t="s">
        <v>78</v>
      </c>
      <c r="G18" s="57" t="s">
        <v>35</v>
      </c>
      <c r="H18" s="57" t="s">
        <v>37</v>
      </c>
      <c r="I18" s="59" t="n">
        <v>1</v>
      </c>
      <c r="J18" s="60" t="n">
        <v>59</v>
      </c>
      <c r="K18" s="60" t="n">
        <v>27</v>
      </c>
      <c r="L18" s="61" t="n">
        <f aca="false">I18*J18</f>
        <v>59</v>
      </c>
      <c r="M18" s="61" t="n">
        <f aca="false">L18-I18*K18</f>
        <v>32</v>
      </c>
      <c r="N18" s="57" t="n">
        <f aca="false">IF(COUNTIFS(E$2:E18,E18,C$2:C18,C18)=1,1,0)</f>
        <v>1</v>
      </c>
      <c r="O18" s="57" t="n">
        <f aca="false">IF(COUNTIFS(E$2:E18,E18,C$2:C18,C18,D$2:D18,D18)=1,1,0)</f>
        <v>1</v>
      </c>
      <c r="P18" s="57" t="n">
        <f aca="false">IF(AND(C18=Calc!$C$3,OR(Calc!$C$4=0,D18=Calc!$C$4)),ROW(),0)</f>
        <v>0</v>
      </c>
    </row>
    <row r="19" customFormat="false" ht="15" hidden="false" customHeight="false" outlineLevel="0" collapsed="false">
      <c r="A19" s="57" t="s">
        <v>105</v>
      </c>
      <c r="B19" s="58" t="n">
        <v>45299</v>
      </c>
      <c r="C19" s="57" t="n">
        <f aca="false">YEAR(B19)</f>
        <v>2024</v>
      </c>
      <c r="D19" s="57" t="n">
        <f aca="false">MONTH(B19)</f>
        <v>1</v>
      </c>
      <c r="E19" s="57" t="s">
        <v>106</v>
      </c>
      <c r="F19" s="57" t="s">
        <v>72</v>
      </c>
      <c r="G19" s="57" t="s">
        <v>40</v>
      </c>
      <c r="H19" s="57" t="s">
        <v>41</v>
      </c>
      <c r="I19" s="59" t="n">
        <v>1</v>
      </c>
      <c r="J19" s="60" t="n">
        <v>46</v>
      </c>
      <c r="K19" s="60" t="n">
        <v>16</v>
      </c>
      <c r="L19" s="61" t="n">
        <f aca="false">I19*J19</f>
        <v>46</v>
      </c>
      <c r="M19" s="61" t="n">
        <f aca="false">L19-I19*K19</f>
        <v>30</v>
      </c>
      <c r="N19" s="57" t="n">
        <f aca="false">IF(COUNTIFS(E$2:E19,E19,C$2:C19,C19)=1,1,0)</f>
        <v>1</v>
      </c>
      <c r="O19" s="57" t="n">
        <f aca="false">IF(COUNTIFS(E$2:E19,E19,C$2:C19,C19,D$2:D19,D19)=1,1,0)</f>
        <v>1</v>
      </c>
      <c r="P19" s="57" t="n">
        <f aca="false">IF(AND(C19=Calc!$C$3,OR(Calc!$C$4=0,D19=Calc!$C$4)),ROW(),0)</f>
        <v>0</v>
      </c>
    </row>
    <row r="20" customFormat="false" ht="15" hidden="false" customHeight="false" outlineLevel="0" collapsed="false">
      <c r="A20" s="57" t="s">
        <v>107</v>
      </c>
      <c r="B20" s="58" t="n">
        <v>45300</v>
      </c>
      <c r="C20" s="57" t="n">
        <f aca="false">YEAR(B20)</f>
        <v>2024</v>
      </c>
      <c r="D20" s="57" t="n">
        <f aca="false">MONTH(B20)</f>
        <v>1</v>
      </c>
      <c r="E20" s="57" t="s">
        <v>108</v>
      </c>
      <c r="F20" s="57" t="s">
        <v>75</v>
      </c>
      <c r="G20" s="57" t="s">
        <v>40</v>
      </c>
      <c r="H20" s="57" t="s">
        <v>41</v>
      </c>
      <c r="I20" s="59" t="n">
        <v>1</v>
      </c>
      <c r="J20" s="60" t="n">
        <v>46</v>
      </c>
      <c r="K20" s="60" t="n">
        <v>16</v>
      </c>
      <c r="L20" s="61" t="n">
        <f aca="false">I20*J20</f>
        <v>46</v>
      </c>
      <c r="M20" s="61" t="n">
        <f aca="false">L20-I20*K20</f>
        <v>30</v>
      </c>
      <c r="N20" s="57" t="n">
        <f aca="false">IF(COUNTIFS(E$2:E20,E20,C$2:C20,C20)=1,1,0)</f>
        <v>1</v>
      </c>
      <c r="O20" s="57" t="n">
        <f aca="false">IF(COUNTIFS(E$2:E20,E20,C$2:C20,C20,D$2:D20,D20)=1,1,0)</f>
        <v>1</v>
      </c>
      <c r="P20" s="57" t="n">
        <f aca="false">IF(AND(C20=Calc!$C$3,OR(Calc!$C$4=0,D20=Calc!$C$4)),ROW(),0)</f>
        <v>0</v>
      </c>
    </row>
    <row r="21" customFormat="false" ht="15" hidden="false" customHeight="false" outlineLevel="0" collapsed="false">
      <c r="A21" s="57" t="s">
        <v>109</v>
      </c>
      <c r="B21" s="58" t="n">
        <v>45300</v>
      </c>
      <c r="C21" s="57" t="n">
        <f aca="false">YEAR(B21)</f>
        <v>2024</v>
      </c>
      <c r="D21" s="57" t="n">
        <f aca="false">MONTH(B21)</f>
        <v>1</v>
      </c>
      <c r="E21" s="57" t="s">
        <v>110</v>
      </c>
      <c r="F21" s="57" t="s">
        <v>78</v>
      </c>
      <c r="G21" s="57" t="s">
        <v>45</v>
      </c>
      <c r="H21" s="57" t="s">
        <v>44</v>
      </c>
      <c r="I21" s="59" t="n">
        <v>2</v>
      </c>
      <c r="J21" s="60" t="n">
        <v>119</v>
      </c>
      <c r="K21" s="60" t="n">
        <v>63</v>
      </c>
      <c r="L21" s="61" t="n">
        <f aca="false">I21*J21</f>
        <v>238</v>
      </c>
      <c r="M21" s="61" t="n">
        <f aca="false">L21-I21*K21</f>
        <v>112</v>
      </c>
      <c r="N21" s="57" t="n">
        <f aca="false">IF(COUNTIFS(E$2:E21,E21,C$2:C21,C21)=1,1,0)</f>
        <v>1</v>
      </c>
      <c r="O21" s="57" t="n">
        <f aca="false">IF(COUNTIFS(E$2:E21,E21,C$2:C21,C21,D$2:D21,D21)=1,1,0)</f>
        <v>1</v>
      </c>
      <c r="P21" s="57" t="n">
        <f aca="false">IF(AND(C21=Calc!$C$3,OR(Calc!$C$4=0,D21=Calc!$C$4)),ROW(),0)</f>
        <v>0</v>
      </c>
    </row>
    <row r="22" customFormat="false" ht="15" hidden="false" customHeight="false" outlineLevel="0" collapsed="false">
      <c r="A22" s="57" t="s">
        <v>111</v>
      </c>
      <c r="B22" s="58" t="n">
        <v>45300</v>
      </c>
      <c r="C22" s="57" t="n">
        <f aca="false">YEAR(B22)</f>
        <v>2024</v>
      </c>
      <c r="D22" s="57" t="n">
        <f aca="false">MONTH(B22)</f>
        <v>1</v>
      </c>
      <c r="E22" s="57" t="s">
        <v>112</v>
      </c>
      <c r="F22" s="57" t="s">
        <v>81</v>
      </c>
      <c r="G22" s="57" t="s">
        <v>45</v>
      </c>
      <c r="H22" s="57" t="s">
        <v>44</v>
      </c>
      <c r="I22" s="59" t="n">
        <v>2</v>
      </c>
      <c r="J22" s="60" t="n">
        <v>119</v>
      </c>
      <c r="K22" s="60" t="n">
        <v>63</v>
      </c>
      <c r="L22" s="61" t="n">
        <f aca="false">I22*J22</f>
        <v>238</v>
      </c>
      <c r="M22" s="61" t="n">
        <f aca="false">L22-I22*K22</f>
        <v>112</v>
      </c>
      <c r="N22" s="57" t="n">
        <f aca="false">IF(COUNTIFS(E$2:E22,E22,C$2:C22,C22)=1,1,0)</f>
        <v>1</v>
      </c>
      <c r="O22" s="57" t="n">
        <f aca="false">IF(COUNTIFS(E$2:E22,E22,C$2:C22,C22,D$2:D22,D22)=1,1,0)</f>
        <v>1</v>
      </c>
      <c r="P22" s="57" t="n">
        <f aca="false">IF(AND(C22=Calc!$C$3,OR(Calc!$C$4=0,D22=Calc!$C$4)),ROW(),0)</f>
        <v>0</v>
      </c>
    </row>
    <row r="23" customFormat="false" ht="15" hidden="false" customHeight="false" outlineLevel="0" collapsed="false">
      <c r="A23" s="57" t="s">
        <v>113</v>
      </c>
      <c r="B23" s="58" t="n">
        <v>45300</v>
      </c>
      <c r="C23" s="57" t="n">
        <f aca="false">YEAR(B23)</f>
        <v>2024</v>
      </c>
      <c r="D23" s="57" t="n">
        <f aca="false">MONTH(B23)</f>
        <v>1</v>
      </c>
      <c r="E23" s="57" t="s">
        <v>114</v>
      </c>
      <c r="F23" s="57" t="s">
        <v>69</v>
      </c>
      <c r="G23" s="57" t="s">
        <v>35</v>
      </c>
      <c r="H23" s="57" t="s">
        <v>36</v>
      </c>
      <c r="I23" s="59" t="n">
        <v>1</v>
      </c>
      <c r="J23" s="60" t="n">
        <v>179</v>
      </c>
      <c r="K23" s="60" t="n">
        <v>92</v>
      </c>
      <c r="L23" s="61" t="n">
        <f aca="false">I23*J23</f>
        <v>179</v>
      </c>
      <c r="M23" s="61" t="n">
        <f aca="false">L23-I23*K23</f>
        <v>87</v>
      </c>
      <c r="N23" s="57" t="n">
        <f aca="false">IF(COUNTIFS(E$2:E23,E23,C$2:C23,C23)=1,1,0)</f>
        <v>1</v>
      </c>
      <c r="O23" s="57" t="n">
        <f aca="false">IF(COUNTIFS(E$2:E23,E23,C$2:C23,C23,D$2:D23,D23)=1,1,0)</f>
        <v>1</v>
      </c>
      <c r="P23" s="57" t="n">
        <f aca="false">IF(AND(C23=Calc!$C$3,OR(Calc!$C$4=0,D23=Calc!$C$4)),ROW(),0)</f>
        <v>0</v>
      </c>
    </row>
    <row r="24" customFormat="false" ht="15" hidden="false" customHeight="false" outlineLevel="0" collapsed="false">
      <c r="A24" s="57" t="s">
        <v>115</v>
      </c>
      <c r="B24" s="58" t="n">
        <v>45301</v>
      </c>
      <c r="C24" s="57" t="n">
        <f aca="false">YEAR(B24)</f>
        <v>2024</v>
      </c>
      <c r="D24" s="57" t="n">
        <f aca="false">MONTH(B24)</f>
        <v>1</v>
      </c>
      <c r="E24" s="57" t="s">
        <v>116</v>
      </c>
      <c r="F24" s="57" t="s">
        <v>75</v>
      </c>
      <c r="G24" s="57" t="s">
        <v>35</v>
      </c>
      <c r="H24" s="57" t="s">
        <v>37</v>
      </c>
      <c r="I24" s="59" t="n">
        <v>1</v>
      </c>
      <c r="J24" s="60" t="n">
        <v>59</v>
      </c>
      <c r="K24" s="60" t="n">
        <v>27</v>
      </c>
      <c r="L24" s="61" t="n">
        <f aca="false">I24*J24</f>
        <v>59</v>
      </c>
      <c r="M24" s="61" t="n">
        <f aca="false">L24-I24*K24</f>
        <v>32</v>
      </c>
      <c r="N24" s="57" t="n">
        <f aca="false">IF(COUNTIFS(E$2:E24,E24,C$2:C24,C24)=1,1,0)</f>
        <v>1</v>
      </c>
      <c r="O24" s="57" t="n">
        <f aca="false">IF(COUNTIFS(E$2:E24,E24,C$2:C24,C24,D$2:D24,D24)=1,1,0)</f>
        <v>1</v>
      </c>
      <c r="P24" s="57" t="n">
        <f aca="false">IF(AND(C24=Calc!$C$3,OR(Calc!$C$4=0,D24=Calc!$C$4)),ROW(),0)</f>
        <v>0</v>
      </c>
    </row>
    <row r="25" customFormat="false" ht="15" hidden="false" customHeight="false" outlineLevel="0" collapsed="false">
      <c r="A25" s="57" t="s">
        <v>117</v>
      </c>
      <c r="B25" s="58" t="n">
        <v>45301</v>
      </c>
      <c r="C25" s="57" t="n">
        <f aca="false">YEAR(B25)</f>
        <v>2024</v>
      </c>
      <c r="D25" s="57" t="n">
        <f aca="false">MONTH(B25)</f>
        <v>1</v>
      </c>
      <c r="E25" s="57" t="s">
        <v>118</v>
      </c>
      <c r="F25" s="57" t="s">
        <v>72</v>
      </c>
      <c r="G25" s="57" t="s">
        <v>40</v>
      </c>
      <c r="H25" s="57" t="s">
        <v>41</v>
      </c>
      <c r="I25" s="59" t="n">
        <v>1</v>
      </c>
      <c r="J25" s="60" t="n">
        <v>46</v>
      </c>
      <c r="K25" s="60" t="n">
        <v>16</v>
      </c>
      <c r="L25" s="61" t="n">
        <f aca="false">I25*J25</f>
        <v>46</v>
      </c>
      <c r="M25" s="61" t="n">
        <f aca="false">L25-I25*K25</f>
        <v>30</v>
      </c>
      <c r="N25" s="57" t="n">
        <f aca="false">IF(COUNTIFS(E$2:E25,E25,C$2:C25,C25)=1,1,0)</f>
        <v>1</v>
      </c>
      <c r="O25" s="57" t="n">
        <f aca="false">IF(COUNTIFS(E$2:E25,E25,C$2:C25,C25,D$2:D25,D25)=1,1,0)</f>
        <v>1</v>
      </c>
      <c r="P25" s="57" t="n">
        <f aca="false">IF(AND(C25=Calc!$C$3,OR(Calc!$C$4=0,D25=Calc!$C$4)),ROW(),0)</f>
        <v>0</v>
      </c>
    </row>
    <row r="26" customFormat="false" ht="15" hidden="false" customHeight="false" outlineLevel="0" collapsed="false">
      <c r="A26" s="57" t="s">
        <v>119</v>
      </c>
      <c r="B26" s="58" t="n">
        <v>45301</v>
      </c>
      <c r="C26" s="57" t="n">
        <f aca="false">YEAR(B26)</f>
        <v>2024</v>
      </c>
      <c r="D26" s="57" t="n">
        <f aca="false">MONTH(B26)</f>
        <v>1</v>
      </c>
      <c r="E26" s="57" t="s">
        <v>120</v>
      </c>
      <c r="F26" s="57" t="s">
        <v>78</v>
      </c>
      <c r="G26" s="57" t="s">
        <v>45</v>
      </c>
      <c r="H26" s="57" t="s">
        <v>44</v>
      </c>
      <c r="I26" s="59" t="n">
        <v>1</v>
      </c>
      <c r="J26" s="60" t="n">
        <v>119</v>
      </c>
      <c r="K26" s="60" t="n">
        <v>63</v>
      </c>
      <c r="L26" s="61" t="n">
        <f aca="false">I26*J26</f>
        <v>119</v>
      </c>
      <c r="M26" s="61" t="n">
        <f aca="false">L26-I26*K26</f>
        <v>56</v>
      </c>
      <c r="N26" s="57" t="n">
        <f aca="false">IF(COUNTIFS(E$2:E26,E26,C$2:C26,C26)=1,1,0)</f>
        <v>1</v>
      </c>
      <c r="O26" s="57" t="n">
        <f aca="false">IF(COUNTIFS(E$2:E26,E26,C$2:C26,C26,D$2:D26,D26)=1,1,0)</f>
        <v>1</v>
      </c>
      <c r="P26" s="57" t="n">
        <f aca="false">IF(AND(C26=Calc!$C$3,OR(Calc!$C$4=0,D26=Calc!$C$4)),ROW(),0)</f>
        <v>0</v>
      </c>
    </row>
    <row r="27" customFormat="false" ht="15" hidden="false" customHeight="false" outlineLevel="0" collapsed="false">
      <c r="A27" s="57" t="s">
        <v>121</v>
      </c>
      <c r="B27" s="58" t="n">
        <v>45301</v>
      </c>
      <c r="C27" s="57" t="n">
        <f aca="false">YEAR(B27)</f>
        <v>2024</v>
      </c>
      <c r="D27" s="57" t="n">
        <f aca="false">MONTH(B27)</f>
        <v>1</v>
      </c>
      <c r="E27" s="57" t="s">
        <v>122</v>
      </c>
      <c r="F27" s="57" t="s">
        <v>81</v>
      </c>
      <c r="G27" s="57" t="s">
        <v>50</v>
      </c>
      <c r="H27" s="57" t="s">
        <v>51</v>
      </c>
      <c r="I27" s="59" t="n">
        <v>1</v>
      </c>
      <c r="J27" s="60" t="n">
        <v>69</v>
      </c>
      <c r="K27" s="60" t="n">
        <v>29</v>
      </c>
      <c r="L27" s="61" t="n">
        <f aca="false">I27*J27</f>
        <v>69</v>
      </c>
      <c r="M27" s="61" t="n">
        <f aca="false">L27-I27*K27</f>
        <v>40</v>
      </c>
      <c r="N27" s="57" t="n">
        <f aca="false">IF(COUNTIFS(E$2:E27,E27,C$2:C27,C27)=1,1,0)</f>
        <v>1</v>
      </c>
      <c r="O27" s="57" t="n">
        <f aca="false">IF(COUNTIFS(E$2:E27,E27,C$2:C27,C27,D$2:D27,D27)=1,1,0)</f>
        <v>1</v>
      </c>
      <c r="P27" s="57" t="n">
        <f aca="false">IF(AND(C27=Calc!$C$3,OR(Calc!$C$4=0,D27=Calc!$C$4)),ROW(),0)</f>
        <v>0</v>
      </c>
    </row>
    <row r="28" customFormat="false" ht="15" hidden="false" customHeight="false" outlineLevel="0" collapsed="false">
      <c r="A28" s="57" t="s">
        <v>123</v>
      </c>
      <c r="B28" s="58" t="n">
        <v>45302</v>
      </c>
      <c r="C28" s="57" t="n">
        <f aca="false">YEAR(B28)</f>
        <v>2024</v>
      </c>
      <c r="D28" s="57" t="n">
        <f aca="false">MONTH(B28)</f>
        <v>1</v>
      </c>
      <c r="E28" s="57" t="s">
        <v>108</v>
      </c>
      <c r="F28" s="57" t="s">
        <v>75</v>
      </c>
      <c r="G28" s="57" t="s">
        <v>45</v>
      </c>
      <c r="H28" s="57" t="s">
        <v>48</v>
      </c>
      <c r="I28" s="59" t="n">
        <v>2</v>
      </c>
      <c r="J28" s="60" t="n">
        <v>99</v>
      </c>
      <c r="K28" s="60" t="n">
        <v>38</v>
      </c>
      <c r="L28" s="61" t="n">
        <f aca="false">I28*J28</f>
        <v>198</v>
      </c>
      <c r="M28" s="61" t="n">
        <f aca="false">L28-I28*K28</f>
        <v>122</v>
      </c>
      <c r="N28" s="57" t="n">
        <f aca="false">IF(COUNTIFS(E$2:E28,E28,C$2:C28,C28)=1,1,0)</f>
        <v>0</v>
      </c>
      <c r="O28" s="57" t="n">
        <f aca="false">IF(COUNTIFS(E$2:E28,E28,C$2:C28,C28,D$2:D28,D28)=1,1,0)</f>
        <v>0</v>
      </c>
      <c r="P28" s="57" t="n">
        <f aca="false">IF(AND(C28=Calc!$C$3,OR(Calc!$C$4=0,D28=Calc!$C$4)),ROW(),0)</f>
        <v>0</v>
      </c>
    </row>
    <row r="29" customFormat="false" ht="15" hidden="false" customHeight="false" outlineLevel="0" collapsed="false">
      <c r="A29" s="57" t="s">
        <v>124</v>
      </c>
      <c r="B29" s="58" t="n">
        <v>45302</v>
      </c>
      <c r="C29" s="57" t="n">
        <f aca="false">YEAR(B29)</f>
        <v>2024</v>
      </c>
      <c r="D29" s="57" t="n">
        <f aca="false">MONTH(B29)</f>
        <v>1</v>
      </c>
      <c r="E29" s="57" t="s">
        <v>125</v>
      </c>
      <c r="F29" s="57" t="s">
        <v>69</v>
      </c>
      <c r="G29" s="57" t="s">
        <v>45</v>
      </c>
      <c r="H29" s="57" t="s">
        <v>46</v>
      </c>
      <c r="I29" s="59" t="n">
        <v>2</v>
      </c>
      <c r="J29" s="60" t="n">
        <v>149</v>
      </c>
      <c r="K29" s="60" t="n">
        <v>71</v>
      </c>
      <c r="L29" s="61" t="n">
        <f aca="false">I29*J29</f>
        <v>298</v>
      </c>
      <c r="M29" s="61" t="n">
        <f aca="false">L29-I29*K29</f>
        <v>156</v>
      </c>
      <c r="N29" s="57" t="n">
        <f aca="false">IF(COUNTIFS(E$2:E29,E29,C$2:C29,C29)=1,1,0)</f>
        <v>1</v>
      </c>
      <c r="O29" s="57" t="n">
        <f aca="false">IF(COUNTIFS(E$2:E29,E29,C$2:C29,C29,D$2:D29,D29)=1,1,0)</f>
        <v>1</v>
      </c>
      <c r="P29" s="57" t="n">
        <f aca="false">IF(AND(C29=Calc!$C$3,OR(Calc!$C$4=0,D29=Calc!$C$4)),ROW(),0)</f>
        <v>0</v>
      </c>
    </row>
    <row r="30" customFormat="false" ht="15" hidden="false" customHeight="false" outlineLevel="0" collapsed="false">
      <c r="A30" s="57" t="s">
        <v>126</v>
      </c>
      <c r="B30" s="58" t="n">
        <v>45303</v>
      </c>
      <c r="C30" s="57" t="n">
        <f aca="false">YEAR(B30)</f>
        <v>2024</v>
      </c>
      <c r="D30" s="57" t="n">
        <f aca="false">MONTH(B30)</f>
        <v>1</v>
      </c>
      <c r="E30" s="57" t="s">
        <v>127</v>
      </c>
      <c r="F30" s="57" t="s">
        <v>69</v>
      </c>
      <c r="G30" s="57" t="s">
        <v>45</v>
      </c>
      <c r="H30" s="57" t="s">
        <v>44</v>
      </c>
      <c r="I30" s="59" t="n">
        <v>1</v>
      </c>
      <c r="J30" s="60" t="n">
        <v>119</v>
      </c>
      <c r="K30" s="60" t="n">
        <v>63</v>
      </c>
      <c r="L30" s="61" t="n">
        <f aca="false">I30*J30</f>
        <v>119</v>
      </c>
      <c r="M30" s="61" t="n">
        <f aca="false">L30-I30*K30</f>
        <v>56</v>
      </c>
      <c r="N30" s="57" t="n">
        <f aca="false">IF(COUNTIFS(E$2:E30,E30,C$2:C30,C30)=1,1,0)</f>
        <v>1</v>
      </c>
      <c r="O30" s="57" t="n">
        <f aca="false">IF(COUNTIFS(E$2:E30,E30,C$2:C30,C30,D$2:D30,D30)=1,1,0)</f>
        <v>1</v>
      </c>
      <c r="P30" s="57" t="n">
        <f aca="false">IF(AND(C30=Calc!$C$3,OR(Calc!$C$4=0,D30=Calc!$C$4)),ROW(),0)</f>
        <v>0</v>
      </c>
    </row>
    <row r="31" customFormat="false" ht="15" hidden="false" customHeight="false" outlineLevel="0" collapsed="false">
      <c r="A31" s="57" t="s">
        <v>128</v>
      </c>
      <c r="B31" s="58" t="n">
        <v>45303</v>
      </c>
      <c r="C31" s="57" t="n">
        <f aca="false">YEAR(B31)</f>
        <v>2024</v>
      </c>
      <c r="D31" s="57" t="n">
        <f aca="false">MONTH(B31)</f>
        <v>1</v>
      </c>
      <c r="E31" s="57" t="s">
        <v>129</v>
      </c>
      <c r="F31" s="57" t="s">
        <v>78</v>
      </c>
      <c r="G31" s="57" t="s">
        <v>50</v>
      </c>
      <c r="H31" s="57" t="s">
        <v>52</v>
      </c>
      <c r="I31" s="59" t="n">
        <v>1</v>
      </c>
      <c r="J31" s="60" t="n">
        <v>45</v>
      </c>
      <c r="K31" s="60" t="n">
        <v>14</v>
      </c>
      <c r="L31" s="61" t="n">
        <f aca="false">I31*J31</f>
        <v>45</v>
      </c>
      <c r="M31" s="61" t="n">
        <f aca="false">L31-I31*K31</f>
        <v>31</v>
      </c>
      <c r="N31" s="57" t="n">
        <f aca="false">IF(COUNTIFS(E$2:E31,E31,C$2:C31,C31)=1,1,0)</f>
        <v>1</v>
      </c>
      <c r="O31" s="57" t="n">
        <f aca="false">IF(COUNTIFS(E$2:E31,E31,C$2:C31,C31,D$2:D31,D31)=1,1,0)</f>
        <v>1</v>
      </c>
      <c r="P31" s="57" t="n">
        <f aca="false">IF(AND(C31=Calc!$C$3,OR(Calc!$C$4=0,D31=Calc!$C$4)),ROW(),0)</f>
        <v>0</v>
      </c>
    </row>
    <row r="32" customFormat="false" ht="15" hidden="false" customHeight="false" outlineLevel="0" collapsed="false">
      <c r="A32" s="57" t="s">
        <v>130</v>
      </c>
      <c r="B32" s="58" t="n">
        <v>45304</v>
      </c>
      <c r="C32" s="57" t="n">
        <f aca="false">YEAR(B32)</f>
        <v>2024</v>
      </c>
      <c r="D32" s="57" t="n">
        <f aca="false">MONTH(B32)</f>
        <v>1</v>
      </c>
      <c r="E32" s="57" t="s">
        <v>131</v>
      </c>
      <c r="F32" s="57" t="s">
        <v>72</v>
      </c>
      <c r="G32" s="57" t="s">
        <v>50</v>
      </c>
      <c r="H32" s="57" t="s">
        <v>49</v>
      </c>
      <c r="I32" s="59" t="n">
        <v>1</v>
      </c>
      <c r="J32" s="60" t="n">
        <v>32</v>
      </c>
      <c r="K32" s="60" t="n">
        <v>7</v>
      </c>
      <c r="L32" s="61" t="n">
        <f aca="false">I32*J32</f>
        <v>32</v>
      </c>
      <c r="M32" s="61" t="n">
        <f aca="false">L32-I32*K32</f>
        <v>25</v>
      </c>
      <c r="N32" s="57" t="n">
        <f aca="false">IF(COUNTIFS(E$2:E32,E32,C$2:C32,C32)=1,1,0)</f>
        <v>1</v>
      </c>
      <c r="O32" s="57" t="n">
        <f aca="false">IF(COUNTIFS(E$2:E32,E32,C$2:C32,C32,D$2:D32,D32)=1,1,0)</f>
        <v>1</v>
      </c>
      <c r="P32" s="57" t="n">
        <f aca="false">IF(AND(C32=Calc!$C$3,OR(Calc!$C$4=0,D32=Calc!$C$4)),ROW(),0)</f>
        <v>0</v>
      </c>
    </row>
    <row r="33" customFormat="false" ht="15" hidden="false" customHeight="false" outlineLevel="0" collapsed="false">
      <c r="A33" s="57" t="s">
        <v>132</v>
      </c>
      <c r="B33" s="58" t="n">
        <v>45304</v>
      </c>
      <c r="C33" s="57" t="n">
        <f aca="false">YEAR(B33)</f>
        <v>2024</v>
      </c>
      <c r="D33" s="57" t="n">
        <f aca="false">MONTH(B33)</f>
        <v>1</v>
      </c>
      <c r="E33" s="57" t="s">
        <v>133</v>
      </c>
      <c r="F33" s="57" t="s">
        <v>72</v>
      </c>
      <c r="G33" s="57" t="s">
        <v>45</v>
      </c>
      <c r="H33" s="57" t="s">
        <v>46</v>
      </c>
      <c r="I33" s="59" t="n">
        <v>1</v>
      </c>
      <c r="J33" s="60" t="n">
        <v>149</v>
      </c>
      <c r="K33" s="60" t="n">
        <v>71</v>
      </c>
      <c r="L33" s="61" t="n">
        <f aca="false">I33*J33</f>
        <v>149</v>
      </c>
      <c r="M33" s="61" t="n">
        <f aca="false">L33-I33*K33</f>
        <v>78</v>
      </c>
      <c r="N33" s="57" t="n">
        <f aca="false">IF(COUNTIFS(E$2:E33,E33,C$2:C33,C33)=1,1,0)</f>
        <v>1</v>
      </c>
      <c r="O33" s="57" t="n">
        <f aca="false">IF(COUNTIFS(E$2:E33,E33,C$2:C33,C33,D$2:D33,D33)=1,1,0)</f>
        <v>1</v>
      </c>
      <c r="P33" s="57" t="n">
        <f aca="false">IF(AND(C33=Calc!$C$3,OR(Calc!$C$4=0,D33=Calc!$C$4)),ROW(),0)</f>
        <v>0</v>
      </c>
    </row>
    <row r="34" customFormat="false" ht="15" hidden="false" customHeight="false" outlineLevel="0" collapsed="false">
      <c r="A34" s="57" t="s">
        <v>134</v>
      </c>
      <c r="B34" s="58" t="n">
        <v>45304</v>
      </c>
      <c r="C34" s="57" t="n">
        <f aca="false">YEAR(B34)</f>
        <v>2024</v>
      </c>
      <c r="D34" s="57" t="n">
        <f aca="false">MONTH(B34)</f>
        <v>1</v>
      </c>
      <c r="E34" s="57" t="s">
        <v>135</v>
      </c>
      <c r="F34" s="57" t="s">
        <v>69</v>
      </c>
      <c r="G34" s="57" t="s">
        <v>45</v>
      </c>
      <c r="H34" s="57" t="s">
        <v>46</v>
      </c>
      <c r="I34" s="59" t="n">
        <v>1</v>
      </c>
      <c r="J34" s="60" t="n">
        <v>149</v>
      </c>
      <c r="K34" s="60" t="n">
        <v>71</v>
      </c>
      <c r="L34" s="61" t="n">
        <f aca="false">I34*J34</f>
        <v>149</v>
      </c>
      <c r="M34" s="61" t="n">
        <f aca="false">L34-I34*K34</f>
        <v>78</v>
      </c>
      <c r="N34" s="57" t="n">
        <f aca="false">IF(COUNTIFS(E$2:E34,E34,C$2:C34,C34)=1,1,0)</f>
        <v>1</v>
      </c>
      <c r="O34" s="57" t="n">
        <f aca="false">IF(COUNTIFS(E$2:E34,E34,C$2:C34,C34,D$2:D34,D34)=1,1,0)</f>
        <v>1</v>
      </c>
      <c r="P34" s="57" t="n">
        <f aca="false">IF(AND(C34=Calc!$C$3,OR(Calc!$C$4=0,D34=Calc!$C$4)),ROW(),0)</f>
        <v>0</v>
      </c>
    </row>
    <row r="35" customFormat="false" ht="15" hidden="false" customHeight="false" outlineLevel="0" collapsed="false">
      <c r="A35" s="57" t="s">
        <v>136</v>
      </c>
      <c r="B35" s="58" t="n">
        <v>45305</v>
      </c>
      <c r="C35" s="57" t="n">
        <f aca="false">YEAR(B35)</f>
        <v>2024</v>
      </c>
      <c r="D35" s="57" t="n">
        <f aca="false">MONTH(B35)</f>
        <v>1</v>
      </c>
      <c r="E35" s="57" t="s">
        <v>137</v>
      </c>
      <c r="F35" s="57" t="s">
        <v>75</v>
      </c>
      <c r="G35" s="57" t="s">
        <v>35</v>
      </c>
      <c r="H35" s="57" t="s">
        <v>34</v>
      </c>
      <c r="I35" s="59" t="n">
        <v>1</v>
      </c>
      <c r="J35" s="60" t="n">
        <v>89</v>
      </c>
      <c r="K35" s="60" t="n">
        <v>41</v>
      </c>
      <c r="L35" s="61" t="n">
        <f aca="false">I35*J35</f>
        <v>89</v>
      </c>
      <c r="M35" s="61" t="n">
        <f aca="false">L35-I35*K35</f>
        <v>48</v>
      </c>
      <c r="N35" s="57" t="n">
        <f aca="false">IF(COUNTIFS(E$2:E35,E35,C$2:C35,C35)=1,1,0)</f>
        <v>1</v>
      </c>
      <c r="O35" s="57" t="n">
        <f aca="false">IF(COUNTIFS(E$2:E35,E35,C$2:C35,C35,D$2:D35,D35)=1,1,0)</f>
        <v>1</v>
      </c>
      <c r="P35" s="57" t="n">
        <f aca="false">IF(AND(C35=Calc!$C$3,OR(Calc!$C$4=0,D35=Calc!$C$4)),ROW(),0)</f>
        <v>0</v>
      </c>
    </row>
    <row r="36" customFormat="false" ht="15" hidden="false" customHeight="false" outlineLevel="0" collapsed="false">
      <c r="A36" s="57" t="s">
        <v>138</v>
      </c>
      <c r="B36" s="58" t="n">
        <v>45305</v>
      </c>
      <c r="C36" s="57" t="n">
        <f aca="false">YEAR(B36)</f>
        <v>2024</v>
      </c>
      <c r="D36" s="57" t="n">
        <f aca="false">MONTH(B36)</f>
        <v>1</v>
      </c>
      <c r="E36" s="57" t="s">
        <v>97</v>
      </c>
      <c r="F36" s="57" t="s">
        <v>78</v>
      </c>
      <c r="G36" s="57" t="s">
        <v>50</v>
      </c>
      <c r="H36" s="57" t="s">
        <v>51</v>
      </c>
      <c r="I36" s="59" t="n">
        <v>1</v>
      </c>
      <c r="J36" s="60" t="n">
        <v>69</v>
      </c>
      <c r="K36" s="60" t="n">
        <v>29</v>
      </c>
      <c r="L36" s="61" t="n">
        <f aca="false">I36*J36</f>
        <v>69</v>
      </c>
      <c r="M36" s="61" t="n">
        <f aca="false">L36-I36*K36</f>
        <v>40</v>
      </c>
      <c r="N36" s="57" t="n">
        <f aca="false">IF(COUNTIFS(E$2:E36,E36,C$2:C36,C36)=1,1,0)</f>
        <v>0</v>
      </c>
      <c r="O36" s="57" t="n">
        <f aca="false">IF(COUNTIFS(E$2:E36,E36,C$2:C36,C36,D$2:D36,D36)=1,1,0)</f>
        <v>0</v>
      </c>
      <c r="P36" s="57" t="n">
        <f aca="false">IF(AND(C36=Calc!$C$3,OR(Calc!$C$4=0,D36=Calc!$C$4)),ROW(),0)</f>
        <v>0</v>
      </c>
    </row>
    <row r="37" customFormat="false" ht="15" hidden="false" customHeight="false" outlineLevel="0" collapsed="false">
      <c r="A37" s="57" t="s">
        <v>139</v>
      </c>
      <c r="B37" s="58" t="n">
        <v>45306</v>
      </c>
      <c r="C37" s="57" t="n">
        <f aca="false">YEAR(B37)</f>
        <v>2024</v>
      </c>
      <c r="D37" s="57" t="n">
        <f aca="false">MONTH(B37)</f>
        <v>1</v>
      </c>
      <c r="E37" s="57" t="s">
        <v>140</v>
      </c>
      <c r="F37" s="57" t="s">
        <v>75</v>
      </c>
      <c r="G37" s="57" t="s">
        <v>40</v>
      </c>
      <c r="H37" s="57" t="s">
        <v>43</v>
      </c>
      <c r="I37" s="59" t="n">
        <v>1</v>
      </c>
      <c r="J37" s="60" t="n">
        <v>29</v>
      </c>
      <c r="K37" s="60" t="n">
        <v>9</v>
      </c>
      <c r="L37" s="61" t="n">
        <f aca="false">I37*J37</f>
        <v>29</v>
      </c>
      <c r="M37" s="61" t="n">
        <f aca="false">L37-I37*K37</f>
        <v>20</v>
      </c>
      <c r="N37" s="57" t="n">
        <f aca="false">IF(COUNTIFS(E$2:E37,E37,C$2:C37,C37)=1,1,0)</f>
        <v>1</v>
      </c>
      <c r="O37" s="57" t="n">
        <f aca="false">IF(COUNTIFS(E$2:E37,E37,C$2:C37,C37,D$2:D37,D37)=1,1,0)</f>
        <v>1</v>
      </c>
      <c r="P37" s="57" t="n">
        <f aca="false">IF(AND(C37=Calc!$C$3,OR(Calc!$C$4=0,D37=Calc!$C$4)),ROW(),0)</f>
        <v>0</v>
      </c>
    </row>
    <row r="38" customFormat="false" ht="15" hidden="false" customHeight="false" outlineLevel="0" collapsed="false">
      <c r="A38" s="57" t="s">
        <v>141</v>
      </c>
      <c r="B38" s="58" t="n">
        <v>45306</v>
      </c>
      <c r="C38" s="57" t="n">
        <f aca="false">YEAR(B38)</f>
        <v>2024</v>
      </c>
      <c r="D38" s="57" t="n">
        <f aca="false">MONTH(B38)</f>
        <v>1</v>
      </c>
      <c r="E38" s="57" t="s">
        <v>142</v>
      </c>
      <c r="F38" s="57" t="s">
        <v>78</v>
      </c>
      <c r="G38" s="57" t="s">
        <v>35</v>
      </c>
      <c r="H38" s="57" t="s">
        <v>34</v>
      </c>
      <c r="I38" s="59" t="n">
        <v>1</v>
      </c>
      <c r="J38" s="60" t="n">
        <v>89</v>
      </c>
      <c r="K38" s="60" t="n">
        <v>41</v>
      </c>
      <c r="L38" s="61" t="n">
        <f aca="false">I38*J38</f>
        <v>89</v>
      </c>
      <c r="M38" s="61" t="n">
        <f aca="false">L38-I38*K38</f>
        <v>48</v>
      </c>
      <c r="N38" s="57" t="n">
        <f aca="false">IF(COUNTIFS(E$2:E38,E38,C$2:C38,C38)=1,1,0)</f>
        <v>1</v>
      </c>
      <c r="O38" s="57" t="n">
        <f aca="false">IF(COUNTIFS(E$2:E38,E38,C$2:C38,C38,D$2:D38,D38)=1,1,0)</f>
        <v>1</v>
      </c>
      <c r="P38" s="57" t="n">
        <f aca="false">IF(AND(C38=Calc!$C$3,OR(Calc!$C$4=0,D38=Calc!$C$4)),ROW(),0)</f>
        <v>0</v>
      </c>
    </row>
    <row r="39" customFormat="false" ht="15" hidden="false" customHeight="false" outlineLevel="0" collapsed="false">
      <c r="A39" s="57" t="s">
        <v>143</v>
      </c>
      <c r="B39" s="58" t="n">
        <v>45306</v>
      </c>
      <c r="C39" s="57" t="n">
        <f aca="false">YEAR(B39)</f>
        <v>2024</v>
      </c>
      <c r="D39" s="57" t="n">
        <f aca="false">MONTH(B39)</f>
        <v>1</v>
      </c>
      <c r="E39" s="57" t="s">
        <v>144</v>
      </c>
      <c r="F39" s="57" t="s">
        <v>78</v>
      </c>
      <c r="G39" s="57" t="s">
        <v>35</v>
      </c>
      <c r="H39" s="57" t="s">
        <v>34</v>
      </c>
      <c r="I39" s="59" t="n">
        <v>1</v>
      </c>
      <c r="J39" s="60" t="n">
        <v>89</v>
      </c>
      <c r="K39" s="60" t="n">
        <v>41</v>
      </c>
      <c r="L39" s="61" t="n">
        <f aca="false">I39*J39</f>
        <v>89</v>
      </c>
      <c r="M39" s="61" t="n">
        <f aca="false">L39-I39*K39</f>
        <v>48</v>
      </c>
      <c r="N39" s="57" t="n">
        <f aca="false">IF(COUNTIFS(E$2:E39,E39,C$2:C39,C39)=1,1,0)</f>
        <v>1</v>
      </c>
      <c r="O39" s="57" t="n">
        <f aca="false">IF(COUNTIFS(E$2:E39,E39,C$2:C39,C39,D$2:D39,D39)=1,1,0)</f>
        <v>1</v>
      </c>
      <c r="P39" s="57" t="n">
        <f aca="false">IF(AND(C39=Calc!$C$3,OR(Calc!$C$4=0,D39=Calc!$C$4)),ROW(),0)</f>
        <v>0</v>
      </c>
    </row>
    <row r="40" customFormat="false" ht="15" hidden="false" customHeight="false" outlineLevel="0" collapsed="false">
      <c r="A40" s="57" t="s">
        <v>145</v>
      </c>
      <c r="B40" s="58" t="n">
        <v>45306</v>
      </c>
      <c r="C40" s="57" t="n">
        <f aca="false">YEAR(B40)</f>
        <v>2024</v>
      </c>
      <c r="D40" s="57" t="n">
        <f aca="false">MONTH(B40)</f>
        <v>1</v>
      </c>
      <c r="E40" s="57" t="s">
        <v>146</v>
      </c>
      <c r="F40" s="57" t="s">
        <v>78</v>
      </c>
      <c r="G40" s="57" t="s">
        <v>35</v>
      </c>
      <c r="H40" s="57" t="s">
        <v>37</v>
      </c>
      <c r="I40" s="59" t="n">
        <v>1</v>
      </c>
      <c r="J40" s="60" t="n">
        <v>59</v>
      </c>
      <c r="K40" s="60" t="n">
        <v>27</v>
      </c>
      <c r="L40" s="61" t="n">
        <f aca="false">I40*J40</f>
        <v>59</v>
      </c>
      <c r="M40" s="61" t="n">
        <f aca="false">L40-I40*K40</f>
        <v>32</v>
      </c>
      <c r="N40" s="57" t="n">
        <f aca="false">IF(COUNTIFS(E$2:E40,E40,C$2:C40,C40)=1,1,0)</f>
        <v>1</v>
      </c>
      <c r="O40" s="57" t="n">
        <f aca="false">IF(COUNTIFS(E$2:E40,E40,C$2:C40,C40,D$2:D40,D40)=1,1,0)</f>
        <v>1</v>
      </c>
      <c r="P40" s="57" t="n">
        <f aca="false">IF(AND(C40=Calc!$C$3,OR(Calc!$C$4=0,D40=Calc!$C$4)),ROW(),0)</f>
        <v>0</v>
      </c>
    </row>
    <row r="41" customFormat="false" ht="15" hidden="false" customHeight="false" outlineLevel="0" collapsed="false">
      <c r="A41" s="57" t="s">
        <v>147</v>
      </c>
      <c r="B41" s="58" t="n">
        <v>45307</v>
      </c>
      <c r="C41" s="57" t="n">
        <f aca="false">YEAR(B41)</f>
        <v>2024</v>
      </c>
      <c r="D41" s="57" t="n">
        <f aca="false">MONTH(B41)</f>
        <v>1</v>
      </c>
      <c r="E41" s="57" t="s">
        <v>148</v>
      </c>
      <c r="F41" s="57" t="s">
        <v>78</v>
      </c>
      <c r="G41" s="57" t="s">
        <v>40</v>
      </c>
      <c r="H41" s="57" t="s">
        <v>43</v>
      </c>
      <c r="I41" s="59" t="n">
        <v>2</v>
      </c>
      <c r="J41" s="60" t="n">
        <v>29</v>
      </c>
      <c r="K41" s="60" t="n">
        <v>9</v>
      </c>
      <c r="L41" s="61" t="n">
        <f aca="false">I41*J41</f>
        <v>58</v>
      </c>
      <c r="M41" s="61" t="n">
        <f aca="false">L41-I41*K41</f>
        <v>40</v>
      </c>
      <c r="N41" s="57" t="n">
        <f aca="false">IF(COUNTIFS(E$2:E41,E41,C$2:C41,C41)=1,1,0)</f>
        <v>1</v>
      </c>
      <c r="O41" s="57" t="n">
        <f aca="false">IF(COUNTIFS(E$2:E41,E41,C$2:C41,C41,D$2:D41,D41)=1,1,0)</f>
        <v>1</v>
      </c>
      <c r="P41" s="57" t="n">
        <f aca="false">IF(AND(C41=Calc!$C$3,OR(Calc!$C$4=0,D41=Calc!$C$4)),ROW(),0)</f>
        <v>0</v>
      </c>
    </row>
    <row r="42" customFormat="false" ht="15" hidden="false" customHeight="false" outlineLevel="0" collapsed="false">
      <c r="A42" s="57" t="s">
        <v>149</v>
      </c>
      <c r="B42" s="58" t="n">
        <v>45307</v>
      </c>
      <c r="C42" s="57" t="n">
        <f aca="false">YEAR(B42)</f>
        <v>2024</v>
      </c>
      <c r="D42" s="57" t="n">
        <f aca="false">MONTH(B42)</f>
        <v>1</v>
      </c>
      <c r="E42" s="57" t="s">
        <v>150</v>
      </c>
      <c r="F42" s="57" t="s">
        <v>69</v>
      </c>
      <c r="G42" s="57" t="s">
        <v>40</v>
      </c>
      <c r="H42" s="57" t="s">
        <v>39</v>
      </c>
      <c r="I42" s="59" t="n">
        <v>1</v>
      </c>
      <c r="J42" s="60" t="n">
        <v>54</v>
      </c>
      <c r="K42" s="60" t="n">
        <v>19</v>
      </c>
      <c r="L42" s="61" t="n">
        <f aca="false">I42*J42</f>
        <v>54</v>
      </c>
      <c r="M42" s="61" t="n">
        <f aca="false">L42-I42*K42</f>
        <v>35</v>
      </c>
      <c r="N42" s="57" t="n">
        <f aca="false">IF(COUNTIFS(E$2:E42,E42,C$2:C42,C42)=1,1,0)</f>
        <v>1</v>
      </c>
      <c r="O42" s="57" t="n">
        <f aca="false">IF(COUNTIFS(E$2:E42,E42,C$2:C42,C42,D$2:D42,D42)=1,1,0)</f>
        <v>1</v>
      </c>
      <c r="P42" s="57" t="n">
        <f aca="false">IF(AND(C42=Calc!$C$3,OR(Calc!$C$4=0,D42=Calc!$C$4)),ROW(),0)</f>
        <v>0</v>
      </c>
    </row>
    <row r="43" customFormat="false" ht="15" hidden="false" customHeight="false" outlineLevel="0" collapsed="false">
      <c r="A43" s="57" t="s">
        <v>151</v>
      </c>
      <c r="B43" s="58" t="n">
        <v>45308</v>
      </c>
      <c r="C43" s="57" t="n">
        <f aca="false">YEAR(B43)</f>
        <v>2024</v>
      </c>
      <c r="D43" s="57" t="n">
        <f aca="false">MONTH(B43)</f>
        <v>1</v>
      </c>
      <c r="E43" s="57" t="s">
        <v>152</v>
      </c>
      <c r="F43" s="57" t="s">
        <v>72</v>
      </c>
      <c r="G43" s="57" t="s">
        <v>40</v>
      </c>
      <c r="H43" s="57" t="s">
        <v>41</v>
      </c>
      <c r="I43" s="59" t="n">
        <v>1</v>
      </c>
      <c r="J43" s="60" t="n">
        <v>46</v>
      </c>
      <c r="K43" s="60" t="n">
        <v>16</v>
      </c>
      <c r="L43" s="61" t="n">
        <f aca="false">I43*J43</f>
        <v>46</v>
      </c>
      <c r="M43" s="61" t="n">
        <f aca="false">L43-I43*K43</f>
        <v>30</v>
      </c>
      <c r="N43" s="57" t="n">
        <f aca="false">IF(COUNTIFS(E$2:E43,E43,C$2:C43,C43)=1,1,0)</f>
        <v>1</v>
      </c>
      <c r="O43" s="57" t="n">
        <f aca="false">IF(COUNTIFS(E$2:E43,E43,C$2:C43,C43,D$2:D43,D43)=1,1,0)</f>
        <v>1</v>
      </c>
      <c r="P43" s="57" t="n">
        <f aca="false">IF(AND(C43=Calc!$C$3,OR(Calc!$C$4=0,D43=Calc!$C$4)),ROW(),0)</f>
        <v>0</v>
      </c>
    </row>
    <row r="44" customFormat="false" ht="15" hidden="false" customHeight="false" outlineLevel="0" collapsed="false">
      <c r="A44" s="57" t="s">
        <v>153</v>
      </c>
      <c r="B44" s="58" t="n">
        <v>45308</v>
      </c>
      <c r="C44" s="57" t="n">
        <f aca="false">YEAR(B44)</f>
        <v>2024</v>
      </c>
      <c r="D44" s="57" t="n">
        <f aca="false">MONTH(B44)</f>
        <v>1</v>
      </c>
      <c r="E44" s="57" t="s">
        <v>154</v>
      </c>
      <c r="F44" s="57" t="s">
        <v>69</v>
      </c>
      <c r="G44" s="57" t="s">
        <v>35</v>
      </c>
      <c r="H44" s="57" t="s">
        <v>37</v>
      </c>
      <c r="I44" s="59" t="n">
        <v>1</v>
      </c>
      <c r="J44" s="60" t="n">
        <v>59</v>
      </c>
      <c r="K44" s="60" t="n">
        <v>27</v>
      </c>
      <c r="L44" s="61" t="n">
        <f aca="false">I44*J44</f>
        <v>59</v>
      </c>
      <c r="M44" s="61" t="n">
        <f aca="false">L44-I44*K44</f>
        <v>32</v>
      </c>
      <c r="N44" s="57" t="n">
        <f aca="false">IF(COUNTIFS(E$2:E44,E44,C$2:C44,C44)=1,1,0)</f>
        <v>1</v>
      </c>
      <c r="O44" s="57" t="n">
        <f aca="false">IF(COUNTIFS(E$2:E44,E44,C$2:C44,C44,D$2:D44,D44)=1,1,0)</f>
        <v>1</v>
      </c>
      <c r="P44" s="57" t="n">
        <f aca="false">IF(AND(C44=Calc!$C$3,OR(Calc!$C$4=0,D44=Calc!$C$4)),ROW(),0)</f>
        <v>0</v>
      </c>
    </row>
    <row r="45" customFormat="false" ht="15" hidden="false" customHeight="false" outlineLevel="0" collapsed="false">
      <c r="A45" s="57" t="s">
        <v>155</v>
      </c>
      <c r="B45" s="58" t="n">
        <v>45308</v>
      </c>
      <c r="C45" s="57" t="n">
        <f aca="false">YEAR(B45)</f>
        <v>2024</v>
      </c>
      <c r="D45" s="57" t="n">
        <f aca="false">MONTH(B45)</f>
        <v>1</v>
      </c>
      <c r="E45" s="57" t="s">
        <v>156</v>
      </c>
      <c r="F45" s="57" t="s">
        <v>75</v>
      </c>
      <c r="G45" s="57" t="s">
        <v>35</v>
      </c>
      <c r="H45" s="57" t="s">
        <v>34</v>
      </c>
      <c r="I45" s="59" t="n">
        <v>1</v>
      </c>
      <c r="J45" s="60" t="n">
        <v>89</v>
      </c>
      <c r="K45" s="60" t="n">
        <v>41</v>
      </c>
      <c r="L45" s="61" t="n">
        <f aca="false">I45*J45</f>
        <v>89</v>
      </c>
      <c r="M45" s="61" t="n">
        <f aca="false">L45-I45*K45</f>
        <v>48</v>
      </c>
      <c r="N45" s="57" t="n">
        <f aca="false">IF(COUNTIFS(E$2:E45,E45,C$2:C45,C45)=1,1,0)</f>
        <v>1</v>
      </c>
      <c r="O45" s="57" t="n">
        <f aca="false">IF(COUNTIFS(E$2:E45,E45,C$2:C45,C45,D$2:D45,D45)=1,1,0)</f>
        <v>1</v>
      </c>
      <c r="P45" s="57" t="n">
        <f aca="false">IF(AND(C45=Calc!$C$3,OR(Calc!$C$4=0,D45=Calc!$C$4)),ROW(),0)</f>
        <v>0</v>
      </c>
    </row>
    <row r="46" customFormat="false" ht="15" hidden="false" customHeight="false" outlineLevel="0" collapsed="false">
      <c r="A46" s="57" t="s">
        <v>157</v>
      </c>
      <c r="B46" s="58" t="n">
        <v>45309</v>
      </c>
      <c r="C46" s="57" t="n">
        <f aca="false">YEAR(B46)</f>
        <v>2024</v>
      </c>
      <c r="D46" s="57" t="n">
        <f aca="false">MONTH(B46)</f>
        <v>1</v>
      </c>
      <c r="E46" s="57" t="s">
        <v>158</v>
      </c>
      <c r="F46" s="57" t="s">
        <v>81</v>
      </c>
      <c r="G46" s="57" t="s">
        <v>40</v>
      </c>
      <c r="H46" s="57" t="s">
        <v>39</v>
      </c>
      <c r="I46" s="59" t="n">
        <v>1</v>
      </c>
      <c r="J46" s="60" t="n">
        <v>54</v>
      </c>
      <c r="K46" s="60" t="n">
        <v>19</v>
      </c>
      <c r="L46" s="61" t="n">
        <f aca="false">I46*J46</f>
        <v>54</v>
      </c>
      <c r="M46" s="61" t="n">
        <f aca="false">L46-I46*K46</f>
        <v>35</v>
      </c>
      <c r="N46" s="57" t="n">
        <f aca="false">IF(COUNTIFS(E$2:E46,E46,C$2:C46,C46)=1,1,0)</f>
        <v>1</v>
      </c>
      <c r="O46" s="57" t="n">
        <f aca="false">IF(COUNTIFS(E$2:E46,E46,C$2:C46,C46,D$2:D46,D46)=1,1,0)</f>
        <v>1</v>
      </c>
      <c r="P46" s="57" t="n">
        <f aca="false">IF(AND(C46=Calc!$C$3,OR(Calc!$C$4=0,D46=Calc!$C$4)),ROW(),0)</f>
        <v>0</v>
      </c>
    </row>
    <row r="47" customFormat="false" ht="15" hidden="false" customHeight="false" outlineLevel="0" collapsed="false">
      <c r="A47" s="57" t="s">
        <v>159</v>
      </c>
      <c r="B47" s="58" t="n">
        <v>45309</v>
      </c>
      <c r="C47" s="57" t="n">
        <f aca="false">YEAR(B47)</f>
        <v>2024</v>
      </c>
      <c r="D47" s="57" t="n">
        <f aca="false">MONTH(B47)</f>
        <v>1</v>
      </c>
      <c r="E47" s="57" t="s">
        <v>160</v>
      </c>
      <c r="F47" s="57" t="s">
        <v>75</v>
      </c>
      <c r="G47" s="57" t="s">
        <v>35</v>
      </c>
      <c r="H47" s="57" t="s">
        <v>37</v>
      </c>
      <c r="I47" s="59" t="n">
        <v>1</v>
      </c>
      <c r="J47" s="60" t="n">
        <v>59</v>
      </c>
      <c r="K47" s="60" t="n">
        <v>27</v>
      </c>
      <c r="L47" s="61" t="n">
        <f aca="false">I47*J47</f>
        <v>59</v>
      </c>
      <c r="M47" s="61" t="n">
        <f aca="false">L47-I47*K47</f>
        <v>32</v>
      </c>
      <c r="N47" s="57" t="n">
        <f aca="false">IF(COUNTIFS(E$2:E47,E47,C$2:C47,C47)=1,1,0)</f>
        <v>1</v>
      </c>
      <c r="O47" s="57" t="n">
        <f aca="false">IF(COUNTIFS(E$2:E47,E47,C$2:C47,C47,D$2:D47,D47)=1,1,0)</f>
        <v>1</v>
      </c>
      <c r="P47" s="57" t="n">
        <f aca="false">IF(AND(C47=Calc!$C$3,OR(Calc!$C$4=0,D47=Calc!$C$4)),ROW(),0)</f>
        <v>0</v>
      </c>
    </row>
    <row r="48" customFormat="false" ht="15" hidden="false" customHeight="false" outlineLevel="0" collapsed="false">
      <c r="A48" s="57" t="s">
        <v>161</v>
      </c>
      <c r="B48" s="58" t="n">
        <v>45309</v>
      </c>
      <c r="C48" s="57" t="n">
        <f aca="false">YEAR(B48)</f>
        <v>2024</v>
      </c>
      <c r="D48" s="57" t="n">
        <f aca="false">MONTH(B48)</f>
        <v>1</v>
      </c>
      <c r="E48" s="57" t="s">
        <v>162</v>
      </c>
      <c r="F48" s="57" t="s">
        <v>78</v>
      </c>
      <c r="G48" s="57" t="s">
        <v>45</v>
      </c>
      <c r="H48" s="57" t="s">
        <v>47</v>
      </c>
      <c r="I48" s="59" t="n">
        <v>2</v>
      </c>
      <c r="J48" s="60" t="n">
        <v>34</v>
      </c>
      <c r="K48" s="60" t="n">
        <v>12</v>
      </c>
      <c r="L48" s="61" t="n">
        <f aca="false">I48*J48</f>
        <v>68</v>
      </c>
      <c r="M48" s="61" t="n">
        <f aca="false">L48-I48*K48</f>
        <v>44</v>
      </c>
      <c r="N48" s="57" t="n">
        <f aca="false">IF(COUNTIFS(E$2:E48,E48,C$2:C48,C48)=1,1,0)</f>
        <v>1</v>
      </c>
      <c r="O48" s="57" t="n">
        <f aca="false">IF(COUNTIFS(E$2:E48,E48,C$2:C48,C48,D$2:D48,D48)=1,1,0)</f>
        <v>1</v>
      </c>
      <c r="P48" s="57" t="n">
        <f aca="false">IF(AND(C48=Calc!$C$3,OR(Calc!$C$4=0,D48=Calc!$C$4)),ROW(),0)</f>
        <v>0</v>
      </c>
    </row>
    <row r="49" customFormat="false" ht="15" hidden="false" customHeight="false" outlineLevel="0" collapsed="false">
      <c r="A49" s="57" t="s">
        <v>163</v>
      </c>
      <c r="B49" s="58" t="n">
        <v>45310</v>
      </c>
      <c r="C49" s="57" t="n">
        <f aca="false">YEAR(B49)</f>
        <v>2024</v>
      </c>
      <c r="D49" s="57" t="n">
        <f aca="false">MONTH(B49)</f>
        <v>1</v>
      </c>
      <c r="E49" s="57" t="s">
        <v>164</v>
      </c>
      <c r="F49" s="57" t="s">
        <v>69</v>
      </c>
      <c r="G49" s="57" t="s">
        <v>35</v>
      </c>
      <c r="H49" s="57" t="s">
        <v>34</v>
      </c>
      <c r="I49" s="59" t="n">
        <v>1</v>
      </c>
      <c r="J49" s="60" t="n">
        <v>89</v>
      </c>
      <c r="K49" s="60" t="n">
        <v>41</v>
      </c>
      <c r="L49" s="61" t="n">
        <f aca="false">I49*J49</f>
        <v>89</v>
      </c>
      <c r="M49" s="61" t="n">
        <f aca="false">L49-I49*K49</f>
        <v>48</v>
      </c>
      <c r="N49" s="57" t="n">
        <f aca="false">IF(COUNTIFS(E$2:E49,E49,C$2:C49,C49)=1,1,0)</f>
        <v>1</v>
      </c>
      <c r="O49" s="57" t="n">
        <f aca="false">IF(COUNTIFS(E$2:E49,E49,C$2:C49,C49,D$2:D49,D49)=1,1,0)</f>
        <v>1</v>
      </c>
      <c r="P49" s="57" t="n">
        <f aca="false">IF(AND(C49=Calc!$C$3,OR(Calc!$C$4=0,D49=Calc!$C$4)),ROW(),0)</f>
        <v>0</v>
      </c>
    </row>
    <row r="50" customFormat="false" ht="15" hidden="false" customHeight="false" outlineLevel="0" collapsed="false">
      <c r="A50" s="57" t="s">
        <v>165</v>
      </c>
      <c r="B50" s="58" t="n">
        <v>45310</v>
      </c>
      <c r="C50" s="57" t="n">
        <f aca="false">YEAR(B50)</f>
        <v>2024</v>
      </c>
      <c r="D50" s="57" t="n">
        <f aca="false">MONTH(B50)</f>
        <v>1</v>
      </c>
      <c r="E50" s="57" t="s">
        <v>166</v>
      </c>
      <c r="F50" s="57" t="s">
        <v>78</v>
      </c>
      <c r="G50" s="57" t="s">
        <v>35</v>
      </c>
      <c r="H50" s="57" t="s">
        <v>34</v>
      </c>
      <c r="I50" s="59" t="n">
        <v>2</v>
      </c>
      <c r="J50" s="60" t="n">
        <v>89</v>
      </c>
      <c r="K50" s="60" t="n">
        <v>41</v>
      </c>
      <c r="L50" s="61" t="n">
        <f aca="false">I50*J50</f>
        <v>178</v>
      </c>
      <c r="M50" s="61" t="n">
        <f aca="false">L50-I50*K50</f>
        <v>96</v>
      </c>
      <c r="N50" s="57" t="n">
        <f aca="false">IF(COUNTIFS(E$2:E50,E50,C$2:C50,C50)=1,1,0)</f>
        <v>1</v>
      </c>
      <c r="O50" s="57" t="n">
        <f aca="false">IF(COUNTIFS(E$2:E50,E50,C$2:C50,C50,D$2:D50,D50)=1,1,0)</f>
        <v>1</v>
      </c>
      <c r="P50" s="57" t="n">
        <f aca="false">IF(AND(C50=Calc!$C$3,OR(Calc!$C$4=0,D50=Calc!$C$4)),ROW(),0)</f>
        <v>0</v>
      </c>
    </row>
    <row r="51" customFormat="false" ht="15" hidden="false" customHeight="false" outlineLevel="0" collapsed="false">
      <c r="A51" s="57" t="s">
        <v>167</v>
      </c>
      <c r="B51" s="58" t="n">
        <v>45310</v>
      </c>
      <c r="C51" s="57" t="n">
        <f aca="false">YEAR(B51)</f>
        <v>2024</v>
      </c>
      <c r="D51" s="57" t="n">
        <f aca="false">MONTH(B51)</f>
        <v>1</v>
      </c>
      <c r="E51" s="57" t="s">
        <v>168</v>
      </c>
      <c r="F51" s="57" t="s">
        <v>81</v>
      </c>
      <c r="G51" s="57" t="s">
        <v>35</v>
      </c>
      <c r="H51" s="57" t="s">
        <v>36</v>
      </c>
      <c r="I51" s="59" t="n">
        <v>1</v>
      </c>
      <c r="J51" s="60" t="n">
        <v>179</v>
      </c>
      <c r="K51" s="60" t="n">
        <v>92</v>
      </c>
      <c r="L51" s="61" t="n">
        <f aca="false">I51*J51</f>
        <v>179</v>
      </c>
      <c r="M51" s="61" t="n">
        <f aca="false">L51-I51*K51</f>
        <v>87</v>
      </c>
      <c r="N51" s="57" t="n">
        <f aca="false">IF(COUNTIFS(E$2:E51,E51,C$2:C51,C51)=1,1,0)</f>
        <v>1</v>
      </c>
      <c r="O51" s="57" t="n">
        <f aca="false">IF(COUNTIFS(E$2:E51,E51,C$2:C51,C51,D$2:D51,D51)=1,1,0)</f>
        <v>1</v>
      </c>
      <c r="P51" s="57" t="n">
        <f aca="false">IF(AND(C51=Calc!$C$3,OR(Calc!$C$4=0,D51=Calc!$C$4)),ROW(),0)</f>
        <v>0</v>
      </c>
    </row>
    <row r="52" customFormat="false" ht="15" hidden="false" customHeight="false" outlineLevel="0" collapsed="false">
      <c r="A52" s="57" t="s">
        <v>169</v>
      </c>
      <c r="B52" s="58" t="n">
        <v>45310</v>
      </c>
      <c r="C52" s="57" t="n">
        <f aca="false">YEAR(B52)</f>
        <v>2024</v>
      </c>
      <c r="D52" s="57" t="n">
        <f aca="false">MONTH(B52)</f>
        <v>1</v>
      </c>
      <c r="E52" s="57" t="s">
        <v>170</v>
      </c>
      <c r="F52" s="57" t="s">
        <v>69</v>
      </c>
      <c r="G52" s="57" t="s">
        <v>45</v>
      </c>
      <c r="H52" s="57" t="s">
        <v>44</v>
      </c>
      <c r="I52" s="59" t="n">
        <v>1</v>
      </c>
      <c r="J52" s="60" t="n">
        <v>119</v>
      </c>
      <c r="K52" s="60" t="n">
        <v>63</v>
      </c>
      <c r="L52" s="61" t="n">
        <f aca="false">I52*J52</f>
        <v>119</v>
      </c>
      <c r="M52" s="61" t="n">
        <f aca="false">L52-I52*K52</f>
        <v>56</v>
      </c>
      <c r="N52" s="57" t="n">
        <f aca="false">IF(COUNTIFS(E$2:E52,E52,C$2:C52,C52)=1,1,0)</f>
        <v>1</v>
      </c>
      <c r="O52" s="57" t="n">
        <f aca="false">IF(COUNTIFS(E$2:E52,E52,C$2:C52,C52,D$2:D52,D52)=1,1,0)</f>
        <v>1</v>
      </c>
      <c r="P52" s="57" t="n">
        <f aca="false">IF(AND(C52=Calc!$C$3,OR(Calc!$C$4=0,D52=Calc!$C$4)),ROW(),0)</f>
        <v>0</v>
      </c>
    </row>
    <row r="53" customFormat="false" ht="15" hidden="false" customHeight="false" outlineLevel="0" collapsed="false">
      <c r="A53" s="57" t="s">
        <v>171</v>
      </c>
      <c r="B53" s="58" t="n">
        <v>45311</v>
      </c>
      <c r="C53" s="57" t="n">
        <f aca="false">YEAR(B53)</f>
        <v>2024</v>
      </c>
      <c r="D53" s="57" t="n">
        <f aca="false">MONTH(B53)</f>
        <v>1</v>
      </c>
      <c r="E53" s="57" t="s">
        <v>140</v>
      </c>
      <c r="F53" s="57" t="s">
        <v>75</v>
      </c>
      <c r="G53" s="57" t="s">
        <v>54</v>
      </c>
      <c r="H53" s="57" t="s">
        <v>56</v>
      </c>
      <c r="I53" s="59" t="n">
        <v>1</v>
      </c>
      <c r="J53" s="60" t="n">
        <v>42</v>
      </c>
      <c r="K53" s="60" t="n">
        <v>17</v>
      </c>
      <c r="L53" s="61" t="n">
        <f aca="false">I53*J53</f>
        <v>42</v>
      </c>
      <c r="M53" s="61" t="n">
        <f aca="false">L53-I53*K53</f>
        <v>25</v>
      </c>
      <c r="N53" s="57" t="n">
        <f aca="false">IF(COUNTIFS(E$2:E53,E53,C$2:C53,C53)=1,1,0)</f>
        <v>0</v>
      </c>
      <c r="O53" s="57" t="n">
        <f aca="false">IF(COUNTIFS(E$2:E53,E53,C$2:C53,C53,D$2:D53,D53)=1,1,0)</f>
        <v>0</v>
      </c>
      <c r="P53" s="57" t="n">
        <f aca="false">IF(AND(C53=Calc!$C$3,OR(Calc!$C$4=0,D53=Calc!$C$4)),ROW(),0)</f>
        <v>0</v>
      </c>
    </row>
    <row r="54" customFormat="false" ht="15" hidden="false" customHeight="false" outlineLevel="0" collapsed="false">
      <c r="A54" s="57" t="s">
        <v>172</v>
      </c>
      <c r="B54" s="58" t="n">
        <v>45311</v>
      </c>
      <c r="C54" s="57" t="n">
        <f aca="false">YEAR(B54)</f>
        <v>2024</v>
      </c>
      <c r="D54" s="57" t="n">
        <f aca="false">MONTH(B54)</f>
        <v>1</v>
      </c>
      <c r="E54" s="57" t="s">
        <v>173</v>
      </c>
      <c r="F54" s="57" t="s">
        <v>69</v>
      </c>
      <c r="G54" s="57" t="s">
        <v>35</v>
      </c>
      <c r="H54" s="57" t="s">
        <v>36</v>
      </c>
      <c r="I54" s="59" t="n">
        <v>2</v>
      </c>
      <c r="J54" s="60" t="n">
        <v>179</v>
      </c>
      <c r="K54" s="60" t="n">
        <v>92</v>
      </c>
      <c r="L54" s="61" t="n">
        <f aca="false">I54*J54</f>
        <v>358</v>
      </c>
      <c r="M54" s="61" t="n">
        <f aca="false">L54-I54*K54</f>
        <v>174</v>
      </c>
      <c r="N54" s="57" t="n">
        <f aca="false">IF(COUNTIFS(E$2:E54,E54,C$2:C54,C54)=1,1,0)</f>
        <v>1</v>
      </c>
      <c r="O54" s="57" t="n">
        <f aca="false">IF(COUNTIFS(E$2:E54,E54,C$2:C54,C54,D$2:D54,D54)=1,1,0)</f>
        <v>1</v>
      </c>
      <c r="P54" s="57" t="n">
        <f aca="false">IF(AND(C54=Calc!$C$3,OR(Calc!$C$4=0,D54=Calc!$C$4)),ROW(),0)</f>
        <v>0</v>
      </c>
    </row>
    <row r="55" customFormat="false" ht="15" hidden="false" customHeight="false" outlineLevel="0" collapsed="false">
      <c r="A55" s="57" t="s">
        <v>174</v>
      </c>
      <c r="B55" s="58" t="n">
        <v>45311</v>
      </c>
      <c r="C55" s="57" t="n">
        <f aca="false">YEAR(B55)</f>
        <v>2024</v>
      </c>
      <c r="D55" s="57" t="n">
        <f aca="false">MONTH(B55)</f>
        <v>1</v>
      </c>
      <c r="E55" s="57" t="s">
        <v>175</v>
      </c>
      <c r="F55" s="57" t="s">
        <v>75</v>
      </c>
      <c r="G55" s="57" t="s">
        <v>40</v>
      </c>
      <c r="H55" s="57" t="s">
        <v>39</v>
      </c>
      <c r="I55" s="59" t="n">
        <v>1</v>
      </c>
      <c r="J55" s="60" t="n">
        <v>54</v>
      </c>
      <c r="K55" s="60" t="n">
        <v>19</v>
      </c>
      <c r="L55" s="61" t="n">
        <f aca="false">I55*J55</f>
        <v>54</v>
      </c>
      <c r="M55" s="61" t="n">
        <f aca="false">L55-I55*K55</f>
        <v>35</v>
      </c>
      <c r="N55" s="57" t="n">
        <f aca="false">IF(COUNTIFS(E$2:E55,E55,C$2:C55,C55)=1,1,0)</f>
        <v>1</v>
      </c>
      <c r="O55" s="57" t="n">
        <f aca="false">IF(COUNTIFS(E$2:E55,E55,C$2:C55,C55,D$2:D55,D55)=1,1,0)</f>
        <v>1</v>
      </c>
      <c r="P55" s="57" t="n">
        <f aca="false">IF(AND(C55=Calc!$C$3,OR(Calc!$C$4=0,D55=Calc!$C$4)),ROW(),0)</f>
        <v>0</v>
      </c>
    </row>
    <row r="56" customFormat="false" ht="15" hidden="false" customHeight="false" outlineLevel="0" collapsed="false">
      <c r="A56" s="57" t="s">
        <v>176</v>
      </c>
      <c r="B56" s="58" t="n">
        <v>45312</v>
      </c>
      <c r="C56" s="57" t="n">
        <f aca="false">YEAR(B56)</f>
        <v>2024</v>
      </c>
      <c r="D56" s="57" t="n">
        <f aca="false">MONTH(B56)</f>
        <v>1</v>
      </c>
      <c r="E56" s="57" t="s">
        <v>177</v>
      </c>
      <c r="F56" s="57" t="s">
        <v>75</v>
      </c>
      <c r="G56" s="57" t="s">
        <v>40</v>
      </c>
      <c r="H56" s="57" t="s">
        <v>39</v>
      </c>
      <c r="I56" s="59" t="n">
        <v>1</v>
      </c>
      <c r="J56" s="60" t="n">
        <v>54</v>
      </c>
      <c r="K56" s="60" t="n">
        <v>19</v>
      </c>
      <c r="L56" s="61" t="n">
        <f aca="false">I56*J56</f>
        <v>54</v>
      </c>
      <c r="M56" s="61" t="n">
        <f aca="false">L56-I56*K56</f>
        <v>35</v>
      </c>
      <c r="N56" s="57" t="n">
        <f aca="false">IF(COUNTIFS(E$2:E56,E56,C$2:C56,C56)=1,1,0)</f>
        <v>1</v>
      </c>
      <c r="O56" s="57" t="n">
        <f aca="false">IF(COUNTIFS(E$2:E56,E56,C$2:C56,C56,D$2:D56,D56)=1,1,0)</f>
        <v>1</v>
      </c>
      <c r="P56" s="57" t="n">
        <f aca="false">IF(AND(C56=Calc!$C$3,OR(Calc!$C$4=0,D56=Calc!$C$4)),ROW(),0)</f>
        <v>0</v>
      </c>
    </row>
    <row r="57" customFormat="false" ht="15" hidden="false" customHeight="false" outlineLevel="0" collapsed="false">
      <c r="A57" s="57" t="s">
        <v>178</v>
      </c>
      <c r="B57" s="58" t="n">
        <v>45312</v>
      </c>
      <c r="C57" s="57" t="n">
        <f aca="false">YEAR(B57)</f>
        <v>2024</v>
      </c>
      <c r="D57" s="57" t="n">
        <f aca="false">MONTH(B57)</f>
        <v>1</v>
      </c>
      <c r="E57" s="57" t="s">
        <v>179</v>
      </c>
      <c r="F57" s="57" t="s">
        <v>78</v>
      </c>
      <c r="G57" s="57" t="s">
        <v>50</v>
      </c>
      <c r="H57" s="57" t="s">
        <v>52</v>
      </c>
      <c r="I57" s="59" t="n">
        <v>1</v>
      </c>
      <c r="J57" s="60" t="n">
        <v>45</v>
      </c>
      <c r="K57" s="60" t="n">
        <v>14</v>
      </c>
      <c r="L57" s="61" t="n">
        <f aca="false">I57*J57</f>
        <v>45</v>
      </c>
      <c r="M57" s="61" t="n">
        <f aca="false">L57-I57*K57</f>
        <v>31</v>
      </c>
      <c r="N57" s="57" t="n">
        <f aca="false">IF(COUNTIFS(E$2:E57,E57,C$2:C57,C57)=1,1,0)</f>
        <v>1</v>
      </c>
      <c r="O57" s="57" t="n">
        <f aca="false">IF(COUNTIFS(E$2:E57,E57,C$2:C57,C57,D$2:D57,D57)=1,1,0)</f>
        <v>1</v>
      </c>
      <c r="P57" s="57" t="n">
        <f aca="false">IF(AND(C57=Calc!$C$3,OR(Calc!$C$4=0,D57=Calc!$C$4)),ROW(),0)</f>
        <v>0</v>
      </c>
    </row>
    <row r="58" customFormat="false" ht="15" hidden="false" customHeight="false" outlineLevel="0" collapsed="false">
      <c r="A58" s="57" t="s">
        <v>180</v>
      </c>
      <c r="B58" s="58" t="n">
        <v>45312</v>
      </c>
      <c r="C58" s="57" t="n">
        <f aca="false">YEAR(B58)</f>
        <v>2024</v>
      </c>
      <c r="D58" s="57" t="n">
        <f aca="false">MONTH(B58)</f>
        <v>1</v>
      </c>
      <c r="E58" s="57" t="s">
        <v>181</v>
      </c>
      <c r="F58" s="57" t="s">
        <v>69</v>
      </c>
      <c r="G58" s="57" t="s">
        <v>45</v>
      </c>
      <c r="H58" s="57" t="s">
        <v>48</v>
      </c>
      <c r="I58" s="59" t="n">
        <v>1</v>
      </c>
      <c r="J58" s="60" t="n">
        <v>99</v>
      </c>
      <c r="K58" s="60" t="n">
        <v>38</v>
      </c>
      <c r="L58" s="61" t="n">
        <f aca="false">I58*J58</f>
        <v>99</v>
      </c>
      <c r="M58" s="61" t="n">
        <f aca="false">L58-I58*K58</f>
        <v>61</v>
      </c>
      <c r="N58" s="57" t="n">
        <f aca="false">IF(COUNTIFS(E$2:E58,E58,C$2:C58,C58)=1,1,0)</f>
        <v>1</v>
      </c>
      <c r="O58" s="57" t="n">
        <f aca="false">IF(COUNTIFS(E$2:E58,E58,C$2:C58,C58,D$2:D58,D58)=1,1,0)</f>
        <v>1</v>
      </c>
      <c r="P58" s="57" t="n">
        <f aca="false">IF(AND(C58=Calc!$C$3,OR(Calc!$C$4=0,D58=Calc!$C$4)),ROW(),0)</f>
        <v>0</v>
      </c>
    </row>
    <row r="59" customFormat="false" ht="15" hidden="false" customHeight="false" outlineLevel="0" collapsed="false">
      <c r="A59" s="57" t="s">
        <v>182</v>
      </c>
      <c r="B59" s="58" t="n">
        <v>45313</v>
      </c>
      <c r="C59" s="57" t="n">
        <f aca="false">YEAR(B59)</f>
        <v>2024</v>
      </c>
      <c r="D59" s="57" t="n">
        <f aca="false">MONTH(B59)</f>
        <v>1</v>
      </c>
      <c r="E59" s="57" t="s">
        <v>183</v>
      </c>
      <c r="F59" s="57" t="s">
        <v>72</v>
      </c>
      <c r="G59" s="57" t="s">
        <v>40</v>
      </c>
      <c r="H59" s="57" t="s">
        <v>39</v>
      </c>
      <c r="I59" s="59" t="n">
        <v>1</v>
      </c>
      <c r="J59" s="60" t="n">
        <v>54</v>
      </c>
      <c r="K59" s="60" t="n">
        <v>19</v>
      </c>
      <c r="L59" s="61" t="n">
        <f aca="false">I59*J59</f>
        <v>54</v>
      </c>
      <c r="M59" s="61" t="n">
        <f aca="false">L59-I59*K59</f>
        <v>35</v>
      </c>
      <c r="N59" s="57" t="n">
        <f aca="false">IF(COUNTIFS(E$2:E59,E59,C$2:C59,C59)=1,1,0)</f>
        <v>1</v>
      </c>
      <c r="O59" s="57" t="n">
        <f aca="false">IF(COUNTIFS(E$2:E59,E59,C$2:C59,C59,D$2:D59,D59)=1,1,0)</f>
        <v>1</v>
      </c>
      <c r="P59" s="57" t="n">
        <f aca="false">IF(AND(C59=Calc!$C$3,OR(Calc!$C$4=0,D59=Calc!$C$4)),ROW(),0)</f>
        <v>0</v>
      </c>
    </row>
    <row r="60" customFormat="false" ht="15" hidden="false" customHeight="false" outlineLevel="0" collapsed="false">
      <c r="A60" s="57" t="s">
        <v>184</v>
      </c>
      <c r="B60" s="58" t="n">
        <v>45313</v>
      </c>
      <c r="C60" s="57" t="n">
        <f aca="false">YEAR(B60)</f>
        <v>2024</v>
      </c>
      <c r="D60" s="57" t="n">
        <f aca="false">MONTH(B60)</f>
        <v>1</v>
      </c>
      <c r="E60" s="57" t="s">
        <v>185</v>
      </c>
      <c r="F60" s="57" t="s">
        <v>81</v>
      </c>
      <c r="G60" s="57" t="s">
        <v>35</v>
      </c>
      <c r="H60" s="57" t="s">
        <v>37</v>
      </c>
      <c r="I60" s="59" t="n">
        <v>1</v>
      </c>
      <c r="J60" s="60" t="n">
        <v>59</v>
      </c>
      <c r="K60" s="60" t="n">
        <v>27</v>
      </c>
      <c r="L60" s="61" t="n">
        <f aca="false">I60*J60</f>
        <v>59</v>
      </c>
      <c r="M60" s="61" t="n">
        <f aca="false">L60-I60*K60</f>
        <v>32</v>
      </c>
      <c r="N60" s="57" t="n">
        <f aca="false">IF(COUNTIFS(E$2:E60,E60,C$2:C60,C60)=1,1,0)</f>
        <v>1</v>
      </c>
      <c r="O60" s="57" t="n">
        <f aca="false">IF(COUNTIFS(E$2:E60,E60,C$2:C60,C60,D$2:D60,D60)=1,1,0)</f>
        <v>1</v>
      </c>
      <c r="P60" s="57" t="n">
        <f aca="false">IF(AND(C60=Calc!$C$3,OR(Calc!$C$4=0,D60=Calc!$C$4)),ROW(),0)</f>
        <v>0</v>
      </c>
    </row>
    <row r="61" customFormat="false" ht="15" hidden="false" customHeight="false" outlineLevel="0" collapsed="false">
      <c r="A61" s="57" t="s">
        <v>186</v>
      </c>
      <c r="B61" s="58" t="n">
        <v>45314</v>
      </c>
      <c r="C61" s="57" t="n">
        <f aca="false">YEAR(B61)</f>
        <v>2024</v>
      </c>
      <c r="D61" s="57" t="n">
        <f aca="false">MONTH(B61)</f>
        <v>1</v>
      </c>
      <c r="E61" s="57" t="s">
        <v>187</v>
      </c>
      <c r="F61" s="57" t="s">
        <v>78</v>
      </c>
      <c r="G61" s="57" t="s">
        <v>45</v>
      </c>
      <c r="H61" s="57" t="s">
        <v>47</v>
      </c>
      <c r="I61" s="59" t="n">
        <v>1</v>
      </c>
      <c r="J61" s="60" t="n">
        <v>34</v>
      </c>
      <c r="K61" s="60" t="n">
        <v>12</v>
      </c>
      <c r="L61" s="61" t="n">
        <f aca="false">I61*J61</f>
        <v>34</v>
      </c>
      <c r="M61" s="61" t="n">
        <f aca="false">L61-I61*K61</f>
        <v>22</v>
      </c>
      <c r="N61" s="57" t="n">
        <f aca="false">IF(COUNTIFS(E$2:E61,E61,C$2:C61,C61)=1,1,0)</f>
        <v>1</v>
      </c>
      <c r="O61" s="57" t="n">
        <f aca="false">IF(COUNTIFS(E$2:E61,E61,C$2:C61,C61,D$2:D61,D61)=1,1,0)</f>
        <v>1</v>
      </c>
      <c r="P61" s="57" t="n">
        <f aca="false">IF(AND(C61=Calc!$C$3,OR(Calc!$C$4=0,D61=Calc!$C$4)),ROW(),0)</f>
        <v>0</v>
      </c>
    </row>
    <row r="62" customFormat="false" ht="15" hidden="false" customHeight="false" outlineLevel="0" collapsed="false">
      <c r="A62" s="57" t="s">
        <v>188</v>
      </c>
      <c r="B62" s="58" t="n">
        <v>45314</v>
      </c>
      <c r="C62" s="57" t="n">
        <f aca="false">YEAR(B62)</f>
        <v>2024</v>
      </c>
      <c r="D62" s="57" t="n">
        <f aca="false">MONTH(B62)</f>
        <v>1</v>
      </c>
      <c r="E62" s="57" t="s">
        <v>189</v>
      </c>
      <c r="F62" s="57" t="s">
        <v>69</v>
      </c>
      <c r="G62" s="57" t="s">
        <v>40</v>
      </c>
      <c r="H62" s="57" t="s">
        <v>39</v>
      </c>
      <c r="I62" s="59" t="n">
        <v>2</v>
      </c>
      <c r="J62" s="60" t="n">
        <v>54</v>
      </c>
      <c r="K62" s="60" t="n">
        <v>19</v>
      </c>
      <c r="L62" s="61" t="n">
        <f aca="false">I62*J62</f>
        <v>108</v>
      </c>
      <c r="M62" s="61" t="n">
        <f aca="false">L62-I62*K62</f>
        <v>70</v>
      </c>
      <c r="N62" s="57" t="n">
        <f aca="false">IF(COUNTIFS(E$2:E62,E62,C$2:C62,C62)=1,1,0)</f>
        <v>1</v>
      </c>
      <c r="O62" s="57" t="n">
        <f aca="false">IF(COUNTIFS(E$2:E62,E62,C$2:C62,C62,D$2:D62,D62)=1,1,0)</f>
        <v>1</v>
      </c>
      <c r="P62" s="57" t="n">
        <f aca="false">IF(AND(C62=Calc!$C$3,OR(Calc!$C$4=0,D62=Calc!$C$4)),ROW(),0)</f>
        <v>0</v>
      </c>
    </row>
    <row r="63" customFormat="false" ht="15" hidden="false" customHeight="false" outlineLevel="0" collapsed="false">
      <c r="A63" s="57" t="s">
        <v>190</v>
      </c>
      <c r="B63" s="58" t="n">
        <v>45315</v>
      </c>
      <c r="C63" s="57" t="n">
        <f aca="false">YEAR(B63)</f>
        <v>2024</v>
      </c>
      <c r="D63" s="57" t="n">
        <f aca="false">MONTH(B63)</f>
        <v>1</v>
      </c>
      <c r="E63" s="57" t="s">
        <v>191</v>
      </c>
      <c r="F63" s="57" t="s">
        <v>78</v>
      </c>
      <c r="G63" s="57" t="s">
        <v>45</v>
      </c>
      <c r="H63" s="57" t="s">
        <v>44</v>
      </c>
      <c r="I63" s="59" t="n">
        <v>1</v>
      </c>
      <c r="J63" s="60" t="n">
        <v>119</v>
      </c>
      <c r="K63" s="60" t="n">
        <v>63</v>
      </c>
      <c r="L63" s="61" t="n">
        <f aca="false">I63*J63</f>
        <v>119</v>
      </c>
      <c r="M63" s="61" t="n">
        <f aca="false">L63-I63*K63</f>
        <v>56</v>
      </c>
      <c r="N63" s="57" t="n">
        <f aca="false">IF(COUNTIFS(E$2:E63,E63,C$2:C63,C63)=1,1,0)</f>
        <v>1</v>
      </c>
      <c r="O63" s="57" t="n">
        <f aca="false">IF(COUNTIFS(E$2:E63,E63,C$2:C63,C63,D$2:D63,D63)=1,1,0)</f>
        <v>1</v>
      </c>
      <c r="P63" s="57" t="n">
        <f aca="false">IF(AND(C63=Calc!$C$3,OR(Calc!$C$4=0,D63=Calc!$C$4)),ROW(),0)</f>
        <v>0</v>
      </c>
    </row>
    <row r="64" customFormat="false" ht="15" hidden="false" customHeight="false" outlineLevel="0" collapsed="false">
      <c r="A64" s="57" t="s">
        <v>192</v>
      </c>
      <c r="B64" s="58" t="n">
        <v>45315</v>
      </c>
      <c r="C64" s="57" t="n">
        <f aca="false">YEAR(B64)</f>
        <v>2024</v>
      </c>
      <c r="D64" s="57" t="n">
        <f aca="false">MONTH(B64)</f>
        <v>1</v>
      </c>
      <c r="E64" s="57" t="s">
        <v>193</v>
      </c>
      <c r="F64" s="57" t="s">
        <v>78</v>
      </c>
      <c r="G64" s="57" t="s">
        <v>54</v>
      </c>
      <c r="H64" s="57" t="s">
        <v>55</v>
      </c>
      <c r="I64" s="59" t="n">
        <v>1</v>
      </c>
      <c r="J64" s="60" t="n">
        <v>64</v>
      </c>
      <c r="K64" s="60" t="n">
        <v>25</v>
      </c>
      <c r="L64" s="61" t="n">
        <f aca="false">I64*J64</f>
        <v>64</v>
      </c>
      <c r="M64" s="61" t="n">
        <f aca="false">L64-I64*K64</f>
        <v>39</v>
      </c>
      <c r="N64" s="57" t="n">
        <f aca="false">IF(COUNTIFS(E$2:E64,E64,C$2:C64,C64)=1,1,0)</f>
        <v>1</v>
      </c>
      <c r="O64" s="57" t="n">
        <f aca="false">IF(COUNTIFS(E$2:E64,E64,C$2:C64,C64,D$2:D64,D64)=1,1,0)</f>
        <v>1</v>
      </c>
      <c r="P64" s="57" t="n">
        <f aca="false">IF(AND(C64=Calc!$C$3,OR(Calc!$C$4=0,D64=Calc!$C$4)),ROW(),0)</f>
        <v>0</v>
      </c>
    </row>
    <row r="65" customFormat="false" ht="15" hidden="false" customHeight="false" outlineLevel="0" collapsed="false">
      <c r="A65" s="57" t="s">
        <v>194</v>
      </c>
      <c r="B65" s="58" t="n">
        <v>45315</v>
      </c>
      <c r="C65" s="57" t="n">
        <f aca="false">YEAR(B65)</f>
        <v>2024</v>
      </c>
      <c r="D65" s="57" t="n">
        <f aca="false">MONTH(B65)</f>
        <v>1</v>
      </c>
      <c r="E65" s="57" t="s">
        <v>71</v>
      </c>
      <c r="F65" s="57" t="s">
        <v>72</v>
      </c>
      <c r="G65" s="57" t="s">
        <v>54</v>
      </c>
      <c r="H65" s="57" t="s">
        <v>55</v>
      </c>
      <c r="I65" s="59" t="n">
        <v>1</v>
      </c>
      <c r="J65" s="60" t="n">
        <v>64</v>
      </c>
      <c r="K65" s="60" t="n">
        <v>25</v>
      </c>
      <c r="L65" s="61" t="n">
        <f aca="false">I65*J65</f>
        <v>64</v>
      </c>
      <c r="M65" s="61" t="n">
        <f aca="false">L65-I65*K65</f>
        <v>39</v>
      </c>
      <c r="N65" s="57" t="n">
        <f aca="false">IF(COUNTIFS(E$2:E65,E65,C$2:C65,C65)=1,1,0)</f>
        <v>0</v>
      </c>
      <c r="O65" s="57" t="n">
        <f aca="false">IF(COUNTIFS(E$2:E65,E65,C$2:C65,C65,D$2:D65,D65)=1,1,0)</f>
        <v>0</v>
      </c>
      <c r="P65" s="57" t="n">
        <f aca="false">IF(AND(C65=Calc!$C$3,OR(Calc!$C$4=0,D65=Calc!$C$4)),ROW(),0)</f>
        <v>0</v>
      </c>
    </row>
    <row r="66" customFormat="false" ht="15" hidden="false" customHeight="false" outlineLevel="0" collapsed="false">
      <c r="A66" s="57" t="s">
        <v>195</v>
      </c>
      <c r="B66" s="58" t="n">
        <v>45316</v>
      </c>
      <c r="C66" s="57" t="n">
        <f aca="false">YEAR(B66)</f>
        <v>2024</v>
      </c>
      <c r="D66" s="57" t="n">
        <f aca="false">MONTH(B66)</f>
        <v>1</v>
      </c>
      <c r="E66" s="57" t="s">
        <v>196</v>
      </c>
      <c r="F66" s="57" t="s">
        <v>69</v>
      </c>
      <c r="G66" s="57" t="s">
        <v>50</v>
      </c>
      <c r="H66" s="57" t="s">
        <v>51</v>
      </c>
      <c r="I66" s="59" t="n">
        <v>1</v>
      </c>
      <c r="J66" s="60" t="n">
        <v>69</v>
      </c>
      <c r="K66" s="60" t="n">
        <v>29</v>
      </c>
      <c r="L66" s="61" t="n">
        <f aca="false">I66*J66</f>
        <v>69</v>
      </c>
      <c r="M66" s="61" t="n">
        <f aca="false">L66-I66*K66</f>
        <v>40</v>
      </c>
      <c r="N66" s="57" t="n">
        <f aca="false">IF(COUNTIFS(E$2:E66,E66,C$2:C66,C66)=1,1,0)</f>
        <v>1</v>
      </c>
      <c r="O66" s="57" t="n">
        <f aca="false">IF(COUNTIFS(E$2:E66,E66,C$2:C66,C66,D$2:D66,D66)=1,1,0)</f>
        <v>1</v>
      </c>
      <c r="P66" s="57" t="n">
        <f aca="false">IF(AND(C66=Calc!$C$3,OR(Calc!$C$4=0,D66=Calc!$C$4)),ROW(),0)</f>
        <v>0</v>
      </c>
    </row>
    <row r="67" customFormat="false" ht="15" hidden="false" customHeight="false" outlineLevel="0" collapsed="false">
      <c r="A67" s="57" t="s">
        <v>197</v>
      </c>
      <c r="B67" s="58" t="n">
        <v>45316</v>
      </c>
      <c r="C67" s="57" t="n">
        <f aca="false">YEAR(B67)</f>
        <v>2024</v>
      </c>
      <c r="D67" s="57" t="n">
        <f aca="false">MONTH(B67)</f>
        <v>1</v>
      </c>
      <c r="E67" s="57" t="s">
        <v>196</v>
      </c>
      <c r="F67" s="57" t="s">
        <v>69</v>
      </c>
      <c r="G67" s="57" t="s">
        <v>40</v>
      </c>
      <c r="H67" s="57" t="s">
        <v>41</v>
      </c>
      <c r="I67" s="59" t="n">
        <v>3</v>
      </c>
      <c r="J67" s="60" t="n">
        <v>46</v>
      </c>
      <c r="K67" s="60" t="n">
        <v>16</v>
      </c>
      <c r="L67" s="61" t="n">
        <f aca="false">I67*J67</f>
        <v>138</v>
      </c>
      <c r="M67" s="61" t="n">
        <f aca="false">L67-I67*K67</f>
        <v>90</v>
      </c>
      <c r="N67" s="57" t="n">
        <f aca="false">IF(COUNTIFS(E$2:E67,E67,C$2:C67,C67)=1,1,0)</f>
        <v>0</v>
      </c>
      <c r="O67" s="57" t="n">
        <f aca="false">IF(COUNTIFS(E$2:E67,E67,C$2:C67,C67,D$2:D67,D67)=1,1,0)</f>
        <v>0</v>
      </c>
      <c r="P67" s="57" t="n">
        <f aca="false">IF(AND(C67=Calc!$C$3,OR(Calc!$C$4=0,D67=Calc!$C$4)),ROW(),0)</f>
        <v>0</v>
      </c>
    </row>
    <row r="68" customFormat="false" ht="15" hidden="false" customHeight="false" outlineLevel="0" collapsed="false">
      <c r="A68" s="57" t="s">
        <v>198</v>
      </c>
      <c r="B68" s="58" t="n">
        <v>45316</v>
      </c>
      <c r="C68" s="57" t="n">
        <f aca="false">YEAR(B68)</f>
        <v>2024</v>
      </c>
      <c r="D68" s="57" t="n">
        <f aca="false">MONTH(B68)</f>
        <v>1</v>
      </c>
      <c r="E68" s="57" t="s">
        <v>199</v>
      </c>
      <c r="F68" s="57" t="s">
        <v>72</v>
      </c>
      <c r="G68" s="57" t="s">
        <v>40</v>
      </c>
      <c r="H68" s="57" t="s">
        <v>43</v>
      </c>
      <c r="I68" s="59" t="n">
        <v>3</v>
      </c>
      <c r="J68" s="60" t="n">
        <v>29</v>
      </c>
      <c r="K68" s="60" t="n">
        <v>9</v>
      </c>
      <c r="L68" s="61" t="n">
        <f aca="false">I68*J68</f>
        <v>87</v>
      </c>
      <c r="M68" s="61" t="n">
        <f aca="false">L68-I68*K68</f>
        <v>60</v>
      </c>
      <c r="N68" s="57" t="n">
        <f aca="false">IF(COUNTIFS(E$2:E68,E68,C$2:C68,C68)=1,1,0)</f>
        <v>1</v>
      </c>
      <c r="O68" s="57" t="n">
        <f aca="false">IF(COUNTIFS(E$2:E68,E68,C$2:C68,C68,D$2:D68,D68)=1,1,0)</f>
        <v>1</v>
      </c>
      <c r="P68" s="57" t="n">
        <f aca="false">IF(AND(C68=Calc!$C$3,OR(Calc!$C$4=0,D68=Calc!$C$4)),ROW(),0)</f>
        <v>0</v>
      </c>
    </row>
    <row r="69" customFormat="false" ht="15" hidden="false" customHeight="false" outlineLevel="0" collapsed="false">
      <c r="A69" s="57" t="s">
        <v>200</v>
      </c>
      <c r="B69" s="58" t="n">
        <v>45317</v>
      </c>
      <c r="C69" s="57" t="n">
        <f aca="false">YEAR(B69)</f>
        <v>2024</v>
      </c>
      <c r="D69" s="57" t="n">
        <f aca="false">MONTH(B69)</f>
        <v>1</v>
      </c>
      <c r="E69" s="57" t="s">
        <v>201</v>
      </c>
      <c r="F69" s="57" t="s">
        <v>75</v>
      </c>
      <c r="G69" s="57" t="s">
        <v>35</v>
      </c>
      <c r="H69" s="57" t="s">
        <v>34</v>
      </c>
      <c r="I69" s="59" t="n">
        <v>1</v>
      </c>
      <c r="J69" s="60" t="n">
        <v>89</v>
      </c>
      <c r="K69" s="60" t="n">
        <v>41</v>
      </c>
      <c r="L69" s="61" t="n">
        <f aca="false">I69*J69</f>
        <v>89</v>
      </c>
      <c r="M69" s="61" t="n">
        <f aca="false">L69-I69*K69</f>
        <v>48</v>
      </c>
      <c r="N69" s="57" t="n">
        <f aca="false">IF(COUNTIFS(E$2:E69,E69,C$2:C69,C69)=1,1,0)</f>
        <v>1</v>
      </c>
      <c r="O69" s="57" t="n">
        <f aca="false">IF(COUNTIFS(E$2:E69,E69,C$2:C69,C69,D$2:D69,D69)=1,1,0)</f>
        <v>1</v>
      </c>
      <c r="P69" s="57" t="n">
        <f aca="false">IF(AND(C69=Calc!$C$3,OR(Calc!$C$4=0,D69=Calc!$C$4)),ROW(),0)</f>
        <v>0</v>
      </c>
    </row>
    <row r="70" customFormat="false" ht="15" hidden="false" customHeight="false" outlineLevel="0" collapsed="false">
      <c r="A70" s="57" t="s">
        <v>202</v>
      </c>
      <c r="B70" s="58" t="n">
        <v>45317</v>
      </c>
      <c r="C70" s="57" t="n">
        <f aca="false">YEAR(B70)</f>
        <v>2024</v>
      </c>
      <c r="D70" s="57" t="n">
        <f aca="false">MONTH(B70)</f>
        <v>1</v>
      </c>
      <c r="E70" s="57" t="s">
        <v>203</v>
      </c>
      <c r="F70" s="57" t="s">
        <v>78</v>
      </c>
      <c r="G70" s="57" t="s">
        <v>40</v>
      </c>
      <c r="H70" s="57" t="s">
        <v>43</v>
      </c>
      <c r="I70" s="59" t="n">
        <v>1</v>
      </c>
      <c r="J70" s="60" t="n">
        <v>29</v>
      </c>
      <c r="K70" s="60" t="n">
        <v>9</v>
      </c>
      <c r="L70" s="61" t="n">
        <f aca="false">I70*J70</f>
        <v>29</v>
      </c>
      <c r="M70" s="61" t="n">
        <f aca="false">L70-I70*K70</f>
        <v>20</v>
      </c>
      <c r="N70" s="57" t="n">
        <f aca="false">IF(COUNTIFS(E$2:E70,E70,C$2:C70,C70)=1,1,0)</f>
        <v>1</v>
      </c>
      <c r="O70" s="57" t="n">
        <f aca="false">IF(COUNTIFS(E$2:E70,E70,C$2:C70,C70,D$2:D70,D70)=1,1,0)</f>
        <v>1</v>
      </c>
      <c r="P70" s="57" t="n">
        <f aca="false">IF(AND(C70=Calc!$C$3,OR(Calc!$C$4=0,D70=Calc!$C$4)),ROW(),0)</f>
        <v>0</v>
      </c>
    </row>
    <row r="71" customFormat="false" ht="15" hidden="false" customHeight="false" outlineLevel="0" collapsed="false">
      <c r="A71" s="57" t="s">
        <v>204</v>
      </c>
      <c r="B71" s="58" t="n">
        <v>45317</v>
      </c>
      <c r="C71" s="57" t="n">
        <f aca="false">YEAR(B71)</f>
        <v>2024</v>
      </c>
      <c r="D71" s="57" t="n">
        <f aca="false">MONTH(B71)</f>
        <v>1</v>
      </c>
      <c r="E71" s="57" t="s">
        <v>104</v>
      </c>
      <c r="F71" s="57" t="s">
        <v>78</v>
      </c>
      <c r="G71" s="57" t="s">
        <v>50</v>
      </c>
      <c r="H71" s="57" t="s">
        <v>49</v>
      </c>
      <c r="I71" s="59" t="n">
        <v>1</v>
      </c>
      <c r="J71" s="60" t="n">
        <v>32</v>
      </c>
      <c r="K71" s="60" t="n">
        <v>7</v>
      </c>
      <c r="L71" s="61" t="n">
        <f aca="false">I71*J71</f>
        <v>32</v>
      </c>
      <c r="M71" s="61" t="n">
        <f aca="false">L71-I71*K71</f>
        <v>25</v>
      </c>
      <c r="N71" s="57" t="n">
        <f aca="false">IF(COUNTIFS(E$2:E71,E71,C$2:C71,C71)=1,1,0)</f>
        <v>0</v>
      </c>
      <c r="O71" s="57" t="n">
        <f aca="false">IF(COUNTIFS(E$2:E71,E71,C$2:C71,C71,D$2:D71,D71)=1,1,0)</f>
        <v>0</v>
      </c>
      <c r="P71" s="57" t="n">
        <f aca="false">IF(AND(C71=Calc!$C$3,OR(Calc!$C$4=0,D71=Calc!$C$4)),ROW(),0)</f>
        <v>0</v>
      </c>
    </row>
    <row r="72" customFormat="false" ht="15" hidden="false" customHeight="false" outlineLevel="0" collapsed="false">
      <c r="A72" s="57" t="s">
        <v>205</v>
      </c>
      <c r="B72" s="58" t="n">
        <v>45318</v>
      </c>
      <c r="C72" s="57" t="n">
        <f aca="false">YEAR(B72)</f>
        <v>2024</v>
      </c>
      <c r="D72" s="57" t="n">
        <f aca="false">MONTH(B72)</f>
        <v>1</v>
      </c>
      <c r="E72" s="57" t="s">
        <v>206</v>
      </c>
      <c r="F72" s="57" t="s">
        <v>78</v>
      </c>
      <c r="G72" s="57" t="s">
        <v>40</v>
      </c>
      <c r="H72" s="57" t="s">
        <v>42</v>
      </c>
      <c r="I72" s="59" t="n">
        <v>1</v>
      </c>
      <c r="J72" s="60" t="n">
        <v>79</v>
      </c>
      <c r="K72" s="60" t="n">
        <v>31</v>
      </c>
      <c r="L72" s="61" t="n">
        <f aca="false">I72*J72</f>
        <v>79</v>
      </c>
      <c r="M72" s="61" t="n">
        <f aca="false">L72-I72*K72</f>
        <v>48</v>
      </c>
      <c r="N72" s="57" t="n">
        <f aca="false">IF(COUNTIFS(E$2:E72,E72,C$2:C72,C72)=1,1,0)</f>
        <v>1</v>
      </c>
      <c r="O72" s="57" t="n">
        <f aca="false">IF(COUNTIFS(E$2:E72,E72,C$2:C72,C72,D$2:D72,D72)=1,1,0)</f>
        <v>1</v>
      </c>
      <c r="P72" s="57" t="n">
        <f aca="false">IF(AND(C72=Calc!$C$3,OR(Calc!$C$4=0,D72=Calc!$C$4)),ROW(),0)</f>
        <v>0</v>
      </c>
    </row>
    <row r="73" customFormat="false" ht="15" hidden="false" customHeight="false" outlineLevel="0" collapsed="false">
      <c r="A73" s="57" t="s">
        <v>207</v>
      </c>
      <c r="B73" s="58" t="n">
        <v>45318</v>
      </c>
      <c r="C73" s="57" t="n">
        <f aca="false">YEAR(B73)</f>
        <v>2024</v>
      </c>
      <c r="D73" s="57" t="n">
        <f aca="false">MONTH(B73)</f>
        <v>1</v>
      </c>
      <c r="E73" s="57" t="s">
        <v>208</v>
      </c>
      <c r="F73" s="57" t="s">
        <v>81</v>
      </c>
      <c r="G73" s="57" t="s">
        <v>40</v>
      </c>
      <c r="H73" s="57" t="s">
        <v>42</v>
      </c>
      <c r="I73" s="59" t="n">
        <v>2</v>
      </c>
      <c r="J73" s="60" t="n">
        <v>79</v>
      </c>
      <c r="K73" s="60" t="n">
        <v>31</v>
      </c>
      <c r="L73" s="61" t="n">
        <f aca="false">I73*J73</f>
        <v>158</v>
      </c>
      <c r="M73" s="61" t="n">
        <f aca="false">L73-I73*K73</f>
        <v>96</v>
      </c>
      <c r="N73" s="57" t="n">
        <f aca="false">IF(COUNTIFS(E$2:E73,E73,C$2:C73,C73)=1,1,0)</f>
        <v>1</v>
      </c>
      <c r="O73" s="57" t="n">
        <f aca="false">IF(COUNTIFS(E$2:E73,E73,C$2:C73,C73,D$2:D73,D73)=1,1,0)</f>
        <v>1</v>
      </c>
      <c r="P73" s="57" t="n">
        <f aca="false">IF(AND(C73=Calc!$C$3,OR(Calc!$C$4=0,D73=Calc!$C$4)),ROW(),0)</f>
        <v>0</v>
      </c>
    </row>
    <row r="74" customFormat="false" ht="15" hidden="false" customHeight="false" outlineLevel="0" collapsed="false">
      <c r="A74" s="57" t="s">
        <v>209</v>
      </c>
      <c r="B74" s="58" t="n">
        <v>45319</v>
      </c>
      <c r="C74" s="57" t="n">
        <f aca="false">YEAR(B74)</f>
        <v>2024</v>
      </c>
      <c r="D74" s="57" t="n">
        <f aca="false">MONTH(B74)</f>
        <v>1</v>
      </c>
      <c r="E74" s="57" t="s">
        <v>87</v>
      </c>
      <c r="F74" s="57" t="s">
        <v>72</v>
      </c>
      <c r="G74" s="57" t="s">
        <v>35</v>
      </c>
      <c r="H74" s="57" t="s">
        <v>34</v>
      </c>
      <c r="I74" s="59" t="n">
        <v>1</v>
      </c>
      <c r="J74" s="60" t="n">
        <v>89</v>
      </c>
      <c r="K74" s="60" t="n">
        <v>41</v>
      </c>
      <c r="L74" s="61" t="n">
        <f aca="false">I74*J74</f>
        <v>89</v>
      </c>
      <c r="M74" s="61" t="n">
        <f aca="false">L74-I74*K74</f>
        <v>48</v>
      </c>
      <c r="N74" s="57" t="n">
        <f aca="false">IF(COUNTIFS(E$2:E74,E74,C$2:C74,C74)=1,1,0)</f>
        <v>0</v>
      </c>
      <c r="O74" s="57" t="n">
        <f aca="false">IF(COUNTIFS(E$2:E74,E74,C$2:C74,C74,D$2:D74,D74)=1,1,0)</f>
        <v>0</v>
      </c>
      <c r="P74" s="57" t="n">
        <f aca="false">IF(AND(C74=Calc!$C$3,OR(Calc!$C$4=0,D74=Calc!$C$4)),ROW(),0)</f>
        <v>0</v>
      </c>
    </row>
    <row r="75" customFormat="false" ht="15" hidden="false" customHeight="false" outlineLevel="0" collapsed="false">
      <c r="A75" s="57" t="s">
        <v>210</v>
      </c>
      <c r="B75" s="58" t="n">
        <v>45319</v>
      </c>
      <c r="C75" s="57" t="n">
        <f aca="false">YEAR(B75)</f>
        <v>2024</v>
      </c>
      <c r="D75" s="57" t="n">
        <f aca="false">MONTH(B75)</f>
        <v>1</v>
      </c>
      <c r="E75" s="57" t="s">
        <v>211</v>
      </c>
      <c r="F75" s="57" t="s">
        <v>75</v>
      </c>
      <c r="G75" s="57" t="s">
        <v>45</v>
      </c>
      <c r="H75" s="57" t="s">
        <v>44</v>
      </c>
      <c r="I75" s="59" t="n">
        <v>1</v>
      </c>
      <c r="J75" s="60" t="n">
        <v>119</v>
      </c>
      <c r="K75" s="60" t="n">
        <v>63</v>
      </c>
      <c r="L75" s="61" t="n">
        <f aca="false">I75*J75</f>
        <v>119</v>
      </c>
      <c r="M75" s="61" t="n">
        <f aca="false">L75-I75*K75</f>
        <v>56</v>
      </c>
      <c r="N75" s="57" t="n">
        <f aca="false">IF(COUNTIFS(E$2:E75,E75,C$2:C75,C75)=1,1,0)</f>
        <v>1</v>
      </c>
      <c r="O75" s="57" t="n">
        <f aca="false">IF(COUNTIFS(E$2:E75,E75,C$2:C75,C75,D$2:D75,D75)=1,1,0)</f>
        <v>1</v>
      </c>
      <c r="P75" s="57" t="n">
        <f aca="false">IF(AND(C75=Calc!$C$3,OR(Calc!$C$4=0,D75=Calc!$C$4)),ROW(),0)</f>
        <v>0</v>
      </c>
    </row>
    <row r="76" customFormat="false" ht="15" hidden="false" customHeight="false" outlineLevel="0" collapsed="false">
      <c r="A76" s="57" t="s">
        <v>212</v>
      </c>
      <c r="B76" s="58" t="n">
        <v>45320</v>
      </c>
      <c r="C76" s="57" t="n">
        <f aca="false">YEAR(B76)</f>
        <v>2024</v>
      </c>
      <c r="D76" s="57" t="n">
        <f aca="false">MONTH(B76)</f>
        <v>1</v>
      </c>
      <c r="E76" s="57" t="s">
        <v>213</v>
      </c>
      <c r="F76" s="57" t="s">
        <v>78</v>
      </c>
      <c r="G76" s="57" t="s">
        <v>35</v>
      </c>
      <c r="H76" s="57" t="s">
        <v>37</v>
      </c>
      <c r="I76" s="59" t="n">
        <v>1</v>
      </c>
      <c r="J76" s="60" t="n">
        <v>59</v>
      </c>
      <c r="K76" s="60" t="n">
        <v>27</v>
      </c>
      <c r="L76" s="61" t="n">
        <f aca="false">I76*J76</f>
        <v>59</v>
      </c>
      <c r="M76" s="61" t="n">
        <f aca="false">L76-I76*K76</f>
        <v>32</v>
      </c>
      <c r="N76" s="57" t="n">
        <f aca="false">IF(COUNTIFS(E$2:E76,E76,C$2:C76,C76)=1,1,0)</f>
        <v>1</v>
      </c>
      <c r="O76" s="57" t="n">
        <f aca="false">IF(COUNTIFS(E$2:E76,E76,C$2:C76,C76,D$2:D76,D76)=1,1,0)</f>
        <v>1</v>
      </c>
      <c r="P76" s="57" t="n">
        <f aca="false">IF(AND(C76=Calc!$C$3,OR(Calc!$C$4=0,D76=Calc!$C$4)),ROW(),0)</f>
        <v>0</v>
      </c>
    </row>
    <row r="77" customFormat="false" ht="15" hidden="false" customHeight="false" outlineLevel="0" collapsed="false">
      <c r="A77" s="57" t="s">
        <v>214</v>
      </c>
      <c r="B77" s="58" t="n">
        <v>45320</v>
      </c>
      <c r="C77" s="57" t="n">
        <f aca="false">YEAR(B77)</f>
        <v>2024</v>
      </c>
      <c r="D77" s="57" t="n">
        <f aca="false">MONTH(B77)</f>
        <v>1</v>
      </c>
      <c r="E77" s="57" t="s">
        <v>215</v>
      </c>
      <c r="F77" s="57" t="s">
        <v>75</v>
      </c>
      <c r="G77" s="57" t="s">
        <v>35</v>
      </c>
      <c r="H77" s="57" t="s">
        <v>38</v>
      </c>
      <c r="I77" s="59" t="n">
        <v>1</v>
      </c>
      <c r="J77" s="60" t="n">
        <v>49</v>
      </c>
      <c r="K77" s="60" t="n">
        <v>22</v>
      </c>
      <c r="L77" s="61" t="n">
        <f aca="false">I77*J77</f>
        <v>49</v>
      </c>
      <c r="M77" s="61" t="n">
        <f aca="false">L77-I77*K77</f>
        <v>27</v>
      </c>
      <c r="N77" s="57" t="n">
        <f aca="false">IF(COUNTIFS(E$2:E77,E77,C$2:C77,C77)=1,1,0)</f>
        <v>1</v>
      </c>
      <c r="O77" s="57" t="n">
        <f aca="false">IF(COUNTIFS(E$2:E77,E77,C$2:C77,C77,D$2:D77,D77)=1,1,0)</f>
        <v>1</v>
      </c>
      <c r="P77" s="57" t="n">
        <f aca="false">IF(AND(C77=Calc!$C$3,OR(Calc!$C$4=0,D77=Calc!$C$4)),ROW(),0)</f>
        <v>0</v>
      </c>
    </row>
    <row r="78" customFormat="false" ht="15" hidden="false" customHeight="false" outlineLevel="0" collapsed="false">
      <c r="A78" s="57" t="s">
        <v>216</v>
      </c>
      <c r="B78" s="58" t="n">
        <v>45320</v>
      </c>
      <c r="C78" s="57" t="n">
        <f aca="false">YEAR(B78)</f>
        <v>2024</v>
      </c>
      <c r="D78" s="57" t="n">
        <f aca="false">MONTH(B78)</f>
        <v>1</v>
      </c>
      <c r="E78" s="57" t="s">
        <v>217</v>
      </c>
      <c r="F78" s="57" t="s">
        <v>75</v>
      </c>
      <c r="G78" s="57" t="s">
        <v>35</v>
      </c>
      <c r="H78" s="57" t="s">
        <v>38</v>
      </c>
      <c r="I78" s="59" t="n">
        <v>1</v>
      </c>
      <c r="J78" s="60" t="n">
        <v>49</v>
      </c>
      <c r="K78" s="60" t="n">
        <v>22</v>
      </c>
      <c r="L78" s="61" t="n">
        <f aca="false">I78*J78</f>
        <v>49</v>
      </c>
      <c r="M78" s="61" t="n">
        <f aca="false">L78-I78*K78</f>
        <v>27</v>
      </c>
      <c r="N78" s="57" t="n">
        <f aca="false">IF(COUNTIFS(E$2:E78,E78,C$2:C78,C78)=1,1,0)</f>
        <v>1</v>
      </c>
      <c r="O78" s="57" t="n">
        <f aca="false">IF(COUNTIFS(E$2:E78,E78,C$2:C78,C78,D$2:D78,D78)=1,1,0)</f>
        <v>1</v>
      </c>
      <c r="P78" s="57" t="n">
        <f aca="false">IF(AND(C78=Calc!$C$3,OR(Calc!$C$4=0,D78=Calc!$C$4)),ROW(),0)</f>
        <v>0</v>
      </c>
    </row>
    <row r="79" customFormat="false" ht="15" hidden="false" customHeight="false" outlineLevel="0" collapsed="false">
      <c r="A79" s="57" t="s">
        <v>218</v>
      </c>
      <c r="B79" s="58" t="n">
        <v>45320</v>
      </c>
      <c r="C79" s="57" t="n">
        <f aca="false">YEAR(B79)</f>
        <v>2024</v>
      </c>
      <c r="D79" s="57" t="n">
        <f aca="false">MONTH(B79)</f>
        <v>1</v>
      </c>
      <c r="E79" s="57" t="s">
        <v>219</v>
      </c>
      <c r="F79" s="57" t="s">
        <v>78</v>
      </c>
      <c r="G79" s="57" t="s">
        <v>35</v>
      </c>
      <c r="H79" s="57" t="s">
        <v>37</v>
      </c>
      <c r="I79" s="59" t="n">
        <v>1</v>
      </c>
      <c r="J79" s="60" t="n">
        <v>59</v>
      </c>
      <c r="K79" s="60" t="n">
        <v>27</v>
      </c>
      <c r="L79" s="61" t="n">
        <f aca="false">I79*J79</f>
        <v>59</v>
      </c>
      <c r="M79" s="61" t="n">
        <f aca="false">L79-I79*K79</f>
        <v>32</v>
      </c>
      <c r="N79" s="57" t="n">
        <f aca="false">IF(COUNTIFS(E$2:E79,E79,C$2:C79,C79)=1,1,0)</f>
        <v>1</v>
      </c>
      <c r="O79" s="57" t="n">
        <f aca="false">IF(COUNTIFS(E$2:E79,E79,C$2:C79,C79,D$2:D79,D79)=1,1,0)</f>
        <v>1</v>
      </c>
      <c r="P79" s="57" t="n">
        <f aca="false">IF(AND(C79=Calc!$C$3,OR(Calc!$C$4=0,D79=Calc!$C$4)),ROW(),0)</f>
        <v>0</v>
      </c>
    </row>
    <row r="80" customFormat="false" ht="15" hidden="false" customHeight="false" outlineLevel="0" collapsed="false">
      <c r="A80" s="57" t="s">
        <v>220</v>
      </c>
      <c r="B80" s="58" t="n">
        <v>45321</v>
      </c>
      <c r="C80" s="57" t="n">
        <f aca="false">YEAR(B80)</f>
        <v>2024</v>
      </c>
      <c r="D80" s="57" t="n">
        <f aca="false">MONTH(B80)</f>
        <v>1</v>
      </c>
      <c r="E80" s="57" t="s">
        <v>221</v>
      </c>
      <c r="F80" s="57" t="s">
        <v>69</v>
      </c>
      <c r="G80" s="57" t="s">
        <v>40</v>
      </c>
      <c r="H80" s="57" t="s">
        <v>42</v>
      </c>
      <c r="I80" s="59" t="n">
        <v>1</v>
      </c>
      <c r="J80" s="60" t="n">
        <v>79</v>
      </c>
      <c r="K80" s="60" t="n">
        <v>31</v>
      </c>
      <c r="L80" s="61" t="n">
        <f aca="false">I80*J80</f>
        <v>79</v>
      </c>
      <c r="M80" s="61" t="n">
        <f aca="false">L80-I80*K80</f>
        <v>48</v>
      </c>
      <c r="N80" s="57" t="n">
        <f aca="false">IF(COUNTIFS(E$2:E80,E80,C$2:C80,C80)=1,1,0)</f>
        <v>1</v>
      </c>
      <c r="O80" s="57" t="n">
        <f aca="false">IF(COUNTIFS(E$2:E80,E80,C$2:C80,C80,D$2:D80,D80)=1,1,0)</f>
        <v>1</v>
      </c>
      <c r="P80" s="57" t="n">
        <f aca="false">IF(AND(C80=Calc!$C$3,OR(Calc!$C$4=0,D80=Calc!$C$4)),ROW(),0)</f>
        <v>0</v>
      </c>
    </row>
    <row r="81" customFormat="false" ht="15" hidden="false" customHeight="false" outlineLevel="0" collapsed="false">
      <c r="A81" s="57" t="s">
        <v>222</v>
      </c>
      <c r="B81" s="58" t="n">
        <v>45321</v>
      </c>
      <c r="C81" s="57" t="n">
        <f aca="false">YEAR(B81)</f>
        <v>2024</v>
      </c>
      <c r="D81" s="57" t="n">
        <f aca="false">MONTH(B81)</f>
        <v>1</v>
      </c>
      <c r="E81" s="57" t="s">
        <v>223</v>
      </c>
      <c r="F81" s="57" t="s">
        <v>69</v>
      </c>
      <c r="G81" s="57" t="s">
        <v>35</v>
      </c>
      <c r="H81" s="57" t="s">
        <v>36</v>
      </c>
      <c r="I81" s="59" t="n">
        <v>2</v>
      </c>
      <c r="J81" s="60" t="n">
        <v>179</v>
      </c>
      <c r="K81" s="60" t="n">
        <v>92</v>
      </c>
      <c r="L81" s="61" t="n">
        <f aca="false">I81*J81</f>
        <v>358</v>
      </c>
      <c r="M81" s="61" t="n">
        <f aca="false">L81-I81*K81</f>
        <v>174</v>
      </c>
      <c r="N81" s="57" t="n">
        <f aca="false">IF(COUNTIFS(E$2:E81,E81,C$2:C81,C81)=1,1,0)</f>
        <v>1</v>
      </c>
      <c r="O81" s="57" t="n">
        <f aca="false">IF(COUNTIFS(E$2:E81,E81,C$2:C81,C81,D$2:D81,D81)=1,1,0)</f>
        <v>1</v>
      </c>
      <c r="P81" s="57" t="n">
        <f aca="false">IF(AND(C81=Calc!$C$3,OR(Calc!$C$4=0,D81=Calc!$C$4)),ROW(),0)</f>
        <v>0</v>
      </c>
    </row>
    <row r="82" customFormat="false" ht="15" hidden="false" customHeight="false" outlineLevel="0" collapsed="false">
      <c r="A82" s="57" t="s">
        <v>224</v>
      </c>
      <c r="B82" s="58" t="n">
        <v>45322</v>
      </c>
      <c r="C82" s="57" t="n">
        <f aca="false">YEAR(B82)</f>
        <v>2024</v>
      </c>
      <c r="D82" s="57" t="n">
        <f aca="false">MONTH(B82)</f>
        <v>1</v>
      </c>
      <c r="E82" s="57" t="s">
        <v>225</v>
      </c>
      <c r="F82" s="57" t="s">
        <v>72</v>
      </c>
      <c r="G82" s="57" t="s">
        <v>35</v>
      </c>
      <c r="H82" s="57" t="s">
        <v>34</v>
      </c>
      <c r="I82" s="59" t="n">
        <v>1</v>
      </c>
      <c r="J82" s="60" t="n">
        <v>89</v>
      </c>
      <c r="K82" s="60" t="n">
        <v>41</v>
      </c>
      <c r="L82" s="61" t="n">
        <f aca="false">I82*J82</f>
        <v>89</v>
      </c>
      <c r="M82" s="61" t="n">
        <f aca="false">L82-I82*K82</f>
        <v>48</v>
      </c>
      <c r="N82" s="57" t="n">
        <f aca="false">IF(COUNTIFS(E$2:E82,E82,C$2:C82,C82)=1,1,0)</f>
        <v>1</v>
      </c>
      <c r="O82" s="57" t="n">
        <f aca="false">IF(COUNTIFS(E$2:E82,E82,C$2:C82,C82,D$2:D82,D82)=1,1,0)</f>
        <v>1</v>
      </c>
      <c r="P82" s="57" t="n">
        <f aca="false">IF(AND(C82=Calc!$C$3,OR(Calc!$C$4=0,D82=Calc!$C$4)),ROW(),0)</f>
        <v>0</v>
      </c>
    </row>
    <row r="83" customFormat="false" ht="15" hidden="false" customHeight="false" outlineLevel="0" collapsed="false">
      <c r="A83" s="57" t="s">
        <v>226</v>
      </c>
      <c r="B83" s="58" t="n">
        <v>45322</v>
      </c>
      <c r="C83" s="57" t="n">
        <f aca="false">YEAR(B83)</f>
        <v>2024</v>
      </c>
      <c r="D83" s="57" t="n">
        <f aca="false">MONTH(B83)</f>
        <v>1</v>
      </c>
      <c r="E83" s="57" t="s">
        <v>227</v>
      </c>
      <c r="F83" s="57" t="s">
        <v>69</v>
      </c>
      <c r="G83" s="57" t="s">
        <v>35</v>
      </c>
      <c r="H83" s="57" t="s">
        <v>37</v>
      </c>
      <c r="I83" s="59" t="n">
        <v>1</v>
      </c>
      <c r="J83" s="60" t="n">
        <v>59</v>
      </c>
      <c r="K83" s="60" t="n">
        <v>27</v>
      </c>
      <c r="L83" s="61" t="n">
        <f aca="false">I83*J83</f>
        <v>59</v>
      </c>
      <c r="M83" s="61" t="n">
        <f aca="false">L83-I83*K83</f>
        <v>32</v>
      </c>
      <c r="N83" s="57" t="n">
        <f aca="false">IF(COUNTIFS(E$2:E83,E83,C$2:C83,C83)=1,1,0)</f>
        <v>1</v>
      </c>
      <c r="O83" s="57" t="n">
        <f aca="false">IF(COUNTIFS(E$2:E83,E83,C$2:C83,C83,D$2:D83,D83)=1,1,0)</f>
        <v>1</v>
      </c>
      <c r="P83" s="57" t="n">
        <f aca="false">IF(AND(C83=Calc!$C$3,OR(Calc!$C$4=0,D83=Calc!$C$4)),ROW(),0)</f>
        <v>0</v>
      </c>
    </row>
    <row r="84" customFormat="false" ht="15" hidden="false" customHeight="false" outlineLevel="0" collapsed="false">
      <c r="A84" s="57" t="s">
        <v>228</v>
      </c>
      <c r="B84" s="58" t="n">
        <v>45322</v>
      </c>
      <c r="C84" s="57" t="n">
        <f aca="false">YEAR(B84)</f>
        <v>2024</v>
      </c>
      <c r="D84" s="57" t="n">
        <f aca="false">MONTH(B84)</f>
        <v>1</v>
      </c>
      <c r="E84" s="57" t="s">
        <v>229</v>
      </c>
      <c r="F84" s="57" t="s">
        <v>81</v>
      </c>
      <c r="G84" s="57" t="s">
        <v>35</v>
      </c>
      <c r="H84" s="57" t="s">
        <v>34</v>
      </c>
      <c r="I84" s="59" t="n">
        <v>1</v>
      </c>
      <c r="J84" s="60" t="n">
        <v>89</v>
      </c>
      <c r="K84" s="60" t="n">
        <v>41</v>
      </c>
      <c r="L84" s="61" t="n">
        <f aca="false">I84*J84</f>
        <v>89</v>
      </c>
      <c r="M84" s="61" t="n">
        <f aca="false">L84-I84*K84</f>
        <v>48</v>
      </c>
      <c r="N84" s="57" t="n">
        <f aca="false">IF(COUNTIFS(E$2:E84,E84,C$2:C84,C84)=1,1,0)</f>
        <v>1</v>
      </c>
      <c r="O84" s="57" t="n">
        <f aca="false">IF(COUNTIFS(E$2:E84,E84,C$2:C84,C84,D$2:D84,D84)=1,1,0)</f>
        <v>1</v>
      </c>
      <c r="P84" s="57" t="n">
        <f aca="false">IF(AND(C84=Calc!$C$3,OR(Calc!$C$4=0,D84=Calc!$C$4)),ROW(),0)</f>
        <v>0</v>
      </c>
    </row>
    <row r="85" customFormat="false" ht="15" hidden="false" customHeight="false" outlineLevel="0" collapsed="false">
      <c r="A85" s="57" t="s">
        <v>230</v>
      </c>
      <c r="B85" s="58" t="n">
        <v>45322</v>
      </c>
      <c r="C85" s="57" t="n">
        <f aca="false">YEAR(B85)</f>
        <v>2024</v>
      </c>
      <c r="D85" s="57" t="n">
        <f aca="false">MONTH(B85)</f>
        <v>1</v>
      </c>
      <c r="E85" s="57" t="s">
        <v>231</v>
      </c>
      <c r="F85" s="57" t="s">
        <v>72</v>
      </c>
      <c r="G85" s="57" t="s">
        <v>35</v>
      </c>
      <c r="H85" s="57" t="s">
        <v>37</v>
      </c>
      <c r="I85" s="59" t="n">
        <v>2</v>
      </c>
      <c r="J85" s="60" t="n">
        <v>59</v>
      </c>
      <c r="K85" s="60" t="n">
        <v>27</v>
      </c>
      <c r="L85" s="61" t="n">
        <f aca="false">I85*J85</f>
        <v>118</v>
      </c>
      <c r="M85" s="61" t="n">
        <f aca="false">L85-I85*K85</f>
        <v>64</v>
      </c>
      <c r="N85" s="57" t="n">
        <f aca="false">IF(COUNTIFS(E$2:E85,E85,C$2:C85,C85)=1,1,0)</f>
        <v>1</v>
      </c>
      <c r="O85" s="57" t="n">
        <f aca="false">IF(COUNTIFS(E$2:E85,E85,C$2:C85,C85,D$2:D85,D85)=1,1,0)</f>
        <v>1</v>
      </c>
      <c r="P85" s="57" t="n">
        <f aca="false">IF(AND(C85=Calc!$C$3,OR(Calc!$C$4=0,D85=Calc!$C$4)),ROW(),0)</f>
        <v>0</v>
      </c>
    </row>
    <row r="86" customFormat="false" ht="15" hidden="false" customHeight="false" outlineLevel="0" collapsed="false">
      <c r="A86" s="57" t="s">
        <v>232</v>
      </c>
      <c r="B86" s="58" t="n">
        <v>45323</v>
      </c>
      <c r="C86" s="57" t="n">
        <f aca="false">YEAR(B86)</f>
        <v>2024</v>
      </c>
      <c r="D86" s="57" t="n">
        <f aca="false">MONTH(B86)</f>
        <v>2</v>
      </c>
      <c r="E86" s="57" t="s">
        <v>233</v>
      </c>
      <c r="F86" s="57" t="s">
        <v>78</v>
      </c>
      <c r="G86" s="57" t="s">
        <v>40</v>
      </c>
      <c r="H86" s="57" t="s">
        <v>41</v>
      </c>
      <c r="I86" s="59" t="n">
        <v>1</v>
      </c>
      <c r="J86" s="60" t="n">
        <v>46</v>
      </c>
      <c r="K86" s="60" t="n">
        <v>16</v>
      </c>
      <c r="L86" s="61" t="n">
        <f aca="false">I86*J86</f>
        <v>46</v>
      </c>
      <c r="M86" s="61" t="n">
        <f aca="false">L86-I86*K86</f>
        <v>30</v>
      </c>
      <c r="N86" s="57" t="n">
        <f aca="false">IF(COUNTIFS(E$2:E86,E86,C$2:C86,C86)=1,1,0)</f>
        <v>1</v>
      </c>
      <c r="O86" s="57" t="n">
        <f aca="false">IF(COUNTIFS(E$2:E86,E86,C$2:C86,C86,D$2:D86,D86)=1,1,0)</f>
        <v>1</v>
      </c>
      <c r="P86" s="57" t="n">
        <f aca="false">IF(AND(C86=Calc!$C$3,OR(Calc!$C$4=0,D86=Calc!$C$4)),ROW(),0)</f>
        <v>0</v>
      </c>
    </row>
    <row r="87" customFormat="false" ht="15" hidden="false" customHeight="false" outlineLevel="0" collapsed="false">
      <c r="A87" s="57" t="s">
        <v>234</v>
      </c>
      <c r="B87" s="58" t="n">
        <v>45323</v>
      </c>
      <c r="C87" s="57" t="n">
        <f aca="false">YEAR(B87)</f>
        <v>2024</v>
      </c>
      <c r="D87" s="57" t="n">
        <f aca="false">MONTH(B87)</f>
        <v>2</v>
      </c>
      <c r="E87" s="57" t="s">
        <v>235</v>
      </c>
      <c r="F87" s="57" t="s">
        <v>69</v>
      </c>
      <c r="G87" s="57" t="s">
        <v>35</v>
      </c>
      <c r="H87" s="57" t="s">
        <v>38</v>
      </c>
      <c r="I87" s="59" t="n">
        <v>1</v>
      </c>
      <c r="J87" s="60" t="n">
        <v>49</v>
      </c>
      <c r="K87" s="60" t="n">
        <v>22</v>
      </c>
      <c r="L87" s="61" t="n">
        <f aca="false">I87*J87</f>
        <v>49</v>
      </c>
      <c r="M87" s="61" t="n">
        <f aca="false">L87-I87*K87</f>
        <v>27</v>
      </c>
      <c r="N87" s="57" t="n">
        <f aca="false">IF(COUNTIFS(E$2:E87,E87,C$2:C87,C87)=1,1,0)</f>
        <v>1</v>
      </c>
      <c r="O87" s="57" t="n">
        <f aca="false">IF(COUNTIFS(E$2:E87,E87,C$2:C87,C87,D$2:D87,D87)=1,1,0)</f>
        <v>1</v>
      </c>
      <c r="P87" s="57" t="n">
        <f aca="false">IF(AND(C87=Calc!$C$3,OR(Calc!$C$4=0,D87=Calc!$C$4)),ROW(),0)</f>
        <v>0</v>
      </c>
    </row>
    <row r="88" customFormat="false" ht="15" hidden="false" customHeight="false" outlineLevel="0" collapsed="false">
      <c r="A88" s="57" t="s">
        <v>236</v>
      </c>
      <c r="B88" s="58" t="n">
        <v>45323</v>
      </c>
      <c r="C88" s="57" t="n">
        <f aca="false">YEAR(B88)</f>
        <v>2024</v>
      </c>
      <c r="D88" s="57" t="n">
        <f aca="false">MONTH(B88)</f>
        <v>2</v>
      </c>
      <c r="E88" s="57" t="s">
        <v>170</v>
      </c>
      <c r="F88" s="57" t="s">
        <v>69</v>
      </c>
      <c r="G88" s="57" t="s">
        <v>45</v>
      </c>
      <c r="H88" s="57" t="s">
        <v>47</v>
      </c>
      <c r="I88" s="59" t="n">
        <v>2</v>
      </c>
      <c r="J88" s="60" t="n">
        <v>34</v>
      </c>
      <c r="K88" s="60" t="n">
        <v>12</v>
      </c>
      <c r="L88" s="61" t="n">
        <f aca="false">I88*J88</f>
        <v>68</v>
      </c>
      <c r="M88" s="61" t="n">
        <f aca="false">L88-I88*K88</f>
        <v>44</v>
      </c>
      <c r="N88" s="57" t="n">
        <f aca="false">IF(COUNTIFS(E$2:E88,E88,C$2:C88,C88)=1,1,0)</f>
        <v>0</v>
      </c>
      <c r="O88" s="57" t="n">
        <f aca="false">IF(COUNTIFS(E$2:E88,E88,C$2:C88,C88,D$2:D88,D88)=1,1,0)</f>
        <v>1</v>
      </c>
      <c r="P88" s="57" t="n">
        <f aca="false">IF(AND(C88=Calc!$C$3,OR(Calc!$C$4=0,D88=Calc!$C$4)),ROW(),0)</f>
        <v>0</v>
      </c>
    </row>
    <row r="89" customFormat="false" ht="15" hidden="false" customHeight="false" outlineLevel="0" collapsed="false">
      <c r="A89" s="57" t="s">
        <v>237</v>
      </c>
      <c r="B89" s="58" t="n">
        <v>45323</v>
      </c>
      <c r="C89" s="57" t="n">
        <f aca="false">YEAR(B89)</f>
        <v>2024</v>
      </c>
      <c r="D89" s="57" t="n">
        <f aca="false">MONTH(B89)</f>
        <v>2</v>
      </c>
      <c r="E89" s="57" t="s">
        <v>238</v>
      </c>
      <c r="F89" s="57" t="s">
        <v>78</v>
      </c>
      <c r="G89" s="57" t="s">
        <v>40</v>
      </c>
      <c r="H89" s="57" t="s">
        <v>42</v>
      </c>
      <c r="I89" s="59" t="n">
        <v>2</v>
      </c>
      <c r="J89" s="60" t="n">
        <v>79</v>
      </c>
      <c r="K89" s="60" t="n">
        <v>31</v>
      </c>
      <c r="L89" s="61" t="n">
        <f aca="false">I89*J89</f>
        <v>158</v>
      </c>
      <c r="M89" s="61" t="n">
        <f aca="false">L89-I89*K89</f>
        <v>96</v>
      </c>
      <c r="N89" s="57" t="n">
        <f aca="false">IF(COUNTIFS(E$2:E89,E89,C$2:C89,C89)=1,1,0)</f>
        <v>1</v>
      </c>
      <c r="O89" s="57" t="n">
        <f aca="false">IF(COUNTIFS(E$2:E89,E89,C$2:C89,C89,D$2:D89,D89)=1,1,0)</f>
        <v>1</v>
      </c>
      <c r="P89" s="57" t="n">
        <f aca="false">IF(AND(C89=Calc!$C$3,OR(Calc!$C$4=0,D89=Calc!$C$4)),ROW(),0)</f>
        <v>0</v>
      </c>
    </row>
    <row r="90" customFormat="false" ht="15" hidden="false" customHeight="false" outlineLevel="0" collapsed="false">
      <c r="A90" s="57" t="s">
        <v>239</v>
      </c>
      <c r="B90" s="58" t="n">
        <v>45324</v>
      </c>
      <c r="C90" s="57" t="n">
        <f aca="false">YEAR(B90)</f>
        <v>2024</v>
      </c>
      <c r="D90" s="57" t="n">
        <f aca="false">MONTH(B90)</f>
        <v>2</v>
      </c>
      <c r="E90" s="57" t="s">
        <v>240</v>
      </c>
      <c r="F90" s="57" t="s">
        <v>75</v>
      </c>
      <c r="G90" s="57" t="s">
        <v>40</v>
      </c>
      <c r="H90" s="57" t="s">
        <v>43</v>
      </c>
      <c r="I90" s="59" t="n">
        <v>1</v>
      </c>
      <c r="J90" s="60" t="n">
        <v>29</v>
      </c>
      <c r="K90" s="60" t="n">
        <v>9</v>
      </c>
      <c r="L90" s="61" t="n">
        <f aca="false">I90*J90</f>
        <v>29</v>
      </c>
      <c r="M90" s="61" t="n">
        <f aca="false">L90-I90*K90</f>
        <v>20</v>
      </c>
      <c r="N90" s="57" t="n">
        <f aca="false">IF(COUNTIFS(E$2:E90,E90,C$2:C90,C90)=1,1,0)</f>
        <v>1</v>
      </c>
      <c r="O90" s="57" t="n">
        <f aca="false">IF(COUNTIFS(E$2:E90,E90,C$2:C90,C90,D$2:D90,D90)=1,1,0)</f>
        <v>1</v>
      </c>
      <c r="P90" s="57" t="n">
        <f aca="false">IF(AND(C90=Calc!$C$3,OR(Calc!$C$4=0,D90=Calc!$C$4)),ROW(),0)</f>
        <v>0</v>
      </c>
    </row>
    <row r="91" customFormat="false" ht="15" hidden="false" customHeight="false" outlineLevel="0" collapsed="false">
      <c r="A91" s="57" t="s">
        <v>241</v>
      </c>
      <c r="B91" s="58" t="n">
        <v>45325</v>
      </c>
      <c r="C91" s="57" t="n">
        <f aca="false">YEAR(B91)</f>
        <v>2024</v>
      </c>
      <c r="D91" s="57" t="n">
        <f aca="false">MONTH(B91)</f>
        <v>2</v>
      </c>
      <c r="E91" s="57" t="s">
        <v>83</v>
      </c>
      <c r="F91" s="57" t="s">
        <v>75</v>
      </c>
      <c r="G91" s="57" t="s">
        <v>45</v>
      </c>
      <c r="H91" s="57" t="s">
        <v>46</v>
      </c>
      <c r="I91" s="59" t="n">
        <v>1</v>
      </c>
      <c r="J91" s="60" t="n">
        <v>149</v>
      </c>
      <c r="K91" s="60" t="n">
        <v>71</v>
      </c>
      <c r="L91" s="61" t="n">
        <f aca="false">I91*J91</f>
        <v>149</v>
      </c>
      <c r="M91" s="61" t="n">
        <f aca="false">L91-I91*K91</f>
        <v>78</v>
      </c>
      <c r="N91" s="57" t="n">
        <f aca="false">IF(COUNTIFS(E$2:E91,E91,C$2:C91,C91)=1,1,0)</f>
        <v>0</v>
      </c>
      <c r="O91" s="57" t="n">
        <f aca="false">IF(COUNTIFS(E$2:E91,E91,C$2:C91,C91,D$2:D91,D91)=1,1,0)</f>
        <v>1</v>
      </c>
      <c r="P91" s="57" t="n">
        <f aca="false">IF(AND(C91=Calc!$C$3,OR(Calc!$C$4=0,D91=Calc!$C$4)),ROW(),0)</f>
        <v>0</v>
      </c>
    </row>
    <row r="92" customFormat="false" ht="15" hidden="false" customHeight="false" outlineLevel="0" collapsed="false">
      <c r="A92" s="57" t="s">
        <v>242</v>
      </c>
      <c r="B92" s="58" t="n">
        <v>45325</v>
      </c>
      <c r="C92" s="57" t="n">
        <f aca="false">YEAR(B92)</f>
        <v>2024</v>
      </c>
      <c r="D92" s="57" t="n">
        <f aca="false">MONTH(B92)</f>
        <v>2</v>
      </c>
      <c r="E92" s="57" t="s">
        <v>181</v>
      </c>
      <c r="F92" s="57" t="s">
        <v>69</v>
      </c>
      <c r="G92" s="57" t="s">
        <v>35</v>
      </c>
      <c r="H92" s="57" t="s">
        <v>34</v>
      </c>
      <c r="I92" s="59" t="n">
        <v>1</v>
      </c>
      <c r="J92" s="60" t="n">
        <v>89</v>
      </c>
      <c r="K92" s="60" t="n">
        <v>41</v>
      </c>
      <c r="L92" s="61" t="n">
        <f aca="false">I92*J92</f>
        <v>89</v>
      </c>
      <c r="M92" s="61" t="n">
        <f aca="false">L92-I92*K92</f>
        <v>48</v>
      </c>
      <c r="N92" s="57" t="n">
        <f aca="false">IF(COUNTIFS(E$2:E92,E92,C$2:C92,C92)=1,1,0)</f>
        <v>0</v>
      </c>
      <c r="O92" s="57" t="n">
        <f aca="false">IF(COUNTIFS(E$2:E92,E92,C$2:C92,C92,D$2:D92,D92)=1,1,0)</f>
        <v>1</v>
      </c>
      <c r="P92" s="57" t="n">
        <f aca="false">IF(AND(C92=Calc!$C$3,OR(Calc!$C$4=0,D92=Calc!$C$4)),ROW(),0)</f>
        <v>0</v>
      </c>
    </row>
    <row r="93" customFormat="false" ht="15" hidden="false" customHeight="false" outlineLevel="0" collapsed="false">
      <c r="A93" s="57" t="s">
        <v>243</v>
      </c>
      <c r="B93" s="58" t="n">
        <v>45326</v>
      </c>
      <c r="C93" s="57" t="n">
        <f aca="false">YEAR(B93)</f>
        <v>2024</v>
      </c>
      <c r="D93" s="57" t="n">
        <f aca="false">MONTH(B93)</f>
        <v>2</v>
      </c>
      <c r="E93" s="57" t="s">
        <v>83</v>
      </c>
      <c r="F93" s="57" t="s">
        <v>75</v>
      </c>
      <c r="G93" s="57" t="s">
        <v>35</v>
      </c>
      <c r="H93" s="57" t="s">
        <v>34</v>
      </c>
      <c r="I93" s="59" t="n">
        <v>2</v>
      </c>
      <c r="J93" s="60" t="n">
        <v>89</v>
      </c>
      <c r="K93" s="60" t="n">
        <v>41</v>
      </c>
      <c r="L93" s="61" t="n">
        <f aca="false">I93*J93</f>
        <v>178</v>
      </c>
      <c r="M93" s="61" t="n">
        <f aca="false">L93-I93*K93</f>
        <v>96</v>
      </c>
      <c r="N93" s="57" t="n">
        <f aca="false">IF(COUNTIFS(E$2:E93,E93,C$2:C93,C93)=1,1,0)</f>
        <v>0</v>
      </c>
      <c r="O93" s="57" t="n">
        <f aca="false">IF(COUNTIFS(E$2:E93,E93,C$2:C93,C93,D$2:D93,D93)=1,1,0)</f>
        <v>0</v>
      </c>
      <c r="P93" s="57" t="n">
        <f aca="false">IF(AND(C93=Calc!$C$3,OR(Calc!$C$4=0,D93=Calc!$C$4)),ROW(),0)</f>
        <v>0</v>
      </c>
    </row>
    <row r="94" customFormat="false" ht="15" hidden="false" customHeight="false" outlineLevel="0" collapsed="false">
      <c r="A94" s="57" t="s">
        <v>244</v>
      </c>
      <c r="B94" s="58" t="n">
        <v>45326</v>
      </c>
      <c r="C94" s="57" t="n">
        <f aca="false">YEAR(B94)</f>
        <v>2024</v>
      </c>
      <c r="D94" s="57" t="n">
        <f aca="false">MONTH(B94)</f>
        <v>2</v>
      </c>
      <c r="E94" s="57" t="s">
        <v>245</v>
      </c>
      <c r="F94" s="57" t="s">
        <v>72</v>
      </c>
      <c r="G94" s="57" t="s">
        <v>54</v>
      </c>
      <c r="H94" s="57" t="s">
        <v>56</v>
      </c>
      <c r="I94" s="59" t="n">
        <v>1</v>
      </c>
      <c r="J94" s="60" t="n">
        <v>42</v>
      </c>
      <c r="K94" s="60" t="n">
        <v>17</v>
      </c>
      <c r="L94" s="61" t="n">
        <f aca="false">I94*J94</f>
        <v>42</v>
      </c>
      <c r="M94" s="61" t="n">
        <f aca="false">L94-I94*K94</f>
        <v>25</v>
      </c>
      <c r="N94" s="57" t="n">
        <f aca="false">IF(COUNTIFS(E$2:E94,E94,C$2:C94,C94)=1,1,0)</f>
        <v>1</v>
      </c>
      <c r="O94" s="57" t="n">
        <f aca="false">IF(COUNTIFS(E$2:E94,E94,C$2:C94,C94,D$2:D94,D94)=1,1,0)</f>
        <v>1</v>
      </c>
      <c r="P94" s="57" t="n">
        <f aca="false">IF(AND(C94=Calc!$C$3,OR(Calc!$C$4=0,D94=Calc!$C$4)),ROW(),0)</f>
        <v>0</v>
      </c>
    </row>
    <row r="95" customFormat="false" ht="15" hidden="false" customHeight="false" outlineLevel="0" collapsed="false">
      <c r="A95" s="57" t="s">
        <v>246</v>
      </c>
      <c r="B95" s="58" t="n">
        <v>45326</v>
      </c>
      <c r="C95" s="57" t="n">
        <f aca="false">YEAR(B95)</f>
        <v>2024</v>
      </c>
      <c r="D95" s="57" t="n">
        <f aca="false">MONTH(B95)</f>
        <v>2</v>
      </c>
      <c r="E95" s="57" t="s">
        <v>173</v>
      </c>
      <c r="F95" s="57" t="s">
        <v>69</v>
      </c>
      <c r="G95" s="57" t="s">
        <v>40</v>
      </c>
      <c r="H95" s="57" t="s">
        <v>43</v>
      </c>
      <c r="I95" s="59" t="n">
        <v>2</v>
      </c>
      <c r="J95" s="60" t="n">
        <v>29</v>
      </c>
      <c r="K95" s="60" t="n">
        <v>9</v>
      </c>
      <c r="L95" s="61" t="n">
        <f aca="false">I95*J95</f>
        <v>58</v>
      </c>
      <c r="M95" s="61" t="n">
        <f aca="false">L95-I95*K95</f>
        <v>40</v>
      </c>
      <c r="N95" s="57" t="n">
        <f aca="false">IF(COUNTIFS(E$2:E95,E95,C$2:C95,C95)=1,1,0)</f>
        <v>0</v>
      </c>
      <c r="O95" s="57" t="n">
        <f aca="false">IF(COUNTIFS(E$2:E95,E95,C$2:C95,C95,D$2:D95,D95)=1,1,0)</f>
        <v>1</v>
      </c>
      <c r="P95" s="57" t="n">
        <f aca="false">IF(AND(C95=Calc!$C$3,OR(Calc!$C$4=0,D95=Calc!$C$4)),ROW(),0)</f>
        <v>0</v>
      </c>
    </row>
    <row r="96" customFormat="false" ht="15" hidden="false" customHeight="false" outlineLevel="0" collapsed="false">
      <c r="A96" s="57" t="s">
        <v>247</v>
      </c>
      <c r="B96" s="58" t="n">
        <v>45327</v>
      </c>
      <c r="C96" s="57" t="n">
        <f aca="false">YEAR(B96)</f>
        <v>2024</v>
      </c>
      <c r="D96" s="57" t="n">
        <f aca="false">MONTH(B96)</f>
        <v>2</v>
      </c>
      <c r="E96" s="57" t="s">
        <v>248</v>
      </c>
      <c r="F96" s="57" t="s">
        <v>81</v>
      </c>
      <c r="G96" s="57" t="s">
        <v>35</v>
      </c>
      <c r="H96" s="57" t="s">
        <v>37</v>
      </c>
      <c r="I96" s="59" t="n">
        <v>2</v>
      </c>
      <c r="J96" s="60" t="n">
        <v>59</v>
      </c>
      <c r="K96" s="60" t="n">
        <v>27</v>
      </c>
      <c r="L96" s="61" t="n">
        <f aca="false">I96*J96</f>
        <v>118</v>
      </c>
      <c r="M96" s="61" t="n">
        <f aca="false">L96-I96*K96</f>
        <v>64</v>
      </c>
      <c r="N96" s="57" t="n">
        <f aca="false">IF(COUNTIFS(E$2:E96,E96,C$2:C96,C96)=1,1,0)</f>
        <v>1</v>
      </c>
      <c r="O96" s="57" t="n">
        <f aca="false">IF(COUNTIFS(E$2:E96,E96,C$2:C96,C96,D$2:D96,D96)=1,1,0)</f>
        <v>1</v>
      </c>
      <c r="P96" s="57" t="n">
        <f aca="false">IF(AND(C96=Calc!$C$3,OR(Calc!$C$4=0,D96=Calc!$C$4)),ROW(),0)</f>
        <v>0</v>
      </c>
    </row>
    <row r="97" customFormat="false" ht="15" hidden="false" customHeight="false" outlineLevel="0" collapsed="false">
      <c r="A97" s="57" t="s">
        <v>249</v>
      </c>
      <c r="B97" s="58" t="n">
        <v>45327</v>
      </c>
      <c r="C97" s="57" t="n">
        <f aca="false">YEAR(B97)</f>
        <v>2024</v>
      </c>
      <c r="D97" s="57" t="n">
        <f aca="false">MONTH(B97)</f>
        <v>2</v>
      </c>
      <c r="E97" s="57" t="s">
        <v>250</v>
      </c>
      <c r="F97" s="57" t="s">
        <v>78</v>
      </c>
      <c r="G97" s="57" t="s">
        <v>35</v>
      </c>
      <c r="H97" s="57" t="s">
        <v>36</v>
      </c>
      <c r="I97" s="59" t="n">
        <v>2</v>
      </c>
      <c r="J97" s="60" t="n">
        <v>179</v>
      </c>
      <c r="K97" s="60" t="n">
        <v>92</v>
      </c>
      <c r="L97" s="61" t="n">
        <f aca="false">I97*J97</f>
        <v>358</v>
      </c>
      <c r="M97" s="61" t="n">
        <f aca="false">L97-I97*K97</f>
        <v>174</v>
      </c>
      <c r="N97" s="57" t="n">
        <f aca="false">IF(COUNTIFS(E$2:E97,E97,C$2:C97,C97)=1,1,0)</f>
        <v>1</v>
      </c>
      <c r="O97" s="57" t="n">
        <f aca="false">IF(COUNTIFS(E$2:E97,E97,C$2:C97,C97,D$2:D97,D97)=1,1,0)</f>
        <v>1</v>
      </c>
      <c r="P97" s="57" t="n">
        <f aca="false">IF(AND(C97=Calc!$C$3,OR(Calc!$C$4=0,D97=Calc!$C$4)),ROW(),0)</f>
        <v>0</v>
      </c>
    </row>
    <row r="98" customFormat="false" ht="15" hidden="false" customHeight="false" outlineLevel="0" collapsed="false">
      <c r="A98" s="57" t="s">
        <v>251</v>
      </c>
      <c r="B98" s="58" t="n">
        <v>45328</v>
      </c>
      <c r="C98" s="57" t="n">
        <f aca="false">YEAR(B98)</f>
        <v>2024</v>
      </c>
      <c r="D98" s="57" t="n">
        <f aca="false">MONTH(B98)</f>
        <v>2</v>
      </c>
      <c r="E98" s="57" t="s">
        <v>252</v>
      </c>
      <c r="F98" s="57" t="s">
        <v>75</v>
      </c>
      <c r="G98" s="57" t="s">
        <v>50</v>
      </c>
      <c r="H98" s="57" t="s">
        <v>52</v>
      </c>
      <c r="I98" s="59" t="n">
        <v>1</v>
      </c>
      <c r="J98" s="60" t="n">
        <v>45</v>
      </c>
      <c r="K98" s="60" t="n">
        <v>14</v>
      </c>
      <c r="L98" s="61" t="n">
        <f aca="false">I98*J98</f>
        <v>45</v>
      </c>
      <c r="M98" s="61" t="n">
        <f aca="false">L98-I98*K98</f>
        <v>31</v>
      </c>
      <c r="N98" s="57" t="n">
        <f aca="false">IF(COUNTIFS(E$2:E98,E98,C$2:C98,C98)=1,1,0)</f>
        <v>1</v>
      </c>
      <c r="O98" s="57" t="n">
        <f aca="false">IF(COUNTIFS(E$2:E98,E98,C$2:C98,C98,D$2:D98,D98)=1,1,0)</f>
        <v>1</v>
      </c>
      <c r="P98" s="57" t="n">
        <f aca="false">IF(AND(C98=Calc!$C$3,OR(Calc!$C$4=0,D98=Calc!$C$4)),ROW(),0)</f>
        <v>0</v>
      </c>
    </row>
    <row r="99" customFormat="false" ht="15" hidden="false" customHeight="false" outlineLevel="0" collapsed="false">
      <c r="A99" s="57" t="s">
        <v>253</v>
      </c>
      <c r="B99" s="58" t="n">
        <v>45328</v>
      </c>
      <c r="C99" s="57" t="n">
        <f aca="false">YEAR(B99)</f>
        <v>2024</v>
      </c>
      <c r="D99" s="57" t="n">
        <f aca="false">MONTH(B99)</f>
        <v>2</v>
      </c>
      <c r="E99" s="57" t="s">
        <v>254</v>
      </c>
      <c r="F99" s="57" t="s">
        <v>75</v>
      </c>
      <c r="G99" s="57" t="s">
        <v>45</v>
      </c>
      <c r="H99" s="57" t="s">
        <v>48</v>
      </c>
      <c r="I99" s="59" t="n">
        <v>1</v>
      </c>
      <c r="J99" s="60" t="n">
        <v>99</v>
      </c>
      <c r="K99" s="60" t="n">
        <v>38</v>
      </c>
      <c r="L99" s="61" t="n">
        <f aca="false">I99*J99</f>
        <v>99</v>
      </c>
      <c r="M99" s="61" t="n">
        <f aca="false">L99-I99*K99</f>
        <v>61</v>
      </c>
      <c r="N99" s="57" t="n">
        <f aca="false">IF(COUNTIFS(E$2:E99,E99,C$2:C99,C99)=1,1,0)</f>
        <v>1</v>
      </c>
      <c r="O99" s="57" t="n">
        <f aca="false">IF(COUNTIFS(E$2:E99,E99,C$2:C99,C99,D$2:D99,D99)=1,1,0)</f>
        <v>1</v>
      </c>
      <c r="P99" s="57" t="n">
        <f aca="false">IF(AND(C99=Calc!$C$3,OR(Calc!$C$4=0,D99=Calc!$C$4)),ROW(),0)</f>
        <v>0</v>
      </c>
    </row>
    <row r="100" customFormat="false" ht="15" hidden="false" customHeight="false" outlineLevel="0" collapsed="false">
      <c r="A100" s="57" t="s">
        <v>255</v>
      </c>
      <c r="B100" s="58" t="n">
        <v>45329</v>
      </c>
      <c r="C100" s="57" t="n">
        <f aca="false">YEAR(B100)</f>
        <v>2024</v>
      </c>
      <c r="D100" s="57" t="n">
        <f aca="false">MONTH(B100)</f>
        <v>2</v>
      </c>
      <c r="E100" s="57" t="s">
        <v>256</v>
      </c>
      <c r="F100" s="57" t="s">
        <v>69</v>
      </c>
      <c r="G100" s="57" t="s">
        <v>35</v>
      </c>
      <c r="H100" s="57" t="s">
        <v>37</v>
      </c>
      <c r="I100" s="59" t="n">
        <v>1</v>
      </c>
      <c r="J100" s="60" t="n">
        <v>59</v>
      </c>
      <c r="K100" s="60" t="n">
        <v>27</v>
      </c>
      <c r="L100" s="61" t="n">
        <f aca="false">I100*J100</f>
        <v>59</v>
      </c>
      <c r="M100" s="61" t="n">
        <f aca="false">L100-I100*K100</f>
        <v>32</v>
      </c>
      <c r="N100" s="57" t="n">
        <f aca="false">IF(COUNTIFS(E$2:E100,E100,C$2:C100,C100)=1,1,0)</f>
        <v>1</v>
      </c>
      <c r="O100" s="57" t="n">
        <f aca="false">IF(COUNTIFS(E$2:E100,E100,C$2:C100,C100,D$2:D100,D100)=1,1,0)</f>
        <v>1</v>
      </c>
      <c r="P100" s="57" t="n">
        <f aca="false">IF(AND(C100=Calc!$C$3,OR(Calc!$C$4=0,D100=Calc!$C$4)),ROW(),0)</f>
        <v>0</v>
      </c>
    </row>
    <row r="101" customFormat="false" ht="15" hidden="false" customHeight="false" outlineLevel="0" collapsed="false">
      <c r="A101" s="57" t="s">
        <v>257</v>
      </c>
      <c r="B101" s="58" t="n">
        <v>45329</v>
      </c>
      <c r="C101" s="57" t="n">
        <f aca="false">YEAR(B101)</f>
        <v>2024</v>
      </c>
      <c r="D101" s="57" t="n">
        <f aca="false">MONTH(B101)</f>
        <v>2</v>
      </c>
      <c r="E101" s="57" t="s">
        <v>168</v>
      </c>
      <c r="F101" s="57" t="s">
        <v>81</v>
      </c>
      <c r="G101" s="57" t="s">
        <v>45</v>
      </c>
      <c r="H101" s="57" t="s">
        <v>47</v>
      </c>
      <c r="I101" s="59" t="n">
        <v>3</v>
      </c>
      <c r="J101" s="60" t="n">
        <v>34</v>
      </c>
      <c r="K101" s="60" t="n">
        <v>12</v>
      </c>
      <c r="L101" s="61" t="n">
        <f aca="false">I101*J101</f>
        <v>102</v>
      </c>
      <c r="M101" s="61" t="n">
        <f aca="false">L101-I101*K101</f>
        <v>66</v>
      </c>
      <c r="N101" s="57" t="n">
        <f aca="false">IF(COUNTIFS(E$2:E101,E101,C$2:C101,C101)=1,1,0)</f>
        <v>0</v>
      </c>
      <c r="O101" s="57" t="n">
        <f aca="false">IF(COUNTIFS(E$2:E101,E101,C$2:C101,C101,D$2:D101,D101)=1,1,0)</f>
        <v>1</v>
      </c>
      <c r="P101" s="57" t="n">
        <f aca="false">IF(AND(C101=Calc!$C$3,OR(Calc!$C$4=0,D101=Calc!$C$4)),ROW(),0)</f>
        <v>0</v>
      </c>
    </row>
    <row r="102" customFormat="false" ht="15" hidden="false" customHeight="false" outlineLevel="0" collapsed="false">
      <c r="A102" s="57" t="s">
        <v>258</v>
      </c>
      <c r="B102" s="58" t="n">
        <v>45329</v>
      </c>
      <c r="C102" s="57" t="n">
        <f aca="false">YEAR(B102)</f>
        <v>2024</v>
      </c>
      <c r="D102" s="57" t="n">
        <f aca="false">MONTH(B102)</f>
        <v>2</v>
      </c>
      <c r="E102" s="57" t="s">
        <v>259</v>
      </c>
      <c r="F102" s="57" t="s">
        <v>78</v>
      </c>
      <c r="G102" s="57" t="s">
        <v>40</v>
      </c>
      <c r="H102" s="57" t="s">
        <v>39</v>
      </c>
      <c r="I102" s="59" t="n">
        <v>1</v>
      </c>
      <c r="J102" s="60" t="n">
        <v>54</v>
      </c>
      <c r="K102" s="60" t="n">
        <v>19</v>
      </c>
      <c r="L102" s="61" t="n">
        <f aca="false">I102*J102</f>
        <v>54</v>
      </c>
      <c r="M102" s="61" t="n">
        <f aca="false">L102-I102*K102</f>
        <v>35</v>
      </c>
      <c r="N102" s="57" t="n">
        <f aca="false">IF(COUNTIFS(E$2:E102,E102,C$2:C102,C102)=1,1,0)</f>
        <v>1</v>
      </c>
      <c r="O102" s="57" t="n">
        <f aca="false">IF(COUNTIFS(E$2:E102,E102,C$2:C102,C102,D$2:D102,D102)=1,1,0)</f>
        <v>1</v>
      </c>
      <c r="P102" s="57" t="n">
        <f aca="false">IF(AND(C102=Calc!$C$3,OR(Calc!$C$4=0,D102=Calc!$C$4)),ROW(),0)</f>
        <v>0</v>
      </c>
    </row>
    <row r="103" customFormat="false" ht="15" hidden="false" customHeight="false" outlineLevel="0" collapsed="false">
      <c r="A103" s="57" t="s">
        <v>260</v>
      </c>
      <c r="B103" s="58" t="n">
        <v>45330</v>
      </c>
      <c r="C103" s="57" t="n">
        <f aca="false">YEAR(B103)</f>
        <v>2024</v>
      </c>
      <c r="D103" s="57" t="n">
        <f aca="false">MONTH(B103)</f>
        <v>2</v>
      </c>
      <c r="E103" s="57" t="s">
        <v>261</v>
      </c>
      <c r="F103" s="57" t="s">
        <v>75</v>
      </c>
      <c r="G103" s="57" t="s">
        <v>40</v>
      </c>
      <c r="H103" s="57" t="s">
        <v>41</v>
      </c>
      <c r="I103" s="59" t="n">
        <v>1</v>
      </c>
      <c r="J103" s="60" t="n">
        <v>46</v>
      </c>
      <c r="K103" s="60" t="n">
        <v>16</v>
      </c>
      <c r="L103" s="61" t="n">
        <f aca="false">I103*J103</f>
        <v>46</v>
      </c>
      <c r="M103" s="61" t="n">
        <f aca="false">L103-I103*K103</f>
        <v>30</v>
      </c>
      <c r="N103" s="57" t="n">
        <f aca="false">IF(COUNTIFS(E$2:E103,E103,C$2:C103,C103)=1,1,0)</f>
        <v>1</v>
      </c>
      <c r="O103" s="57" t="n">
        <f aca="false">IF(COUNTIFS(E$2:E103,E103,C$2:C103,C103,D$2:D103,D103)=1,1,0)</f>
        <v>1</v>
      </c>
      <c r="P103" s="57" t="n">
        <f aca="false">IF(AND(C103=Calc!$C$3,OR(Calc!$C$4=0,D103=Calc!$C$4)),ROW(),0)</f>
        <v>0</v>
      </c>
    </row>
    <row r="104" customFormat="false" ht="15" hidden="false" customHeight="false" outlineLevel="0" collapsed="false">
      <c r="A104" s="57" t="s">
        <v>262</v>
      </c>
      <c r="B104" s="58" t="n">
        <v>45330</v>
      </c>
      <c r="C104" s="57" t="n">
        <f aca="false">YEAR(B104)</f>
        <v>2024</v>
      </c>
      <c r="D104" s="57" t="n">
        <f aca="false">MONTH(B104)</f>
        <v>2</v>
      </c>
      <c r="E104" s="57" t="s">
        <v>263</v>
      </c>
      <c r="F104" s="57" t="s">
        <v>69</v>
      </c>
      <c r="G104" s="57" t="s">
        <v>35</v>
      </c>
      <c r="H104" s="57" t="s">
        <v>38</v>
      </c>
      <c r="I104" s="59" t="n">
        <v>1</v>
      </c>
      <c r="J104" s="60" t="n">
        <v>49</v>
      </c>
      <c r="K104" s="60" t="n">
        <v>22</v>
      </c>
      <c r="L104" s="61" t="n">
        <f aca="false">I104*J104</f>
        <v>49</v>
      </c>
      <c r="M104" s="61" t="n">
        <f aca="false">L104-I104*K104</f>
        <v>27</v>
      </c>
      <c r="N104" s="57" t="n">
        <f aca="false">IF(COUNTIFS(E$2:E104,E104,C$2:C104,C104)=1,1,0)</f>
        <v>1</v>
      </c>
      <c r="O104" s="57" t="n">
        <f aca="false">IF(COUNTIFS(E$2:E104,E104,C$2:C104,C104,D$2:D104,D104)=1,1,0)</f>
        <v>1</v>
      </c>
      <c r="P104" s="57" t="n">
        <f aca="false">IF(AND(C104=Calc!$C$3,OR(Calc!$C$4=0,D104=Calc!$C$4)),ROW(),0)</f>
        <v>0</v>
      </c>
    </row>
    <row r="105" customFormat="false" ht="15" hidden="false" customHeight="false" outlineLevel="0" collapsed="false">
      <c r="A105" s="57" t="s">
        <v>264</v>
      </c>
      <c r="B105" s="58" t="n">
        <v>45331</v>
      </c>
      <c r="C105" s="57" t="n">
        <f aca="false">YEAR(B105)</f>
        <v>2024</v>
      </c>
      <c r="D105" s="57" t="n">
        <f aca="false">MONTH(B105)</f>
        <v>2</v>
      </c>
      <c r="E105" s="57" t="s">
        <v>265</v>
      </c>
      <c r="F105" s="57" t="s">
        <v>78</v>
      </c>
      <c r="G105" s="57" t="s">
        <v>35</v>
      </c>
      <c r="H105" s="57" t="s">
        <v>34</v>
      </c>
      <c r="I105" s="59" t="n">
        <v>1</v>
      </c>
      <c r="J105" s="60" t="n">
        <v>89</v>
      </c>
      <c r="K105" s="60" t="n">
        <v>41</v>
      </c>
      <c r="L105" s="61" t="n">
        <f aca="false">I105*J105</f>
        <v>89</v>
      </c>
      <c r="M105" s="61" t="n">
        <f aca="false">L105-I105*K105</f>
        <v>48</v>
      </c>
      <c r="N105" s="57" t="n">
        <f aca="false">IF(COUNTIFS(E$2:E105,E105,C$2:C105,C105)=1,1,0)</f>
        <v>1</v>
      </c>
      <c r="O105" s="57" t="n">
        <f aca="false">IF(COUNTIFS(E$2:E105,E105,C$2:C105,C105,D$2:D105,D105)=1,1,0)</f>
        <v>1</v>
      </c>
      <c r="P105" s="57" t="n">
        <f aca="false">IF(AND(C105=Calc!$C$3,OR(Calc!$C$4=0,D105=Calc!$C$4)),ROW(),0)</f>
        <v>0</v>
      </c>
    </row>
    <row r="106" customFormat="false" ht="15" hidden="false" customHeight="false" outlineLevel="0" collapsed="false">
      <c r="A106" s="57" t="s">
        <v>266</v>
      </c>
      <c r="B106" s="58" t="n">
        <v>45331</v>
      </c>
      <c r="C106" s="57" t="n">
        <f aca="false">YEAR(B106)</f>
        <v>2024</v>
      </c>
      <c r="D106" s="57" t="n">
        <f aca="false">MONTH(B106)</f>
        <v>2</v>
      </c>
      <c r="E106" s="57" t="s">
        <v>267</v>
      </c>
      <c r="F106" s="57" t="s">
        <v>69</v>
      </c>
      <c r="G106" s="57" t="s">
        <v>45</v>
      </c>
      <c r="H106" s="57" t="s">
        <v>47</v>
      </c>
      <c r="I106" s="59" t="n">
        <v>1</v>
      </c>
      <c r="J106" s="60" t="n">
        <v>34</v>
      </c>
      <c r="K106" s="60" t="n">
        <v>12</v>
      </c>
      <c r="L106" s="61" t="n">
        <f aca="false">I106*J106</f>
        <v>34</v>
      </c>
      <c r="M106" s="61" t="n">
        <f aca="false">L106-I106*K106</f>
        <v>22</v>
      </c>
      <c r="N106" s="57" t="n">
        <f aca="false">IF(COUNTIFS(E$2:E106,E106,C$2:C106,C106)=1,1,0)</f>
        <v>1</v>
      </c>
      <c r="O106" s="57" t="n">
        <f aca="false">IF(COUNTIFS(E$2:E106,E106,C$2:C106,C106,D$2:D106,D106)=1,1,0)</f>
        <v>1</v>
      </c>
      <c r="P106" s="57" t="n">
        <f aca="false">IF(AND(C106=Calc!$C$3,OR(Calc!$C$4=0,D106=Calc!$C$4)),ROW(),0)</f>
        <v>0</v>
      </c>
    </row>
    <row r="107" customFormat="false" ht="15" hidden="false" customHeight="false" outlineLevel="0" collapsed="false">
      <c r="A107" s="57" t="s">
        <v>268</v>
      </c>
      <c r="B107" s="58" t="n">
        <v>45332</v>
      </c>
      <c r="C107" s="57" t="n">
        <f aca="false">YEAR(B107)</f>
        <v>2024</v>
      </c>
      <c r="D107" s="57" t="n">
        <f aca="false">MONTH(B107)</f>
        <v>2</v>
      </c>
      <c r="E107" s="57" t="s">
        <v>269</v>
      </c>
      <c r="F107" s="57" t="s">
        <v>81</v>
      </c>
      <c r="G107" s="57" t="s">
        <v>40</v>
      </c>
      <c r="H107" s="57" t="s">
        <v>39</v>
      </c>
      <c r="I107" s="59" t="n">
        <v>1</v>
      </c>
      <c r="J107" s="60" t="n">
        <v>54</v>
      </c>
      <c r="K107" s="60" t="n">
        <v>19</v>
      </c>
      <c r="L107" s="61" t="n">
        <f aca="false">I107*J107</f>
        <v>54</v>
      </c>
      <c r="M107" s="61" t="n">
        <f aca="false">L107-I107*K107</f>
        <v>35</v>
      </c>
      <c r="N107" s="57" t="n">
        <f aca="false">IF(COUNTIFS(E$2:E107,E107,C$2:C107,C107)=1,1,0)</f>
        <v>1</v>
      </c>
      <c r="O107" s="57" t="n">
        <f aca="false">IF(COUNTIFS(E$2:E107,E107,C$2:C107,C107,D$2:D107,D107)=1,1,0)</f>
        <v>1</v>
      </c>
      <c r="P107" s="57" t="n">
        <f aca="false">IF(AND(C107=Calc!$C$3,OR(Calc!$C$4=0,D107=Calc!$C$4)),ROW(),0)</f>
        <v>0</v>
      </c>
    </row>
    <row r="108" customFormat="false" ht="15" hidden="false" customHeight="false" outlineLevel="0" collapsed="false">
      <c r="A108" s="57" t="s">
        <v>270</v>
      </c>
      <c r="B108" s="58" t="n">
        <v>45332</v>
      </c>
      <c r="C108" s="57" t="n">
        <f aca="false">YEAR(B108)</f>
        <v>2024</v>
      </c>
      <c r="D108" s="57" t="n">
        <f aca="false">MONTH(B108)</f>
        <v>2</v>
      </c>
      <c r="E108" s="57" t="s">
        <v>271</v>
      </c>
      <c r="F108" s="57" t="s">
        <v>75</v>
      </c>
      <c r="G108" s="57" t="s">
        <v>50</v>
      </c>
      <c r="H108" s="57" t="s">
        <v>52</v>
      </c>
      <c r="I108" s="59" t="n">
        <v>2</v>
      </c>
      <c r="J108" s="60" t="n">
        <v>45</v>
      </c>
      <c r="K108" s="60" t="n">
        <v>14</v>
      </c>
      <c r="L108" s="61" t="n">
        <f aca="false">I108*J108</f>
        <v>90</v>
      </c>
      <c r="M108" s="61" t="n">
        <f aca="false">L108-I108*K108</f>
        <v>62</v>
      </c>
      <c r="N108" s="57" t="n">
        <f aca="false">IF(COUNTIFS(E$2:E108,E108,C$2:C108,C108)=1,1,0)</f>
        <v>1</v>
      </c>
      <c r="O108" s="57" t="n">
        <f aca="false">IF(COUNTIFS(E$2:E108,E108,C$2:C108,C108,D$2:D108,D108)=1,1,0)</f>
        <v>1</v>
      </c>
      <c r="P108" s="57" t="n">
        <f aca="false">IF(AND(C108=Calc!$C$3,OR(Calc!$C$4=0,D108=Calc!$C$4)),ROW(),0)</f>
        <v>0</v>
      </c>
    </row>
    <row r="109" customFormat="false" ht="15" hidden="false" customHeight="false" outlineLevel="0" collapsed="false">
      <c r="A109" s="57" t="s">
        <v>272</v>
      </c>
      <c r="B109" s="58" t="n">
        <v>45332</v>
      </c>
      <c r="C109" s="57" t="n">
        <f aca="false">YEAR(B109)</f>
        <v>2024</v>
      </c>
      <c r="D109" s="57" t="n">
        <f aca="false">MONTH(B109)</f>
        <v>2</v>
      </c>
      <c r="E109" s="57" t="s">
        <v>273</v>
      </c>
      <c r="F109" s="57" t="s">
        <v>69</v>
      </c>
      <c r="G109" s="57" t="s">
        <v>40</v>
      </c>
      <c r="H109" s="57" t="s">
        <v>39</v>
      </c>
      <c r="I109" s="59" t="n">
        <v>1</v>
      </c>
      <c r="J109" s="60" t="n">
        <v>54</v>
      </c>
      <c r="K109" s="60" t="n">
        <v>19</v>
      </c>
      <c r="L109" s="61" t="n">
        <f aca="false">I109*J109</f>
        <v>54</v>
      </c>
      <c r="M109" s="61" t="n">
        <f aca="false">L109-I109*K109</f>
        <v>35</v>
      </c>
      <c r="N109" s="57" t="n">
        <f aca="false">IF(COUNTIFS(E$2:E109,E109,C$2:C109,C109)=1,1,0)</f>
        <v>1</v>
      </c>
      <c r="O109" s="57" t="n">
        <f aca="false">IF(COUNTIFS(E$2:E109,E109,C$2:C109,C109,D$2:D109,D109)=1,1,0)</f>
        <v>1</v>
      </c>
      <c r="P109" s="57" t="n">
        <f aca="false">IF(AND(C109=Calc!$C$3,OR(Calc!$C$4=0,D109=Calc!$C$4)),ROW(),0)</f>
        <v>0</v>
      </c>
    </row>
    <row r="110" customFormat="false" ht="15" hidden="false" customHeight="false" outlineLevel="0" collapsed="false">
      <c r="A110" s="57" t="s">
        <v>274</v>
      </c>
      <c r="B110" s="58" t="n">
        <v>45333</v>
      </c>
      <c r="C110" s="57" t="n">
        <f aca="false">YEAR(B110)</f>
        <v>2024</v>
      </c>
      <c r="D110" s="57" t="n">
        <f aca="false">MONTH(B110)</f>
        <v>2</v>
      </c>
      <c r="E110" s="57" t="s">
        <v>275</v>
      </c>
      <c r="F110" s="57" t="s">
        <v>75</v>
      </c>
      <c r="G110" s="57" t="s">
        <v>40</v>
      </c>
      <c r="H110" s="57" t="s">
        <v>41</v>
      </c>
      <c r="I110" s="59" t="n">
        <v>1</v>
      </c>
      <c r="J110" s="60" t="n">
        <v>46</v>
      </c>
      <c r="K110" s="60" t="n">
        <v>16</v>
      </c>
      <c r="L110" s="61" t="n">
        <f aca="false">I110*J110</f>
        <v>46</v>
      </c>
      <c r="M110" s="61" t="n">
        <f aca="false">L110-I110*K110</f>
        <v>30</v>
      </c>
      <c r="N110" s="57" t="n">
        <f aca="false">IF(COUNTIFS(E$2:E110,E110,C$2:C110,C110)=1,1,0)</f>
        <v>1</v>
      </c>
      <c r="O110" s="57" t="n">
        <f aca="false">IF(COUNTIFS(E$2:E110,E110,C$2:C110,C110,D$2:D110,D110)=1,1,0)</f>
        <v>1</v>
      </c>
      <c r="P110" s="57" t="n">
        <f aca="false">IF(AND(C110=Calc!$C$3,OR(Calc!$C$4=0,D110=Calc!$C$4)),ROW(),0)</f>
        <v>0</v>
      </c>
    </row>
    <row r="111" customFormat="false" ht="15" hidden="false" customHeight="false" outlineLevel="0" collapsed="false">
      <c r="A111" s="57" t="s">
        <v>276</v>
      </c>
      <c r="B111" s="58" t="n">
        <v>45333</v>
      </c>
      <c r="C111" s="57" t="n">
        <f aca="false">YEAR(B111)</f>
        <v>2024</v>
      </c>
      <c r="D111" s="57" t="n">
        <f aca="false">MONTH(B111)</f>
        <v>2</v>
      </c>
      <c r="E111" s="57" t="s">
        <v>277</v>
      </c>
      <c r="F111" s="57" t="s">
        <v>75</v>
      </c>
      <c r="G111" s="57" t="s">
        <v>50</v>
      </c>
      <c r="H111" s="57" t="s">
        <v>51</v>
      </c>
      <c r="I111" s="59" t="n">
        <v>1</v>
      </c>
      <c r="J111" s="60" t="n">
        <v>69</v>
      </c>
      <c r="K111" s="60" t="n">
        <v>29</v>
      </c>
      <c r="L111" s="61" t="n">
        <f aca="false">I111*J111</f>
        <v>69</v>
      </c>
      <c r="M111" s="61" t="n">
        <f aca="false">L111-I111*K111</f>
        <v>40</v>
      </c>
      <c r="N111" s="57" t="n">
        <f aca="false">IF(COUNTIFS(E$2:E111,E111,C$2:C111,C111)=1,1,0)</f>
        <v>1</v>
      </c>
      <c r="O111" s="57" t="n">
        <f aca="false">IF(COUNTIFS(E$2:E111,E111,C$2:C111,C111,D$2:D111,D111)=1,1,0)</f>
        <v>1</v>
      </c>
      <c r="P111" s="57" t="n">
        <f aca="false">IF(AND(C111=Calc!$C$3,OR(Calc!$C$4=0,D111=Calc!$C$4)),ROW(),0)</f>
        <v>0</v>
      </c>
    </row>
    <row r="112" customFormat="false" ht="15" hidden="false" customHeight="false" outlineLevel="0" collapsed="false">
      <c r="A112" s="57" t="s">
        <v>278</v>
      </c>
      <c r="B112" s="58" t="n">
        <v>45333</v>
      </c>
      <c r="C112" s="57" t="n">
        <f aca="false">YEAR(B112)</f>
        <v>2024</v>
      </c>
      <c r="D112" s="57" t="n">
        <f aca="false">MONTH(B112)</f>
        <v>2</v>
      </c>
      <c r="E112" s="57" t="s">
        <v>279</v>
      </c>
      <c r="F112" s="57" t="s">
        <v>75</v>
      </c>
      <c r="G112" s="57" t="s">
        <v>45</v>
      </c>
      <c r="H112" s="57" t="s">
        <v>47</v>
      </c>
      <c r="I112" s="59" t="n">
        <v>1</v>
      </c>
      <c r="J112" s="60" t="n">
        <v>34</v>
      </c>
      <c r="K112" s="60" t="n">
        <v>12</v>
      </c>
      <c r="L112" s="61" t="n">
        <f aca="false">I112*J112</f>
        <v>34</v>
      </c>
      <c r="M112" s="61" t="n">
        <f aca="false">L112-I112*K112</f>
        <v>22</v>
      </c>
      <c r="N112" s="57" t="n">
        <f aca="false">IF(COUNTIFS(E$2:E112,E112,C$2:C112,C112)=1,1,0)</f>
        <v>1</v>
      </c>
      <c r="O112" s="57" t="n">
        <f aca="false">IF(COUNTIFS(E$2:E112,E112,C$2:C112,C112,D$2:D112,D112)=1,1,0)</f>
        <v>1</v>
      </c>
      <c r="P112" s="57" t="n">
        <f aca="false">IF(AND(C112=Calc!$C$3,OR(Calc!$C$4=0,D112=Calc!$C$4)),ROW(),0)</f>
        <v>0</v>
      </c>
    </row>
    <row r="113" customFormat="false" ht="15" hidden="false" customHeight="false" outlineLevel="0" collapsed="false">
      <c r="A113" s="57" t="s">
        <v>280</v>
      </c>
      <c r="B113" s="58" t="n">
        <v>45334</v>
      </c>
      <c r="C113" s="57" t="n">
        <f aca="false">YEAR(B113)</f>
        <v>2024</v>
      </c>
      <c r="D113" s="57" t="n">
        <f aca="false">MONTH(B113)</f>
        <v>2</v>
      </c>
      <c r="E113" s="57" t="s">
        <v>281</v>
      </c>
      <c r="F113" s="57" t="s">
        <v>81</v>
      </c>
      <c r="G113" s="57" t="s">
        <v>35</v>
      </c>
      <c r="H113" s="57" t="s">
        <v>36</v>
      </c>
      <c r="I113" s="59" t="n">
        <v>1</v>
      </c>
      <c r="J113" s="60" t="n">
        <v>179</v>
      </c>
      <c r="K113" s="60" t="n">
        <v>92</v>
      </c>
      <c r="L113" s="61" t="n">
        <f aca="false">I113*J113</f>
        <v>179</v>
      </c>
      <c r="M113" s="61" t="n">
        <f aca="false">L113-I113*K113</f>
        <v>87</v>
      </c>
      <c r="N113" s="57" t="n">
        <f aca="false">IF(COUNTIFS(E$2:E113,E113,C$2:C113,C113)=1,1,0)</f>
        <v>1</v>
      </c>
      <c r="O113" s="57" t="n">
        <f aca="false">IF(COUNTIFS(E$2:E113,E113,C$2:C113,C113,D$2:D113,D113)=1,1,0)</f>
        <v>1</v>
      </c>
      <c r="P113" s="57" t="n">
        <f aca="false">IF(AND(C113=Calc!$C$3,OR(Calc!$C$4=0,D113=Calc!$C$4)),ROW(),0)</f>
        <v>0</v>
      </c>
    </row>
    <row r="114" customFormat="false" ht="15" hidden="false" customHeight="false" outlineLevel="0" collapsed="false">
      <c r="A114" s="57" t="s">
        <v>282</v>
      </c>
      <c r="B114" s="58" t="n">
        <v>45334</v>
      </c>
      <c r="C114" s="57" t="n">
        <f aca="false">YEAR(B114)</f>
        <v>2024</v>
      </c>
      <c r="D114" s="57" t="n">
        <f aca="false">MONTH(B114)</f>
        <v>2</v>
      </c>
      <c r="E114" s="57" t="s">
        <v>252</v>
      </c>
      <c r="F114" s="57" t="s">
        <v>75</v>
      </c>
      <c r="G114" s="57" t="s">
        <v>40</v>
      </c>
      <c r="H114" s="57" t="s">
        <v>41</v>
      </c>
      <c r="I114" s="59" t="n">
        <v>1</v>
      </c>
      <c r="J114" s="60" t="n">
        <v>46</v>
      </c>
      <c r="K114" s="60" t="n">
        <v>16</v>
      </c>
      <c r="L114" s="61" t="n">
        <f aca="false">I114*J114</f>
        <v>46</v>
      </c>
      <c r="M114" s="61" t="n">
        <f aca="false">L114-I114*K114</f>
        <v>30</v>
      </c>
      <c r="N114" s="57" t="n">
        <f aca="false">IF(COUNTIFS(E$2:E114,E114,C$2:C114,C114)=1,1,0)</f>
        <v>0</v>
      </c>
      <c r="O114" s="57" t="n">
        <f aca="false">IF(COUNTIFS(E$2:E114,E114,C$2:C114,C114,D$2:D114,D114)=1,1,0)</f>
        <v>0</v>
      </c>
      <c r="P114" s="57" t="n">
        <f aca="false">IF(AND(C114=Calc!$C$3,OR(Calc!$C$4=0,D114=Calc!$C$4)),ROW(),0)</f>
        <v>0</v>
      </c>
    </row>
    <row r="115" customFormat="false" ht="15" hidden="false" customHeight="false" outlineLevel="0" collapsed="false">
      <c r="A115" s="57" t="s">
        <v>283</v>
      </c>
      <c r="B115" s="58" t="n">
        <v>45335</v>
      </c>
      <c r="C115" s="57" t="n">
        <f aca="false">YEAR(B115)</f>
        <v>2024</v>
      </c>
      <c r="D115" s="57" t="n">
        <f aca="false">MONTH(B115)</f>
        <v>2</v>
      </c>
      <c r="E115" s="57" t="s">
        <v>158</v>
      </c>
      <c r="F115" s="57" t="s">
        <v>81</v>
      </c>
      <c r="G115" s="57" t="s">
        <v>45</v>
      </c>
      <c r="H115" s="57" t="s">
        <v>47</v>
      </c>
      <c r="I115" s="59" t="n">
        <v>1</v>
      </c>
      <c r="J115" s="60" t="n">
        <v>34</v>
      </c>
      <c r="K115" s="60" t="n">
        <v>12</v>
      </c>
      <c r="L115" s="61" t="n">
        <f aca="false">I115*J115</f>
        <v>34</v>
      </c>
      <c r="M115" s="61" t="n">
        <f aca="false">L115-I115*K115</f>
        <v>22</v>
      </c>
      <c r="N115" s="57" t="n">
        <f aca="false">IF(COUNTIFS(E$2:E115,E115,C$2:C115,C115)=1,1,0)</f>
        <v>0</v>
      </c>
      <c r="O115" s="57" t="n">
        <f aca="false">IF(COUNTIFS(E$2:E115,E115,C$2:C115,C115,D$2:D115,D115)=1,1,0)</f>
        <v>1</v>
      </c>
      <c r="P115" s="57" t="n">
        <f aca="false">IF(AND(C115=Calc!$C$3,OR(Calc!$C$4=0,D115=Calc!$C$4)),ROW(),0)</f>
        <v>0</v>
      </c>
    </row>
    <row r="116" customFormat="false" ht="15" hidden="false" customHeight="false" outlineLevel="0" collapsed="false">
      <c r="A116" s="57" t="s">
        <v>284</v>
      </c>
      <c r="B116" s="58" t="n">
        <v>45335</v>
      </c>
      <c r="C116" s="57" t="n">
        <f aca="false">YEAR(B116)</f>
        <v>2024</v>
      </c>
      <c r="D116" s="57" t="n">
        <f aca="false">MONTH(B116)</f>
        <v>2</v>
      </c>
      <c r="E116" s="57" t="s">
        <v>285</v>
      </c>
      <c r="F116" s="57" t="s">
        <v>75</v>
      </c>
      <c r="G116" s="57" t="s">
        <v>50</v>
      </c>
      <c r="H116" s="57" t="s">
        <v>52</v>
      </c>
      <c r="I116" s="59" t="n">
        <v>1</v>
      </c>
      <c r="J116" s="60" t="n">
        <v>45</v>
      </c>
      <c r="K116" s="60" t="n">
        <v>14</v>
      </c>
      <c r="L116" s="61" t="n">
        <f aca="false">I116*J116</f>
        <v>45</v>
      </c>
      <c r="M116" s="61" t="n">
        <f aca="false">L116-I116*K116</f>
        <v>31</v>
      </c>
      <c r="N116" s="57" t="n">
        <f aca="false">IF(COUNTIFS(E$2:E116,E116,C$2:C116,C116)=1,1,0)</f>
        <v>1</v>
      </c>
      <c r="O116" s="57" t="n">
        <f aca="false">IF(COUNTIFS(E$2:E116,E116,C$2:C116,C116,D$2:D116,D116)=1,1,0)</f>
        <v>1</v>
      </c>
      <c r="P116" s="57" t="n">
        <f aca="false">IF(AND(C116=Calc!$C$3,OR(Calc!$C$4=0,D116=Calc!$C$4)),ROW(),0)</f>
        <v>0</v>
      </c>
    </row>
    <row r="117" customFormat="false" ht="15" hidden="false" customHeight="false" outlineLevel="0" collapsed="false">
      <c r="A117" s="57" t="s">
        <v>286</v>
      </c>
      <c r="B117" s="58" t="n">
        <v>45335</v>
      </c>
      <c r="C117" s="57" t="n">
        <f aca="false">YEAR(B117)</f>
        <v>2024</v>
      </c>
      <c r="D117" s="57" t="n">
        <f aca="false">MONTH(B117)</f>
        <v>2</v>
      </c>
      <c r="E117" s="57" t="s">
        <v>114</v>
      </c>
      <c r="F117" s="57" t="s">
        <v>69</v>
      </c>
      <c r="G117" s="57" t="s">
        <v>40</v>
      </c>
      <c r="H117" s="57" t="s">
        <v>43</v>
      </c>
      <c r="I117" s="59" t="n">
        <v>1</v>
      </c>
      <c r="J117" s="60" t="n">
        <v>29</v>
      </c>
      <c r="K117" s="60" t="n">
        <v>9</v>
      </c>
      <c r="L117" s="61" t="n">
        <f aca="false">I117*J117</f>
        <v>29</v>
      </c>
      <c r="M117" s="61" t="n">
        <f aca="false">L117-I117*K117</f>
        <v>20</v>
      </c>
      <c r="N117" s="57" t="n">
        <f aca="false">IF(COUNTIFS(E$2:E117,E117,C$2:C117,C117)=1,1,0)</f>
        <v>0</v>
      </c>
      <c r="O117" s="57" t="n">
        <f aca="false">IF(COUNTIFS(E$2:E117,E117,C$2:C117,C117,D$2:D117,D117)=1,1,0)</f>
        <v>1</v>
      </c>
      <c r="P117" s="57" t="n">
        <f aca="false">IF(AND(C117=Calc!$C$3,OR(Calc!$C$4=0,D117=Calc!$C$4)),ROW(),0)</f>
        <v>0</v>
      </c>
    </row>
    <row r="118" customFormat="false" ht="15" hidden="false" customHeight="false" outlineLevel="0" collapsed="false">
      <c r="A118" s="57" t="s">
        <v>287</v>
      </c>
      <c r="B118" s="58" t="n">
        <v>45336</v>
      </c>
      <c r="C118" s="57" t="n">
        <f aca="false">YEAR(B118)</f>
        <v>2024</v>
      </c>
      <c r="D118" s="57" t="n">
        <f aca="false">MONTH(B118)</f>
        <v>2</v>
      </c>
      <c r="E118" s="57" t="s">
        <v>277</v>
      </c>
      <c r="F118" s="57" t="s">
        <v>75</v>
      </c>
      <c r="G118" s="57" t="s">
        <v>35</v>
      </c>
      <c r="H118" s="57" t="s">
        <v>34</v>
      </c>
      <c r="I118" s="59" t="n">
        <v>2</v>
      </c>
      <c r="J118" s="60" t="n">
        <v>89</v>
      </c>
      <c r="K118" s="60" t="n">
        <v>41</v>
      </c>
      <c r="L118" s="61" t="n">
        <f aca="false">I118*J118</f>
        <v>178</v>
      </c>
      <c r="M118" s="61" t="n">
        <f aca="false">L118-I118*K118</f>
        <v>96</v>
      </c>
      <c r="N118" s="57" t="n">
        <f aca="false">IF(COUNTIFS(E$2:E118,E118,C$2:C118,C118)=1,1,0)</f>
        <v>0</v>
      </c>
      <c r="O118" s="57" t="n">
        <f aca="false">IF(COUNTIFS(E$2:E118,E118,C$2:C118,C118,D$2:D118,D118)=1,1,0)</f>
        <v>0</v>
      </c>
      <c r="P118" s="57" t="n">
        <f aca="false">IF(AND(C118=Calc!$C$3,OR(Calc!$C$4=0,D118=Calc!$C$4)),ROW(),0)</f>
        <v>0</v>
      </c>
    </row>
    <row r="119" customFormat="false" ht="15" hidden="false" customHeight="false" outlineLevel="0" collapsed="false">
      <c r="A119" s="57" t="s">
        <v>288</v>
      </c>
      <c r="B119" s="58" t="n">
        <v>45336</v>
      </c>
      <c r="C119" s="57" t="n">
        <f aca="false">YEAR(B119)</f>
        <v>2024</v>
      </c>
      <c r="D119" s="57" t="n">
        <f aca="false">MONTH(B119)</f>
        <v>2</v>
      </c>
      <c r="E119" s="57" t="s">
        <v>148</v>
      </c>
      <c r="F119" s="57" t="s">
        <v>78</v>
      </c>
      <c r="G119" s="57" t="s">
        <v>40</v>
      </c>
      <c r="H119" s="57" t="s">
        <v>39</v>
      </c>
      <c r="I119" s="59" t="n">
        <v>1</v>
      </c>
      <c r="J119" s="60" t="n">
        <v>54</v>
      </c>
      <c r="K119" s="60" t="n">
        <v>19</v>
      </c>
      <c r="L119" s="61" t="n">
        <f aca="false">I119*J119</f>
        <v>54</v>
      </c>
      <c r="M119" s="61" t="n">
        <f aca="false">L119-I119*K119</f>
        <v>35</v>
      </c>
      <c r="N119" s="57" t="n">
        <f aca="false">IF(COUNTIFS(E$2:E119,E119,C$2:C119,C119)=1,1,0)</f>
        <v>0</v>
      </c>
      <c r="O119" s="57" t="n">
        <f aca="false">IF(COUNTIFS(E$2:E119,E119,C$2:C119,C119,D$2:D119,D119)=1,1,0)</f>
        <v>1</v>
      </c>
      <c r="P119" s="57" t="n">
        <f aca="false">IF(AND(C119=Calc!$C$3,OR(Calc!$C$4=0,D119=Calc!$C$4)),ROW(),0)</f>
        <v>0</v>
      </c>
    </row>
    <row r="120" customFormat="false" ht="15" hidden="false" customHeight="false" outlineLevel="0" collapsed="false">
      <c r="A120" s="57" t="s">
        <v>289</v>
      </c>
      <c r="B120" s="58" t="n">
        <v>45337</v>
      </c>
      <c r="C120" s="57" t="n">
        <f aca="false">YEAR(B120)</f>
        <v>2024</v>
      </c>
      <c r="D120" s="57" t="n">
        <f aca="false">MONTH(B120)</f>
        <v>2</v>
      </c>
      <c r="E120" s="57" t="s">
        <v>290</v>
      </c>
      <c r="F120" s="57" t="s">
        <v>75</v>
      </c>
      <c r="G120" s="57" t="s">
        <v>40</v>
      </c>
      <c r="H120" s="57" t="s">
        <v>39</v>
      </c>
      <c r="I120" s="59" t="n">
        <v>1</v>
      </c>
      <c r="J120" s="60" t="n">
        <v>54</v>
      </c>
      <c r="K120" s="60" t="n">
        <v>19</v>
      </c>
      <c r="L120" s="61" t="n">
        <f aca="false">I120*J120</f>
        <v>54</v>
      </c>
      <c r="M120" s="61" t="n">
        <f aca="false">L120-I120*K120</f>
        <v>35</v>
      </c>
      <c r="N120" s="57" t="n">
        <f aca="false">IF(COUNTIFS(E$2:E120,E120,C$2:C120,C120)=1,1,0)</f>
        <v>1</v>
      </c>
      <c r="O120" s="57" t="n">
        <f aca="false">IF(COUNTIFS(E$2:E120,E120,C$2:C120,C120,D$2:D120,D120)=1,1,0)</f>
        <v>1</v>
      </c>
      <c r="P120" s="57" t="n">
        <f aca="false">IF(AND(C120=Calc!$C$3,OR(Calc!$C$4=0,D120=Calc!$C$4)),ROW(),0)</f>
        <v>0</v>
      </c>
    </row>
    <row r="121" customFormat="false" ht="15" hidden="false" customHeight="false" outlineLevel="0" collapsed="false">
      <c r="A121" s="57" t="s">
        <v>291</v>
      </c>
      <c r="B121" s="58" t="n">
        <v>45337</v>
      </c>
      <c r="C121" s="57" t="n">
        <f aca="false">YEAR(B121)</f>
        <v>2024</v>
      </c>
      <c r="D121" s="57" t="n">
        <f aca="false">MONTH(B121)</f>
        <v>2</v>
      </c>
      <c r="E121" s="57" t="s">
        <v>292</v>
      </c>
      <c r="F121" s="57" t="s">
        <v>72</v>
      </c>
      <c r="G121" s="57" t="s">
        <v>40</v>
      </c>
      <c r="H121" s="57" t="s">
        <v>43</v>
      </c>
      <c r="I121" s="59" t="n">
        <v>1</v>
      </c>
      <c r="J121" s="60" t="n">
        <v>29</v>
      </c>
      <c r="K121" s="60" t="n">
        <v>9</v>
      </c>
      <c r="L121" s="61" t="n">
        <f aca="false">I121*J121</f>
        <v>29</v>
      </c>
      <c r="M121" s="61" t="n">
        <f aca="false">L121-I121*K121</f>
        <v>20</v>
      </c>
      <c r="N121" s="57" t="n">
        <f aca="false">IF(COUNTIFS(E$2:E121,E121,C$2:C121,C121)=1,1,0)</f>
        <v>1</v>
      </c>
      <c r="O121" s="57" t="n">
        <f aca="false">IF(COUNTIFS(E$2:E121,E121,C$2:C121,C121,D$2:D121,D121)=1,1,0)</f>
        <v>1</v>
      </c>
      <c r="P121" s="57" t="n">
        <f aca="false">IF(AND(C121=Calc!$C$3,OR(Calc!$C$4=0,D121=Calc!$C$4)),ROW(),0)</f>
        <v>0</v>
      </c>
    </row>
    <row r="122" customFormat="false" ht="15" hidden="false" customHeight="false" outlineLevel="0" collapsed="false">
      <c r="A122" s="57" t="s">
        <v>293</v>
      </c>
      <c r="B122" s="58" t="n">
        <v>45337</v>
      </c>
      <c r="C122" s="57" t="n">
        <f aca="false">YEAR(B122)</f>
        <v>2024</v>
      </c>
      <c r="D122" s="57" t="n">
        <f aca="false">MONTH(B122)</f>
        <v>2</v>
      </c>
      <c r="E122" s="57" t="s">
        <v>294</v>
      </c>
      <c r="F122" s="57" t="s">
        <v>69</v>
      </c>
      <c r="G122" s="57" t="s">
        <v>45</v>
      </c>
      <c r="H122" s="57" t="s">
        <v>46</v>
      </c>
      <c r="I122" s="59" t="n">
        <v>1</v>
      </c>
      <c r="J122" s="60" t="n">
        <v>149</v>
      </c>
      <c r="K122" s="60" t="n">
        <v>71</v>
      </c>
      <c r="L122" s="61" t="n">
        <f aca="false">I122*J122</f>
        <v>149</v>
      </c>
      <c r="M122" s="61" t="n">
        <f aca="false">L122-I122*K122</f>
        <v>78</v>
      </c>
      <c r="N122" s="57" t="n">
        <f aca="false">IF(COUNTIFS(E$2:E122,E122,C$2:C122,C122)=1,1,0)</f>
        <v>1</v>
      </c>
      <c r="O122" s="57" t="n">
        <f aca="false">IF(COUNTIFS(E$2:E122,E122,C$2:C122,C122,D$2:D122,D122)=1,1,0)</f>
        <v>1</v>
      </c>
      <c r="P122" s="57" t="n">
        <f aca="false">IF(AND(C122=Calc!$C$3,OR(Calc!$C$4=0,D122=Calc!$C$4)),ROW(),0)</f>
        <v>0</v>
      </c>
    </row>
    <row r="123" customFormat="false" ht="15" hidden="false" customHeight="false" outlineLevel="0" collapsed="false">
      <c r="A123" s="57" t="s">
        <v>295</v>
      </c>
      <c r="B123" s="58" t="n">
        <v>45338</v>
      </c>
      <c r="C123" s="57" t="n">
        <f aca="false">YEAR(B123)</f>
        <v>2024</v>
      </c>
      <c r="D123" s="57" t="n">
        <f aca="false">MONTH(B123)</f>
        <v>2</v>
      </c>
      <c r="E123" s="57" t="s">
        <v>296</v>
      </c>
      <c r="F123" s="57" t="s">
        <v>75</v>
      </c>
      <c r="G123" s="57" t="s">
        <v>35</v>
      </c>
      <c r="H123" s="57" t="s">
        <v>34</v>
      </c>
      <c r="I123" s="59" t="n">
        <v>2</v>
      </c>
      <c r="J123" s="60" t="n">
        <v>89</v>
      </c>
      <c r="K123" s="60" t="n">
        <v>41</v>
      </c>
      <c r="L123" s="61" t="n">
        <f aca="false">I123*J123</f>
        <v>178</v>
      </c>
      <c r="M123" s="61" t="n">
        <f aca="false">L123-I123*K123</f>
        <v>96</v>
      </c>
      <c r="N123" s="57" t="n">
        <f aca="false">IF(COUNTIFS(E$2:E123,E123,C$2:C123,C123)=1,1,0)</f>
        <v>1</v>
      </c>
      <c r="O123" s="57" t="n">
        <f aca="false">IF(COUNTIFS(E$2:E123,E123,C$2:C123,C123,D$2:D123,D123)=1,1,0)</f>
        <v>1</v>
      </c>
      <c r="P123" s="57" t="n">
        <f aca="false">IF(AND(C123=Calc!$C$3,OR(Calc!$C$4=0,D123=Calc!$C$4)),ROW(),0)</f>
        <v>0</v>
      </c>
    </row>
    <row r="124" customFormat="false" ht="15" hidden="false" customHeight="false" outlineLevel="0" collapsed="false">
      <c r="A124" s="57" t="s">
        <v>297</v>
      </c>
      <c r="B124" s="58" t="n">
        <v>45338</v>
      </c>
      <c r="C124" s="57" t="n">
        <f aca="false">YEAR(B124)</f>
        <v>2024</v>
      </c>
      <c r="D124" s="57" t="n">
        <f aca="false">MONTH(B124)</f>
        <v>2</v>
      </c>
      <c r="E124" s="57" t="s">
        <v>298</v>
      </c>
      <c r="F124" s="57" t="s">
        <v>75</v>
      </c>
      <c r="G124" s="57" t="s">
        <v>40</v>
      </c>
      <c r="H124" s="57" t="s">
        <v>42</v>
      </c>
      <c r="I124" s="59" t="n">
        <v>1</v>
      </c>
      <c r="J124" s="60" t="n">
        <v>79</v>
      </c>
      <c r="K124" s="60" t="n">
        <v>31</v>
      </c>
      <c r="L124" s="61" t="n">
        <f aca="false">I124*J124</f>
        <v>79</v>
      </c>
      <c r="M124" s="61" t="n">
        <f aca="false">L124-I124*K124</f>
        <v>48</v>
      </c>
      <c r="N124" s="57" t="n">
        <f aca="false">IF(COUNTIFS(E$2:E124,E124,C$2:C124,C124)=1,1,0)</f>
        <v>1</v>
      </c>
      <c r="O124" s="57" t="n">
        <f aca="false">IF(COUNTIFS(E$2:E124,E124,C$2:C124,C124,D$2:D124,D124)=1,1,0)</f>
        <v>1</v>
      </c>
      <c r="P124" s="57" t="n">
        <f aca="false">IF(AND(C124=Calc!$C$3,OR(Calc!$C$4=0,D124=Calc!$C$4)),ROW(),0)</f>
        <v>0</v>
      </c>
    </row>
    <row r="125" customFormat="false" ht="15" hidden="false" customHeight="false" outlineLevel="0" collapsed="false">
      <c r="A125" s="57" t="s">
        <v>299</v>
      </c>
      <c r="B125" s="58" t="n">
        <v>45339</v>
      </c>
      <c r="C125" s="57" t="n">
        <f aca="false">YEAR(B125)</f>
        <v>2024</v>
      </c>
      <c r="D125" s="57" t="n">
        <f aca="false">MONTH(B125)</f>
        <v>2</v>
      </c>
      <c r="E125" s="57" t="s">
        <v>300</v>
      </c>
      <c r="F125" s="57" t="s">
        <v>81</v>
      </c>
      <c r="G125" s="57" t="s">
        <v>50</v>
      </c>
      <c r="H125" s="57" t="s">
        <v>52</v>
      </c>
      <c r="I125" s="59" t="n">
        <v>1</v>
      </c>
      <c r="J125" s="60" t="n">
        <v>45</v>
      </c>
      <c r="K125" s="60" t="n">
        <v>14</v>
      </c>
      <c r="L125" s="61" t="n">
        <f aca="false">I125*J125</f>
        <v>45</v>
      </c>
      <c r="M125" s="61" t="n">
        <f aca="false">L125-I125*K125</f>
        <v>31</v>
      </c>
      <c r="N125" s="57" t="n">
        <f aca="false">IF(COUNTIFS(E$2:E125,E125,C$2:C125,C125)=1,1,0)</f>
        <v>1</v>
      </c>
      <c r="O125" s="57" t="n">
        <f aca="false">IF(COUNTIFS(E$2:E125,E125,C$2:C125,C125,D$2:D125,D125)=1,1,0)</f>
        <v>1</v>
      </c>
      <c r="P125" s="57" t="n">
        <f aca="false">IF(AND(C125=Calc!$C$3,OR(Calc!$C$4=0,D125=Calc!$C$4)),ROW(),0)</f>
        <v>0</v>
      </c>
    </row>
    <row r="126" customFormat="false" ht="15" hidden="false" customHeight="false" outlineLevel="0" collapsed="false">
      <c r="A126" s="57" t="s">
        <v>301</v>
      </c>
      <c r="B126" s="58" t="n">
        <v>45339</v>
      </c>
      <c r="C126" s="57" t="n">
        <f aca="false">YEAR(B126)</f>
        <v>2024</v>
      </c>
      <c r="D126" s="57" t="n">
        <f aca="false">MONTH(B126)</f>
        <v>2</v>
      </c>
      <c r="E126" s="57" t="s">
        <v>302</v>
      </c>
      <c r="F126" s="57" t="s">
        <v>81</v>
      </c>
      <c r="G126" s="57" t="s">
        <v>54</v>
      </c>
      <c r="H126" s="57" t="s">
        <v>53</v>
      </c>
      <c r="I126" s="59" t="n">
        <v>1</v>
      </c>
      <c r="J126" s="60" t="n">
        <v>39</v>
      </c>
      <c r="K126" s="60" t="n">
        <v>13</v>
      </c>
      <c r="L126" s="61" t="n">
        <f aca="false">I126*J126</f>
        <v>39</v>
      </c>
      <c r="M126" s="61" t="n">
        <f aca="false">L126-I126*K126</f>
        <v>26</v>
      </c>
      <c r="N126" s="57" t="n">
        <f aca="false">IF(COUNTIFS(E$2:E126,E126,C$2:C126,C126)=1,1,0)</f>
        <v>1</v>
      </c>
      <c r="O126" s="57" t="n">
        <f aca="false">IF(COUNTIFS(E$2:E126,E126,C$2:C126,C126,D$2:D126,D126)=1,1,0)</f>
        <v>1</v>
      </c>
      <c r="P126" s="57" t="n">
        <f aca="false">IF(AND(C126=Calc!$C$3,OR(Calc!$C$4=0,D126=Calc!$C$4)),ROW(),0)</f>
        <v>0</v>
      </c>
    </row>
    <row r="127" customFormat="false" ht="15" hidden="false" customHeight="false" outlineLevel="0" collapsed="false">
      <c r="A127" s="57" t="s">
        <v>303</v>
      </c>
      <c r="B127" s="58" t="n">
        <v>45339</v>
      </c>
      <c r="C127" s="57" t="n">
        <f aca="false">YEAR(B127)</f>
        <v>2024</v>
      </c>
      <c r="D127" s="57" t="n">
        <f aca="false">MONTH(B127)</f>
        <v>2</v>
      </c>
      <c r="E127" s="57" t="s">
        <v>304</v>
      </c>
      <c r="F127" s="57" t="s">
        <v>69</v>
      </c>
      <c r="G127" s="57" t="s">
        <v>40</v>
      </c>
      <c r="H127" s="57" t="s">
        <v>39</v>
      </c>
      <c r="I127" s="59" t="n">
        <v>1</v>
      </c>
      <c r="J127" s="60" t="n">
        <v>54</v>
      </c>
      <c r="K127" s="60" t="n">
        <v>19</v>
      </c>
      <c r="L127" s="61" t="n">
        <f aca="false">I127*J127</f>
        <v>54</v>
      </c>
      <c r="M127" s="61" t="n">
        <f aca="false">L127-I127*K127</f>
        <v>35</v>
      </c>
      <c r="N127" s="57" t="n">
        <f aca="false">IF(COUNTIFS(E$2:E127,E127,C$2:C127,C127)=1,1,0)</f>
        <v>1</v>
      </c>
      <c r="O127" s="57" t="n">
        <f aca="false">IF(COUNTIFS(E$2:E127,E127,C$2:C127,C127,D$2:D127,D127)=1,1,0)</f>
        <v>1</v>
      </c>
      <c r="P127" s="57" t="n">
        <f aca="false">IF(AND(C127=Calc!$C$3,OR(Calc!$C$4=0,D127=Calc!$C$4)),ROW(),0)</f>
        <v>0</v>
      </c>
    </row>
    <row r="128" customFormat="false" ht="15" hidden="false" customHeight="false" outlineLevel="0" collapsed="false">
      <c r="A128" s="57" t="s">
        <v>305</v>
      </c>
      <c r="B128" s="58" t="n">
        <v>45339</v>
      </c>
      <c r="C128" s="57" t="n">
        <f aca="false">YEAR(B128)</f>
        <v>2024</v>
      </c>
      <c r="D128" s="57" t="n">
        <f aca="false">MONTH(B128)</f>
        <v>2</v>
      </c>
      <c r="E128" s="57" t="s">
        <v>87</v>
      </c>
      <c r="F128" s="57" t="s">
        <v>72</v>
      </c>
      <c r="G128" s="57" t="s">
        <v>50</v>
      </c>
      <c r="H128" s="57" t="s">
        <v>49</v>
      </c>
      <c r="I128" s="59" t="n">
        <v>1</v>
      </c>
      <c r="J128" s="60" t="n">
        <v>32</v>
      </c>
      <c r="K128" s="60" t="n">
        <v>7</v>
      </c>
      <c r="L128" s="61" t="n">
        <f aca="false">I128*J128</f>
        <v>32</v>
      </c>
      <c r="M128" s="61" t="n">
        <f aca="false">L128-I128*K128</f>
        <v>25</v>
      </c>
      <c r="N128" s="57" t="n">
        <f aca="false">IF(COUNTIFS(E$2:E128,E128,C$2:C128,C128)=1,1,0)</f>
        <v>0</v>
      </c>
      <c r="O128" s="57" t="n">
        <f aca="false">IF(COUNTIFS(E$2:E128,E128,C$2:C128,C128,D$2:D128,D128)=1,1,0)</f>
        <v>1</v>
      </c>
      <c r="P128" s="57" t="n">
        <f aca="false">IF(AND(C128=Calc!$C$3,OR(Calc!$C$4=0,D128=Calc!$C$4)),ROW(),0)</f>
        <v>0</v>
      </c>
    </row>
    <row r="129" customFormat="false" ht="15" hidden="false" customHeight="false" outlineLevel="0" collapsed="false">
      <c r="A129" s="57" t="s">
        <v>306</v>
      </c>
      <c r="B129" s="58" t="n">
        <v>45340</v>
      </c>
      <c r="C129" s="57" t="n">
        <f aca="false">YEAR(B129)</f>
        <v>2024</v>
      </c>
      <c r="D129" s="57" t="n">
        <f aca="false">MONTH(B129)</f>
        <v>2</v>
      </c>
      <c r="E129" s="57" t="s">
        <v>307</v>
      </c>
      <c r="F129" s="57" t="s">
        <v>69</v>
      </c>
      <c r="G129" s="57" t="s">
        <v>35</v>
      </c>
      <c r="H129" s="57" t="s">
        <v>37</v>
      </c>
      <c r="I129" s="59" t="n">
        <v>1</v>
      </c>
      <c r="J129" s="60" t="n">
        <v>59</v>
      </c>
      <c r="K129" s="60" t="n">
        <v>27</v>
      </c>
      <c r="L129" s="61" t="n">
        <f aca="false">I129*J129</f>
        <v>59</v>
      </c>
      <c r="M129" s="61" t="n">
        <f aca="false">L129-I129*K129</f>
        <v>32</v>
      </c>
      <c r="N129" s="57" t="n">
        <f aca="false">IF(COUNTIFS(E$2:E129,E129,C$2:C129,C129)=1,1,0)</f>
        <v>1</v>
      </c>
      <c r="O129" s="57" t="n">
        <f aca="false">IF(COUNTIFS(E$2:E129,E129,C$2:C129,C129,D$2:D129,D129)=1,1,0)</f>
        <v>1</v>
      </c>
      <c r="P129" s="57" t="n">
        <f aca="false">IF(AND(C129=Calc!$C$3,OR(Calc!$C$4=0,D129=Calc!$C$4)),ROW(),0)</f>
        <v>0</v>
      </c>
    </row>
    <row r="130" customFormat="false" ht="15" hidden="false" customHeight="false" outlineLevel="0" collapsed="false">
      <c r="A130" s="57" t="s">
        <v>308</v>
      </c>
      <c r="B130" s="58" t="n">
        <v>45340</v>
      </c>
      <c r="C130" s="57" t="n">
        <f aca="false">YEAR(B130)</f>
        <v>2024</v>
      </c>
      <c r="D130" s="57" t="n">
        <f aca="false">MONTH(B130)</f>
        <v>2</v>
      </c>
      <c r="E130" s="57" t="s">
        <v>309</v>
      </c>
      <c r="F130" s="57" t="s">
        <v>81</v>
      </c>
      <c r="G130" s="57" t="s">
        <v>45</v>
      </c>
      <c r="H130" s="57" t="s">
        <v>47</v>
      </c>
      <c r="I130" s="59" t="n">
        <v>3</v>
      </c>
      <c r="J130" s="60" t="n">
        <v>34</v>
      </c>
      <c r="K130" s="60" t="n">
        <v>12</v>
      </c>
      <c r="L130" s="61" t="n">
        <f aca="false">I130*J130</f>
        <v>102</v>
      </c>
      <c r="M130" s="61" t="n">
        <f aca="false">L130-I130*K130</f>
        <v>66</v>
      </c>
      <c r="N130" s="57" t="n">
        <f aca="false">IF(COUNTIFS(E$2:E130,E130,C$2:C130,C130)=1,1,0)</f>
        <v>1</v>
      </c>
      <c r="O130" s="57" t="n">
        <f aca="false">IF(COUNTIFS(E$2:E130,E130,C$2:C130,C130,D$2:D130,D130)=1,1,0)</f>
        <v>1</v>
      </c>
      <c r="P130" s="57" t="n">
        <f aca="false">IF(AND(C130=Calc!$C$3,OR(Calc!$C$4=0,D130=Calc!$C$4)),ROW(),0)</f>
        <v>0</v>
      </c>
    </row>
    <row r="131" customFormat="false" ht="15" hidden="false" customHeight="false" outlineLevel="0" collapsed="false">
      <c r="A131" s="57" t="s">
        <v>310</v>
      </c>
      <c r="B131" s="58" t="n">
        <v>45341</v>
      </c>
      <c r="C131" s="57" t="n">
        <f aca="false">YEAR(B131)</f>
        <v>2024</v>
      </c>
      <c r="D131" s="57" t="n">
        <f aca="false">MONTH(B131)</f>
        <v>2</v>
      </c>
      <c r="E131" s="57" t="s">
        <v>311</v>
      </c>
      <c r="F131" s="57" t="s">
        <v>69</v>
      </c>
      <c r="G131" s="57" t="s">
        <v>54</v>
      </c>
      <c r="H131" s="57" t="s">
        <v>55</v>
      </c>
      <c r="I131" s="59" t="n">
        <v>1</v>
      </c>
      <c r="J131" s="60" t="n">
        <v>64</v>
      </c>
      <c r="K131" s="60" t="n">
        <v>25</v>
      </c>
      <c r="L131" s="61" t="n">
        <f aca="false">I131*J131</f>
        <v>64</v>
      </c>
      <c r="M131" s="61" t="n">
        <f aca="false">L131-I131*K131</f>
        <v>39</v>
      </c>
      <c r="N131" s="57" t="n">
        <f aca="false">IF(COUNTIFS(E$2:E131,E131,C$2:C131,C131)=1,1,0)</f>
        <v>1</v>
      </c>
      <c r="O131" s="57" t="n">
        <f aca="false">IF(COUNTIFS(E$2:E131,E131,C$2:C131,C131,D$2:D131,D131)=1,1,0)</f>
        <v>1</v>
      </c>
      <c r="P131" s="57" t="n">
        <f aca="false">IF(AND(C131=Calc!$C$3,OR(Calc!$C$4=0,D131=Calc!$C$4)),ROW(),0)</f>
        <v>0</v>
      </c>
    </row>
    <row r="132" customFormat="false" ht="15" hidden="false" customHeight="false" outlineLevel="0" collapsed="false">
      <c r="A132" s="57" t="s">
        <v>312</v>
      </c>
      <c r="B132" s="58" t="n">
        <v>45341</v>
      </c>
      <c r="C132" s="57" t="n">
        <f aca="false">YEAR(B132)</f>
        <v>2024</v>
      </c>
      <c r="D132" s="57" t="n">
        <f aca="false">MONTH(B132)</f>
        <v>2</v>
      </c>
      <c r="E132" s="57" t="s">
        <v>313</v>
      </c>
      <c r="F132" s="57" t="s">
        <v>75</v>
      </c>
      <c r="G132" s="57" t="s">
        <v>35</v>
      </c>
      <c r="H132" s="57" t="s">
        <v>38</v>
      </c>
      <c r="I132" s="59" t="n">
        <v>3</v>
      </c>
      <c r="J132" s="60" t="n">
        <v>49</v>
      </c>
      <c r="K132" s="60" t="n">
        <v>22</v>
      </c>
      <c r="L132" s="61" t="n">
        <f aca="false">I132*J132</f>
        <v>147</v>
      </c>
      <c r="M132" s="61" t="n">
        <f aca="false">L132-I132*K132</f>
        <v>81</v>
      </c>
      <c r="N132" s="57" t="n">
        <f aca="false">IF(COUNTIFS(E$2:E132,E132,C$2:C132,C132)=1,1,0)</f>
        <v>1</v>
      </c>
      <c r="O132" s="57" t="n">
        <f aca="false">IF(COUNTIFS(E$2:E132,E132,C$2:C132,C132,D$2:D132,D132)=1,1,0)</f>
        <v>1</v>
      </c>
      <c r="P132" s="57" t="n">
        <f aca="false">IF(AND(C132=Calc!$C$3,OR(Calc!$C$4=0,D132=Calc!$C$4)),ROW(),0)</f>
        <v>0</v>
      </c>
    </row>
    <row r="133" customFormat="false" ht="15" hidden="false" customHeight="false" outlineLevel="0" collapsed="false">
      <c r="A133" s="57" t="s">
        <v>314</v>
      </c>
      <c r="B133" s="58" t="n">
        <v>45342</v>
      </c>
      <c r="C133" s="57" t="n">
        <f aca="false">YEAR(B133)</f>
        <v>2024</v>
      </c>
      <c r="D133" s="57" t="n">
        <f aca="false">MONTH(B133)</f>
        <v>2</v>
      </c>
      <c r="E133" s="57" t="s">
        <v>315</v>
      </c>
      <c r="F133" s="57" t="s">
        <v>69</v>
      </c>
      <c r="G133" s="57" t="s">
        <v>40</v>
      </c>
      <c r="H133" s="57" t="s">
        <v>43</v>
      </c>
      <c r="I133" s="59" t="n">
        <v>3</v>
      </c>
      <c r="J133" s="60" t="n">
        <v>29</v>
      </c>
      <c r="K133" s="60" t="n">
        <v>9</v>
      </c>
      <c r="L133" s="61" t="n">
        <f aca="false">I133*J133</f>
        <v>87</v>
      </c>
      <c r="M133" s="61" t="n">
        <f aca="false">L133-I133*K133</f>
        <v>60</v>
      </c>
      <c r="N133" s="57" t="n">
        <f aca="false">IF(COUNTIFS(E$2:E133,E133,C$2:C133,C133)=1,1,0)</f>
        <v>1</v>
      </c>
      <c r="O133" s="57" t="n">
        <f aca="false">IF(COUNTIFS(E$2:E133,E133,C$2:C133,C133,D$2:D133,D133)=1,1,0)</f>
        <v>1</v>
      </c>
      <c r="P133" s="57" t="n">
        <f aca="false">IF(AND(C133=Calc!$C$3,OR(Calc!$C$4=0,D133=Calc!$C$4)),ROW(),0)</f>
        <v>0</v>
      </c>
    </row>
    <row r="134" customFormat="false" ht="15" hidden="false" customHeight="false" outlineLevel="0" collapsed="false">
      <c r="A134" s="57" t="s">
        <v>316</v>
      </c>
      <c r="B134" s="58" t="n">
        <v>45343</v>
      </c>
      <c r="C134" s="57" t="n">
        <f aca="false">YEAR(B134)</f>
        <v>2024</v>
      </c>
      <c r="D134" s="57" t="n">
        <f aca="false">MONTH(B134)</f>
        <v>2</v>
      </c>
      <c r="E134" s="57" t="s">
        <v>317</v>
      </c>
      <c r="F134" s="57" t="s">
        <v>72</v>
      </c>
      <c r="G134" s="57" t="s">
        <v>40</v>
      </c>
      <c r="H134" s="57" t="s">
        <v>43</v>
      </c>
      <c r="I134" s="59" t="n">
        <v>2</v>
      </c>
      <c r="J134" s="60" t="n">
        <v>29</v>
      </c>
      <c r="K134" s="60" t="n">
        <v>9</v>
      </c>
      <c r="L134" s="61" t="n">
        <f aca="false">I134*J134</f>
        <v>58</v>
      </c>
      <c r="M134" s="61" t="n">
        <f aca="false">L134-I134*K134</f>
        <v>40</v>
      </c>
      <c r="N134" s="57" t="n">
        <f aca="false">IF(COUNTIFS(E$2:E134,E134,C$2:C134,C134)=1,1,0)</f>
        <v>1</v>
      </c>
      <c r="O134" s="57" t="n">
        <f aca="false">IF(COUNTIFS(E$2:E134,E134,C$2:C134,C134,D$2:D134,D134)=1,1,0)</f>
        <v>1</v>
      </c>
      <c r="P134" s="57" t="n">
        <f aca="false">IF(AND(C134=Calc!$C$3,OR(Calc!$C$4=0,D134=Calc!$C$4)),ROW(),0)</f>
        <v>0</v>
      </c>
    </row>
    <row r="135" customFormat="false" ht="15" hidden="false" customHeight="false" outlineLevel="0" collapsed="false">
      <c r="A135" s="57" t="s">
        <v>318</v>
      </c>
      <c r="B135" s="58" t="n">
        <v>45343</v>
      </c>
      <c r="C135" s="57" t="n">
        <f aca="false">YEAR(B135)</f>
        <v>2024</v>
      </c>
      <c r="D135" s="57" t="n">
        <f aca="false">MONTH(B135)</f>
        <v>2</v>
      </c>
      <c r="E135" s="57" t="s">
        <v>319</v>
      </c>
      <c r="F135" s="57" t="s">
        <v>75</v>
      </c>
      <c r="G135" s="57" t="s">
        <v>45</v>
      </c>
      <c r="H135" s="57" t="s">
        <v>46</v>
      </c>
      <c r="I135" s="59" t="n">
        <v>1</v>
      </c>
      <c r="J135" s="60" t="n">
        <v>149</v>
      </c>
      <c r="K135" s="60" t="n">
        <v>71</v>
      </c>
      <c r="L135" s="61" t="n">
        <f aca="false">I135*J135</f>
        <v>149</v>
      </c>
      <c r="M135" s="61" t="n">
        <f aca="false">L135-I135*K135</f>
        <v>78</v>
      </c>
      <c r="N135" s="57" t="n">
        <f aca="false">IF(COUNTIFS(E$2:E135,E135,C$2:C135,C135)=1,1,0)</f>
        <v>1</v>
      </c>
      <c r="O135" s="57" t="n">
        <f aca="false">IF(COUNTIFS(E$2:E135,E135,C$2:C135,C135,D$2:D135,D135)=1,1,0)</f>
        <v>1</v>
      </c>
      <c r="P135" s="57" t="n">
        <f aca="false">IF(AND(C135=Calc!$C$3,OR(Calc!$C$4=0,D135=Calc!$C$4)),ROW(),0)</f>
        <v>0</v>
      </c>
    </row>
    <row r="136" customFormat="false" ht="15" hidden="false" customHeight="false" outlineLevel="0" collapsed="false">
      <c r="A136" s="57" t="s">
        <v>320</v>
      </c>
      <c r="B136" s="58" t="n">
        <v>45343</v>
      </c>
      <c r="C136" s="57" t="n">
        <f aca="false">YEAR(B136)</f>
        <v>2024</v>
      </c>
      <c r="D136" s="57" t="n">
        <f aca="false">MONTH(B136)</f>
        <v>2</v>
      </c>
      <c r="E136" s="57" t="s">
        <v>321</v>
      </c>
      <c r="F136" s="57" t="s">
        <v>81</v>
      </c>
      <c r="G136" s="57" t="s">
        <v>54</v>
      </c>
      <c r="H136" s="57" t="s">
        <v>55</v>
      </c>
      <c r="I136" s="59" t="n">
        <v>1</v>
      </c>
      <c r="J136" s="60" t="n">
        <v>64</v>
      </c>
      <c r="K136" s="60" t="n">
        <v>25</v>
      </c>
      <c r="L136" s="61" t="n">
        <f aca="false">I136*J136</f>
        <v>64</v>
      </c>
      <c r="M136" s="61" t="n">
        <f aca="false">L136-I136*K136</f>
        <v>39</v>
      </c>
      <c r="N136" s="57" t="n">
        <f aca="false">IF(COUNTIFS(E$2:E136,E136,C$2:C136,C136)=1,1,0)</f>
        <v>1</v>
      </c>
      <c r="O136" s="57" t="n">
        <f aca="false">IF(COUNTIFS(E$2:E136,E136,C$2:C136,C136,D$2:D136,D136)=1,1,0)</f>
        <v>1</v>
      </c>
      <c r="P136" s="57" t="n">
        <f aca="false">IF(AND(C136=Calc!$C$3,OR(Calc!$C$4=0,D136=Calc!$C$4)),ROW(),0)</f>
        <v>0</v>
      </c>
    </row>
    <row r="137" customFormat="false" ht="15" hidden="false" customHeight="false" outlineLevel="0" collapsed="false">
      <c r="A137" s="57" t="s">
        <v>322</v>
      </c>
      <c r="B137" s="58" t="n">
        <v>45344</v>
      </c>
      <c r="C137" s="57" t="n">
        <f aca="false">YEAR(B137)</f>
        <v>2024</v>
      </c>
      <c r="D137" s="57" t="n">
        <f aca="false">MONTH(B137)</f>
        <v>2</v>
      </c>
      <c r="E137" s="57" t="s">
        <v>323</v>
      </c>
      <c r="F137" s="57" t="s">
        <v>75</v>
      </c>
      <c r="G137" s="57" t="s">
        <v>35</v>
      </c>
      <c r="H137" s="57" t="s">
        <v>38</v>
      </c>
      <c r="I137" s="59" t="n">
        <v>2</v>
      </c>
      <c r="J137" s="60" t="n">
        <v>49</v>
      </c>
      <c r="K137" s="60" t="n">
        <v>22</v>
      </c>
      <c r="L137" s="61" t="n">
        <f aca="false">I137*J137</f>
        <v>98</v>
      </c>
      <c r="M137" s="61" t="n">
        <f aca="false">L137-I137*K137</f>
        <v>54</v>
      </c>
      <c r="N137" s="57" t="n">
        <f aca="false">IF(COUNTIFS(E$2:E137,E137,C$2:C137,C137)=1,1,0)</f>
        <v>1</v>
      </c>
      <c r="O137" s="57" t="n">
        <f aca="false">IF(COUNTIFS(E$2:E137,E137,C$2:C137,C137,D$2:D137,D137)=1,1,0)</f>
        <v>1</v>
      </c>
      <c r="P137" s="57" t="n">
        <f aca="false">IF(AND(C137=Calc!$C$3,OR(Calc!$C$4=0,D137=Calc!$C$4)),ROW(),0)</f>
        <v>0</v>
      </c>
    </row>
    <row r="138" customFormat="false" ht="15" hidden="false" customHeight="false" outlineLevel="0" collapsed="false">
      <c r="A138" s="57" t="s">
        <v>324</v>
      </c>
      <c r="B138" s="58" t="n">
        <v>45344</v>
      </c>
      <c r="C138" s="57" t="n">
        <f aca="false">YEAR(B138)</f>
        <v>2024</v>
      </c>
      <c r="D138" s="57" t="n">
        <f aca="false">MONTH(B138)</f>
        <v>2</v>
      </c>
      <c r="E138" s="57" t="s">
        <v>181</v>
      </c>
      <c r="F138" s="57" t="s">
        <v>69</v>
      </c>
      <c r="G138" s="57" t="s">
        <v>54</v>
      </c>
      <c r="H138" s="57" t="s">
        <v>53</v>
      </c>
      <c r="I138" s="59" t="n">
        <v>1</v>
      </c>
      <c r="J138" s="60" t="n">
        <v>39</v>
      </c>
      <c r="K138" s="60" t="n">
        <v>13</v>
      </c>
      <c r="L138" s="61" t="n">
        <f aca="false">I138*J138</f>
        <v>39</v>
      </c>
      <c r="M138" s="61" t="n">
        <f aca="false">L138-I138*K138</f>
        <v>26</v>
      </c>
      <c r="N138" s="57" t="n">
        <f aca="false">IF(COUNTIFS(E$2:E138,E138,C$2:C138,C138)=1,1,0)</f>
        <v>0</v>
      </c>
      <c r="O138" s="57" t="n">
        <f aca="false">IF(COUNTIFS(E$2:E138,E138,C$2:C138,C138,D$2:D138,D138)=1,1,0)</f>
        <v>0</v>
      </c>
      <c r="P138" s="57" t="n">
        <f aca="false">IF(AND(C138=Calc!$C$3,OR(Calc!$C$4=0,D138=Calc!$C$4)),ROW(),0)</f>
        <v>0</v>
      </c>
    </row>
    <row r="139" customFormat="false" ht="15" hidden="false" customHeight="false" outlineLevel="0" collapsed="false">
      <c r="A139" s="57" t="s">
        <v>325</v>
      </c>
      <c r="B139" s="58" t="n">
        <v>45345</v>
      </c>
      <c r="C139" s="57" t="n">
        <f aca="false">YEAR(B139)</f>
        <v>2024</v>
      </c>
      <c r="D139" s="57" t="n">
        <f aca="false">MONTH(B139)</f>
        <v>2</v>
      </c>
      <c r="E139" s="57" t="s">
        <v>326</v>
      </c>
      <c r="F139" s="57" t="s">
        <v>78</v>
      </c>
      <c r="G139" s="57" t="s">
        <v>40</v>
      </c>
      <c r="H139" s="57" t="s">
        <v>39</v>
      </c>
      <c r="I139" s="59" t="n">
        <v>1</v>
      </c>
      <c r="J139" s="60" t="n">
        <v>54</v>
      </c>
      <c r="K139" s="60" t="n">
        <v>19</v>
      </c>
      <c r="L139" s="61" t="n">
        <f aca="false">I139*J139</f>
        <v>54</v>
      </c>
      <c r="M139" s="61" t="n">
        <f aca="false">L139-I139*K139</f>
        <v>35</v>
      </c>
      <c r="N139" s="57" t="n">
        <f aca="false">IF(COUNTIFS(E$2:E139,E139,C$2:C139,C139)=1,1,0)</f>
        <v>1</v>
      </c>
      <c r="O139" s="57" t="n">
        <f aca="false">IF(COUNTIFS(E$2:E139,E139,C$2:C139,C139,D$2:D139,D139)=1,1,0)</f>
        <v>1</v>
      </c>
      <c r="P139" s="57" t="n">
        <f aca="false">IF(AND(C139=Calc!$C$3,OR(Calc!$C$4=0,D139=Calc!$C$4)),ROW(),0)</f>
        <v>0</v>
      </c>
    </row>
    <row r="140" customFormat="false" ht="15" hidden="false" customHeight="false" outlineLevel="0" collapsed="false">
      <c r="A140" s="57" t="s">
        <v>327</v>
      </c>
      <c r="B140" s="58" t="n">
        <v>45345</v>
      </c>
      <c r="C140" s="57" t="n">
        <f aca="false">YEAR(B140)</f>
        <v>2024</v>
      </c>
      <c r="D140" s="57" t="n">
        <f aca="false">MONTH(B140)</f>
        <v>2</v>
      </c>
      <c r="E140" s="57" t="s">
        <v>328</v>
      </c>
      <c r="F140" s="57" t="s">
        <v>69</v>
      </c>
      <c r="G140" s="57" t="s">
        <v>35</v>
      </c>
      <c r="H140" s="57" t="s">
        <v>34</v>
      </c>
      <c r="I140" s="59" t="n">
        <v>1</v>
      </c>
      <c r="J140" s="60" t="n">
        <v>89</v>
      </c>
      <c r="K140" s="60" t="n">
        <v>41</v>
      </c>
      <c r="L140" s="61" t="n">
        <f aca="false">I140*J140</f>
        <v>89</v>
      </c>
      <c r="M140" s="61" t="n">
        <f aca="false">L140-I140*K140</f>
        <v>48</v>
      </c>
      <c r="N140" s="57" t="n">
        <f aca="false">IF(COUNTIFS(E$2:E140,E140,C$2:C140,C140)=1,1,0)</f>
        <v>1</v>
      </c>
      <c r="O140" s="57" t="n">
        <f aca="false">IF(COUNTIFS(E$2:E140,E140,C$2:C140,C140,D$2:D140,D140)=1,1,0)</f>
        <v>1</v>
      </c>
      <c r="P140" s="57" t="n">
        <f aca="false">IF(AND(C140=Calc!$C$3,OR(Calc!$C$4=0,D140=Calc!$C$4)),ROW(),0)</f>
        <v>0</v>
      </c>
    </row>
    <row r="141" customFormat="false" ht="15" hidden="false" customHeight="false" outlineLevel="0" collapsed="false">
      <c r="A141" s="57" t="s">
        <v>329</v>
      </c>
      <c r="B141" s="58" t="n">
        <v>45345</v>
      </c>
      <c r="C141" s="57" t="n">
        <f aca="false">YEAR(B141)</f>
        <v>2024</v>
      </c>
      <c r="D141" s="57" t="n">
        <f aca="false">MONTH(B141)</f>
        <v>2</v>
      </c>
      <c r="E141" s="57" t="s">
        <v>173</v>
      </c>
      <c r="F141" s="57" t="s">
        <v>69</v>
      </c>
      <c r="G141" s="57" t="s">
        <v>45</v>
      </c>
      <c r="H141" s="57" t="s">
        <v>46</v>
      </c>
      <c r="I141" s="59" t="n">
        <v>1</v>
      </c>
      <c r="J141" s="60" t="n">
        <v>149</v>
      </c>
      <c r="K141" s="60" t="n">
        <v>71</v>
      </c>
      <c r="L141" s="61" t="n">
        <f aca="false">I141*J141</f>
        <v>149</v>
      </c>
      <c r="M141" s="61" t="n">
        <f aca="false">L141-I141*K141</f>
        <v>78</v>
      </c>
      <c r="N141" s="57" t="n">
        <f aca="false">IF(COUNTIFS(E$2:E141,E141,C$2:C141,C141)=1,1,0)</f>
        <v>0</v>
      </c>
      <c r="O141" s="57" t="n">
        <f aca="false">IF(COUNTIFS(E$2:E141,E141,C$2:C141,C141,D$2:D141,D141)=1,1,0)</f>
        <v>0</v>
      </c>
      <c r="P141" s="57" t="n">
        <f aca="false">IF(AND(C141=Calc!$C$3,OR(Calc!$C$4=0,D141=Calc!$C$4)),ROW(),0)</f>
        <v>0</v>
      </c>
    </row>
    <row r="142" customFormat="false" ht="15" hidden="false" customHeight="false" outlineLevel="0" collapsed="false">
      <c r="A142" s="57" t="s">
        <v>330</v>
      </c>
      <c r="B142" s="58" t="n">
        <v>45346</v>
      </c>
      <c r="C142" s="57" t="n">
        <f aca="false">YEAR(B142)</f>
        <v>2024</v>
      </c>
      <c r="D142" s="57" t="n">
        <f aca="false">MONTH(B142)</f>
        <v>2</v>
      </c>
      <c r="E142" s="57" t="s">
        <v>191</v>
      </c>
      <c r="F142" s="57" t="s">
        <v>78</v>
      </c>
      <c r="G142" s="57" t="s">
        <v>45</v>
      </c>
      <c r="H142" s="57" t="s">
        <v>44</v>
      </c>
      <c r="I142" s="59" t="n">
        <v>1</v>
      </c>
      <c r="J142" s="60" t="n">
        <v>119</v>
      </c>
      <c r="K142" s="60" t="n">
        <v>63</v>
      </c>
      <c r="L142" s="61" t="n">
        <f aca="false">I142*J142</f>
        <v>119</v>
      </c>
      <c r="M142" s="61" t="n">
        <f aca="false">L142-I142*K142</f>
        <v>56</v>
      </c>
      <c r="N142" s="57" t="n">
        <f aca="false">IF(COUNTIFS(E$2:E142,E142,C$2:C142,C142)=1,1,0)</f>
        <v>0</v>
      </c>
      <c r="O142" s="57" t="n">
        <f aca="false">IF(COUNTIFS(E$2:E142,E142,C$2:C142,C142,D$2:D142,D142)=1,1,0)</f>
        <v>1</v>
      </c>
      <c r="P142" s="57" t="n">
        <f aca="false">IF(AND(C142=Calc!$C$3,OR(Calc!$C$4=0,D142=Calc!$C$4)),ROW(),0)</f>
        <v>0</v>
      </c>
    </row>
    <row r="143" customFormat="false" ht="15" hidden="false" customHeight="false" outlineLevel="0" collapsed="false">
      <c r="A143" s="57" t="s">
        <v>331</v>
      </c>
      <c r="B143" s="58" t="n">
        <v>45346</v>
      </c>
      <c r="C143" s="57" t="n">
        <f aca="false">YEAR(B143)</f>
        <v>2024</v>
      </c>
      <c r="D143" s="57" t="n">
        <f aca="false">MONTH(B143)</f>
        <v>2</v>
      </c>
      <c r="E143" s="57" t="s">
        <v>332</v>
      </c>
      <c r="F143" s="57" t="s">
        <v>72</v>
      </c>
      <c r="G143" s="57" t="s">
        <v>35</v>
      </c>
      <c r="H143" s="57" t="s">
        <v>37</v>
      </c>
      <c r="I143" s="59" t="n">
        <v>1</v>
      </c>
      <c r="J143" s="60" t="n">
        <v>59</v>
      </c>
      <c r="K143" s="60" t="n">
        <v>27</v>
      </c>
      <c r="L143" s="61" t="n">
        <f aca="false">I143*J143</f>
        <v>59</v>
      </c>
      <c r="M143" s="61" t="n">
        <f aca="false">L143-I143*K143</f>
        <v>32</v>
      </c>
      <c r="N143" s="57" t="n">
        <f aca="false">IF(COUNTIFS(E$2:E143,E143,C$2:C143,C143)=1,1,0)</f>
        <v>1</v>
      </c>
      <c r="O143" s="57" t="n">
        <f aca="false">IF(COUNTIFS(E$2:E143,E143,C$2:C143,C143,D$2:D143,D143)=1,1,0)</f>
        <v>1</v>
      </c>
      <c r="P143" s="57" t="n">
        <f aca="false">IF(AND(C143=Calc!$C$3,OR(Calc!$C$4=0,D143=Calc!$C$4)),ROW(),0)</f>
        <v>0</v>
      </c>
    </row>
    <row r="144" customFormat="false" ht="15" hidden="false" customHeight="false" outlineLevel="0" collapsed="false">
      <c r="A144" s="57" t="s">
        <v>333</v>
      </c>
      <c r="B144" s="58" t="n">
        <v>45346</v>
      </c>
      <c r="C144" s="57" t="n">
        <f aca="false">YEAR(B144)</f>
        <v>2024</v>
      </c>
      <c r="D144" s="57" t="n">
        <f aca="false">MONTH(B144)</f>
        <v>2</v>
      </c>
      <c r="E144" s="57" t="s">
        <v>256</v>
      </c>
      <c r="F144" s="57" t="s">
        <v>69</v>
      </c>
      <c r="G144" s="57" t="s">
        <v>35</v>
      </c>
      <c r="H144" s="57" t="s">
        <v>34</v>
      </c>
      <c r="I144" s="59" t="n">
        <v>1</v>
      </c>
      <c r="J144" s="60" t="n">
        <v>89</v>
      </c>
      <c r="K144" s="60" t="n">
        <v>41</v>
      </c>
      <c r="L144" s="61" t="n">
        <f aca="false">I144*J144</f>
        <v>89</v>
      </c>
      <c r="M144" s="61" t="n">
        <f aca="false">L144-I144*K144</f>
        <v>48</v>
      </c>
      <c r="N144" s="57" t="n">
        <f aca="false">IF(COUNTIFS(E$2:E144,E144,C$2:C144,C144)=1,1,0)</f>
        <v>0</v>
      </c>
      <c r="O144" s="57" t="n">
        <f aca="false">IF(COUNTIFS(E$2:E144,E144,C$2:C144,C144,D$2:D144,D144)=1,1,0)</f>
        <v>0</v>
      </c>
      <c r="P144" s="57" t="n">
        <f aca="false">IF(AND(C144=Calc!$C$3,OR(Calc!$C$4=0,D144=Calc!$C$4)),ROW(),0)</f>
        <v>0</v>
      </c>
    </row>
    <row r="145" customFormat="false" ht="15" hidden="false" customHeight="false" outlineLevel="0" collapsed="false">
      <c r="A145" s="57" t="s">
        <v>334</v>
      </c>
      <c r="B145" s="58" t="n">
        <v>45347</v>
      </c>
      <c r="C145" s="57" t="n">
        <f aca="false">YEAR(B145)</f>
        <v>2024</v>
      </c>
      <c r="D145" s="57" t="n">
        <f aca="false">MONTH(B145)</f>
        <v>2</v>
      </c>
      <c r="E145" s="57" t="s">
        <v>335</v>
      </c>
      <c r="F145" s="57" t="s">
        <v>81</v>
      </c>
      <c r="G145" s="57" t="s">
        <v>35</v>
      </c>
      <c r="H145" s="57" t="s">
        <v>34</v>
      </c>
      <c r="I145" s="59" t="n">
        <v>1</v>
      </c>
      <c r="J145" s="60" t="n">
        <v>89</v>
      </c>
      <c r="K145" s="60" t="n">
        <v>41</v>
      </c>
      <c r="L145" s="61" t="n">
        <f aca="false">I145*J145</f>
        <v>89</v>
      </c>
      <c r="M145" s="61" t="n">
        <f aca="false">L145-I145*K145</f>
        <v>48</v>
      </c>
      <c r="N145" s="57" t="n">
        <f aca="false">IF(COUNTIFS(E$2:E145,E145,C$2:C145,C145)=1,1,0)</f>
        <v>1</v>
      </c>
      <c r="O145" s="57" t="n">
        <f aca="false">IF(COUNTIFS(E$2:E145,E145,C$2:C145,C145,D$2:D145,D145)=1,1,0)</f>
        <v>1</v>
      </c>
      <c r="P145" s="57" t="n">
        <f aca="false">IF(AND(C145=Calc!$C$3,OR(Calc!$C$4=0,D145=Calc!$C$4)),ROW(),0)</f>
        <v>0</v>
      </c>
    </row>
    <row r="146" customFormat="false" ht="15" hidden="false" customHeight="false" outlineLevel="0" collapsed="false">
      <c r="A146" s="57" t="s">
        <v>336</v>
      </c>
      <c r="B146" s="58" t="n">
        <v>45347</v>
      </c>
      <c r="C146" s="57" t="n">
        <f aca="false">YEAR(B146)</f>
        <v>2024</v>
      </c>
      <c r="D146" s="57" t="n">
        <f aca="false">MONTH(B146)</f>
        <v>2</v>
      </c>
      <c r="E146" s="57" t="s">
        <v>173</v>
      </c>
      <c r="F146" s="57" t="s">
        <v>69</v>
      </c>
      <c r="G146" s="57" t="s">
        <v>40</v>
      </c>
      <c r="H146" s="57" t="s">
        <v>39</v>
      </c>
      <c r="I146" s="59" t="n">
        <v>1</v>
      </c>
      <c r="J146" s="60" t="n">
        <v>54</v>
      </c>
      <c r="K146" s="60" t="n">
        <v>19</v>
      </c>
      <c r="L146" s="61" t="n">
        <f aca="false">I146*J146</f>
        <v>54</v>
      </c>
      <c r="M146" s="61" t="n">
        <f aca="false">L146-I146*K146</f>
        <v>35</v>
      </c>
      <c r="N146" s="57" t="n">
        <f aca="false">IF(COUNTIFS(E$2:E146,E146,C$2:C146,C146)=1,1,0)</f>
        <v>0</v>
      </c>
      <c r="O146" s="57" t="n">
        <f aca="false">IF(COUNTIFS(E$2:E146,E146,C$2:C146,C146,D$2:D146,D146)=1,1,0)</f>
        <v>0</v>
      </c>
      <c r="P146" s="57" t="n">
        <f aca="false">IF(AND(C146=Calc!$C$3,OR(Calc!$C$4=0,D146=Calc!$C$4)),ROW(),0)</f>
        <v>0</v>
      </c>
    </row>
    <row r="147" customFormat="false" ht="15" hidden="false" customHeight="false" outlineLevel="0" collapsed="false">
      <c r="A147" s="57" t="s">
        <v>337</v>
      </c>
      <c r="B147" s="58" t="n">
        <v>45348</v>
      </c>
      <c r="C147" s="57" t="n">
        <f aca="false">YEAR(B147)</f>
        <v>2024</v>
      </c>
      <c r="D147" s="57" t="n">
        <f aca="false">MONTH(B147)</f>
        <v>2</v>
      </c>
      <c r="E147" s="57" t="s">
        <v>338</v>
      </c>
      <c r="F147" s="57" t="s">
        <v>78</v>
      </c>
      <c r="G147" s="57" t="s">
        <v>40</v>
      </c>
      <c r="H147" s="57" t="s">
        <v>43</v>
      </c>
      <c r="I147" s="59" t="n">
        <v>1</v>
      </c>
      <c r="J147" s="60" t="n">
        <v>29</v>
      </c>
      <c r="K147" s="60" t="n">
        <v>9</v>
      </c>
      <c r="L147" s="61" t="n">
        <f aca="false">I147*J147</f>
        <v>29</v>
      </c>
      <c r="M147" s="61" t="n">
        <f aca="false">L147-I147*K147</f>
        <v>20</v>
      </c>
      <c r="N147" s="57" t="n">
        <f aca="false">IF(COUNTIFS(E$2:E147,E147,C$2:C147,C147)=1,1,0)</f>
        <v>1</v>
      </c>
      <c r="O147" s="57" t="n">
        <f aca="false">IF(COUNTIFS(E$2:E147,E147,C$2:C147,C147,D$2:D147,D147)=1,1,0)</f>
        <v>1</v>
      </c>
      <c r="P147" s="57" t="n">
        <f aca="false">IF(AND(C147=Calc!$C$3,OR(Calc!$C$4=0,D147=Calc!$C$4)),ROW(),0)</f>
        <v>0</v>
      </c>
    </row>
    <row r="148" customFormat="false" ht="15" hidden="false" customHeight="false" outlineLevel="0" collapsed="false">
      <c r="A148" s="57" t="s">
        <v>339</v>
      </c>
      <c r="B148" s="58" t="n">
        <v>45349</v>
      </c>
      <c r="C148" s="57" t="n">
        <f aca="false">YEAR(B148)</f>
        <v>2024</v>
      </c>
      <c r="D148" s="57" t="n">
        <f aca="false">MONTH(B148)</f>
        <v>2</v>
      </c>
      <c r="E148" s="57" t="s">
        <v>340</v>
      </c>
      <c r="F148" s="57" t="s">
        <v>69</v>
      </c>
      <c r="G148" s="57" t="s">
        <v>45</v>
      </c>
      <c r="H148" s="57" t="s">
        <v>48</v>
      </c>
      <c r="I148" s="59" t="n">
        <v>3</v>
      </c>
      <c r="J148" s="60" t="n">
        <v>99</v>
      </c>
      <c r="K148" s="60" t="n">
        <v>38</v>
      </c>
      <c r="L148" s="61" t="n">
        <f aca="false">I148*J148</f>
        <v>297</v>
      </c>
      <c r="M148" s="61" t="n">
        <f aca="false">L148-I148*K148</f>
        <v>183</v>
      </c>
      <c r="N148" s="57" t="n">
        <f aca="false">IF(COUNTIFS(E$2:E148,E148,C$2:C148,C148)=1,1,0)</f>
        <v>1</v>
      </c>
      <c r="O148" s="57" t="n">
        <f aca="false">IF(COUNTIFS(E$2:E148,E148,C$2:C148,C148,D$2:D148,D148)=1,1,0)</f>
        <v>1</v>
      </c>
      <c r="P148" s="57" t="n">
        <f aca="false">IF(AND(C148=Calc!$C$3,OR(Calc!$C$4=0,D148=Calc!$C$4)),ROW(),0)</f>
        <v>0</v>
      </c>
    </row>
    <row r="149" customFormat="false" ht="15" hidden="false" customHeight="false" outlineLevel="0" collapsed="false">
      <c r="A149" s="57" t="s">
        <v>341</v>
      </c>
      <c r="B149" s="58" t="n">
        <v>45349</v>
      </c>
      <c r="C149" s="57" t="n">
        <f aca="false">YEAR(B149)</f>
        <v>2024</v>
      </c>
      <c r="D149" s="57" t="n">
        <f aca="false">MONTH(B149)</f>
        <v>2</v>
      </c>
      <c r="E149" s="57" t="s">
        <v>342</v>
      </c>
      <c r="F149" s="57" t="s">
        <v>78</v>
      </c>
      <c r="G149" s="57" t="s">
        <v>40</v>
      </c>
      <c r="H149" s="57" t="s">
        <v>43</v>
      </c>
      <c r="I149" s="59" t="n">
        <v>1</v>
      </c>
      <c r="J149" s="60" t="n">
        <v>29</v>
      </c>
      <c r="K149" s="60" t="n">
        <v>9</v>
      </c>
      <c r="L149" s="61" t="n">
        <f aca="false">I149*J149</f>
        <v>29</v>
      </c>
      <c r="M149" s="61" t="n">
        <f aca="false">L149-I149*K149</f>
        <v>20</v>
      </c>
      <c r="N149" s="57" t="n">
        <f aca="false">IF(COUNTIFS(E$2:E149,E149,C$2:C149,C149)=1,1,0)</f>
        <v>1</v>
      </c>
      <c r="O149" s="57" t="n">
        <f aca="false">IF(COUNTIFS(E$2:E149,E149,C$2:C149,C149,D$2:D149,D149)=1,1,0)</f>
        <v>1</v>
      </c>
      <c r="P149" s="57" t="n">
        <f aca="false">IF(AND(C149=Calc!$C$3,OR(Calc!$C$4=0,D149=Calc!$C$4)),ROW(),0)</f>
        <v>0</v>
      </c>
    </row>
    <row r="150" customFormat="false" ht="15" hidden="false" customHeight="false" outlineLevel="0" collapsed="false">
      <c r="A150" s="57" t="s">
        <v>343</v>
      </c>
      <c r="B150" s="58" t="n">
        <v>45349</v>
      </c>
      <c r="C150" s="57" t="n">
        <f aca="false">YEAR(B150)</f>
        <v>2024</v>
      </c>
      <c r="D150" s="57" t="n">
        <f aca="false">MONTH(B150)</f>
        <v>2</v>
      </c>
      <c r="E150" s="57" t="s">
        <v>344</v>
      </c>
      <c r="F150" s="57" t="s">
        <v>81</v>
      </c>
      <c r="G150" s="57" t="s">
        <v>35</v>
      </c>
      <c r="H150" s="57" t="s">
        <v>34</v>
      </c>
      <c r="I150" s="59" t="n">
        <v>1</v>
      </c>
      <c r="J150" s="60" t="n">
        <v>89</v>
      </c>
      <c r="K150" s="60" t="n">
        <v>41</v>
      </c>
      <c r="L150" s="61" t="n">
        <f aca="false">I150*J150</f>
        <v>89</v>
      </c>
      <c r="M150" s="61" t="n">
        <f aca="false">L150-I150*K150</f>
        <v>48</v>
      </c>
      <c r="N150" s="57" t="n">
        <f aca="false">IF(COUNTIFS(E$2:E150,E150,C$2:C150,C150)=1,1,0)</f>
        <v>1</v>
      </c>
      <c r="O150" s="57" t="n">
        <f aca="false">IF(COUNTIFS(E$2:E150,E150,C$2:C150,C150,D$2:D150,D150)=1,1,0)</f>
        <v>1</v>
      </c>
      <c r="P150" s="57" t="n">
        <f aca="false">IF(AND(C150=Calc!$C$3,OR(Calc!$C$4=0,D150=Calc!$C$4)),ROW(),0)</f>
        <v>0</v>
      </c>
    </row>
    <row r="151" customFormat="false" ht="15" hidden="false" customHeight="false" outlineLevel="0" collapsed="false">
      <c r="A151" s="57" t="s">
        <v>345</v>
      </c>
      <c r="B151" s="58" t="n">
        <v>45350</v>
      </c>
      <c r="C151" s="57" t="n">
        <f aca="false">YEAR(B151)</f>
        <v>2024</v>
      </c>
      <c r="D151" s="57" t="n">
        <f aca="false">MONTH(B151)</f>
        <v>2</v>
      </c>
      <c r="E151" s="57" t="s">
        <v>261</v>
      </c>
      <c r="F151" s="57" t="s">
        <v>75</v>
      </c>
      <c r="G151" s="57" t="s">
        <v>40</v>
      </c>
      <c r="H151" s="57" t="s">
        <v>42</v>
      </c>
      <c r="I151" s="59" t="n">
        <v>1</v>
      </c>
      <c r="J151" s="60" t="n">
        <v>79</v>
      </c>
      <c r="K151" s="60" t="n">
        <v>31</v>
      </c>
      <c r="L151" s="61" t="n">
        <f aca="false">I151*J151</f>
        <v>79</v>
      </c>
      <c r="M151" s="61" t="n">
        <f aca="false">L151-I151*K151</f>
        <v>48</v>
      </c>
      <c r="N151" s="57" t="n">
        <f aca="false">IF(COUNTIFS(E$2:E151,E151,C$2:C151,C151)=1,1,0)</f>
        <v>0</v>
      </c>
      <c r="O151" s="57" t="n">
        <f aca="false">IF(COUNTIFS(E$2:E151,E151,C$2:C151,C151,D$2:D151,D151)=1,1,0)</f>
        <v>0</v>
      </c>
      <c r="P151" s="57" t="n">
        <f aca="false">IF(AND(C151=Calc!$C$3,OR(Calc!$C$4=0,D151=Calc!$C$4)),ROW(),0)</f>
        <v>0</v>
      </c>
    </row>
    <row r="152" customFormat="false" ht="15" hidden="false" customHeight="false" outlineLevel="0" collapsed="false">
      <c r="A152" s="57" t="s">
        <v>346</v>
      </c>
      <c r="B152" s="58" t="n">
        <v>45350</v>
      </c>
      <c r="C152" s="57" t="n">
        <f aca="false">YEAR(B152)</f>
        <v>2024</v>
      </c>
      <c r="D152" s="57" t="n">
        <f aca="false">MONTH(B152)</f>
        <v>2</v>
      </c>
      <c r="E152" s="57" t="s">
        <v>347</v>
      </c>
      <c r="F152" s="57" t="s">
        <v>72</v>
      </c>
      <c r="G152" s="57" t="s">
        <v>40</v>
      </c>
      <c r="H152" s="57" t="s">
        <v>41</v>
      </c>
      <c r="I152" s="59" t="n">
        <v>1</v>
      </c>
      <c r="J152" s="60" t="n">
        <v>46</v>
      </c>
      <c r="K152" s="60" t="n">
        <v>16</v>
      </c>
      <c r="L152" s="61" t="n">
        <f aca="false">I152*J152</f>
        <v>46</v>
      </c>
      <c r="M152" s="61" t="n">
        <f aca="false">L152-I152*K152</f>
        <v>30</v>
      </c>
      <c r="N152" s="57" t="n">
        <f aca="false">IF(COUNTIFS(E$2:E152,E152,C$2:C152,C152)=1,1,0)</f>
        <v>1</v>
      </c>
      <c r="O152" s="57" t="n">
        <f aca="false">IF(COUNTIFS(E$2:E152,E152,C$2:C152,C152,D$2:D152,D152)=1,1,0)</f>
        <v>1</v>
      </c>
      <c r="P152" s="57" t="n">
        <f aca="false">IF(AND(C152=Calc!$C$3,OR(Calc!$C$4=0,D152=Calc!$C$4)),ROW(),0)</f>
        <v>0</v>
      </c>
    </row>
    <row r="153" customFormat="false" ht="15" hidden="false" customHeight="false" outlineLevel="0" collapsed="false">
      <c r="A153" s="57" t="s">
        <v>348</v>
      </c>
      <c r="B153" s="58" t="n">
        <v>45351</v>
      </c>
      <c r="C153" s="57" t="n">
        <f aca="false">YEAR(B153)</f>
        <v>2024</v>
      </c>
      <c r="D153" s="57" t="n">
        <f aca="false">MONTH(B153)</f>
        <v>2</v>
      </c>
      <c r="E153" s="57" t="s">
        <v>349</v>
      </c>
      <c r="F153" s="57" t="s">
        <v>72</v>
      </c>
      <c r="G153" s="57" t="s">
        <v>35</v>
      </c>
      <c r="H153" s="57" t="s">
        <v>38</v>
      </c>
      <c r="I153" s="59" t="n">
        <v>3</v>
      </c>
      <c r="J153" s="60" t="n">
        <v>49</v>
      </c>
      <c r="K153" s="60" t="n">
        <v>22</v>
      </c>
      <c r="L153" s="61" t="n">
        <f aca="false">I153*J153</f>
        <v>147</v>
      </c>
      <c r="M153" s="61" t="n">
        <f aca="false">L153-I153*K153</f>
        <v>81</v>
      </c>
      <c r="N153" s="57" t="n">
        <f aca="false">IF(COUNTIFS(E$2:E153,E153,C$2:C153,C153)=1,1,0)</f>
        <v>1</v>
      </c>
      <c r="O153" s="57" t="n">
        <f aca="false">IF(COUNTIFS(E$2:E153,E153,C$2:C153,C153,D$2:D153,D153)=1,1,0)</f>
        <v>1</v>
      </c>
      <c r="P153" s="57" t="n">
        <f aca="false">IF(AND(C153=Calc!$C$3,OR(Calc!$C$4=0,D153=Calc!$C$4)),ROW(),0)</f>
        <v>0</v>
      </c>
    </row>
    <row r="154" customFormat="false" ht="15" hidden="false" customHeight="false" outlineLevel="0" collapsed="false">
      <c r="A154" s="57" t="s">
        <v>350</v>
      </c>
      <c r="B154" s="58" t="n">
        <v>45351</v>
      </c>
      <c r="C154" s="57" t="n">
        <f aca="false">YEAR(B154)</f>
        <v>2024</v>
      </c>
      <c r="D154" s="57" t="n">
        <f aca="false">MONTH(B154)</f>
        <v>2</v>
      </c>
      <c r="E154" s="57" t="s">
        <v>351</v>
      </c>
      <c r="F154" s="57" t="s">
        <v>72</v>
      </c>
      <c r="G154" s="57" t="s">
        <v>35</v>
      </c>
      <c r="H154" s="57" t="s">
        <v>36</v>
      </c>
      <c r="I154" s="59" t="n">
        <v>2</v>
      </c>
      <c r="J154" s="60" t="n">
        <v>179</v>
      </c>
      <c r="K154" s="60" t="n">
        <v>92</v>
      </c>
      <c r="L154" s="61" t="n">
        <f aca="false">I154*J154</f>
        <v>358</v>
      </c>
      <c r="M154" s="61" t="n">
        <f aca="false">L154-I154*K154</f>
        <v>174</v>
      </c>
      <c r="N154" s="57" t="n">
        <f aca="false">IF(COUNTIFS(E$2:E154,E154,C$2:C154,C154)=1,1,0)</f>
        <v>1</v>
      </c>
      <c r="O154" s="57" t="n">
        <f aca="false">IF(COUNTIFS(E$2:E154,E154,C$2:C154,C154,D$2:D154,D154)=1,1,0)</f>
        <v>1</v>
      </c>
      <c r="P154" s="57" t="n">
        <f aca="false">IF(AND(C154=Calc!$C$3,OR(Calc!$C$4=0,D154=Calc!$C$4)),ROW(),0)</f>
        <v>0</v>
      </c>
    </row>
    <row r="155" customFormat="false" ht="15" hidden="false" customHeight="false" outlineLevel="0" collapsed="false">
      <c r="A155" s="57" t="s">
        <v>352</v>
      </c>
      <c r="B155" s="58" t="n">
        <v>45351</v>
      </c>
      <c r="C155" s="57" t="n">
        <f aca="false">YEAR(B155)</f>
        <v>2024</v>
      </c>
      <c r="D155" s="57" t="n">
        <f aca="false">MONTH(B155)</f>
        <v>2</v>
      </c>
      <c r="E155" s="57" t="s">
        <v>353</v>
      </c>
      <c r="F155" s="57" t="s">
        <v>75</v>
      </c>
      <c r="G155" s="57" t="s">
        <v>45</v>
      </c>
      <c r="H155" s="57" t="s">
        <v>46</v>
      </c>
      <c r="I155" s="59" t="n">
        <v>1</v>
      </c>
      <c r="J155" s="60" t="n">
        <v>149</v>
      </c>
      <c r="K155" s="60" t="n">
        <v>71</v>
      </c>
      <c r="L155" s="61" t="n">
        <f aca="false">I155*J155</f>
        <v>149</v>
      </c>
      <c r="M155" s="61" t="n">
        <f aca="false">L155-I155*K155</f>
        <v>78</v>
      </c>
      <c r="N155" s="57" t="n">
        <f aca="false">IF(COUNTIFS(E$2:E155,E155,C$2:C155,C155)=1,1,0)</f>
        <v>1</v>
      </c>
      <c r="O155" s="57" t="n">
        <f aca="false">IF(COUNTIFS(E$2:E155,E155,C$2:C155,C155,D$2:D155,D155)=1,1,0)</f>
        <v>1</v>
      </c>
      <c r="P155" s="57" t="n">
        <f aca="false">IF(AND(C155=Calc!$C$3,OR(Calc!$C$4=0,D155=Calc!$C$4)),ROW(),0)</f>
        <v>0</v>
      </c>
    </row>
    <row r="156" customFormat="false" ht="15" hidden="false" customHeight="false" outlineLevel="0" collapsed="false">
      <c r="A156" s="57" t="s">
        <v>354</v>
      </c>
      <c r="B156" s="58" t="n">
        <v>45352</v>
      </c>
      <c r="C156" s="57" t="n">
        <f aca="false">YEAR(B156)</f>
        <v>2024</v>
      </c>
      <c r="D156" s="57" t="n">
        <f aca="false">MONTH(B156)</f>
        <v>3</v>
      </c>
      <c r="E156" s="57" t="s">
        <v>355</v>
      </c>
      <c r="F156" s="57" t="s">
        <v>78</v>
      </c>
      <c r="G156" s="57" t="s">
        <v>50</v>
      </c>
      <c r="H156" s="57" t="s">
        <v>49</v>
      </c>
      <c r="I156" s="59" t="n">
        <v>1</v>
      </c>
      <c r="J156" s="60" t="n">
        <v>32</v>
      </c>
      <c r="K156" s="60" t="n">
        <v>7</v>
      </c>
      <c r="L156" s="61" t="n">
        <f aca="false">I156*J156</f>
        <v>32</v>
      </c>
      <c r="M156" s="61" t="n">
        <f aca="false">L156-I156*K156</f>
        <v>25</v>
      </c>
      <c r="N156" s="57" t="n">
        <f aca="false">IF(COUNTIFS(E$2:E156,E156,C$2:C156,C156)=1,1,0)</f>
        <v>1</v>
      </c>
      <c r="O156" s="57" t="n">
        <f aca="false">IF(COUNTIFS(E$2:E156,E156,C$2:C156,C156,D$2:D156,D156)=1,1,0)</f>
        <v>1</v>
      </c>
      <c r="P156" s="57" t="n">
        <f aca="false">IF(AND(C156=Calc!$C$3,OR(Calc!$C$4=0,D156=Calc!$C$4)),ROW(),0)</f>
        <v>0</v>
      </c>
    </row>
    <row r="157" customFormat="false" ht="15" hidden="false" customHeight="false" outlineLevel="0" collapsed="false">
      <c r="A157" s="57" t="s">
        <v>356</v>
      </c>
      <c r="B157" s="58" t="n">
        <v>45352</v>
      </c>
      <c r="C157" s="57" t="n">
        <f aca="false">YEAR(B157)</f>
        <v>2024</v>
      </c>
      <c r="D157" s="57" t="n">
        <f aca="false">MONTH(B157)</f>
        <v>3</v>
      </c>
      <c r="E157" s="57" t="s">
        <v>357</v>
      </c>
      <c r="F157" s="57" t="s">
        <v>69</v>
      </c>
      <c r="G157" s="57" t="s">
        <v>40</v>
      </c>
      <c r="H157" s="57" t="s">
        <v>43</v>
      </c>
      <c r="I157" s="59" t="n">
        <v>1</v>
      </c>
      <c r="J157" s="60" t="n">
        <v>29</v>
      </c>
      <c r="K157" s="60" t="n">
        <v>9</v>
      </c>
      <c r="L157" s="61" t="n">
        <f aca="false">I157*J157</f>
        <v>29</v>
      </c>
      <c r="M157" s="61" t="n">
        <f aca="false">L157-I157*K157</f>
        <v>20</v>
      </c>
      <c r="N157" s="57" t="n">
        <f aca="false">IF(COUNTIFS(E$2:E157,E157,C$2:C157,C157)=1,1,0)</f>
        <v>1</v>
      </c>
      <c r="O157" s="57" t="n">
        <f aca="false">IF(COUNTIFS(E$2:E157,E157,C$2:C157,C157,D$2:D157,D157)=1,1,0)</f>
        <v>1</v>
      </c>
      <c r="P157" s="57" t="n">
        <f aca="false">IF(AND(C157=Calc!$C$3,OR(Calc!$C$4=0,D157=Calc!$C$4)),ROW(),0)</f>
        <v>0</v>
      </c>
    </row>
    <row r="158" customFormat="false" ht="15" hidden="false" customHeight="false" outlineLevel="0" collapsed="false">
      <c r="A158" s="57" t="s">
        <v>358</v>
      </c>
      <c r="B158" s="58" t="n">
        <v>45352</v>
      </c>
      <c r="C158" s="57" t="n">
        <f aca="false">YEAR(B158)</f>
        <v>2024</v>
      </c>
      <c r="D158" s="57" t="n">
        <f aca="false">MONTH(B158)</f>
        <v>3</v>
      </c>
      <c r="E158" s="57" t="s">
        <v>359</v>
      </c>
      <c r="F158" s="57" t="s">
        <v>69</v>
      </c>
      <c r="G158" s="57" t="s">
        <v>35</v>
      </c>
      <c r="H158" s="57" t="s">
        <v>37</v>
      </c>
      <c r="I158" s="59" t="n">
        <v>1</v>
      </c>
      <c r="J158" s="60" t="n">
        <v>59</v>
      </c>
      <c r="K158" s="60" t="n">
        <v>27</v>
      </c>
      <c r="L158" s="61" t="n">
        <f aca="false">I158*J158</f>
        <v>59</v>
      </c>
      <c r="M158" s="61" t="n">
        <f aca="false">L158-I158*K158</f>
        <v>32</v>
      </c>
      <c r="N158" s="57" t="n">
        <f aca="false">IF(COUNTIFS(E$2:E158,E158,C$2:C158,C158)=1,1,0)</f>
        <v>1</v>
      </c>
      <c r="O158" s="57" t="n">
        <f aca="false">IF(COUNTIFS(E$2:E158,E158,C$2:C158,C158,D$2:D158,D158)=1,1,0)</f>
        <v>1</v>
      </c>
      <c r="P158" s="57" t="n">
        <f aca="false">IF(AND(C158=Calc!$C$3,OR(Calc!$C$4=0,D158=Calc!$C$4)),ROW(),0)</f>
        <v>0</v>
      </c>
    </row>
    <row r="159" customFormat="false" ht="15" hidden="false" customHeight="false" outlineLevel="0" collapsed="false">
      <c r="A159" s="57" t="s">
        <v>360</v>
      </c>
      <c r="B159" s="58" t="n">
        <v>45353</v>
      </c>
      <c r="C159" s="57" t="n">
        <f aca="false">YEAR(B159)</f>
        <v>2024</v>
      </c>
      <c r="D159" s="57" t="n">
        <f aca="false">MONTH(B159)</f>
        <v>3</v>
      </c>
      <c r="E159" s="57" t="s">
        <v>361</v>
      </c>
      <c r="F159" s="57" t="s">
        <v>69</v>
      </c>
      <c r="G159" s="57" t="s">
        <v>35</v>
      </c>
      <c r="H159" s="57" t="s">
        <v>34</v>
      </c>
      <c r="I159" s="59" t="n">
        <v>2</v>
      </c>
      <c r="J159" s="60" t="n">
        <v>89</v>
      </c>
      <c r="K159" s="60" t="n">
        <v>41</v>
      </c>
      <c r="L159" s="61" t="n">
        <f aca="false">I159*J159</f>
        <v>178</v>
      </c>
      <c r="M159" s="61" t="n">
        <f aca="false">L159-I159*K159</f>
        <v>96</v>
      </c>
      <c r="N159" s="57" t="n">
        <f aca="false">IF(COUNTIFS(E$2:E159,E159,C$2:C159,C159)=1,1,0)</f>
        <v>1</v>
      </c>
      <c r="O159" s="57" t="n">
        <f aca="false">IF(COUNTIFS(E$2:E159,E159,C$2:C159,C159,D$2:D159,D159)=1,1,0)</f>
        <v>1</v>
      </c>
      <c r="P159" s="57" t="n">
        <f aca="false">IF(AND(C159=Calc!$C$3,OR(Calc!$C$4=0,D159=Calc!$C$4)),ROW(),0)</f>
        <v>0</v>
      </c>
    </row>
    <row r="160" customFormat="false" ht="15" hidden="false" customHeight="false" outlineLevel="0" collapsed="false">
      <c r="A160" s="57" t="s">
        <v>362</v>
      </c>
      <c r="B160" s="58" t="n">
        <v>45353</v>
      </c>
      <c r="C160" s="57" t="n">
        <f aca="false">YEAR(B160)</f>
        <v>2024</v>
      </c>
      <c r="D160" s="57" t="n">
        <f aca="false">MONTH(B160)</f>
        <v>3</v>
      </c>
      <c r="E160" s="57" t="s">
        <v>363</v>
      </c>
      <c r="F160" s="57" t="s">
        <v>81</v>
      </c>
      <c r="G160" s="57" t="s">
        <v>35</v>
      </c>
      <c r="H160" s="57" t="s">
        <v>34</v>
      </c>
      <c r="I160" s="59" t="n">
        <v>1</v>
      </c>
      <c r="J160" s="60" t="n">
        <v>89</v>
      </c>
      <c r="K160" s="60" t="n">
        <v>41</v>
      </c>
      <c r="L160" s="61" t="n">
        <f aca="false">I160*J160</f>
        <v>89</v>
      </c>
      <c r="M160" s="61" t="n">
        <f aca="false">L160-I160*K160</f>
        <v>48</v>
      </c>
      <c r="N160" s="57" t="n">
        <f aca="false">IF(COUNTIFS(E$2:E160,E160,C$2:C160,C160)=1,1,0)</f>
        <v>1</v>
      </c>
      <c r="O160" s="57" t="n">
        <f aca="false">IF(COUNTIFS(E$2:E160,E160,C$2:C160,C160,D$2:D160,D160)=1,1,0)</f>
        <v>1</v>
      </c>
      <c r="P160" s="57" t="n">
        <f aca="false">IF(AND(C160=Calc!$C$3,OR(Calc!$C$4=0,D160=Calc!$C$4)),ROW(),0)</f>
        <v>0</v>
      </c>
    </row>
    <row r="161" customFormat="false" ht="15" hidden="false" customHeight="false" outlineLevel="0" collapsed="false">
      <c r="A161" s="57" t="s">
        <v>364</v>
      </c>
      <c r="B161" s="58" t="n">
        <v>45353</v>
      </c>
      <c r="C161" s="57" t="n">
        <f aca="false">YEAR(B161)</f>
        <v>2024</v>
      </c>
      <c r="D161" s="57" t="n">
        <f aca="false">MONTH(B161)</f>
        <v>3</v>
      </c>
      <c r="E161" s="57" t="s">
        <v>85</v>
      </c>
      <c r="F161" s="57" t="s">
        <v>69</v>
      </c>
      <c r="G161" s="57" t="s">
        <v>54</v>
      </c>
      <c r="H161" s="57" t="s">
        <v>55</v>
      </c>
      <c r="I161" s="59" t="n">
        <v>1</v>
      </c>
      <c r="J161" s="60" t="n">
        <v>64</v>
      </c>
      <c r="K161" s="60" t="n">
        <v>25</v>
      </c>
      <c r="L161" s="61" t="n">
        <f aca="false">I161*J161</f>
        <v>64</v>
      </c>
      <c r="M161" s="61" t="n">
        <f aca="false">L161-I161*K161</f>
        <v>39</v>
      </c>
      <c r="N161" s="57" t="n">
        <f aca="false">IF(COUNTIFS(E$2:E161,E161,C$2:C161,C161)=1,1,0)</f>
        <v>0</v>
      </c>
      <c r="O161" s="57" t="n">
        <f aca="false">IF(COUNTIFS(E$2:E161,E161,C$2:C161,C161,D$2:D161,D161)=1,1,0)</f>
        <v>1</v>
      </c>
      <c r="P161" s="57" t="n">
        <f aca="false">IF(AND(C161=Calc!$C$3,OR(Calc!$C$4=0,D161=Calc!$C$4)),ROW(),0)</f>
        <v>0</v>
      </c>
    </row>
    <row r="162" customFormat="false" ht="15" hidden="false" customHeight="false" outlineLevel="0" collapsed="false">
      <c r="A162" s="57" t="s">
        <v>365</v>
      </c>
      <c r="B162" s="58" t="n">
        <v>45354</v>
      </c>
      <c r="C162" s="57" t="n">
        <f aca="false">YEAR(B162)</f>
        <v>2024</v>
      </c>
      <c r="D162" s="57" t="n">
        <f aca="false">MONTH(B162)</f>
        <v>3</v>
      </c>
      <c r="E162" s="57" t="s">
        <v>342</v>
      </c>
      <c r="F162" s="57" t="s">
        <v>78</v>
      </c>
      <c r="G162" s="57" t="s">
        <v>35</v>
      </c>
      <c r="H162" s="57" t="s">
        <v>37</v>
      </c>
      <c r="I162" s="59" t="n">
        <v>1</v>
      </c>
      <c r="J162" s="60" t="n">
        <v>59</v>
      </c>
      <c r="K162" s="60" t="n">
        <v>27</v>
      </c>
      <c r="L162" s="61" t="n">
        <f aca="false">I162*J162</f>
        <v>59</v>
      </c>
      <c r="M162" s="61" t="n">
        <f aca="false">L162-I162*K162</f>
        <v>32</v>
      </c>
      <c r="N162" s="57" t="n">
        <f aca="false">IF(COUNTIFS(E$2:E162,E162,C$2:C162,C162)=1,1,0)</f>
        <v>0</v>
      </c>
      <c r="O162" s="57" t="n">
        <f aca="false">IF(COUNTIFS(E$2:E162,E162,C$2:C162,C162,D$2:D162,D162)=1,1,0)</f>
        <v>1</v>
      </c>
      <c r="P162" s="57" t="n">
        <f aca="false">IF(AND(C162=Calc!$C$3,OR(Calc!$C$4=0,D162=Calc!$C$4)),ROW(),0)</f>
        <v>0</v>
      </c>
    </row>
    <row r="163" customFormat="false" ht="15" hidden="false" customHeight="false" outlineLevel="0" collapsed="false">
      <c r="A163" s="57" t="s">
        <v>366</v>
      </c>
      <c r="B163" s="58" t="n">
        <v>45354</v>
      </c>
      <c r="C163" s="57" t="n">
        <f aca="false">YEAR(B163)</f>
        <v>2024</v>
      </c>
      <c r="D163" s="57" t="n">
        <f aca="false">MONTH(B163)</f>
        <v>3</v>
      </c>
      <c r="E163" s="57" t="s">
        <v>206</v>
      </c>
      <c r="F163" s="57" t="s">
        <v>78</v>
      </c>
      <c r="G163" s="57" t="s">
        <v>35</v>
      </c>
      <c r="H163" s="57" t="s">
        <v>36</v>
      </c>
      <c r="I163" s="59" t="n">
        <v>1</v>
      </c>
      <c r="J163" s="60" t="n">
        <v>179</v>
      </c>
      <c r="K163" s="60" t="n">
        <v>92</v>
      </c>
      <c r="L163" s="61" t="n">
        <f aca="false">I163*J163</f>
        <v>179</v>
      </c>
      <c r="M163" s="61" t="n">
        <f aca="false">L163-I163*K163</f>
        <v>87</v>
      </c>
      <c r="N163" s="57" t="n">
        <f aca="false">IF(COUNTIFS(E$2:E163,E163,C$2:C163,C163)=1,1,0)</f>
        <v>0</v>
      </c>
      <c r="O163" s="57" t="n">
        <f aca="false">IF(COUNTIFS(E$2:E163,E163,C$2:C163,C163,D$2:D163,D163)=1,1,0)</f>
        <v>1</v>
      </c>
      <c r="P163" s="57" t="n">
        <f aca="false">IF(AND(C163=Calc!$C$3,OR(Calc!$C$4=0,D163=Calc!$C$4)),ROW(),0)</f>
        <v>0</v>
      </c>
    </row>
    <row r="164" customFormat="false" ht="15" hidden="false" customHeight="false" outlineLevel="0" collapsed="false">
      <c r="A164" s="57" t="s">
        <v>367</v>
      </c>
      <c r="B164" s="58" t="n">
        <v>45355</v>
      </c>
      <c r="C164" s="57" t="n">
        <f aca="false">YEAR(B164)</f>
        <v>2024</v>
      </c>
      <c r="D164" s="57" t="n">
        <f aca="false">MONTH(B164)</f>
        <v>3</v>
      </c>
      <c r="E164" s="57" t="s">
        <v>368</v>
      </c>
      <c r="F164" s="57" t="s">
        <v>69</v>
      </c>
      <c r="G164" s="57" t="s">
        <v>35</v>
      </c>
      <c r="H164" s="57" t="s">
        <v>37</v>
      </c>
      <c r="I164" s="59" t="n">
        <v>1</v>
      </c>
      <c r="J164" s="60" t="n">
        <v>59</v>
      </c>
      <c r="K164" s="60" t="n">
        <v>27</v>
      </c>
      <c r="L164" s="61" t="n">
        <f aca="false">I164*J164</f>
        <v>59</v>
      </c>
      <c r="M164" s="61" t="n">
        <f aca="false">L164-I164*K164</f>
        <v>32</v>
      </c>
      <c r="N164" s="57" t="n">
        <f aca="false">IF(COUNTIFS(E$2:E164,E164,C$2:C164,C164)=1,1,0)</f>
        <v>1</v>
      </c>
      <c r="O164" s="57" t="n">
        <f aca="false">IF(COUNTIFS(E$2:E164,E164,C$2:C164,C164,D$2:D164,D164)=1,1,0)</f>
        <v>1</v>
      </c>
      <c r="P164" s="57" t="n">
        <f aca="false">IF(AND(C164=Calc!$C$3,OR(Calc!$C$4=0,D164=Calc!$C$4)),ROW(),0)</f>
        <v>0</v>
      </c>
    </row>
    <row r="165" customFormat="false" ht="15" hidden="false" customHeight="false" outlineLevel="0" collapsed="false">
      <c r="A165" s="57" t="s">
        <v>369</v>
      </c>
      <c r="B165" s="58" t="n">
        <v>45355</v>
      </c>
      <c r="C165" s="57" t="n">
        <f aca="false">YEAR(B165)</f>
        <v>2024</v>
      </c>
      <c r="D165" s="57" t="n">
        <f aca="false">MONTH(B165)</f>
        <v>3</v>
      </c>
      <c r="E165" s="57" t="s">
        <v>370</v>
      </c>
      <c r="F165" s="57" t="s">
        <v>75</v>
      </c>
      <c r="G165" s="57" t="s">
        <v>35</v>
      </c>
      <c r="H165" s="57" t="s">
        <v>37</v>
      </c>
      <c r="I165" s="59" t="n">
        <v>1</v>
      </c>
      <c r="J165" s="60" t="n">
        <v>59</v>
      </c>
      <c r="K165" s="60" t="n">
        <v>27</v>
      </c>
      <c r="L165" s="61" t="n">
        <f aca="false">I165*J165</f>
        <v>59</v>
      </c>
      <c r="M165" s="61" t="n">
        <f aca="false">L165-I165*K165</f>
        <v>32</v>
      </c>
      <c r="N165" s="57" t="n">
        <f aca="false">IF(COUNTIFS(E$2:E165,E165,C$2:C165,C165)=1,1,0)</f>
        <v>1</v>
      </c>
      <c r="O165" s="57" t="n">
        <f aca="false">IF(COUNTIFS(E$2:E165,E165,C$2:C165,C165,D$2:D165,D165)=1,1,0)</f>
        <v>1</v>
      </c>
      <c r="P165" s="57" t="n">
        <f aca="false">IF(AND(C165=Calc!$C$3,OR(Calc!$C$4=0,D165=Calc!$C$4)),ROW(),0)</f>
        <v>0</v>
      </c>
    </row>
    <row r="166" customFormat="false" ht="15" hidden="false" customHeight="false" outlineLevel="0" collapsed="false">
      <c r="A166" s="57" t="s">
        <v>371</v>
      </c>
      <c r="B166" s="58" t="n">
        <v>45356</v>
      </c>
      <c r="C166" s="57" t="n">
        <f aca="false">YEAR(B166)</f>
        <v>2024</v>
      </c>
      <c r="D166" s="57" t="n">
        <f aca="false">MONTH(B166)</f>
        <v>3</v>
      </c>
      <c r="E166" s="57" t="s">
        <v>372</v>
      </c>
      <c r="F166" s="57" t="s">
        <v>81</v>
      </c>
      <c r="G166" s="57" t="s">
        <v>40</v>
      </c>
      <c r="H166" s="57" t="s">
        <v>39</v>
      </c>
      <c r="I166" s="59" t="n">
        <v>2</v>
      </c>
      <c r="J166" s="60" t="n">
        <v>54</v>
      </c>
      <c r="K166" s="60" t="n">
        <v>19</v>
      </c>
      <c r="L166" s="61" t="n">
        <f aca="false">I166*J166</f>
        <v>108</v>
      </c>
      <c r="M166" s="61" t="n">
        <f aca="false">L166-I166*K166</f>
        <v>70</v>
      </c>
      <c r="N166" s="57" t="n">
        <f aca="false">IF(COUNTIFS(E$2:E166,E166,C$2:C166,C166)=1,1,0)</f>
        <v>1</v>
      </c>
      <c r="O166" s="57" t="n">
        <f aca="false">IF(COUNTIFS(E$2:E166,E166,C$2:C166,C166,D$2:D166,D166)=1,1,0)</f>
        <v>1</v>
      </c>
      <c r="P166" s="57" t="n">
        <f aca="false">IF(AND(C166=Calc!$C$3,OR(Calc!$C$4=0,D166=Calc!$C$4)),ROW(),0)</f>
        <v>0</v>
      </c>
    </row>
    <row r="167" customFormat="false" ht="15" hidden="false" customHeight="false" outlineLevel="0" collapsed="false">
      <c r="A167" s="57" t="s">
        <v>373</v>
      </c>
      <c r="B167" s="58" t="n">
        <v>45356</v>
      </c>
      <c r="C167" s="57" t="n">
        <f aca="false">YEAR(B167)</f>
        <v>2024</v>
      </c>
      <c r="D167" s="57" t="n">
        <f aca="false">MONTH(B167)</f>
        <v>3</v>
      </c>
      <c r="E167" s="57" t="s">
        <v>374</v>
      </c>
      <c r="F167" s="57" t="s">
        <v>69</v>
      </c>
      <c r="G167" s="57" t="s">
        <v>40</v>
      </c>
      <c r="H167" s="57" t="s">
        <v>42</v>
      </c>
      <c r="I167" s="59" t="n">
        <v>1</v>
      </c>
      <c r="J167" s="60" t="n">
        <v>79</v>
      </c>
      <c r="K167" s="60" t="n">
        <v>31</v>
      </c>
      <c r="L167" s="61" t="n">
        <f aca="false">I167*J167</f>
        <v>79</v>
      </c>
      <c r="M167" s="61" t="n">
        <f aca="false">L167-I167*K167</f>
        <v>48</v>
      </c>
      <c r="N167" s="57" t="n">
        <f aca="false">IF(COUNTIFS(E$2:E167,E167,C$2:C167,C167)=1,1,0)</f>
        <v>1</v>
      </c>
      <c r="O167" s="57" t="n">
        <f aca="false">IF(COUNTIFS(E$2:E167,E167,C$2:C167,C167,D$2:D167,D167)=1,1,0)</f>
        <v>1</v>
      </c>
      <c r="P167" s="57" t="n">
        <f aca="false">IF(AND(C167=Calc!$C$3,OR(Calc!$C$4=0,D167=Calc!$C$4)),ROW(),0)</f>
        <v>0</v>
      </c>
    </row>
    <row r="168" customFormat="false" ht="15" hidden="false" customHeight="false" outlineLevel="0" collapsed="false">
      <c r="A168" s="57" t="s">
        <v>375</v>
      </c>
      <c r="B168" s="58" t="n">
        <v>45356</v>
      </c>
      <c r="C168" s="57" t="n">
        <f aca="false">YEAR(B168)</f>
        <v>2024</v>
      </c>
      <c r="D168" s="57" t="n">
        <f aca="false">MONTH(B168)</f>
        <v>3</v>
      </c>
      <c r="E168" s="57" t="s">
        <v>376</v>
      </c>
      <c r="F168" s="57" t="s">
        <v>78</v>
      </c>
      <c r="G168" s="57" t="s">
        <v>35</v>
      </c>
      <c r="H168" s="57" t="s">
        <v>34</v>
      </c>
      <c r="I168" s="59" t="n">
        <v>1</v>
      </c>
      <c r="J168" s="60" t="n">
        <v>89</v>
      </c>
      <c r="K168" s="60" t="n">
        <v>41</v>
      </c>
      <c r="L168" s="61" t="n">
        <f aca="false">I168*J168</f>
        <v>89</v>
      </c>
      <c r="M168" s="61" t="n">
        <f aca="false">L168-I168*K168</f>
        <v>48</v>
      </c>
      <c r="N168" s="57" t="n">
        <f aca="false">IF(COUNTIFS(E$2:E168,E168,C$2:C168,C168)=1,1,0)</f>
        <v>1</v>
      </c>
      <c r="O168" s="57" t="n">
        <f aca="false">IF(COUNTIFS(E$2:E168,E168,C$2:C168,C168,D$2:D168,D168)=1,1,0)</f>
        <v>1</v>
      </c>
      <c r="P168" s="57" t="n">
        <f aca="false">IF(AND(C168=Calc!$C$3,OR(Calc!$C$4=0,D168=Calc!$C$4)),ROW(),0)</f>
        <v>0</v>
      </c>
    </row>
    <row r="169" customFormat="false" ht="15" hidden="false" customHeight="false" outlineLevel="0" collapsed="false">
      <c r="A169" s="57" t="s">
        <v>377</v>
      </c>
      <c r="B169" s="58" t="n">
        <v>45357</v>
      </c>
      <c r="C169" s="57" t="n">
        <f aca="false">YEAR(B169)</f>
        <v>2024</v>
      </c>
      <c r="D169" s="57" t="n">
        <f aca="false">MONTH(B169)</f>
        <v>3</v>
      </c>
      <c r="E169" s="57" t="s">
        <v>378</v>
      </c>
      <c r="F169" s="57" t="s">
        <v>75</v>
      </c>
      <c r="G169" s="57" t="s">
        <v>35</v>
      </c>
      <c r="H169" s="57" t="s">
        <v>37</v>
      </c>
      <c r="I169" s="59" t="n">
        <v>1</v>
      </c>
      <c r="J169" s="60" t="n">
        <v>59</v>
      </c>
      <c r="K169" s="60" t="n">
        <v>27</v>
      </c>
      <c r="L169" s="61" t="n">
        <f aca="false">I169*J169</f>
        <v>59</v>
      </c>
      <c r="M169" s="61" t="n">
        <f aca="false">L169-I169*K169</f>
        <v>32</v>
      </c>
      <c r="N169" s="57" t="n">
        <f aca="false">IF(COUNTIFS(E$2:E169,E169,C$2:C169,C169)=1,1,0)</f>
        <v>1</v>
      </c>
      <c r="O169" s="57" t="n">
        <f aca="false">IF(COUNTIFS(E$2:E169,E169,C$2:C169,C169,D$2:D169,D169)=1,1,0)</f>
        <v>1</v>
      </c>
      <c r="P169" s="57" t="n">
        <f aca="false">IF(AND(C169=Calc!$C$3,OR(Calc!$C$4=0,D169=Calc!$C$4)),ROW(),0)</f>
        <v>0</v>
      </c>
    </row>
    <row r="170" customFormat="false" ht="15" hidden="false" customHeight="false" outlineLevel="0" collapsed="false">
      <c r="A170" s="57" t="s">
        <v>379</v>
      </c>
      <c r="B170" s="58" t="n">
        <v>45357</v>
      </c>
      <c r="C170" s="57" t="n">
        <f aca="false">YEAR(B170)</f>
        <v>2024</v>
      </c>
      <c r="D170" s="57" t="n">
        <f aca="false">MONTH(B170)</f>
        <v>3</v>
      </c>
      <c r="E170" s="57" t="s">
        <v>380</v>
      </c>
      <c r="F170" s="57" t="s">
        <v>69</v>
      </c>
      <c r="G170" s="57" t="s">
        <v>35</v>
      </c>
      <c r="H170" s="57" t="s">
        <v>37</v>
      </c>
      <c r="I170" s="59" t="n">
        <v>2</v>
      </c>
      <c r="J170" s="60" t="n">
        <v>59</v>
      </c>
      <c r="K170" s="60" t="n">
        <v>27</v>
      </c>
      <c r="L170" s="61" t="n">
        <f aca="false">I170*J170</f>
        <v>118</v>
      </c>
      <c r="M170" s="61" t="n">
        <f aca="false">L170-I170*K170</f>
        <v>64</v>
      </c>
      <c r="N170" s="57" t="n">
        <f aca="false">IF(COUNTIFS(E$2:E170,E170,C$2:C170,C170)=1,1,0)</f>
        <v>1</v>
      </c>
      <c r="O170" s="57" t="n">
        <f aca="false">IF(COUNTIFS(E$2:E170,E170,C$2:C170,C170,D$2:D170,D170)=1,1,0)</f>
        <v>1</v>
      </c>
      <c r="P170" s="57" t="n">
        <f aca="false">IF(AND(C170=Calc!$C$3,OR(Calc!$C$4=0,D170=Calc!$C$4)),ROW(),0)</f>
        <v>0</v>
      </c>
    </row>
    <row r="171" customFormat="false" ht="15" hidden="false" customHeight="false" outlineLevel="0" collapsed="false">
      <c r="A171" s="57" t="s">
        <v>381</v>
      </c>
      <c r="B171" s="58" t="n">
        <v>45358</v>
      </c>
      <c r="C171" s="57" t="n">
        <f aca="false">YEAR(B171)</f>
        <v>2024</v>
      </c>
      <c r="D171" s="57" t="n">
        <f aca="false">MONTH(B171)</f>
        <v>3</v>
      </c>
      <c r="E171" s="57" t="s">
        <v>382</v>
      </c>
      <c r="F171" s="57" t="s">
        <v>69</v>
      </c>
      <c r="G171" s="57" t="s">
        <v>50</v>
      </c>
      <c r="H171" s="57" t="s">
        <v>52</v>
      </c>
      <c r="I171" s="59" t="n">
        <v>1</v>
      </c>
      <c r="J171" s="60" t="n">
        <v>45</v>
      </c>
      <c r="K171" s="60" t="n">
        <v>14</v>
      </c>
      <c r="L171" s="61" t="n">
        <f aca="false">I171*J171</f>
        <v>45</v>
      </c>
      <c r="M171" s="61" t="n">
        <f aca="false">L171-I171*K171</f>
        <v>31</v>
      </c>
      <c r="N171" s="57" t="n">
        <f aca="false">IF(COUNTIFS(E$2:E171,E171,C$2:C171,C171)=1,1,0)</f>
        <v>1</v>
      </c>
      <c r="O171" s="57" t="n">
        <f aca="false">IF(COUNTIFS(E$2:E171,E171,C$2:C171,C171,D$2:D171,D171)=1,1,0)</f>
        <v>1</v>
      </c>
      <c r="P171" s="57" t="n">
        <f aca="false">IF(AND(C171=Calc!$C$3,OR(Calc!$C$4=0,D171=Calc!$C$4)),ROW(),0)</f>
        <v>0</v>
      </c>
    </row>
    <row r="172" customFormat="false" ht="15" hidden="false" customHeight="false" outlineLevel="0" collapsed="false">
      <c r="A172" s="57" t="s">
        <v>383</v>
      </c>
      <c r="B172" s="58" t="n">
        <v>45358</v>
      </c>
      <c r="C172" s="57" t="n">
        <f aca="false">YEAR(B172)</f>
        <v>2024</v>
      </c>
      <c r="D172" s="57" t="n">
        <f aca="false">MONTH(B172)</f>
        <v>3</v>
      </c>
      <c r="E172" s="57" t="s">
        <v>384</v>
      </c>
      <c r="F172" s="57" t="s">
        <v>72</v>
      </c>
      <c r="G172" s="57" t="s">
        <v>40</v>
      </c>
      <c r="H172" s="57" t="s">
        <v>39</v>
      </c>
      <c r="I172" s="59" t="n">
        <v>1</v>
      </c>
      <c r="J172" s="60" t="n">
        <v>54</v>
      </c>
      <c r="K172" s="60" t="n">
        <v>19</v>
      </c>
      <c r="L172" s="61" t="n">
        <f aca="false">I172*J172</f>
        <v>54</v>
      </c>
      <c r="M172" s="61" t="n">
        <f aca="false">L172-I172*K172</f>
        <v>35</v>
      </c>
      <c r="N172" s="57" t="n">
        <f aca="false">IF(COUNTIFS(E$2:E172,E172,C$2:C172,C172)=1,1,0)</f>
        <v>1</v>
      </c>
      <c r="O172" s="57" t="n">
        <f aca="false">IF(COUNTIFS(E$2:E172,E172,C$2:C172,C172,D$2:D172,D172)=1,1,0)</f>
        <v>1</v>
      </c>
      <c r="P172" s="57" t="n">
        <f aca="false">IF(AND(C172=Calc!$C$3,OR(Calc!$C$4=0,D172=Calc!$C$4)),ROW(),0)</f>
        <v>0</v>
      </c>
    </row>
    <row r="173" customFormat="false" ht="15" hidden="false" customHeight="false" outlineLevel="0" collapsed="false">
      <c r="A173" s="57" t="s">
        <v>385</v>
      </c>
      <c r="B173" s="58" t="n">
        <v>45358</v>
      </c>
      <c r="C173" s="57" t="n">
        <f aca="false">YEAR(B173)</f>
        <v>2024</v>
      </c>
      <c r="D173" s="57" t="n">
        <f aca="false">MONTH(B173)</f>
        <v>3</v>
      </c>
      <c r="E173" s="57" t="s">
        <v>386</v>
      </c>
      <c r="F173" s="57" t="s">
        <v>78</v>
      </c>
      <c r="G173" s="57" t="s">
        <v>35</v>
      </c>
      <c r="H173" s="57" t="s">
        <v>37</v>
      </c>
      <c r="I173" s="59" t="n">
        <v>1</v>
      </c>
      <c r="J173" s="60" t="n">
        <v>59</v>
      </c>
      <c r="K173" s="60" t="n">
        <v>27</v>
      </c>
      <c r="L173" s="61" t="n">
        <f aca="false">I173*J173</f>
        <v>59</v>
      </c>
      <c r="M173" s="61" t="n">
        <f aca="false">L173-I173*K173</f>
        <v>32</v>
      </c>
      <c r="N173" s="57" t="n">
        <f aca="false">IF(COUNTIFS(E$2:E173,E173,C$2:C173,C173)=1,1,0)</f>
        <v>1</v>
      </c>
      <c r="O173" s="57" t="n">
        <f aca="false">IF(COUNTIFS(E$2:E173,E173,C$2:C173,C173,D$2:D173,D173)=1,1,0)</f>
        <v>1</v>
      </c>
      <c r="P173" s="57" t="n">
        <f aca="false">IF(AND(C173=Calc!$C$3,OR(Calc!$C$4=0,D173=Calc!$C$4)),ROW(),0)</f>
        <v>0</v>
      </c>
    </row>
    <row r="174" customFormat="false" ht="15" hidden="false" customHeight="false" outlineLevel="0" collapsed="false">
      <c r="A174" s="57" t="s">
        <v>387</v>
      </c>
      <c r="B174" s="58" t="n">
        <v>45358</v>
      </c>
      <c r="C174" s="57" t="n">
        <f aca="false">YEAR(B174)</f>
        <v>2024</v>
      </c>
      <c r="D174" s="57" t="n">
        <f aca="false">MONTH(B174)</f>
        <v>3</v>
      </c>
      <c r="E174" s="57" t="s">
        <v>388</v>
      </c>
      <c r="F174" s="57" t="s">
        <v>75</v>
      </c>
      <c r="G174" s="57" t="s">
        <v>35</v>
      </c>
      <c r="H174" s="57" t="s">
        <v>34</v>
      </c>
      <c r="I174" s="59" t="n">
        <v>1</v>
      </c>
      <c r="J174" s="60" t="n">
        <v>89</v>
      </c>
      <c r="K174" s="60" t="n">
        <v>41</v>
      </c>
      <c r="L174" s="61" t="n">
        <f aca="false">I174*J174</f>
        <v>89</v>
      </c>
      <c r="M174" s="61" t="n">
        <f aca="false">L174-I174*K174</f>
        <v>48</v>
      </c>
      <c r="N174" s="57" t="n">
        <f aca="false">IF(COUNTIFS(E$2:E174,E174,C$2:C174,C174)=1,1,0)</f>
        <v>1</v>
      </c>
      <c r="O174" s="57" t="n">
        <f aca="false">IF(COUNTIFS(E$2:E174,E174,C$2:C174,C174,D$2:D174,D174)=1,1,0)</f>
        <v>1</v>
      </c>
      <c r="P174" s="57" t="n">
        <f aca="false">IF(AND(C174=Calc!$C$3,OR(Calc!$C$4=0,D174=Calc!$C$4)),ROW(),0)</f>
        <v>0</v>
      </c>
    </row>
    <row r="175" customFormat="false" ht="15" hidden="false" customHeight="false" outlineLevel="0" collapsed="false">
      <c r="A175" s="57" t="s">
        <v>389</v>
      </c>
      <c r="B175" s="58" t="n">
        <v>45359</v>
      </c>
      <c r="C175" s="57" t="n">
        <f aca="false">YEAR(B175)</f>
        <v>2024</v>
      </c>
      <c r="D175" s="57" t="n">
        <f aca="false">MONTH(B175)</f>
        <v>3</v>
      </c>
      <c r="E175" s="57" t="s">
        <v>390</v>
      </c>
      <c r="F175" s="57" t="s">
        <v>72</v>
      </c>
      <c r="G175" s="57" t="s">
        <v>35</v>
      </c>
      <c r="H175" s="57" t="s">
        <v>37</v>
      </c>
      <c r="I175" s="59" t="n">
        <v>1</v>
      </c>
      <c r="J175" s="60" t="n">
        <v>59</v>
      </c>
      <c r="K175" s="60" t="n">
        <v>27</v>
      </c>
      <c r="L175" s="61" t="n">
        <f aca="false">I175*J175</f>
        <v>59</v>
      </c>
      <c r="M175" s="61" t="n">
        <f aca="false">L175-I175*K175</f>
        <v>32</v>
      </c>
      <c r="N175" s="57" t="n">
        <f aca="false">IF(COUNTIFS(E$2:E175,E175,C$2:C175,C175)=1,1,0)</f>
        <v>1</v>
      </c>
      <c r="O175" s="57" t="n">
        <f aca="false">IF(COUNTIFS(E$2:E175,E175,C$2:C175,C175,D$2:D175,D175)=1,1,0)</f>
        <v>1</v>
      </c>
      <c r="P175" s="57" t="n">
        <f aca="false">IF(AND(C175=Calc!$C$3,OR(Calc!$C$4=0,D175=Calc!$C$4)),ROW(),0)</f>
        <v>0</v>
      </c>
    </row>
    <row r="176" customFormat="false" ht="15" hidden="false" customHeight="false" outlineLevel="0" collapsed="false">
      <c r="A176" s="57" t="s">
        <v>391</v>
      </c>
      <c r="B176" s="58" t="n">
        <v>45359</v>
      </c>
      <c r="C176" s="57" t="n">
        <f aca="false">YEAR(B176)</f>
        <v>2024</v>
      </c>
      <c r="D176" s="57" t="n">
        <f aca="false">MONTH(B176)</f>
        <v>3</v>
      </c>
      <c r="E176" s="57" t="s">
        <v>89</v>
      </c>
      <c r="F176" s="57" t="s">
        <v>81</v>
      </c>
      <c r="G176" s="57" t="s">
        <v>35</v>
      </c>
      <c r="H176" s="57" t="s">
        <v>36</v>
      </c>
      <c r="I176" s="59" t="n">
        <v>2</v>
      </c>
      <c r="J176" s="60" t="n">
        <v>179</v>
      </c>
      <c r="K176" s="60" t="n">
        <v>92</v>
      </c>
      <c r="L176" s="61" t="n">
        <f aca="false">I176*J176</f>
        <v>358</v>
      </c>
      <c r="M176" s="61" t="n">
        <f aca="false">L176-I176*K176</f>
        <v>174</v>
      </c>
      <c r="N176" s="57" t="n">
        <f aca="false">IF(COUNTIFS(E$2:E176,E176,C$2:C176,C176)=1,1,0)</f>
        <v>0</v>
      </c>
      <c r="O176" s="57" t="n">
        <f aca="false">IF(COUNTIFS(E$2:E176,E176,C$2:C176,C176,D$2:D176,D176)=1,1,0)</f>
        <v>1</v>
      </c>
      <c r="P176" s="57" t="n">
        <f aca="false">IF(AND(C176=Calc!$C$3,OR(Calc!$C$4=0,D176=Calc!$C$4)),ROW(),0)</f>
        <v>0</v>
      </c>
    </row>
    <row r="177" customFormat="false" ht="15" hidden="false" customHeight="false" outlineLevel="0" collapsed="false">
      <c r="A177" s="57" t="s">
        <v>392</v>
      </c>
      <c r="B177" s="58" t="n">
        <v>45359</v>
      </c>
      <c r="C177" s="57" t="n">
        <f aca="false">YEAR(B177)</f>
        <v>2024</v>
      </c>
      <c r="D177" s="57" t="n">
        <f aca="false">MONTH(B177)</f>
        <v>3</v>
      </c>
      <c r="E177" s="57" t="s">
        <v>393</v>
      </c>
      <c r="F177" s="57" t="s">
        <v>78</v>
      </c>
      <c r="G177" s="57" t="s">
        <v>45</v>
      </c>
      <c r="H177" s="57" t="s">
        <v>47</v>
      </c>
      <c r="I177" s="59" t="n">
        <v>1</v>
      </c>
      <c r="J177" s="60" t="n">
        <v>34</v>
      </c>
      <c r="K177" s="60" t="n">
        <v>12</v>
      </c>
      <c r="L177" s="61" t="n">
        <f aca="false">I177*J177</f>
        <v>34</v>
      </c>
      <c r="M177" s="61" t="n">
        <f aca="false">L177-I177*K177</f>
        <v>22</v>
      </c>
      <c r="N177" s="57" t="n">
        <f aca="false">IF(COUNTIFS(E$2:E177,E177,C$2:C177,C177)=1,1,0)</f>
        <v>1</v>
      </c>
      <c r="O177" s="57" t="n">
        <f aca="false">IF(COUNTIFS(E$2:E177,E177,C$2:C177,C177,D$2:D177,D177)=1,1,0)</f>
        <v>1</v>
      </c>
      <c r="P177" s="57" t="n">
        <f aca="false">IF(AND(C177=Calc!$C$3,OR(Calc!$C$4=0,D177=Calc!$C$4)),ROW(),0)</f>
        <v>0</v>
      </c>
    </row>
    <row r="178" customFormat="false" ht="15" hidden="false" customHeight="false" outlineLevel="0" collapsed="false">
      <c r="A178" s="57" t="s">
        <v>394</v>
      </c>
      <c r="B178" s="58" t="n">
        <v>45360</v>
      </c>
      <c r="C178" s="57" t="n">
        <f aca="false">YEAR(B178)</f>
        <v>2024</v>
      </c>
      <c r="D178" s="57" t="n">
        <f aca="false">MONTH(B178)</f>
        <v>3</v>
      </c>
      <c r="E178" s="57" t="s">
        <v>395</v>
      </c>
      <c r="F178" s="57" t="s">
        <v>69</v>
      </c>
      <c r="G178" s="57" t="s">
        <v>35</v>
      </c>
      <c r="H178" s="57" t="s">
        <v>37</v>
      </c>
      <c r="I178" s="59" t="n">
        <v>1</v>
      </c>
      <c r="J178" s="60" t="n">
        <v>59</v>
      </c>
      <c r="K178" s="60" t="n">
        <v>27</v>
      </c>
      <c r="L178" s="61" t="n">
        <f aca="false">I178*J178</f>
        <v>59</v>
      </c>
      <c r="M178" s="61" t="n">
        <f aca="false">L178-I178*K178</f>
        <v>32</v>
      </c>
      <c r="N178" s="57" t="n">
        <f aca="false">IF(COUNTIFS(E$2:E178,E178,C$2:C178,C178)=1,1,0)</f>
        <v>1</v>
      </c>
      <c r="O178" s="57" t="n">
        <f aca="false">IF(COUNTIFS(E$2:E178,E178,C$2:C178,C178,D$2:D178,D178)=1,1,0)</f>
        <v>1</v>
      </c>
      <c r="P178" s="57" t="n">
        <f aca="false">IF(AND(C178=Calc!$C$3,OR(Calc!$C$4=0,D178=Calc!$C$4)),ROW(),0)</f>
        <v>0</v>
      </c>
    </row>
    <row r="179" customFormat="false" ht="15" hidden="false" customHeight="false" outlineLevel="0" collapsed="false">
      <c r="A179" s="57" t="s">
        <v>396</v>
      </c>
      <c r="B179" s="58" t="n">
        <v>45360</v>
      </c>
      <c r="C179" s="57" t="n">
        <f aca="false">YEAR(B179)</f>
        <v>2024</v>
      </c>
      <c r="D179" s="57" t="n">
        <f aca="false">MONTH(B179)</f>
        <v>3</v>
      </c>
      <c r="E179" s="57" t="s">
        <v>397</v>
      </c>
      <c r="F179" s="57" t="s">
        <v>72</v>
      </c>
      <c r="G179" s="57" t="s">
        <v>45</v>
      </c>
      <c r="H179" s="57" t="s">
        <v>44</v>
      </c>
      <c r="I179" s="59" t="n">
        <v>1</v>
      </c>
      <c r="J179" s="60" t="n">
        <v>119</v>
      </c>
      <c r="K179" s="60" t="n">
        <v>63</v>
      </c>
      <c r="L179" s="61" t="n">
        <f aca="false">I179*J179</f>
        <v>119</v>
      </c>
      <c r="M179" s="61" t="n">
        <f aca="false">L179-I179*K179</f>
        <v>56</v>
      </c>
      <c r="N179" s="57" t="n">
        <f aca="false">IF(COUNTIFS(E$2:E179,E179,C$2:C179,C179)=1,1,0)</f>
        <v>1</v>
      </c>
      <c r="O179" s="57" t="n">
        <f aca="false">IF(COUNTIFS(E$2:E179,E179,C$2:C179,C179,D$2:D179,D179)=1,1,0)</f>
        <v>1</v>
      </c>
      <c r="P179" s="57" t="n">
        <f aca="false">IF(AND(C179=Calc!$C$3,OR(Calc!$C$4=0,D179=Calc!$C$4)),ROW(),0)</f>
        <v>0</v>
      </c>
    </row>
    <row r="180" customFormat="false" ht="15" hidden="false" customHeight="false" outlineLevel="0" collapsed="false">
      <c r="A180" s="57" t="s">
        <v>398</v>
      </c>
      <c r="B180" s="58" t="n">
        <v>45361</v>
      </c>
      <c r="C180" s="57" t="n">
        <f aca="false">YEAR(B180)</f>
        <v>2024</v>
      </c>
      <c r="D180" s="57" t="n">
        <f aca="false">MONTH(B180)</f>
        <v>3</v>
      </c>
      <c r="E180" s="57" t="s">
        <v>399</v>
      </c>
      <c r="F180" s="57" t="s">
        <v>69</v>
      </c>
      <c r="G180" s="57" t="s">
        <v>45</v>
      </c>
      <c r="H180" s="57" t="s">
        <v>44</v>
      </c>
      <c r="I180" s="59" t="n">
        <v>1</v>
      </c>
      <c r="J180" s="60" t="n">
        <v>119</v>
      </c>
      <c r="K180" s="60" t="n">
        <v>63</v>
      </c>
      <c r="L180" s="61" t="n">
        <f aca="false">I180*J180</f>
        <v>119</v>
      </c>
      <c r="M180" s="61" t="n">
        <f aca="false">L180-I180*K180</f>
        <v>56</v>
      </c>
      <c r="N180" s="57" t="n">
        <f aca="false">IF(COUNTIFS(E$2:E180,E180,C$2:C180,C180)=1,1,0)</f>
        <v>1</v>
      </c>
      <c r="O180" s="57" t="n">
        <f aca="false">IF(COUNTIFS(E$2:E180,E180,C$2:C180,C180,D$2:D180,D180)=1,1,0)</f>
        <v>1</v>
      </c>
      <c r="P180" s="57" t="n">
        <f aca="false">IF(AND(C180=Calc!$C$3,OR(Calc!$C$4=0,D180=Calc!$C$4)),ROW(),0)</f>
        <v>0</v>
      </c>
    </row>
    <row r="181" customFormat="false" ht="15" hidden="false" customHeight="false" outlineLevel="0" collapsed="false">
      <c r="A181" s="57" t="s">
        <v>400</v>
      </c>
      <c r="B181" s="58" t="n">
        <v>45362</v>
      </c>
      <c r="C181" s="57" t="n">
        <f aca="false">YEAR(B181)</f>
        <v>2024</v>
      </c>
      <c r="D181" s="57" t="n">
        <f aca="false">MONTH(B181)</f>
        <v>3</v>
      </c>
      <c r="E181" s="57" t="s">
        <v>374</v>
      </c>
      <c r="F181" s="57" t="s">
        <v>69</v>
      </c>
      <c r="G181" s="57" t="s">
        <v>35</v>
      </c>
      <c r="H181" s="57" t="s">
        <v>36</v>
      </c>
      <c r="I181" s="59" t="n">
        <v>3</v>
      </c>
      <c r="J181" s="60" t="n">
        <v>179</v>
      </c>
      <c r="K181" s="60" t="n">
        <v>92</v>
      </c>
      <c r="L181" s="61" t="n">
        <f aca="false">I181*J181</f>
        <v>537</v>
      </c>
      <c r="M181" s="61" t="n">
        <f aca="false">L181-I181*K181</f>
        <v>261</v>
      </c>
      <c r="N181" s="57" t="n">
        <f aca="false">IF(COUNTIFS(E$2:E181,E181,C$2:C181,C181)=1,1,0)</f>
        <v>0</v>
      </c>
      <c r="O181" s="57" t="n">
        <f aca="false">IF(COUNTIFS(E$2:E181,E181,C$2:C181,C181,D$2:D181,D181)=1,1,0)</f>
        <v>0</v>
      </c>
      <c r="P181" s="57" t="n">
        <f aca="false">IF(AND(C181=Calc!$C$3,OR(Calc!$C$4=0,D181=Calc!$C$4)),ROW(),0)</f>
        <v>0</v>
      </c>
    </row>
    <row r="182" customFormat="false" ht="15" hidden="false" customHeight="false" outlineLevel="0" collapsed="false">
      <c r="A182" s="57" t="s">
        <v>401</v>
      </c>
      <c r="B182" s="58" t="n">
        <v>45363</v>
      </c>
      <c r="C182" s="57" t="n">
        <f aca="false">YEAR(B182)</f>
        <v>2024</v>
      </c>
      <c r="D182" s="57" t="n">
        <f aca="false">MONTH(B182)</f>
        <v>3</v>
      </c>
      <c r="E182" s="57" t="s">
        <v>402</v>
      </c>
      <c r="F182" s="57" t="s">
        <v>75</v>
      </c>
      <c r="G182" s="57" t="s">
        <v>50</v>
      </c>
      <c r="H182" s="57" t="s">
        <v>52</v>
      </c>
      <c r="I182" s="59" t="n">
        <v>1</v>
      </c>
      <c r="J182" s="60" t="n">
        <v>45</v>
      </c>
      <c r="K182" s="60" t="n">
        <v>14</v>
      </c>
      <c r="L182" s="61" t="n">
        <f aca="false">I182*J182</f>
        <v>45</v>
      </c>
      <c r="M182" s="61" t="n">
        <f aca="false">L182-I182*K182</f>
        <v>31</v>
      </c>
      <c r="N182" s="57" t="n">
        <f aca="false">IF(COUNTIFS(E$2:E182,E182,C$2:C182,C182)=1,1,0)</f>
        <v>1</v>
      </c>
      <c r="O182" s="57" t="n">
        <f aca="false">IF(COUNTIFS(E$2:E182,E182,C$2:C182,C182,D$2:D182,D182)=1,1,0)</f>
        <v>1</v>
      </c>
      <c r="P182" s="57" t="n">
        <f aca="false">IF(AND(C182=Calc!$C$3,OR(Calc!$C$4=0,D182=Calc!$C$4)),ROW(),0)</f>
        <v>0</v>
      </c>
    </row>
    <row r="183" customFormat="false" ht="15" hidden="false" customHeight="false" outlineLevel="0" collapsed="false">
      <c r="A183" s="57" t="s">
        <v>403</v>
      </c>
      <c r="B183" s="58" t="n">
        <v>45363</v>
      </c>
      <c r="C183" s="57" t="n">
        <f aca="false">YEAR(B183)</f>
        <v>2024</v>
      </c>
      <c r="D183" s="57" t="n">
        <f aca="false">MONTH(B183)</f>
        <v>3</v>
      </c>
      <c r="E183" s="57" t="s">
        <v>404</v>
      </c>
      <c r="F183" s="57" t="s">
        <v>75</v>
      </c>
      <c r="G183" s="57" t="s">
        <v>54</v>
      </c>
      <c r="H183" s="57" t="s">
        <v>55</v>
      </c>
      <c r="I183" s="59" t="n">
        <v>1</v>
      </c>
      <c r="J183" s="60" t="n">
        <v>64</v>
      </c>
      <c r="K183" s="60" t="n">
        <v>25</v>
      </c>
      <c r="L183" s="61" t="n">
        <f aca="false">I183*J183</f>
        <v>64</v>
      </c>
      <c r="M183" s="61" t="n">
        <f aca="false">L183-I183*K183</f>
        <v>39</v>
      </c>
      <c r="N183" s="57" t="n">
        <f aca="false">IF(COUNTIFS(E$2:E183,E183,C$2:C183,C183)=1,1,0)</f>
        <v>1</v>
      </c>
      <c r="O183" s="57" t="n">
        <f aca="false">IF(COUNTIFS(E$2:E183,E183,C$2:C183,C183,D$2:D183,D183)=1,1,0)</f>
        <v>1</v>
      </c>
      <c r="P183" s="57" t="n">
        <f aca="false">IF(AND(C183=Calc!$C$3,OR(Calc!$C$4=0,D183=Calc!$C$4)),ROW(),0)</f>
        <v>0</v>
      </c>
    </row>
    <row r="184" customFormat="false" ht="15" hidden="false" customHeight="false" outlineLevel="0" collapsed="false">
      <c r="A184" s="57" t="s">
        <v>405</v>
      </c>
      <c r="B184" s="58" t="n">
        <v>45363</v>
      </c>
      <c r="C184" s="57" t="n">
        <f aca="false">YEAR(B184)</f>
        <v>2024</v>
      </c>
      <c r="D184" s="57" t="n">
        <f aca="false">MONTH(B184)</f>
        <v>3</v>
      </c>
      <c r="E184" s="57" t="s">
        <v>406</v>
      </c>
      <c r="F184" s="57" t="s">
        <v>69</v>
      </c>
      <c r="G184" s="57" t="s">
        <v>35</v>
      </c>
      <c r="H184" s="57" t="s">
        <v>37</v>
      </c>
      <c r="I184" s="59" t="n">
        <v>1</v>
      </c>
      <c r="J184" s="60" t="n">
        <v>59</v>
      </c>
      <c r="K184" s="60" t="n">
        <v>27</v>
      </c>
      <c r="L184" s="61" t="n">
        <f aca="false">I184*J184</f>
        <v>59</v>
      </c>
      <c r="M184" s="61" t="n">
        <f aca="false">L184-I184*K184</f>
        <v>32</v>
      </c>
      <c r="N184" s="57" t="n">
        <f aca="false">IF(COUNTIFS(E$2:E184,E184,C$2:C184,C184)=1,1,0)</f>
        <v>1</v>
      </c>
      <c r="O184" s="57" t="n">
        <f aca="false">IF(COUNTIFS(E$2:E184,E184,C$2:C184,C184,D$2:D184,D184)=1,1,0)</f>
        <v>1</v>
      </c>
      <c r="P184" s="57" t="n">
        <f aca="false">IF(AND(C184=Calc!$C$3,OR(Calc!$C$4=0,D184=Calc!$C$4)),ROW(),0)</f>
        <v>0</v>
      </c>
    </row>
    <row r="185" customFormat="false" ht="15" hidden="false" customHeight="false" outlineLevel="0" collapsed="false">
      <c r="A185" s="57" t="s">
        <v>407</v>
      </c>
      <c r="B185" s="58" t="n">
        <v>45364</v>
      </c>
      <c r="C185" s="57" t="n">
        <f aca="false">YEAR(B185)</f>
        <v>2024</v>
      </c>
      <c r="D185" s="57" t="n">
        <f aca="false">MONTH(B185)</f>
        <v>3</v>
      </c>
      <c r="E185" s="57" t="s">
        <v>376</v>
      </c>
      <c r="F185" s="57" t="s">
        <v>78</v>
      </c>
      <c r="G185" s="57" t="s">
        <v>35</v>
      </c>
      <c r="H185" s="57" t="s">
        <v>38</v>
      </c>
      <c r="I185" s="59" t="n">
        <v>1</v>
      </c>
      <c r="J185" s="60" t="n">
        <v>49</v>
      </c>
      <c r="K185" s="60" t="n">
        <v>22</v>
      </c>
      <c r="L185" s="61" t="n">
        <f aca="false">I185*J185</f>
        <v>49</v>
      </c>
      <c r="M185" s="61" t="n">
        <f aca="false">L185-I185*K185</f>
        <v>27</v>
      </c>
      <c r="N185" s="57" t="n">
        <f aca="false">IF(COUNTIFS(E$2:E185,E185,C$2:C185,C185)=1,1,0)</f>
        <v>0</v>
      </c>
      <c r="O185" s="57" t="n">
        <f aca="false">IF(COUNTIFS(E$2:E185,E185,C$2:C185,C185,D$2:D185,D185)=1,1,0)</f>
        <v>0</v>
      </c>
      <c r="P185" s="57" t="n">
        <f aca="false">IF(AND(C185=Calc!$C$3,OR(Calc!$C$4=0,D185=Calc!$C$4)),ROW(),0)</f>
        <v>0</v>
      </c>
    </row>
    <row r="186" customFormat="false" ht="15" hidden="false" customHeight="false" outlineLevel="0" collapsed="false">
      <c r="A186" s="57" t="s">
        <v>408</v>
      </c>
      <c r="B186" s="58" t="n">
        <v>45364</v>
      </c>
      <c r="C186" s="57" t="n">
        <f aca="false">YEAR(B186)</f>
        <v>2024</v>
      </c>
      <c r="D186" s="57" t="n">
        <f aca="false">MONTH(B186)</f>
        <v>3</v>
      </c>
      <c r="E186" s="57" t="s">
        <v>409</v>
      </c>
      <c r="F186" s="57" t="s">
        <v>75</v>
      </c>
      <c r="G186" s="57" t="s">
        <v>40</v>
      </c>
      <c r="H186" s="57" t="s">
        <v>39</v>
      </c>
      <c r="I186" s="59" t="n">
        <v>1</v>
      </c>
      <c r="J186" s="60" t="n">
        <v>54</v>
      </c>
      <c r="K186" s="60" t="n">
        <v>19</v>
      </c>
      <c r="L186" s="61" t="n">
        <f aca="false">I186*J186</f>
        <v>54</v>
      </c>
      <c r="M186" s="61" t="n">
        <f aca="false">L186-I186*K186</f>
        <v>35</v>
      </c>
      <c r="N186" s="57" t="n">
        <f aca="false">IF(COUNTIFS(E$2:E186,E186,C$2:C186,C186)=1,1,0)</f>
        <v>1</v>
      </c>
      <c r="O186" s="57" t="n">
        <f aca="false">IF(COUNTIFS(E$2:E186,E186,C$2:C186,C186,D$2:D186,D186)=1,1,0)</f>
        <v>1</v>
      </c>
      <c r="P186" s="57" t="n">
        <f aca="false">IF(AND(C186=Calc!$C$3,OR(Calc!$C$4=0,D186=Calc!$C$4)),ROW(),0)</f>
        <v>0</v>
      </c>
    </row>
    <row r="187" customFormat="false" ht="15" hidden="false" customHeight="false" outlineLevel="0" collapsed="false">
      <c r="A187" s="57" t="s">
        <v>410</v>
      </c>
      <c r="B187" s="58" t="n">
        <v>45365</v>
      </c>
      <c r="C187" s="57" t="n">
        <f aca="false">YEAR(B187)</f>
        <v>2024</v>
      </c>
      <c r="D187" s="57" t="n">
        <f aca="false">MONTH(B187)</f>
        <v>3</v>
      </c>
      <c r="E187" s="57" t="s">
        <v>411</v>
      </c>
      <c r="F187" s="57" t="s">
        <v>72</v>
      </c>
      <c r="G187" s="57" t="s">
        <v>40</v>
      </c>
      <c r="H187" s="57" t="s">
        <v>43</v>
      </c>
      <c r="I187" s="59" t="n">
        <v>1</v>
      </c>
      <c r="J187" s="60" t="n">
        <v>29</v>
      </c>
      <c r="K187" s="60" t="n">
        <v>9</v>
      </c>
      <c r="L187" s="61" t="n">
        <f aca="false">I187*J187</f>
        <v>29</v>
      </c>
      <c r="M187" s="61" t="n">
        <f aca="false">L187-I187*K187</f>
        <v>20</v>
      </c>
      <c r="N187" s="57" t="n">
        <f aca="false">IF(COUNTIFS(E$2:E187,E187,C$2:C187,C187)=1,1,0)</f>
        <v>1</v>
      </c>
      <c r="O187" s="57" t="n">
        <f aca="false">IF(COUNTIFS(E$2:E187,E187,C$2:C187,C187,D$2:D187,D187)=1,1,0)</f>
        <v>1</v>
      </c>
      <c r="P187" s="57" t="n">
        <f aca="false">IF(AND(C187=Calc!$C$3,OR(Calc!$C$4=0,D187=Calc!$C$4)),ROW(),0)</f>
        <v>0</v>
      </c>
    </row>
    <row r="188" customFormat="false" ht="15" hidden="false" customHeight="false" outlineLevel="0" collapsed="false">
      <c r="A188" s="57" t="s">
        <v>412</v>
      </c>
      <c r="B188" s="58" t="n">
        <v>45365</v>
      </c>
      <c r="C188" s="57" t="n">
        <f aca="false">YEAR(B188)</f>
        <v>2024</v>
      </c>
      <c r="D188" s="57" t="n">
        <f aca="false">MONTH(B188)</f>
        <v>3</v>
      </c>
      <c r="E188" s="57" t="s">
        <v>100</v>
      </c>
      <c r="F188" s="57" t="s">
        <v>81</v>
      </c>
      <c r="G188" s="57" t="s">
        <v>40</v>
      </c>
      <c r="H188" s="57" t="s">
        <v>42</v>
      </c>
      <c r="I188" s="59" t="n">
        <v>1</v>
      </c>
      <c r="J188" s="60" t="n">
        <v>79</v>
      </c>
      <c r="K188" s="60" t="n">
        <v>31</v>
      </c>
      <c r="L188" s="61" t="n">
        <f aca="false">I188*J188</f>
        <v>79</v>
      </c>
      <c r="M188" s="61" t="n">
        <f aca="false">L188-I188*K188</f>
        <v>48</v>
      </c>
      <c r="N188" s="57" t="n">
        <f aca="false">IF(COUNTIFS(E$2:E188,E188,C$2:C188,C188)=1,1,0)</f>
        <v>0</v>
      </c>
      <c r="O188" s="57" t="n">
        <f aca="false">IF(COUNTIFS(E$2:E188,E188,C$2:C188,C188,D$2:D188,D188)=1,1,0)</f>
        <v>1</v>
      </c>
      <c r="P188" s="57" t="n">
        <f aca="false">IF(AND(C188=Calc!$C$3,OR(Calc!$C$4=0,D188=Calc!$C$4)),ROW(),0)</f>
        <v>0</v>
      </c>
    </row>
    <row r="189" customFormat="false" ht="15" hidden="false" customHeight="false" outlineLevel="0" collapsed="false">
      <c r="A189" s="57" t="s">
        <v>413</v>
      </c>
      <c r="B189" s="58" t="n">
        <v>45365</v>
      </c>
      <c r="C189" s="57" t="n">
        <f aca="false">YEAR(B189)</f>
        <v>2024</v>
      </c>
      <c r="D189" s="57" t="n">
        <f aca="false">MONTH(B189)</f>
        <v>3</v>
      </c>
      <c r="E189" s="57" t="s">
        <v>304</v>
      </c>
      <c r="F189" s="57" t="s">
        <v>69</v>
      </c>
      <c r="G189" s="57" t="s">
        <v>45</v>
      </c>
      <c r="H189" s="57" t="s">
        <v>48</v>
      </c>
      <c r="I189" s="59" t="n">
        <v>1</v>
      </c>
      <c r="J189" s="60" t="n">
        <v>99</v>
      </c>
      <c r="K189" s="60" t="n">
        <v>38</v>
      </c>
      <c r="L189" s="61" t="n">
        <f aca="false">I189*J189</f>
        <v>99</v>
      </c>
      <c r="M189" s="61" t="n">
        <f aca="false">L189-I189*K189</f>
        <v>61</v>
      </c>
      <c r="N189" s="57" t="n">
        <f aca="false">IF(COUNTIFS(E$2:E189,E189,C$2:C189,C189)=1,1,0)</f>
        <v>0</v>
      </c>
      <c r="O189" s="57" t="n">
        <f aca="false">IF(COUNTIFS(E$2:E189,E189,C$2:C189,C189,D$2:D189,D189)=1,1,0)</f>
        <v>1</v>
      </c>
      <c r="P189" s="57" t="n">
        <f aca="false">IF(AND(C189=Calc!$C$3,OR(Calc!$C$4=0,D189=Calc!$C$4)),ROW(),0)</f>
        <v>0</v>
      </c>
    </row>
    <row r="190" customFormat="false" ht="15" hidden="false" customHeight="false" outlineLevel="0" collapsed="false">
      <c r="A190" s="57" t="s">
        <v>414</v>
      </c>
      <c r="B190" s="58" t="n">
        <v>45365</v>
      </c>
      <c r="C190" s="57" t="n">
        <f aca="false">YEAR(B190)</f>
        <v>2024</v>
      </c>
      <c r="D190" s="57" t="n">
        <f aca="false">MONTH(B190)</f>
        <v>3</v>
      </c>
      <c r="E190" s="57" t="s">
        <v>415</v>
      </c>
      <c r="F190" s="57" t="s">
        <v>75</v>
      </c>
      <c r="G190" s="57" t="s">
        <v>40</v>
      </c>
      <c r="H190" s="57" t="s">
        <v>39</v>
      </c>
      <c r="I190" s="59" t="n">
        <v>2</v>
      </c>
      <c r="J190" s="60" t="n">
        <v>54</v>
      </c>
      <c r="K190" s="60" t="n">
        <v>19</v>
      </c>
      <c r="L190" s="61" t="n">
        <f aca="false">I190*J190</f>
        <v>108</v>
      </c>
      <c r="M190" s="61" t="n">
        <f aca="false">L190-I190*K190</f>
        <v>70</v>
      </c>
      <c r="N190" s="57" t="n">
        <f aca="false">IF(COUNTIFS(E$2:E190,E190,C$2:C190,C190)=1,1,0)</f>
        <v>1</v>
      </c>
      <c r="O190" s="57" t="n">
        <f aca="false">IF(COUNTIFS(E$2:E190,E190,C$2:C190,C190,D$2:D190,D190)=1,1,0)</f>
        <v>1</v>
      </c>
      <c r="P190" s="57" t="n">
        <f aca="false">IF(AND(C190=Calc!$C$3,OR(Calc!$C$4=0,D190=Calc!$C$4)),ROW(),0)</f>
        <v>0</v>
      </c>
    </row>
    <row r="191" customFormat="false" ht="15" hidden="false" customHeight="false" outlineLevel="0" collapsed="false">
      <c r="A191" s="57" t="s">
        <v>416</v>
      </c>
      <c r="B191" s="58" t="n">
        <v>45366</v>
      </c>
      <c r="C191" s="57" t="n">
        <f aca="false">YEAR(B191)</f>
        <v>2024</v>
      </c>
      <c r="D191" s="57" t="n">
        <f aca="false">MONTH(B191)</f>
        <v>3</v>
      </c>
      <c r="E191" s="57" t="s">
        <v>152</v>
      </c>
      <c r="F191" s="57" t="s">
        <v>72</v>
      </c>
      <c r="G191" s="57" t="s">
        <v>40</v>
      </c>
      <c r="H191" s="57" t="s">
        <v>39</v>
      </c>
      <c r="I191" s="59" t="n">
        <v>1</v>
      </c>
      <c r="J191" s="60" t="n">
        <v>54</v>
      </c>
      <c r="K191" s="60" t="n">
        <v>19</v>
      </c>
      <c r="L191" s="61" t="n">
        <f aca="false">I191*J191</f>
        <v>54</v>
      </c>
      <c r="M191" s="61" t="n">
        <f aca="false">L191-I191*K191</f>
        <v>35</v>
      </c>
      <c r="N191" s="57" t="n">
        <f aca="false">IF(COUNTIFS(E$2:E191,E191,C$2:C191,C191)=1,1,0)</f>
        <v>0</v>
      </c>
      <c r="O191" s="57" t="n">
        <f aca="false">IF(COUNTIFS(E$2:E191,E191,C$2:C191,C191,D$2:D191,D191)=1,1,0)</f>
        <v>1</v>
      </c>
      <c r="P191" s="57" t="n">
        <f aca="false">IF(AND(C191=Calc!$C$3,OR(Calc!$C$4=0,D191=Calc!$C$4)),ROW(),0)</f>
        <v>0</v>
      </c>
    </row>
    <row r="192" customFormat="false" ht="15" hidden="false" customHeight="false" outlineLevel="0" collapsed="false">
      <c r="A192" s="57" t="s">
        <v>417</v>
      </c>
      <c r="B192" s="58" t="n">
        <v>45366</v>
      </c>
      <c r="C192" s="57" t="n">
        <f aca="false">YEAR(B192)</f>
        <v>2024</v>
      </c>
      <c r="D192" s="57" t="n">
        <f aca="false">MONTH(B192)</f>
        <v>3</v>
      </c>
      <c r="E192" s="57" t="s">
        <v>418</v>
      </c>
      <c r="F192" s="57" t="s">
        <v>78</v>
      </c>
      <c r="G192" s="57" t="s">
        <v>40</v>
      </c>
      <c r="H192" s="57" t="s">
        <v>42</v>
      </c>
      <c r="I192" s="59" t="n">
        <v>1</v>
      </c>
      <c r="J192" s="60" t="n">
        <v>79</v>
      </c>
      <c r="K192" s="60" t="n">
        <v>31</v>
      </c>
      <c r="L192" s="61" t="n">
        <f aca="false">I192*J192</f>
        <v>79</v>
      </c>
      <c r="M192" s="61" t="n">
        <f aca="false">L192-I192*K192</f>
        <v>48</v>
      </c>
      <c r="N192" s="57" t="n">
        <f aca="false">IF(COUNTIFS(E$2:E192,E192,C$2:C192,C192)=1,1,0)</f>
        <v>1</v>
      </c>
      <c r="O192" s="57" t="n">
        <f aca="false">IF(COUNTIFS(E$2:E192,E192,C$2:C192,C192,D$2:D192,D192)=1,1,0)</f>
        <v>1</v>
      </c>
      <c r="P192" s="57" t="n">
        <f aca="false">IF(AND(C192=Calc!$C$3,OR(Calc!$C$4=0,D192=Calc!$C$4)),ROW(),0)</f>
        <v>0</v>
      </c>
    </row>
    <row r="193" customFormat="false" ht="15" hidden="false" customHeight="false" outlineLevel="0" collapsed="false">
      <c r="A193" s="57" t="s">
        <v>419</v>
      </c>
      <c r="B193" s="58" t="n">
        <v>45367</v>
      </c>
      <c r="C193" s="57" t="n">
        <f aca="false">YEAR(B193)</f>
        <v>2024</v>
      </c>
      <c r="D193" s="57" t="n">
        <f aca="false">MONTH(B193)</f>
        <v>3</v>
      </c>
      <c r="E193" s="57" t="s">
        <v>168</v>
      </c>
      <c r="F193" s="57" t="s">
        <v>81</v>
      </c>
      <c r="G193" s="57" t="s">
        <v>35</v>
      </c>
      <c r="H193" s="57" t="s">
        <v>36</v>
      </c>
      <c r="I193" s="59" t="n">
        <v>2</v>
      </c>
      <c r="J193" s="60" t="n">
        <v>179</v>
      </c>
      <c r="K193" s="60" t="n">
        <v>92</v>
      </c>
      <c r="L193" s="61" t="n">
        <f aca="false">I193*J193</f>
        <v>358</v>
      </c>
      <c r="M193" s="61" t="n">
        <f aca="false">L193-I193*K193</f>
        <v>174</v>
      </c>
      <c r="N193" s="57" t="n">
        <f aca="false">IF(COUNTIFS(E$2:E193,E193,C$2:C193,C193)=1,1,0)</f>
        <v>0</v>
      </c>
      <c r="O193" s="57" t="n">
        <f aca="false">IF(COUNTIFS(E$2:E193,E193,C$2:C193,C193,D$2:D193,D193)=1,1,0)</f>
        <v>1</v>
      </c>
      <c r="P193" s="57" t="n">
        <f aca="false">IF(AND(C193=Calc!$C$3,OR(Calc!$C$4=0,D193=Calc!$C$4)),ROW(),0)</f>
        <v>0</v>
      </c>
    </row>
    <row r="194" customFormat="false" ht="15" hidden="false" customHeight="false" outlineLevel="0" collapsed="false">
      <c r="A194" s="57" t="s">
        <v>420</v>
      </c>
      <c r="B194" s="58" t="n">
        <v>45367</v>
      </c>
      <c r="C194" s="57" t="n">
        <f aca="false">YEAR(B194)</f>
        <v>2024</v>
      </c>
      <c r="D194" s="57" t="n">
        <f aca="false">MONTH(B194)</f>
        <v>3</v>
      </c>
      <c r="E194" s="57" t="s">
        <v>361</v>
      </c>
      <c r="F194" s="57" t="s">
        <v>69</v>
      </c>
      <c r="G194" s="57" t="s">
        <v>40</v>
      </c>
      <c r="H194" s="57" t="s">
        <v>39</v>
      </c>
      <c r="I194" s="59" t="n">
        <v>1</v>
      </c>
      <c r="J194" s="60" t="n">
        <v>54</v>
      </c>
      <c r="K194" s="60" t="n">
        <v>19</v>
      </c>
      <c r="L194" s="61" t="n">
        <f aca="false">I194*J194</f>
        <v>54</v>
      </c>
      <c r="M194" s="61" t="n">
        <f aca="false">L194-I194*K194</f>
        <v>35</v>
      </c>
      <c r="N194" s="57" t="n">
        <f aca="false">IF(COUNTIFS(E$2:E194,E194,C$2:C194,C194)=1,1,0)</f>
        <v>0</v>
      </c>
      <c r="O194" s="57" t="n">
        <f aca="false">IF(COUNTIFS(E$2:E194,E194,C$2:C194,C194,D$2:D194,D194)=1,1,0)</f>
        <v>0</v>
      </c>
      <c r="P194" s="57" t="n">
        <f aca="false">IF(AND(C194=Calc!$C$3,OR(Calc!$C$4=0,D194=Calc!$C$4)),ROW(),0)</f>
        <v>0</v>
      </c>
    </row>
    <row r="195" customFormat="false" ht="15" hidden="false" customHeight="false" outlineLevel="0" collapsed="false">
      <c r="A195" s="57" t="s">
        <v>421</v>
      </c>
      <c r="B195" s="58" t="n">
        <v>45367</v>
      </c>
      <c r="C195" s="57" t="n">
        <f aca="false">YEAR(B195)</f>
        <v>2024</v>
      </c>
      <c r="D195" s="57" t="n">
        <f aca="false">MONTH(B195)</f>
        <v>3</v>
      </c>
      <c r="E195" s="57" t="s">
        <v>294</v>
      </c>
      <c r="F195" s="57" t="s">
        <v>69</v>
      </c>
      <c r="G195" s="57" t="s">
        <v>35</v>
      </c>
      <c r="H195" s="57" t="s">
        <v>34</v>
      </c>
      <c r="I195" s="59" t="n">
        <v>1</v>
      </c>
      <c r="J195" s="60" t="n">
        <v>89</v>
      </c>
      <c r="K195" s="60" t="n">
        <v>41</v>
      </c>
      <c r="L195" s="61" t="n">
        <f aca="false">I195*J195</f>
        <v>89</v>
      </c>
      <c r="M195" s="61" t="n">
        <f aca="false">L195-I195*K195</f>
        <v>48</v>
      </c>
      <c r="N195" s="57" t="n">
        <f aca="false">IF(COUNTIFS(E$2:E195,E195,C$2:C195,C195)=1,1,0)</f>
        <v>0</v>
      </c>
      <c r="O195" s="57" t="n">
        <f aca="false">IF(COUNTIFS(E$2:E195,E195,C$2:C195,C195,D$2:D195,D195)=1,1,0)</f>
        <v>1</v>
      </c>
      <c r="P195" s="57" t="n">
        <f aca="false">IF(AND(C195=Calc!$C$3,OR(Calc!$C$4=0,D195=Calc!$C$4)),ROW(),0)</f>
        <v>0</v>
      </c>
    </row>
    <row r="196" customFormat="false" ht="15" hidden="false" customHeight="false" outlineLevel="0" collapsed="false">
      <c r="A196" s="57" t="s">
        <v>422</v>
      </c>
      <c r="B196" s="58" t="n">
        <v>45367</v>
      </c>
      <c r="C196" s="57" t="n">
        <f aca="false">YEAR(B196)</f>
        <v>2024</v>
      </c>
      <c r="D196" s="57" t="n">
        <f aca="false">MONTH(B196)</f>
        <v>3</v>
      </c>
      <c r="E196" s="57" t="s">
        <v>248</v>
      </c>
      <c r="F196" s="57" t="s">
        <v>81</v>
      </c>
      <c r="G196" s="57" t="s">
        <v>45</v>
      </c>
      <c r="H196" s="57" t="s">
        <v>46</v>
      </c>
      <c r="I196" s="59" t="n">
        <v>1</v>
      </c>
      <c r="J196" s="60" t="n">
        <v>149</v>
      </c>
      <c r="K196" s="60" t="n">
        <v>71</v>
      </c>
      <c r="L196" s="61" t="n">
        <f aca="false">I196*J196</f>
        <v>149</v>
      </c>
      <c r="M196" s="61" t="n">
        <f aca="false">L196-I196*K196</f>
        <v>78</v>
      </c>
      <c r="N196" s="57" t="n">
        <f aca="false">IF(COUNTIFS(E$2:E196,E196,C$2:C196,C196)=1,1,0)</f>
        <v>0</v>
      </c>
      <c r="O196" s="57" t="n">
        <f aca="false">IF(COUNTIFS(E$2:E196,E196,C$2:C196,C196,D$2:D196,D196)=1,1,0)</f>
        <v>1</v>
      </c>
      <c r="P196" s="57" t="n">
        <f aca="false">IF(AND(C196=Calc!$C$3,OR(Calc!$C$4=0,D196=Calc!$C$4)),ROW(),0)</f>
        <v>0</v>
      </c>
    </row>
    <row r="197" customFormat="false" ht="15" hidden="false" customHeight="false" outlineLevel="0" collapsed="false">
      <c r="A197" s="57" t="s">
        <v>423</v>
      </c>
      <c r="B197" s="58" t="n">
        <v>45368</v>
      </c>
      <c r="C197" s="57" t="n">
        <f aca="false">YEAR(B197)</f>
        <v>2024</v>
      </c>
      <c r="D197" s="57" t="n">
        <f aca="false">MONTH(B197)</f>
        <v>3</v>
      </c>
      <c r="E197" s="57" t="s">
        <v>424</v>
      </c>
      <c r="F197" s="57" t="s">
        <v>78</v>
      </c>
      <c r="G197" s="57" t="s">
        <v>35</v>
      </c>
      <c r="H197" s="57" t="s">
        <v>36</v>
      </c>
      <c r="I197" s="59" t="n">
        <v>1</v>
      </c>
      <c r="J197" s="60" t="n">
        <v>179</v>
      </c>
      <c r="K197" s="60" t="n">
        <v>92</v>
      </c>
      <c r="L197" s="61" t="n">
        <f aca="false">I197*J197</f>
        <v>179</v>
      </c>
      <c r="M197" s="61" t="n">
        <f aca="false">L197-I197*K197</f>
        <v>87</v>
      </c>
      <c r="N197" s="57" t="n">
        <f aca="false">IF(COUNTIFS(E$2:E197,E197,C$2:C197,C197)=1,1,0)</f>
        <v>1</v>
      </c>
      <c r="O197" s="57" t="n">
        <f aca="false">IF(COUNTIFS(E$2:E197,E197,C$2:C197,C197,D$2:D197,D197)=1,1,0)</f>
        <v>1</v>
      </c>
      <c r="P197" s="57" t="n">
        <f aca="false">IF(AND(C197=Calc!$C$3,OR(Calc!$C$4=0,D197=Calc!$C$4)),ROW(),0)</f>
        <v>0</v>
      </c>
    </row>
    <row r="198" customFormat="false" ht="15" hidden="false" customHeight="false" outlineLevel="0" collapsed="false">
      <c r="A198" s="57" t="s">
        <v>425</v>
      </c>
      <c r="B198" s="58" t="n">
        <v>45368</v>
      </c>
      <c r="C198" s="57" t="n">
        <f aca="false">YEAR(B198)</f>
        <v>2024</v>
      </c>
      <c r="D198" s="57" t="n">
        <f aca="false">MONTH(B198)</f>
        <v>3</v>
      </c>
      <c r="E198" s="57" t="s">
        <v>122</v>
      </c>
      <c r="F198" s="57" t="s">
        <v>81</v>
      </c>
      <c r="G198" s="57" t="s">
        <v>45</v>
      </c>
      <c r="H198" s="57" t="s">
        <v>44</v>
      </c>
      <c r="I198" s="59" t="n">
        <v>1</v>
      </c>
      <c r="J198" s="60" t="n">
        <v>119</v>
      </c>
      <c r="K198" s="60" t="n">
        <v>63</v>
      </c>
      <c r="L198" s="61" t="n">
        <f aca="false">I198*J198</f>
        <v>119</v>
      </c>
      <c r="M198" s="61" t="n">
        <f aca="false">L198-I198*K198</f>
        <v>56</v>
      </c>
      <c r="N198" s="57" t="n">
        <f aca="false">IF(COUNTIFS(E$2:E198,E198,C$2:C198,C198)=1,1,0)</f>
        <v>0</v>
      </c>
      <c r="O198" s="57" t="n">
        <f aca="false">IF(COUNTIFS(E$2:E198,E198,C$2:C198,C198,D$2:D198,D198)=1,1,0)</f>
        <v>1</v>
      </c>
      <c r="P198" s="57" t="n">
        <f aca="false">IF(AND(C198=Calc!$C$3,OR(Calc!$C$4=0,D198=Calc!$C$4)),ROW(),0)</f>
        <v>0</v>
      </c>
    </row>
    <row r="199" customFormat="false" ht="15" hidden="false" customHeight="false" outlineLevel="0" collapsed="false">
      <c r="A199" s="57" t="s">
        <v>426</v>
      </c>
      <c r="B199" s="58" t="n">
        <v>45368</v>
      </c>
      <c r="C199" s="57" t="n">
        <f aca="false">YEAR(B199)</f>
        <v>2024</v>
      </c>
      <c r="D199" s="57" t="n">
        <f aca="false">MONTH(B199)</f>
        <v>3</v>
      </c>
      <c r="E199" s="57" t="s">
        <v>355</v>
      </c>
      <c r="F199" s="57" t="s">
        <v>78</v>
      </c>
      <c r="G199" s="57" t="s">
        <v>50</v>
      </c>
      <c r="H199" s="57" t="s">
        <v>52</v>
      </c>
      <c r="I199" s="59" t="n">
        <v>1</v>
      </c>
      <c r="J199" s="60" t="n">
        <v>45</v>
      </c>
      <c r="K199" s="60" t="n">
        <v>14</v>
      </c>
      <c r="L199" s="61" t="n">
        <f aca="false">I199*J199</f>
        <v>45</v>
      </c>
      <c r="M199" s="61" t="n">
        <f aca="false">L199-I199*K199</f>
        <v>31</v>
      </c>
      <c r="N199" s="57" t="n">
        <f aca="false">IF(COUNTIFS(E$2:E199,E199,C$2:C199,C199)=1,1,0)</f>
        <v>0</v>
      </c>
      <c r="O199" s="57" t="n">
        <f aca="false">IF(COUNTIFS(E$2:E199,E199,C$2:C199,C199,D$2:D199,D199)=1,1,0)</f>
        <v>0</v>
      </c>
      <c r="P199" s="57" t="n">
        <f aca="false">IF(AND(C199=Calc!$C$3,OR(Calc!$C$4=0,D199=Calc!$C$4)),ROW(),0)</f>
        <v>0</v>
      </c>
    </row>
    <row r="200" customFormat="false" ht="15" hidden="false" customHeight="false" outlineLevel="0" collapsed="false">
      <c r="A200" s="57" t="s">
        <v>427</v>
      </c>
      <c r="B200" s="58" t="n">
        <v>45368</v>
      </c>
      <c r="C200" s="57" t="n">
        <f aca="false">YEAR(B200)</f>
        <v>2024</v>
      </c>
      <c r="D200" s="57" t="n">
        <f aca="false">MONTH(B200)</f>
        <v>3</v>
      </c>
      <c r="E200" s="57" t="s">
        <v>428</v>
      </c>
      <c r="F200" s="57" t="s">
        <v>78</v>
      </c>
      <c r="G200" s="57" t="s">
        <v>40</v>
      </c>
      <c r="H200" s="57" t="s">
        <v>39</v>
      </c>
      <c r="I200" s="59" t="n">
        <v>1</v>
      </c>
      <c r="J200" s="60" t="n">
        <v>54</v>
      </c>
      <c r="K200" s="60" t="n">
        <v>19</v>
      </c>
      <c r="L200" s="61" t="n">
        <f aca="false">I200*J200</f>
        <v>54</v>
      </c>
      <c r="M200" s="61" t="n">
        <f aca="false">L200-I200*K200</f>
        <v>35</v>
      </c>
      <c r="N200" s="57" t="n">
        <f aca="false">IF(COUNTIFS(E$2:E200,E200,C$2:C200,C200)=1,1,0)</f>
        <v>1</v>
      </c>
      <c r="O200" s="57" t="n">
        <f aca="false">IF(COUNTIFS(E$2:E200,E200,C$2:C200,C200,D$2:D200,D200)=1,1,0)</f>
        <v>1</v>
      </c>
      <c r="P200" s="57" t="n">
        <f aca="false">IF(AND(C200=Calc!$C$3,OR(Calc!$C$4=0,D200=Calc!$C$4)),ROW(),0)</f>
        <v>0</v>
      </c>
    </row>
    <row r="201" customFormat="false" ht="15" hidden="false" customHeight="false" outlineLevel="0" collapsed="false">
      <c r="A201" s="57" t="s">
        <v>429</v>
      </c>
      <c r="B201" s="58" t="n">
        <v>45369</v>
      </c>
      <c r="C201" s="57" t="n">
        <f aca="false">YEAR(B201)</f>
        <v>2024</v>
      </c>
      <c r="D201" s="57" t="n">
        <f aca="false">MONTH(B201)</f>
        <v>3</v>
      </c>
      <c r="E201" s="57" t="s">
        <v>430</v>
      </c>
      <c r="F201" s="57" t="s">
        <v>72</v>
      </c>
      <c r="G201" s="57" t="s">
        <v>45</v>
      </c>
      <c r="H201" s="57" t="s">
        <v>46</v>
      </c>
      <c r="I201" s="59" t="n">
        <v>2</v>
      </c>
      <c r="J201" s="60" t="n">
        <v>149</v>
      </c>
      <c r="K201" s="60" t="n">
        <v>71</v>
      </c>
      <c r="L201" s="61" t="n">
        <f aca="false">I201*J201</f>
        <v>298</v>
      </c>
      <c r="M201" s="61" t="n">
        <f aca="false">L201-I201*K201</f>
        <v>156</v>
      </c>
      <c r="N201" s="57" t="n">
        <f aca="false">IF(COUNTIFS(E$2:E201,E201,C$2:C201,C201)=1,1,0)</f>
        <v>1</v>
      </c>
      <c r="O201" s="57" t="n">
        <f aca="false">IF(COUNTIFS(E$2:E201,E201,C$2:C201,C201,D$2:D201,D201)=1,1,0)</f>
        <v>1</v>
      </c>
      <c r="P201" s="57" t="n">
        <f aca="false">IF(AND(C201=Calc!$C$3,OR(Calc!$C$4=0,D201=Calc!$C$4)),ROW(),0)</f>
        <v>0</v>
      </c>
    </row>
    <row r="202" customFormat="false" ht="15" hidden="false" customHeight="false" outlineLevel="0" collapsed="false">
      <c r="A202" s="57" t="s">
        <v>431</v>
      </c>
      <c r="B202" s="58" t="n">
        <v>45369</v>
      </c>
      <c r="C202" s="57" t="n">
        <f aca="false">YEAR(B202)</f>
        <v>2024</v>
      </c>
      <c r="D202" s="57" t="n">
        <f aca="false">MONTH(B202)</f>
        <v>3</v>
      </c>
      <c r="E202" s="57" t="s">
        <v>148</v>
      </c>
      <c r="F202" s="57" t="s">
        <v>78</v>
      </c>
      <c r="G202" s="57" t="s">
        <v>35</v>
      </c>
      <c r="H202" s="57" t="s">
        <v>38</v>
      </c>
      <c r="I202" s="59" t="n">
        <v>1</v>
      </c>
      <c r="J202" s="60" t="n">
        <v>49</v>
      </c>
      <c r="K202" s="60" t="n">
        <v>22</v>
      </c>
      <c r="L202" s="61" t="n">
        <f aca="false">I202*J202</f>
        <v>49</v>
      </c>
      <c r="M202" s="61" t="n">
        <f aca="false">L202-I202*K202</f>
        <v>27</v>
      </c>
      <c r="N202" s="57" t="n">
        <f aca="false">IF(COUNTIFS(E$2:E202,E202,C$2:C202,C202)=1,1,0)</f>
        <v>0</v>
      </c>
      <c r="O202" s="57" t="n">
        <f aca="false">IF(COUNTIFS(E$2:E202,E202,C$2:C202,C202,D$2:D202,D202)=1,1,0)</f>
        <v>1</v>
      </c>
      <c r="P202" s="57" t="n">
        <f aca="false">IF(AND(C202=Calc!$C$3,OR(Calc!$C$4=0,D202=Calc!$C$4)),ROW(),0)</f>
        <v>0</v>
      </c>
    </row>
    <row r="203" customFormat="false" ht="15" hidden="false" customHeight="false" outlineLevel="0" collapsed="false">
      <c r="A203" s="57" t="s">
        <v>432</v>
      </c>
      <c r="B203" s="58" t="n">
        <v>45369</v>
      </c>
      <c r="C203" s="57" t="n">
        <f aca="false">YEAR(B203)</f>
        <v>2024</v>
      </c>
      <c r="D203" s="57" t="n">
        <f aca="false">MONTH(B203)</f>
        <v>3</v>
      </c>
      <c r="E203" s="57" t="s">
        <v>199</v>
      </c>
      <c r="F203" s="57" t="s">
        <v>72</v>
      </c>
      <c r="G203" s="57" t="s">
        <v>35</v>
      </c>
      <c r="H203" s="57" t="s">
        <v>36</v>
      </c>
      <c r="I203" s="59" t="n">
        <v>2</v>
      </c>
      <c r="J203" s="60" t="n">
        <v>179</v>
      </c>
      <c r="K203" s="60" t="n">
        <v>92</v>
      </c>
      <c r="L203" s="61" t="n">
        <f aca="false">I203*J203</f>
        <v>358</v>
      </c>
      <c r="M203" s="61" t="n">
        <f aca="false">L203-I203*K203</f>
        <v>174</v>
      </c>
      <c r="N203" s="57" t="n">
        <f aca="false">IF(COUNTIFS(E$2:E203,E203,C$2:C203,C203)=1,1,0)</f>
        <v>0</v>
      </c>
      <c r="O203" s="57" t="n">
        <f aca="false">IF(COUNTIFS(E$2:E203,E203,C$2:C203,C203,D$2:D203,D203)=1,1,0)</f>
        <v>1</v>
      </c>
      <c r="P203" s="57" t="n">
        <f aca="false">IF(AND(C203=Calc!$C$3,OR(Calc!$C$4=0,D203=Calc!$C$4)),ROW(),0)</f>
        <v>0</v>
      </c>
    </row>
    <row r="204" customFormat="false" ht="15" hidden="false" customHeight="false" outlineLevel="0" collapsed="false">
      <c r="A204" s="57" t="s">
        <v>433</v>
      </c>
      <c r="B204" s="58" t="n">
        <v>45370</v>
      </c>
      <c r="C204" s="57" t="n">
        <f aca="false">YEAR(B204)</f>
        <v>2024</v>
      </c>
      <c r="D204" s="57" t="n">
        <f aca="false">MONTH(B204)</f>
        <v>3</v>
      </c>
      <c r="E204" s="57" t="s">
        <v>434</v>
      </c>
      <c r="F204" s="57" t="s">
        <v>78</v>
      </c>
      <c r="G204" s="57" t="s">
        <v>40</v>
      </c>
      <c r="H204" s="57" t="s">
        <v>41</v>
      </c>
      <c r="I204" s="59" t="n">
        <v>1</v>
      </c>
      <c r="J204" s="60" t="n">
        <v>46</v>
      </c>
      <c r="K204" s="60" t="n">
        <v>16</v>
      </c>
      <c r="L204" s="61" t="n">
        <f aca="false">I204*J204</f>
        <v>46</v>
      </c>
      <c r="M204" s="61" t="n">
        <f aca="false">L204-I204*K204</f>
        <v>30</v>
      </c>
      <c r="N204" s="57" t="n">
        <f aca="false">IF(COUNTIFS(E$2:E204,E204,C$2:C204,C204)=1,1,0)</f>
        <v>1</v>
      </c>
      <c r="O204" s="57" t="n">
        <f aca="false">IF(COUNTIFS(E$2:E204,E204,C$2:C204,C204,D$2:D204,D204)=1,1,0)</f>
        <v>1</v>
      </c>
      <c r="P204" s="57" t="n">
        <f aca="false">IF(AND(C204=Calc!$C$3,OR(Calc!$C$4=0,D204=Calc!$C$4)),ROW(),0)</f>
        <v>0</v>
      </c>
    </row>
    <row r="205" customFormat="false" ht="15" hidden="false" customHeight="false" outlineLevel="0" collapsed="false">
      <c r="A205" s="57" t="s">
        <v>435</v>
      </c>
      <c r="B205" s="58" t="n">
        <v>45370</v>
      </c>
      <c r="C205" s="57" t="n">
        <f aca="false">YEAR(B205)</f>
        <v>2024</v>
      </c>
      <c r="D205" s="57" t="n">
        <f aca="false">MONTH(B205)</f>
        <v>3</v>
      </c>
      <c r="E205" s="57" t="s">
        <v>418</v>
      </c>
      <c r="F205" s="57" t="s">
        <v>78</v>
      </c>
      <c r="G205" s="57" t="s">
        <v>40</v>
      </c>
      <c r="H205" s="57" t="s">
        <v>39</v>
      </c>
      <c r="I205" s="59" t="n">
        <v>1</v>
      </c>
      <c r="J205" s="60" t="n">
        <v>54</v>
      </c>
      <c r="K205" s="60" t="n">
        <v>19</v>
      </c>
      <c r="L205" s="61" t="n">
        <f aca="false">I205*J205</f>
        <v>54</v>
      </c>
      <c r="M205" s="61" t="n">
        <f aca="false">L205-I205*K205</f>
        <v>35</v>
      </c>
      <c r="N205" s="57" t="n">
        <f aca="false">IF(COUNTIFS(E$2:E205,E205,C$2:C205,C205)=1,1,0)</f>
        <v>0</v>
      </c>
      <c r="O205" s="57" t="n">
        <f aca="false">IF(COUNTIFS(E$2:E205,E205,C$2:C205,C205,D$2:D205,D205)=1,1,0)</f>
        <v>0</v>
      </c>
      <c r="P205" s="57" t="n">
        <f aca="false">IF(AND(C205=Calc!$C$3,OR(Calc!$C$4=0,D205=Calc!$C$4)),ROW(),0)</f>
        <v>0</v>
      </c>
    </row>
    <row r="206" customFormat="false" ht="15" hidden="false" customHeight="false" outlineLevel="0" collapsed="false">
      <c r="A206" s="57" t="s">
        <v>436</v>
      </c>
      <c r="B206" s="58" t="n">
        <v>45370</v>
      </c>
      <c r="C206" s="57" t="n">
        <f aca="false">YEAR(B206)</f>
        <v>2024</v>
      </c>
      <c r="D206" s="57" t="n">
        <f aca="false">MONTH(B206)</f>
        <v>3</v>
      </c>
      <c r="E206" s="57" t="s">
        <v>114</v>
      </c>
      <c r="F206" s="57" t="s">
        <v>69</v>
      </c>
      <c r="G206" s="57" t="s">
        <v>40</v>
      </c>
      <c r="H206" s="57" t="s">
        <v>42</v>
      </c>
      <c r="I206" s="59" t="n">
        <v>1</v>
      </c>
      <c r="J206" s="60" t="n">
        <v>79</v>
      </c>
      <c r="K206" s="60" t="n">
        <v>31</v>
      </c>
      <c r="L206" s="61" t="n">
        <f aca="false">I206*J206</f>
        <v>79</v>
      </c>
      <c r="M206" s="61" t="n">
        <f aca="false">L206-I206*K206</f>
        <v>48</v>
      </c>
      <c r="N206" s="57" t="n">
        <f aca="false">IF(COUNTIFS(E$2:E206,E206,C$2:C206,C206)=1,1,0)</f>
        <v>0</v>
      </c>
      <c r="O206" s="57" t="n">
        <f aca="false">IF(COUNTIFS(E$2:E206,E206,C$2:C206,C206,D$2:D206,D206)=1,1,0)</f>
        <v>1</v>
      </c>
      <c r="P206" s="57" t="n">
        <f aca="false">IF(AND(C206=Calc!$C$3,OR(Calc!$C$4=0,D206=Calc!$C$4)),ROW(),0)</f>
        <v>0</v>
      </c>
    </row>
    <row r="207" customFormat="false" ht="15" hidden="false" customHeight="false" outlineLevel="0" collapsed="false">
      <c r="A207" s="57" t="s">
        <v>437</v>
      </c>
      <c r="B207" s="58" t="n">
        <v>45370</v>
      </c>
      <c r="C207" s="57" t="n">
        <f aca="false">YEAR(B207)</f>
        <v>2024</v>
      </c>
      <c r="D207" s="57" t="n">
        <f aca="false">MONTH(B207)</f>
        <v>3</v>
      </c>
      <c r="E207" s="57" t="s">
        <v>256</v>
      </c>
      <c r="F207" s="57" t="s">
        <v>69</v>
      </c>
      <c r="G207" s="57" t="s">
        <v>35</v>
      </c>
      <c r="H207" s="57" t="s">
        <v>34</v>
      </c>
      <c r="I207" s="59" t="n">
        <v>1</v>
      </c>
      <c r="J207" s="60" t="n">
        <v>89</v>
      </c>
      <c r="K207" s="60" t="n">
        <v>41</v>
      </c>
      <c r="L207" s="61" t="n">
        <f aca="false">I207*J207</f>
        <v>89</v>
      </c>
      <c r="M207" s="61" t="n">
        <f aca="false">L207-I207*K207</f>
        <v>48</v>
      </c>
      <c r="N207" s="57" t="n">
        <f aca="false">IF(COUNTIFS(E$2:E207,E207,C$2:C207,C207)=1,1,0)</f>
        <v>0</v>
      </c>
      <c r="O207" s="57" t="n">
        <f aca="false">IF(COUNTIFS(E$2:E207,E207,C$2:C207,C207,D$2:D207,D207)=1,1,0)</f>
        <v>1</v>
      </c>
      <c r="P207" s="57" t="n">
        <f aca="false">IF(AND(C207=Calc!$C$3,OR(Calc!$C$4=0,D207=Calc!$C$4)),ROW(),0)</f>
        <v>0</v>
      </c>
    </row>
    <row r="208" customFormat="false" ht="15" hidden="false" customHeight="false" outlineLevel="0" collapsed="false">
      <c r="A208" s="57" t="s">
        <v>438</v>
      </c>
      <c r="B208" s="58" t="n">
        <v>45371</v>
      </c>
      <c r="C208" s="57" t="n">
        <f aca="false">YEAR(B208)</f>
        <v>2024</v>
      </c>
      <c r="D208" s="57" t="n">
        <f aca="false">MONTH(B208)</f>
        <v>3</v>
      </c>
      <c r="E208" s="57" t="s">
        <v>219</v>
      </c>
      <c r="F208" s="57" t="s">
        <v>78</v>
      </c>
      <c r="G208" s="57" t="s">
        <v>40</v>
      </c>
      <c r="H208" s="57" t="s">
        <v>41</v>
      </c>
      <c r="I208" s="59" t="n">
        <v>1</v>
      </c>
      <c r="J208" s="60" t="n">
        <v>46</v>
      </c>
      <c r="K208" s="60" t="n">
        <v>16</v>
      </c>
      <c r="L208" s="61" t="n">
        <f aca="false">I208*J208</f>
        <v>46</v>
      </c>
      <c r="M208" s="61" t="n">
        <f aca="false">L208-I208*K208</f>
        <v>30</v>
      </c>
      <c r="N208" s="57" t="n">
        <f aca="false">IF(COUNTIFS(E$2:E208,E208,C$2:C208,C208)=1,1,0)</f>
        <v>0</v>
      </c>
      <c r="O208" s="57" t="n">
        <f aca="false">IF(COUNTIFS(E$2:E208,E208,C$2:C208,C208,D$2:D208,D208)=1,1,0)</f>
        <v>1</v>
      </c>
      <c r="P208" s="57" t="n">
        <f aca="false">IF(AND(C208=Calc!$C$3,OR(Calc!$C$4=0,D208=Calc!$C$4)),ROW(),0)</f>
        <v>0</v>
      </c>
    </row>
    <row r="209" customFormat="false" ht="15" hidden="false" customHeight="false" outlineLevel="0" collapsed="false">
      <c r="A209" s="57" t="s">
        <v>439</v>
      </c>
      <c r="B209" s="58" t="n">
        <v>45371</v>
      </c>
      <c r="C209" s="57" t="n">
        <f aca="false">YEAR(B209)</f>
        <v>2024</v>
      </c>
      <c r="D209" s="57" t="n">
        <f aca="false">MONTH(B209)</f>
        <v>3</v>
      </c>
      <c r="E209" s="57" t="s">
        <v>440</v>
      </c>
      <c r="F209" s="57" t="s">
        <v>78</v>
      </c>
      <c r="G209" s="57" t="s">
        <v>40</v>
      </c>
      <c r="H209" s="57" t="s">
        <v>41</v>
      </c>
      <c r="I209" s="59" t="n">
        <v>1</v>
      </c>
      <c r="J209" s="60" t="n">
        <v>46</v>
      </c>
      <c r="K209" s="60" t="n">
        <v>16</v>
      </c>
      <c r="L209" s="61" t="n">
        <f aca="false">I209*J209</f>
        <v>46</v>
      </c>
      <c r="M209" s="61" t="n">
        <f aca="false">L209-I209*K209</f>
        <v>30</v>
      </c>
      <c r="N209" s="57" t="n">
        <f aca="false">IF(COUNTIFS(E$2:E209,E209,C$2:C209,C209)=1,1,0)</f>
        <v>1</v>
      </c>
      <c r="O209" s="57" t="n">
        <f aca="false">IF(COUNTIFS(E$2:E209,E209,C$2:C209,C209,D$2:D209,D209)=1,1,0)</f>
        <v>1</v>
      </c>
      <c r="P209" s="57" t="n">
        <f aca="false">IF(AND(C209=Calc!$C$3,OR(Calc!$C$4=0,D209=Calc!$C$4)),ROW(),0)</f>
        <v>0</v>
      </c>
    </row>
    <row r="210" customFormat="false" ht="15" hidden="false" customHeight="false" outlineLevel="0" collapsed="false">
      <c r="A210" s="57" t="s">
        <v>441</v>
      </c>
      <c r="B210" s="58" t="n">
        <v>45372</v>
      </c>
      <c r="C210" s="57" t="n">
        <f aca="false">YEAR(B210)</f>
        <v>2024</v>
      </c>
      <c r="D210" s="57" t="n">
        <f aca="false">MONTH(B210)</f>
        <v>3</v>
      </c>
      <c r="E210" s="57" t="s">
        <v>104</v>
      </c>
      <c r="F210" s="57" t="s">
        <v>78</v>
      </c>
      <c r="G210" s="57" t="s">
        <v>45</v>
      </c>
      <c r="H210" s="57" t="s">
        <v>46</v>
      </c>
      <c r="I210" s="59" t="n">
        <v>1</v>
      </c>
      <c r="J210" s="60" t="n">
        <v>149</v>
      </c>
      <c r="K210" s="60" t="n">
        <v>71</v>
      </c>
      <c r="L210" s="61" t="n">
        <f aca="false">I210*J210</f>
        <v>149</v>
      </c>
      <c r="M210" s="61" t="n">
        <f aca="false">L210-I210*K210</f>
        <v>78</v>
      </c>
      <c r="N210" s="57" t="n">
        <f aca="false">IF(COUNTIFS(E$2:E210,E210,C$2:C210,C210)=1,1,0)</f>
        <v>0</v>
      </c>
      <c r="O210" s="57" t="n">
        <f aca="false">IF(COUNTIFS(E$2:E210,E210,C$2:C210,C210,D$2:D210,D210)=1,1,0)</f>
        <v>1</v>
      </c>
      <c r="P210" s="57" t="n">
        <f aca="false">IF(AND(C210=Calc!$C$3,OR(Calc!$C$4=0,D210=Calc!$C$4)),ROW(),0)</f>
        <v>0</v>
      </c>
    </row>
    <row r="211" customFormat="false" ht="15" hidden="false" customHeight="false" outlineLevel="0" collapsed="false">
      <c r="A211" s="57" t="s">
        <v>442</v>
      </c>
      <c r="B211" s="58" t="n">
        <v>45372</v>
      </c>
      <c r="C211" s="57" t="n">
        <f aca="false">YEAR(B211)</f>
        <v>2024</v>
      </c>
      <c r="D211" s="57" t="n">
        <f aca="false">MONTH(B211)</f>
        <v>3</v>
      </c>
      <c r="E211" s="57" t="s">
        <v>443</v>
      </c>
      <c r="F211" s="57" t="s">
        <v>75</v>
      </c>
      <c r="G211" s="57" t="s">
        <v>35</v>
      </c>
      <c r="H211" s="57" t="s">
        <v>38</v>
      </c>
      <c r="I211" s="59" t="n">
        <v>1</v>
      </c>
      <c r="J211" s="60" t="n">
        <v>49</v>
      </c>
      <c r="K211" s="60" t="n">
        <v>22</v>
      </c>
      <c r="L211" s="61" t="n">
        <f aca="false">I211*J211</f>
        <v>49</v>
      </c>
      <c r="M211" s="61" t="n">
        <f aca="false">L211-I211*K211</f>
        <v>27</v>
      </c>
      <c r="N211" s="57" t="n">
        <f aca="false">IF(COUNTIFS(E$2:E211,E211,C$2:C211,C211)=1,1,0)</f>
        <v>1</v>
      </c>
      <c r="O211" s="57" t="n">
        <f aca="false">IF(COUNTIFS(E$2:E211,E211,C$2:C211,C211,D$2:D211,D211)=1,1,0)</f>
        <v>1</v>
      </c>
      <c r="P211" s="57" t="n">
        <f aca="false">IF(AND(C211=Calc!$C$3,OR(Calc!$C$4=0,D211=Calc!$C$4)),ROW(),0)</f>
        <v>0</v>
      </c>
    </row>
    <row r="212" customFormat="false" ht="15" hidden="false" customHeight="false" outlineLevel="0" collapsed="false">
      <c r="A212" s="57" t="s">
        <v>444</v>
      </c>
      <c r="B212" s="58" t="n">
        <v>45372</v>
      </c>
      <c r="C212" s="57" t="n">
        <f aca="false">YEAR(B212)</f>
        <v>2024</v>
      </c>
      <c r="D212" s="57" t="n">
        <f aca="false">MONTH(B212)</f>
        <v>3</v>
      </c>
      <c r="E212" s="57" t="s">
        <v>298</v>
      </c>
      <c r="F212" s="57" t="s">
        <v>75</v>
      </c>
      <c r="G212" s="57" t="s">
        <v>40</v>
      </c>
      <c r="H212" s="57" t="s">
        <v>42</v>
      </c>
      <c r="I212" s="59" t="n">
        <v>2</v>
      </c>
      <c r="J212" s="60" t="n">
        <v>79</v>
      </c>
      <c r="K212" s="60" t="n">
        <v>31</v>
      </c>
      <c r="L212" s="61" t="n">
        <f aca="false">I212*J212</f>
        <v>158</v>
      </c>
      <c r="M212" s="61" t="n">
        <f aca="false">L212-I212*K212</f>
        <v>96</v>
      </c>
      <c r="N212" s="57" t="n">
        <f aca="false">IF(COUNTIFS(E$2:E212,E212,C$2:C212,C212)=1,1,0)</f>
        <v>0</v>
      </c>
      <c r="O212" s="57" t="n">
        <f aca="false">IF(COUNTIFS(E$2:E212,E212,C$2:C212,C212,D$2:D212,D212)=1,1,0)</f>
        <v>1</v>
      </c>
      <c r="P212" s="57" t="n">
        <f aca="false">IF(AND(C212=Calc!$C$3,OR(Calc!$C$4=0,D212=Calc!$C$4)),ROW(),0)</f>
        <v>0</v>
      </c>
    </row>
    <row r="213" customFormat="false" ht="15" hidden="false" customHeight="false" outlineLevel="0" collapsed="false">
      <c r="A213" s="57" t="s">
        <v>445</v>
      </c>
      <c r="B213" s="58" t="n">
        <v>45372</v>
      </c>
      <c r="C213" s="57" t="n">
        <f aca="false">YEAR(B213)</f>
        <v>2024</v>
      </c>
      <c r="D213" s="57" t="n">
        <f aca="false">MONTH(B213)</f>
        <v>3</v>
      </c>
      <c r="E213" s="57" t="s">
        <v>446</v>
      </c>
      <c r="F213" s="57" t="s">
        <v>75</v>
      </c>
      <c r="G213" s="57" t="s">
        <v>35</v>
      </c>
      <c r="H213" s="57" t="s">
        <v>38</v>
      </c>
      <c r="I213" s="59" t="n">
        <v>2</v>
      </c>
      <c r="J213" s="60" t="n">
        <v>49</v>
      </c>
      <c r="K213" s="60" t="n">
        <v>22</v>
      </c>
      <c r="L213" s="61" t="n">
        <f aca="false">I213*J213</f>
        <v>98</v>
      </c>
      <c r="M213" s="61" t="n">
        <f aca="false">L213-I213*K213</f>
        <v>54</v>
      </c>
      <c r="N213" s="57" t="n">
        <f aca="false">IF(COUNTIFS(E$2:E213,E213,C$2:C213,C213)=1,1,0)</f>
        <v>1</v>
      </c>
      <c r="O213" s="57" t="n">
        <f aca="false">IF(COUNTIFS(E$2:E213,E213,C$2:C213,C213,D$2:D213,D213)=1,1,0)</f>
        <v>1</v>
      </c>
      <c r="P213" s="57" t="n">
        <f aca="false">IF(AND(C213=Calc!$C$3,OR(Calc!$C$4=0,D213=Calc!$C$4)),ROW(),0)</f>
        <v>0</v>
      </c>
    </row>
    <row r="214" customFormat="false" ht="15" hidden="false" customHeight="false" outlineLevel="0" collapsed="false">
      <c r="A214" s="57" t="s">
        <v>447</v>
      </c>
      <c r="B214" s="58" t="n">
        <v>45373</v>
      </c>
      <c r="C214" s="57" t="n">
        <f aca="false">YEAR(B214)</f>
        <v>2024</v>
      </c>
      <c r="D214" s="57" t="n">
        <f aca="false">MONTH(B214)</f>
        <v>3</v>
      </c>
      <c r="E214" s="57" t="s">
        <v>448</v>
      </c>
      <c r="F214" s="57" t="s">
        <v>69</v>
      </c>
      <c r="G214" s="57" t="s">
        <v>35</v>
      </c>
      <c r="H214" s="57" t="s">
        <v>37</v>
      </c>
      <c r="I214" s="59" t="n">
        <v>3</v>
      </c>
      <c r="J214" s="60" t="n">
        <v>59</v>
      </c>
      <c r="K214" s="60" t="n">
        <v>27</v>
      </c>
      <c r="L214" s="61" t="n">
        <f aca="false">I214*J214</f>
        <v>177</v>
      </c>
      <c r="M214" s="61" t="n">
        <f aca="false">L214-I214*K214</f>
        <v>96</v>
      </c>
      <c r="N214" s="57" t="n">
        <f aca="false">IF(COUNTIFS(E$2:E214,E214,C$2:C214,C214)=1,1,0)</f>
        <v>1</v>
      </c>
      <c r="O214" s="57" t="n">
        <f aca="false">IF(COUNTIFS(E$2:E214,E214,C$2:C214,C214,D$2:D214,D214)=1,1,0)</f>
        <v>1</v>
      </c>
      <c r="P214" s="57" t="n">
        <f aca="false">IF(AND(C214=Calc!$C$3,OR(Calc!$C$4=0,D214=Calc!$C$4)),ROW(),0)</f>
        <v>0</v>
      </c>
    </row>
    <row r="215" customFormat="false" ht="15" hidden="false" customHeight="false" outlineLevel="0" collapsed="false">
      <c r="A215" s="57" t="s">
        <v>449</v>
      </c>
      <c r="B215" s="58" t="n">
        <v>45373</v>
      </c>
      <c r="C215" s="57" t="n">
        <f aca="false">YEAR(B215)</f>
        <v>2024</v>
      </c>
      <c r="D215" s="57" t="n">
        <f aca="false">MONTH(B215)</f>
        <v>3</v>
      </c>
      <c r="E215" s="57" t="s">
        <v>450</v>
      </c>
      <c r="F215" s="57" t="s">
        <v>81</v>
      </c>
      <c r="G215" s="57" t="s">
        <v>40</v>
      </c>
      <c r="H215" s="57" t="s">
        <v>43</v>
      </c>
      <c r="I215" s="59" t="n">
        <v>1</v>
      </c>
      <c r="J215" s="60" t="n">
        <v>29</v>
      </c>
      <c r="K215" s="60" t="n">
        <v>9</v>
      </c>
      <c r="L215" s="61" t="n">
        <f aca="false">I215*J215</f>
        <v>29</v>
      </c>
      <c r="M215" s="61" t="n">
        <f aca="false">L215-I215*K215</f>
        <v>20</v>
      </c>
      <c r="N215" s="57" t="n">
        <f aca="false">IF(COUNTIFS(E$2:E215,E215,C$2:C215,C215)=1,1,0)</f>
        <v>1</v>
      </c>
      <c r="O215" s="57" t="n">
        <f aca="false">IF(COUNTIFS(E$2:E215,E215,C$2:C215,C215,D$2:D215,D215)=1,1,0)</f>
        <v>1</v>
      </c>
      <c r="P215" s="57" t="n">
        <f aca="false">IF(AND(C215=Calc!$C$3,OR(Calc!$C$4=0,D215=Calc!$C$4)),ROW(),0)</f>
        <v>0</v>
      </c>
    </row>
    <row r="216" customFormat="false" ht="15" hidden="false" customHeight="false" outlineLevel="0" collapsed="false">
      <c r="A216" s="57" t="s">
        <v>451</v>
      </c>
      <c r="B216" s="58" t="n">
        <v>45373</v>
      </c>
      <c r="C216" s="57" t="n">
        <f aca="false">YEAR(B216)</f>
        <v>2024</v>
      </c>
      <c r="D216" s="57" t="n">
        <f aca="false">MONTH(B216)</f>
        <v>3</v>
      </c>
      <c r="E216" s="57" t="s">
        <v>452</v>
      </c>
      <c r="F216" s="57" t="s">
        <v>75</v>
      </c>
      <c r="G216" s="57" t="s">
        <v>45</v>
      </c>
      <c r="H216" s="57" t="s">
        <v>44</v>
      </c>
      <c r="I216" s="59" t="n">
        <v>1</v>
      </c>
      <c r="J216" s="60" t="n">
        <v>119</v>
      </c>
      <c r="K216" s="60" t="n">
        <v>63</v>
      </c>
      <c r="L216" s="61" t="n">
        <f aca="false">I216*J216</f>
        <v>119</v>
      </c>
      <c r="M216" s="61" t="n">
        <f aca="false">L216-I216*K216</f>
        <v>56</v>
      </c>
      <c r="N216" s="57" t="n">
        <f aca="false">IF(COUNTIFS(E$2:E216,E216,C$2:C216,C216)=1,1,0)</f>
        <v>1</v>
      </c>
      <c r="O216" s="57" t="n">
        <f aca="false">IF(COUNTIFS(E$2:E216,E216,C$2:C216,C216,D$2:D216,D216)=1,1,0)</f>
        <v>1</v>
      </c>
      <c r="P216" s="57" t="n">
        <f aca="false">IF(AND(C216=Calc!$C$3,OR(Calc!$C$4=0,D216=Calc!$C$4)),ROW(),0)</f>
        <v>0</v>
      </c>
    </row>
    <row r="217" customFormat="false" ht="15" hidden="false" customHeight="false" outlineLevel="0" collapsed="false">
      <c r="A217" s="57" t="s">
        <v>453</v>
      </c>
      <c r="B217" s="58" t="n">
        <v>45373</v>
      </c>
      <c r="C217" s="57" t="n">
        <f aca="false">YEAR(B217)</f>
        <v>2024</v>
      </c>
      <c r="D217" s="57" t="n">
        <f aca="false">MONTH(B217)</f>
        <v>3</v>
      </c>
      <c r="E217" s="57" t="s">
        <v>338</v>
      </c>
      <c r="F217" s="57" t="s">
        <v>78</v>
      </c>
      <c r="G217" s="57" t="s">
        <v>35</v>
      </c>
      <c r="H217" s="57" t="s">
        <v>34</v>
      </c>
      <c r="I217" s="59" t="n">
        <v>2</v>
      </c>
      <c r="J217" s="60" t="n">
        <v>89</v>
      </c>
      <c r="K217" s="60" t="n">
        <v>41</v>
      </c>
      <c r="L217" s="61" t="n">
        <f aca="false">I217*J217</f>
        <v>178</v>
      </c>
      <c r="M217" s="61" t="n">
        <f aca="false">L217-I217*K217</f>
        <v>96</v>
      </c>
      <c r="N217" s="57" t="n">
        <f aca="false">IF(COUNTIFS(E$2:E217,E217,C$2:C217,C217)=1,1,0)</f>
        <v>0</v>
      </c>
      <c r="O217" s="57" t="n">
        <f aca="false">IF(COUNTIFS(E$2:E217,E217,C$2:C217,C217,D$2:D217,D217)=1,1,0)</f>
        <v>1</v>
      </c>
      <c r="P217" s="57" t="n">
        <f aca="false">IF(AND(C217=Calc!$C$3,OR(Calc!$C$4=0,D217=Calc!$C$4)),ROW(),0)</f>
        <v>0</v>
      </c>
    </row>
    <row r="218" customFormat="false" ht="15" hidden="false" customHeight="false" outlineLevel="0" collapsed="false">
      <c r="A218" s="57" t="s">
        <v>454</v>
      </c>
      <c r="B218" s="58" t="n">
        <v>45373</v>
      </c>
      <c r="C218" s="57" t="n">
        <f aca="false">YEAR(B218)</f>
        <v>2024</v>
      </c>
      <c r="D218" s="57" t="n">
        <f aca="false">MONTH(B218)</f>
        <v>3</v>
      </c>
      <c r="E218" s="57" t="s">
        <v>455</v>
      </c>
      <c r="F218" s="57" t="s">
        <v>69</v>
      </c>
      <c r="G218" s="57" t="s">
        <v>35</v>
      </c>
      <c r="H218" s="57" t="s">
        <v>38</v>
      </c>
      <c r="I218" s="59" t="n">
        <v>2</v>
      </c>
      <c r="J218" s="60" t="n">
        <v>49</v>
      </c>
      <c r="K218" s="60" t="n">
        <v>22</v>
      </c>
      <c r="L218" s="61" t="n">
        <f aca="false">I218*J218</f>
        <v>98</v>
      </c>
      <c r="M218" s="61" t="n">
        <f aca="false">L218-I218*K218</f>
        <v>54</v>
      </c>
      <c r="N218" s="57" t="n">
        <f aca="false">IF(COUNTIFS(E$2:E218,E218,C$2:C218,C218)=1,1,0)</f>
        <v>1</v>
      </c>
      <c r="O218" s="57" t="n">
        <f aca="false">IF(COUNTIFS(E$2:E218,E218,C$2:C218,C218,D$2:D218,D218)=1,1,0)</f>
        <v>1</v>
      </c>
      <c r="P218" s="57" t="n">
        <f aca="false">IF(AND(C218=Calc!$C$3,OR(Calc!$C$4=0,D218=Calc!$C$4)),ROW(),0)</f>
        <v>0</v>
      </c>
    </row>
    <row r="219" customFormat="false" ht="15" hidden="false" customHeight="false" outlineLevel="0" collapsed="false">
      <c r="A219" s="57" t="s">
        <v>456</v>
      </c>
      <c r="B219" s="58" t="n">
        <v>45374</v>
      </c>
      <c r="C219" s="57" t="n">
        <f aca="false">YEAR(B219)</f>
        <v>2024</v>
      </c>
      <c r="D219" s="57" t="n">
        <f aca="false">MONTH(B219)</f>
        <v>3</v>
      </c>
      <c r="E219" s="57" t="s">
        <v>173</v>
      </c>
      <c r="F219" s="57" t="s">
        <v>69</v>
      </c>
      <c r="G219" s="57" t="s">
        <v>45</v>
      </c>
      <c r="H219" s="57" t="s">
        <v>46</v>
      </c>
      <c r="I219" s="59" t="n">
        <v>1</v>
      </c>
      <c r="J219" s="60" t="n">
        <v>149</v>
      </c>
      <c r="K219" s="60" t="n">
        <v>71</v>
      </c>
      <c r="L219" s="61" t="n">
        <f aca="false">I219*J219</f>
        <v>149</v>
      </c>
      <c r="M219" s="61" t="n">
        <f aca="false">L219-I219*K219</f>
        <v>78</v>
      </c>
      <c r="N219" s="57" t="n">
        <f aca="false">IF(COUNTIFS(E$2:E219,E219,C$2:C219,C219)=1,1,0)</f>
        <v>0</v>
      </c>
      <c r="O219" s="57" t="n">
        <f aca="false">IF(COUNTIFS(E$2:E219,E219,C$2:C219,C219,D$2:D219,D219)=1,1,0)</f>
        <v>1</v>
      </c>
      <c r="P219" s="57" t="n">
        <f aca="false">IF(AND(C219=Calc!$C$3,OR(Calc!$C$4=0,D219=Calc!$C$4)),ROW(),0)</f>
        <v>0</v>
      </c>
    </row>
    <row r="220" customFormat="false" ht="15" hidden="false" customHeight="false" outlineLevel="0" collapsed="false">
      <c r="A220" s="57" t="s">
        <v>457</v>
      </c>
      <c r="B220" s="58" t="n">
        <v>45374</v>
      </c>
      <c r="C220" s="57" t="n">
        <f aca="false">YEAR(B220)</f>
        <v>2024</v>
      </c>
      <c r="D220" s="57" t="n">
        <f aca="false">MONTH(B220)</f>
        <v>3</v>
      </c>
      <c r="E220" s="57" t="s">
        <v>458</v>
      </c>
      <c r="F220" s="57" t="s">
        <v>81</v>
      </c>
      <c r="G220" s="57" t="s">
        <v>35</v>
      </c>
      <c r="H220" s="57" t="s">
        <v>34</v>
      </c>
      <c r="I220" s="59" t="n">
        <v>1</v>
      </c>
      <c r="J220" s="60" t="n">
        <v>89</v>
      </c>
      <c r="K220" s="60" t="n">
        <v>41</v>
      </c>
      <c r="L220" s="61" t="n">
        <f aca="false">I220*J220</f>
        <v>89</v>
      </c>
      <c r="M220" s="61" t="n">
        <f aca="false">L220-I220*K220</f>
        <v>48</v>
      </c>
      <c r="N220" s="57" t="n">
        <f aca="false">IF(COUNTIFS(E$2:E220,E220,C$2:C220,C220)=1,1,0)</f>
        <v>1</v>
      </c>
      <c r="O220" s="57" t="n">
        <f aca="false">IF(COUNTIFS(E$2:E220,E220,C$2:C220,C220,D$2:D220,D220)=1,1,0)</f>
        <v>1</v>
      </c>
      <c r="P220" s="57" t="n">
        <f aca="false">IF(AND(C220=Calc!$C$3,OR(Calc!$C$4=0,D220=Calc!$C$4)),ROW(),0)</f>
        <v>0</v>
      </c>
    </row>
    <row r="221" customFormat="false" ht="15" hidden="false" customHeight="false" outlineLevel="0" collapsed="false">
      <c r="A221" s="57" t="s">
        <v>459</v>
      </c>
      <c r="B221" s="58" t="n">
        <v>45375</v>
      </c>
      <c r="C221" s="57" t="n">
        <f aca="false">YEAR(B221)</f>
        <v>2024</v>
      </c>
      <c r="D221" s="57" t="n">
        <f aca="false">MONTH(B221)</f>
        <v>3</v>
      </c>
      <c r="E221" s="57" t="s">
        <v>458</v>
      </c>
      <c r="F221" s="57" t="s">
        <v>81</v>
      </c>
      <c r="G221" s="57" t="s">
        <v>45</v>
      </c>
      <c r="H221" s="57" t="s">
        <v>47</v>
      </c>
      <c r="I221" s="59" t="n">
        <v>2</v>
      </c>
      <c r="J221" s="60" t="n">
        <v>34</v>
      </c>
      <c r="K221" s="60" t="n">
        <v>12</v>
      </c>
      <c r="L221" s="61" t="n">
        <f aca="false">I221*J221</f>
        <v>68</v>
      </c>
      <c r="M221" s="61" t="n">
        <f aca="false">L221-I221*K221</f>
        <v>44</v>
      </c>
      <c r="N221" s="57" t="n">
        <f aca="false">IF(COUNTIFS(E$2:E221,E221,C$2:C221,C221)=1,1,0)</f>
        <v>0</v>
      </c>
      <c r="O221" s="57" t="n">
        <f aca="false">IF(COUNTIFS(E$2:E221,E221,C$2:C221,C221,D$2:D221,D221)=1,1,0)</f>
        <v>0</v>
      </c>
      <c r="P221" s="57" t="n">
        <f aca="false">IF(AND(C221=Calc!$C$3,OR(Calc!$C$4=0,D221=Calc!$C$4)),ROW(),0)</f>
        <v>0</v>
      </c>
    </row>
    <row r="222" customFormat="false" ht="15" hidden="false" customHeight="false" outlineLevel="0" collapsed="false">
      <c r="A222" s="57" t="s">
        <v>460</v>
      </c>
      <c r="B222" s="58" t="n">
        <v>45375</v>
      </c>
      <c r="C222" s="57" t="n">
        <f aca="false">YEAR(B222)</f>
        <v>2024</v>
      </c>
      <c r="D222" s="57" t="n">
        <f aca="false">MONTH(B222)</f>
        <v>3</v>
      </c>
      <c r="E222" s="57" t="s">
        <v>461</v>
      </c>
      <c r="F222" s="57" t="s">
        <v>78</v>
      </c>
      <c r="G222" s="57" t="s">
        <v>35</v>
      </c>
      <c r="H222" s="57" t="s">
        <v>38</v>
      </c>
      <c r="I222" s="59" t="n">
        <v>1</v>
      </c>
      <c r="J222" s="60" t="n">
        <v>49</v>
      </c>
      <c r="K222" s="60" t="n">
        <v>22</v>
      </c>
      <c r="L222" s="61" t="n">
        <f aca="false">I222*J222</f>
        <v>49</v>
      </c>
      <c r="M222" s="61" t="n">
        <f aca="false">L222-I222*K222</f>
        <v>27</v>
      </c>
      <c r="N222" s="57" t="n">
        <f aca="false">IF(COUNTIFS(E$2:E222,E222,C$2:C222,C222)=1,1,0)</f>
        <v>1</v>
      </c>
      <c r="O222" s="57" t="n">
        <f aca="false">IF(COUNTIFS(E$2:E222,E222,C$2:C222,C222,D$2:D222,D222)=1,1,0)</f>
        <v>1</v>
      </c>
      <c r="P222" s="57" t="n">
        <f aca="false">IF(AND(C222=Calc!$C$3,OR(Calc!$C$4=0,D222=Calc!$C$4)),ROW(),0)</f>
        <v>0</v>
      </c>
    </row>
    <row r="223" customFormat="false" ht="15" hidden="false" customHeight="false" outlineLevel="0" collapsed="false">
      <c r="A223" s="57" t="s">
        <v>462</v>
      </c>
      <c r="B223" s="58" t="n">
        <v>45376</v>
      </c>
      <c r="C223" s="57" t="n">
        <f aca="false">YEAR(B223)</f>
        <v>2024</v>
      </c>
      <c r="D223" s="57" t="n">
        <f aca="false">MONTH(B223)</f>
        <v>3</v>
      </c>
      <c r="E223" s="57" t="s">
        <v>100</v>
      </c>
      <c r="F223" s="57" t="s">
        <v>81</v>
      </c>
      <c r="G223" s="57" t="s">
        <v>40</v>
      </c>
      <c r="H223" s="57" t="s">
        <v>41</v>
      </c>
      <c r="I223" s="59" t="n">
        <v>1</v>
      </c>
      <c r="J223" s="60" t="n">
        <v>46</v>
      </c>
      <c r="K223" s="60" t="n">
        <v>16</v>
      </c>
      <c r="L223" s="61" t="n">
        <f aca="false">I223*J223</f>
        <v>46</v>
      </c>
      <c r="M223" s="61" t="n">
        <f aca="false">L223-I223*K223</f>
        <v>30</v>
      </c>
      <c r="N223" s="57" t="n">
        <f aca="false">IF(COUNTIFS(E$2:E223,E223,C$2:C223,C223)=1,1,0)</f>
        <v>0</v>
      </c>
      <c r="O223" s="57" t="n">
        <f aca="false">IF(COUNTIFS(E$2:E223,E223,C$2:C223,C223,D$2:D223,D223)=1,1,0)</f>
        <v>0</v>
      </c>
      <c r="P223" s="57" t="n">
        <f aca="false">IF(AND(C223=Calc!$C$3,OR(Calc!$C$4=0,D223=Calc!$C$4)),ROW(),0)</f>
        <v>0</v>
      </c>
    </row>
    <row r="224" customFormat="false" ht="15" hidden="false" customHeight="false" outlineLevel="0" collapsed="false">
      <c r="A224" s="57" t="s">
        <v>463</v>
      </c>
      <c r="B224" s="58" t="n">
        <v>45376</v>
      </c>
      <c r="C224" s="57" t="n">
        <f aca="false">YEAR(B224)</f>
        <v>2024</v>
      </c>
      <c r="D224" s="57" t="n">
        <f aca="false">MONTH(B224)</f>
        <v>3</v>
      </c>
      <c r="E224" s="57" t="s">
        <v>211</v>
      </c>
      <c r="F224" s="57" t="s">
        <v>75</v>
      </c>
      <c r="G224" s="57" t="s">
        <v>40</v>
      </c>
      <c r="H224" s="57" t="s">
        <v>41</v>
      </c>
      <c r="I224" s="59" t="n">
        <v>1</v>
      </c>
      <c r="J224" s="60" t="n">
        <v>46</v>
      </c>
      <c r="K224" s="60" t="n">
        <v>16</v>
      </c>
      <c r="L224" s="61" t="n">
        <f aca="false">I224*J224</f>
        <v>46</v>
      </c>
      <c r="M224" s="61" t="n">
        <f aca="false">L224-I224*K224</f>
        <v>30</v>
      </c>
      <c r="N224" s="57" t="n">
        <f aca="false">IF(COUNTIFS(E$2:E224,E224,C$2:C224,C224)=1,1,0)</f>
        <v>0</v>
      </c>
      <c r="O224" s="57" t="n">
        <f aca="false">IF(COUNTIFS(E$2:E224,E224,C$2:C224,C224,D$2:D224,D224)=1,1,0)</f>
        <v>1</v>
      </c>
      <c r="P224" s="57" t="n">
        <f aca="false">IF(AND(C224=Calc!$C$3,OR(Calc!$C$4=0,D224=Calc!$C$4)),ROW(),0)</f>
        <v>0</v>
      </c>
    </row>
    <row r="225" customFormat="false" ht="15" hidden="false" customHeight="false" outlineLevel="0" collapsed="false">
      <c r="A225" s="57" t="s">
        <v>464</v>
      </c>
      <c r="B225" s="58" t="n">
        <v>45376</v>
      </c>
      <c r="C225" s="57" t="n">
        <f aca="false">YEAR(B225)</f>
        <v>2024</v>
      </c>
      <c r="D225" s="57" t="n">
        <f aca="false">MONTH(B225)</f>
        <v>3</v>
      </c>
      <c r="E225" s="57" t="s">
        <v>390</v>
      </c>
      <c r="F225" s="57" t="s">
        <v>72</v>
      </c>
      <c r="G225" s="57" t="s">
        <v>45</v>
      </c>
      <c r="H225" s="57" t="s">
        <v>48</v>
      </c>
      <c r="I225" s="59" t="n">
        <v>2</v>
      </c>
      <c r="J225" s="60" t="n">
        <v>99</v>
      </c>
      <c r="K225" s="60" t="n">
        <v>38</v>
      </c>
      <c r="L225" s="61" t="n">
        <f aca="false">I225*J225</f>
        <v>198</v>
      </c>
      <c r="M225" s="61" t="n">
        <f aca="false">L225-I225*K225</f>
        <v>122</v>
      </c>
      <c r="N225" s="57" t="n">
        <f aca="false">IF(COUNTIFS(E$2:E225,E225,C$2:C225,C225)=1,1,0)</f>
        <v>0</v>
      </c>
      <c r="O225" s="57" t="n">
        <f aca="false">IF(COUNTIFS(E$2:E225,E225,C$2:C225,C225,D$2:D225,D225)=1,1,0)</f>
        <v>0</v>
      </c>
      <c r="P225" s="57" t="n">
        <f aca="false">IF(AND(C225=Calc!$C$3,OR(Calc!$C$4=0,D225=Calc!$C$4)),ROW(),0)</f>
        <v>0</v>
      </c>
    </row>
    <row r="226" customFormat="false" ht="15" hidden="false" customHeight="false" outlineLevel="0" collapsed="false">
      <c r="A226" s="57" t="s">
        <v>465</v>
      </c>
      <c r="B226" s="58" t="n">
        <v>45377</v>
      </c>
      <c r="C226" s="57" t="n">
        <f aca="false">YEAR(B226)</f>
        <v>2024</v>
      </c>
      <c r="D226" s="57" t="n">
        <f aca="false">MONTH(B226)</f>
        <v>3</v>
      </c>
      <c r="E226" s="57" t="s">
        <v>466</v>
      </c>
      <c r="F226" s="57" t="s">
        <v>72</v>
      </c>
      <c r="G226" s="57" t="s">
        <v>45</v>
      </c>
      <c r="H226" s="57" t="s">
        <v>46</v>
      </c>
      <c r="I226" s="59" t="n">
        <v>2</v>
      </c>
      <c r="J226" s="60" t="n">
        <v>149</v>
      </c>
      <c r="K226" s="60" t="n">
        <v>71</v>
      </c>
      <c r="L226" s="61" t="n">
        <f aca="false">I226*J226</f>
        <v>298</v>
      </c>
      <c r="M226" s="61" t="n">
        <f aca="false">L226-I226*K226</f>
        <v>156</v>
      </c>
      <c r="N226" s="57" t="n">
        <f aca="false">IF(COUNTIFS(E$2:E226,E226,C$2:C226,C226)=1,1,0)</f>
        <v>1</v>
      </c>
      <c r="O226" s="57" t="n">
        <f aca="false">IF(COUNTIFS(E$2:E226,E226,C$2:C226,C226,D$2:D226,D226)=1,1,0)</f>
        <v>1</v>
      </c>
      <c r="P226" s="57" t="n">
        <f aca="false">IF(AND(C226=Calc!$C$3,OR(Calc!$C$4=0,D226=Calc!$C$4)),ROW(),0)</f>
        <v>0</v>
      </c>
    </row>
    <row r="227" customFormat="false" ht="15" hidden="false" customHeight="false" outlineLevel="0" collapsed="false">
      <c r="A227" s="57" t="s">
        <v>467</v>
      </c>
      <c r="B227" s="58" t="n">
        <v>45377</v>
      </c>
      <c r="C227" s="57" t="n">
        <f aca="false">YEAR(B227)</f>
        <v>2024</v>
      </c>
      <c r="D227" s="57" t="n">
        <f aca="false">MONTH(B227)</f>
        <v>3</v>
      </c>
      <c r="E227" s="57" t="s">
        <v>468</v>
      </c>
      <c r="F227" s="57" t="s">
        <v>69</v>
      </c>
      <c r="G227" s="57" t="s">
        <v>45</v>
      </c>
      <c r="H227" s="57" t="s">
        <v>48</v>
      </c>
      <c r="I227" s="59" t="n">
        <v>1</v>
      </c>
      <c r="J227" s="60" t="n">
        <v>99</v>
      </c>
      <c r="K227" s="60" t="n">
        <v>38</v>
      </c>
      <c r="L227" s="61" t="n">
        <f aca="false">I227*J227</f>
        <v>99</v>
      </c>
      <c r="M227" s="61" t="n">
        <f aca="false">L227-I227*K227</f>
        <v>61</v>
      </c>
      <c r="N227" s="57" t="n">
        <f aca="false">IF(COUNTIFS(E$2:E227,E227,C$2:C227,C227)=1,1,0)</f>
        <v>1</v>
      </c>
      <c r="O227" s="57" t="n">
        <f aca="false">IF(COUNTIFS(E$2:E227,E227,C$2:C227,C227,D$2:D227,D227)=1,1,0)</f>
        <v>1</v>
      </c>
      <c r="P227" s="57" t="n">
        <f aca="false">IF(AND(C227=Calc!$C$3,OR(Calc!$C$4=0,D227=Calc!$C$4)),ROW(),0)</f>
        <v>0</v>
      </c>
    </row>
    <row r="228" customFormat="false" ht="15" hidden="false" customHeight="false" outlineLevel="0" collapsed="false">
      <c r="A228" s="57" t="s">
        <v>469</v>
      </c>
      <c r="B228" s="58" t="n">
        <v>45377</v>
      </c>
      <c r="C228" s="57" t="n">
        <f aca="false">YEAR(B228)</f>
        <v>2024</v>
      </c>
      <c r="D228" s="57" t="n">
        <f aca="false">MONTH(B228)</f>
        <v>3</v>
      </c>
      <c r="E228" s="57" t="s">
        <v>470</v>
      </c>
      <c r="F228" s="57" t="s">
        <v>75</v>
      </c>
      <c r="G228" s="57" t="s">
        <v>35</v>
      </c>
      <c r="H228" s="57" t="s">
        <v>36</v>
      </c>
      <c r="I228" s="59" t="n">
        <v>1</v>
      </c>
      <c r="J228" s="60" t="n">
        <v>179</v>
      </c>
      <c r="K228" s="60" t="n">
        <v>92</v>
      </c>
      <c r="L228" s="61" t="n">
        <f aca="false">I228*J228</f>
        <v>179</v>
      </c>
      <c r="M228" s="61" t="n">
        <f aca="false">L228-I228*K228</f>
        <v>87</v>
      </c>
      <c r="N228" s="57" t="n">
        <f aca="false">IF(COUNTIFS(E$2:E228,E228,C$2:C228,C228)=1,1,0)</f>
        <v>1</v>
      </c>
      <c r="O228" s="57" t="n">
        <f aca="false">IF(COUNTIFS(E$2:E228,E228,C$2:C228,C228,D$2:D228,D228)=1,1,0)</f>
        <v>1</v>
      </c>
      <c r="P228" s="57" t="n">
        <f aca="false">IF(AND(C228=Calc!$C$3,OR(Calc!$C$4=0,D228=Calc!$C$4)),ROW(),0)</f>
        <v>0</v>
      </c>
    </row>
    <row r="229" customFormat="false" ht="15" hidden="false" customHeight="false" outlineLevel="0" collapsed="false">
      <c r="A229" s="57" t="s">
        <v>471</v>
      </c>
      <c r="B229" s="58" t="n">
        <v>45378</v>
      </c>
      <c r="C229" s="57" t="n">
        <f aca="false">YEAR(B229)</f>
        <v>2024</v>
      </c>
      <c r="D229" s="57" t="n">
        <f aca="false">MONTH(B229)</f>
        <v>3</v>
      </c>
      <c r="E229" s="57" t="s">
        <v>219</v>
      </c>
      <c r="F229" s="57" t="s">
        <v>78</v>
      </c>
      <c r="G229" s="57" t="s">
        <v>54</v>
      </c>
      <c r="H229" s="57" t="s">
        <v>55</v>
      </c>
      <c r="I229" s="59" t="n">
        <v>3</v>
      </c>
      <c r="J229" s="60" t="n">
        <v>64</v>
      </c>
      <c r="K229" s="60" t="n">
        <v>25</v>
      </c>
      <c r="L229" s="61" t="n">
        <f aca="false">I229*J229</f>
        <v>192</v>
      </c>
      <c r="M229" s="61" t="n">
        <f aca="false">L229-I229*K229</f>
        <v>117</v>
      </c>
      <c r="N229" s="57" t="n">
        <f aca="false">IF(COUNTIFS(E$2:E229,E229,C$2:C229,C229)=1,1,0)</f>
        <v>0</v>
      </c>
      <c r="O229" s="57" t="n">
        <f aca="false">IF(COUNTIFS(E$2:E229,E229,C$2:C229,C229,D$2:D229,D229)=1,1,0)</f>
        <v>0</v>
      </c>
      <c r="P229" s="57" t="n">
        <f aca="false">IF(AND(C229=Calc!$C$3,OR(Calc!$C$4=0,D229=Calc!$C$4)),ROW(),0)</f>
        <v>0</v>
      </c>
    </row>
    <row r="230" customFormat="false" ht="15" hidden="false" customHeight="false" outlineLevel="0" collapsed="false">
      <c r="A230" s="57" t="s">
        <v>472</v>
      </c>
      <c r="B230" s="58" t="n">
        <v>45378</v>
      </c>
      <c r="C230" s="57" t="n">
        <f aca="false">YEAR(B230)</f>
        <v>2024</v>
      </c>
      <c r="D230" s="57" t="n">
        <f aca="false">MONTH(B230)</f>
        <v>3</v>
      </c>
      <c r="E230" s="57" t="s">
        <v>177</v>
      </c>
      <c r="F230" s="57" t="s">
        <v>75</v>
      </c>
      <c r="G230" s="57" t="s">
        <v>45</v>
      </c>
      <c r="H230" s="57" t="s">
        <v>46</v>
      </c>
      <c r="I230" s="59" t="n">
        <v>1</v>
      </c>
      <c r="J230" s="60" t="n">
        <v>149</v>
      </c>
      <c r="K230" s="60" t="n">
        <v>71</v>
      </c>
      <c r="L230" s="61" t="n">
        <f aca="false">I230*J230</f>
        <v>149</v>
      </c>
      <c r="M230" s="61" t="n">
        <f aca="false">L230-I230*K230</f>
        <v>78</v>
      </c>
      <c r="N230" s="57" t="n">
        <f aca="false">IF(COUNTIFS(E$2:E230,E230,C$2:C230,C230)=1,1,0)</f>
        <v>0</v>
      </c>
      <c r="O230" s="57" t="n">
        <f aca="false">IF(COUNTIFS(E$2:E230,E230,C$2:C230,C230,D$2:D230,D230)=1,1,0)</f>
        <v>1</v>
      </c>
      <c r="P230" s="57" t="n">
        <f aca="false">IF(AND(C230=Calc!$C$3,OR(Calc!$C$4=0,D230=Calc!$C$4)),ROW(),0)</f>
        <v>0</v>
      </c>
    </row>
    <row r="231" customFormat="false" ht="15" hidden="false" customHeight="false" outlineLevel="0" collapsed="false">
      <c r="A231" s="57" t="s">
        <v>473</v>
      </c>
      <c r="B231" s="58" t="n">
        <v>45378</v>
      </c>
      <c r="C231" s="57" t="n">
        <f aca="false">YEAR(B231)</f>
        <v>2024</v>
      </c>
      <c r="D231" s="57" t="n">
        <f aca="false">MONTH(B231)</f>
        <v>3</v>
      </c>
      <c r="E231" s="57" t="s">
        <v>89</v>
      </c>
      <c r="F231" s="57" t="s">
        <v>81</v>
      </c>
      <c r="G231" s="57" t="s">
        <v>40</v>
      </c>
      <c r="H231" s="57" t="s">
        <v>42</v>
      </c>
      <c r="I231" s="59" t="n">
        <v>2</v>
      </c>
      <c r="J231" s="60" t="n">
        <v>79</v>
      </c>
      <c r="K231" s="60" t="n">
        <v>31</v>
      </c>
      <c r="L231" s="61" t="n">
        <f aca="false">I231*J231</f>
        <v>158</v>
      </c>
      <c r="M231" s="61" t="n">
        <f aca="false">L231-I231*K231</f>
        <v>96</v>
      </c>
      <c r="N231" s="57" t="n">
        <f aca="false">IF(COUNTIFS(E$2:E231,E231,C$2:C231,C231)=1,1,0)</f>
        <v>0</v>
      </c>
      <c r="O231" s="57" t="n">
        <f aca="false">IF(COUNTIFS(E$2:E231,E231,C$2:C231,C231,D$2:D231,D231)=1,1,0)</f>
        <v>0</v>
      </c>
      <c r="P231" s="57" t="n">
        <f aca="false">IF(AND(C231=Calc!$C$3,OR(Calc!$C$4=0,D231=Calc!$C$4)),ROW(),0)</f>
        <v>0</v>
      </c>
    </row>
    <row r="232" customFormat="false" ht="15" hidden="false" customHeight="false" outlineLevel="0" collapsed="false">
      <c r="A232" s="57" t="s">
        <v>474</v>
      </c>
      <c r="B232" s="58" t="n">
        <v>45379</v>
      </c>
      <c r="C232" s="57" t="n">
        <f aca="false">YEAR(B232)</f>
        <v>2024</v>
      </c>
      <c r="D232" s="57" t="n">
        <f aca="false">MONTH(B232)</f>
        <v>3</v>
      </c>
      <c r="E232" s="57" t="s">
        <v>475</v>
      </c>
      <c r="F232" s="57" t="s">
        <v>72</v>
      </c>
      <c r="G232" s="57" t="s">
        <v>45</v>
      </c>
      <c r="H232" s="57" t="s">
        <v>44</v>
      </c>
      <c r="I232" s="59" t="n">
        <v>1</v>
      </c>
      <c r="J232" s="60" t="n">
        <v>119</v>
      </c>
      <c r="K232" s="60" t="n">
        <v>63</v>
      </c>
      <c r="L232" s="61" t="n">
        <f aca="false">I232*J232</f>
        <v>119</v>
      </c>
      <c r="M232" s="61" t="n">
        <f aca="false">L232-I232*K232</f>
        <v>56</v>
      </c>
      <c r="N232" s="57" t="n">
        <f aca="false">IF(COUNTIFS(E$2:E232,E232,C$2:C232,C232)=1,1,0)</f>
        <v>1</v>
      </c>
      <c r="O232" s="57" t="n">
        <f aca="false">IF(COUNTIFS(E$2:E232,E232,C$2:C232,C232,D$2:D232,D232)=1,1,0)</f>
        <v>1</v>
      </c>
      <c r="P232" s="57" t="n">
        <f aca="false">IF(AND(C232=Calc!$C$3,OR(Calc!$C$4=0,D232=Calc!$C$4)),ROW(),0)</f>
        <v>0</v>
      </c>
    </row>
    <row r="233" customFormat="false" ht="15" hidden="false" customHeight="false" outlineLevel="0" collapsed="false">
      <c r="A233" s="57" t="s">
        <v>476</v>
      </c>
      <c r="B233" s="58" t="n">
        <v>45379</v>
      </c>
      <c r="C233" s="57" t="n">
        <f aca="false">YEAR(B233)</f>
        <v>2024</v>
      </c>
      <c r="D233" s="57" t="n">
        <f aca="false">MONTH(B233)</f>
        <v>3</v>
      </c>
      <c r="E233" s="57" t="s">
        <v>477</v>
      </c>
      <c r="F233" s="57" t="s">
        <v>78</v>
      </c>
      <c r="G233" s="57" t="s">
        <v>45</v>
      </c>
      <c r="H233" s="57" t="s">
        <v>46</v>
      </c>
      <c r="I233" s="59" t="n">
        <v>1</v>
      </c>
      <c r="J233" s="60" t="n">
        <v>149</v>
      </c>
      <c r="K233" s="60" t="n">
        <v>71</v>
      </c>
      <c r="L233" s="61" t="n">
        <f aca="false">I233*J233</f>
        <v>149</v>
      </c>
      <c r="M233" s="61" t="n">
        <f aca="false">L233-I233*K233</f>
        <v>78</v>
      </c>
      <c r="N233" s="57" t="n">
        <f aca="false">IF(COUNTIFS(E$2:E233,E233,C$2:C233,C233)=1,1,0)</f>
        <v>1</v>
      </c>
      <c r="O233" s="57" t="n">
        <f aca="false">IF(COUNTIFS(E$2:E233,E233,C$2:C233,C233,D$2:D233,D233)=1,1,0)</f>
        <v>1</v>
      </c>
      <c r="P233" s="57" t="n">
        <f aca="false">IF(AND(C233=Calc!$C$3,OR(Calc!$C$4=0,D233=Calc!$C$4)),ROW(),0)</f>
        <v>0</v>
      </c>
    </row>
    <row r="234" customFormat="false" ht="15" hidden="false" customHeight="false" outlineLevel="0" collapsed="false">
      <c r="A234" s="57" t="s">
        <v>478</v>
      </c>
      <c r="B234" s="58" t="n">
        <v>45379</v>
      </c>
      <c r="C234" s="57" t="n">
        <f aca="false">YEAR(B234)</f>
        <v>2024</v>
      </c>
      <c r="D234" s="57" t="n">
        <f aca="false">MONTH(B234)</f>
        <v>3</v>
      </c>
      <c r="E234" s="57" t="s">
        <v>479</v>
      </c>
      <c r="F234" s="57" t="s">
        <v>72</v>
      </c>
      <c r="G234" s="57" t="s">
        <v>35</v>
      </c>
      <c r="H234" s="57" t="s">
        <v>37</v>
      </c>
      <c r="I234" s="59" t="n">
        <v>1</v>
      </c>
      <c r="J234" s="60" t="n">
        <v>59</v>
      </c>
      <c r="K234" s="60" t="n">
        <v>27</v>
      </c>
      <c r="L234" s="61" t="n">
        <f aca="false">I234*J234</f>
        <v>59</v>
      </c>
      <c r="M234" s="61" t="n">
        <f aca="false">L234-I234*K234</f>
        <v>32</v>
      </c>
      <c r="N234" s="57" t="n">
        <f aca="false">IF(COUNTIFS(E$2:E234,E234,C$2:C234,C234)=1,1,0)</f>
        <v>1</v>
      </c>
      <c r="O234" s="57" t="n">
        <f aca="false">IF(COUNTIFS(E$2:E234,E234,C$2:C234,C234,D$2:D234,D234)=1,1,0)</f>
        <v>1</v>
      </c>
      <c r="P234" s="57" t="n">
        <f aca="false">IF(AND(C234=Calc!$C$3,OR(Calc!$C$4=0,D234=Calc!$C$4)),ROW(),0)</f>
        <v>0</v>
      </c>
    </row>
    <row r="235" customFormat="false" ht="15" hidden="false" customHeight="false" outlineLevel="0" collapsed="false">
      <c r="A235" s="57" t="s">
        <v>480</v>
      </c>
      <c r="B235" s="58" t="n">
        <v>45380</v>
      </c>
      <c r="C235" s="57" t="n">
        <f aca="false">YEAR(B235)</f>
        <v>2024</v>
      </c>
      <c r="D235" s="57" t="n">
        <f aca="false">MONTH(B235)</f>
        <v>3</v>
      </c>
      <c r="E235" s="57" t="s">
        <v>68</v>
      </c>
      <c r="F235" s="57" t="s">
        <v>69</v>
      </c>
      <c r="G235" s="57" t="s">
        <v>40</v>
      </c>
      <c r="H235" s="57" t="s">
        <v>42</v>
      </c>
      <c r="I235" s="59" t="n">
        <v>1</v>
      </c>
      <c r="J235" s="60" t="n">
        <v>79</v>
      </c>
      <c r="K235" s="60" t="n">
        <v>31</v>
      </c>
      <c r="L235" s="61" t="n">
        <f aca="false">I235*J235</f>
        <v>79</v>
      </c>
      <c r="M235" s="61" t="n">
        <f aca="false">L235-I235*K235</f>
        <v>48</v>
      </c>
      <c r="N235" s="57" t="n">
        <f aca="false">IF(COUNTIFS(E$2:E235,E235,C$2:C235,C235)=1,1,0)</f>
        <v>0</v>
      </c>
      <c r="O235" s="57" t="n">
        <f aca="false">IF(COUNTIFS(E$2:E235,E235,C$2:C235,C235,D$2:D235,D235)=1,1,0)</f>
        <v>1</v>
      </c>
      <c r="P235" s="57" t="n">
        <f aca="false">IF(AND(C235=Calc!$C$3,OR(Calc!$C$4=0,D235=Calc!$C$4)),ROW(),0)</f>
        <v>0</v>
      </c>
    </row>
    <row r="236" customFormat="false" ht="15" hidden="false" customHeight="false" outlineLevel="0" collapsed="false">
      <c r="A236" s="57" t="s">
        <v>481</v>
      </c>
      <c r="B236" s="58" t="n">
        <v>45380</v>
      </c>
      <c r="C236" s="57" t="n">
        <f aca="false">YEAR(B236)</f>
        <v>2024</v>
      </c>
      <c r="D236" s="57" t="n">
        <f aca="false">MONTH(B236)</f>
        <v>3</v>
      </c>
      <c r="E236" s="57" t="s">
        <v>140</v>
      </c>
      <c r="F236" s="57" t="s">
        <v>75</v>
      </c>
      <c r="G236" s="57" t="s">
        <v>40</v>
      </c>
      <c r="H236" s="57" t="s">
        <v>39</v>
      </c>
      <c r="I236" s="59" t="n">
        <v>2</v>
      </c>
      <c r="J236" s="60" t="n">
        <v>54</v>
      </c>
      <c r="K236" s="60" t="n">
        <v>19</v>
      </c>
      <c r="L236" s="61" t="n">
        <f aca="false">I236*J236</f>
        <v>108</v>
      </c>
      <c r="M236" s="61" t="n">
        <f aca="false">L236-I236*K236</f>
        <v>70</v>
      </c>
      <c r="N236" s="57" t="n">
        <f aca="false">IF(COUNTIFS(E$2:E236,E236,C$2:C236,C236)=1,1,0)</f>
        <v>0</v>
      </c>
      <c r="O236" s="57" t="n">
        <f aca="false">IF(COUNTIFS(E$2:E236,E236,C$2:C236,C236,D$2:D236,D236)=1,1,0)</f>
        <v>1</v>
      </c>
      <c r="P236" s="57" t="n">
        <f aca="false">IF(AND(C236=Calc!$C$3,OR(Calc!$C$4=0,D236=Calc!$C$4)),ROW(),0)</f>
        <v>0</v>
      </c>
    </row>
    <row r="237" customFormat="false" ht="15" hidden="false" customHeight="false" outlineLevel="0" collapsed="false">
      <c r="A237" s="57" t="s">
        <v>482</v>
      </c>
      <c r="B237" s="58" t="n">
        <v>45380</v>
      </c>
      <c r="C237" s="57" t="n">
        <f aca="false">YEAR(B237)</f>
        <v>2024</v>
      </c>
      <c r="D237" s="57" t="n">
        <f aca="false">MONTH(B237)</f>
        <v>3</v>
      </c>
      <c r="E237" s="57" t="s">
        <v>342</v>
      </c>
      <c r="F237" s="57" t="s">
        <v>78</v>
      </c>
      <c r="G237" s="57" t="s">
        <v>35</v>
      </c>
      <c r="H237" s="57" t="s">
        <v>34</v>
      </c>
      <c r="I237" s="59" t="n">
        <v>1</v>
      </c>
      <c r="J237" s="60" t="n">
        <v>89</v>
      </c>
      <c r="K237" s="60" t="n">
        <v>41</v>
      </c>
      <c r="L237" s="61" t="n">
        <f aca="false">I237*J237</f>
        <v>89</v>
      </c>
      <c r="M237" s="61" t="n">
        <f aca="false">L237-I237*K237</f>
        <v>48</v>
      </c>
      <c r="N237" s="57" t="n">
        <f aca="false">IF(COUNTIFS(E$2:E237,E237,C$2:C237,C237)=1,1,0)</f>
        <v>0</v>
      </c>
      <c r="O237" s="57" t="n">
        <f aca="false">IF(COUNTIFS(E$2:E237,E237,C$2:C237,C237,D$2:D237,D237)=1,1,0)</f>
        <v>0</v>
      </c>
      <c r="P237" s="57" t="n">
        <f aca="false">IF(AND(C237=Calc!$C$3,OR(Calc!$C$4=0,D237=Calc!$C$4)),ROW(),0)</f>
        <v>0</v>
      </c>
    </row>
    <row r="238" customFormat="false" ht="15" hidden="false" customHeight="false" outlineLevel="0" collapsed="false">
      <c r="A238" s="57" t="s">
        <v>483</v>
      </c>
      <c r="B238" s="58" t="n">
        <v>45381</v>
      </c>
      <c r="C238" s="57" t="n">
        <f aca="false">YEAR(B238)</f>
        <v>2024</v>
      </c>
      <c r="D238" s="57" t="n">
        <f aca="false">MONTH(B238)</f>
        <v>3</v>
      </c>
      <c r="E238" s="57" t="s">
        <v>304</v>
      </c>
      <c r="F238" s="57" t="s">
        <v>69</v>
      </c>
      <c r="G238" s="57" t="s">
        <v>50</v>
      </c>
      <c r="H238" s="57" t="s">
        <v>52</v>
      </c>
      <c r="I238" s="59" t="n">
        <v>1</v>
      </c>
      <c r="J238" s="60" t="n">
        <v>45</v>
      </c>
      <c r="K238" s="60" t="n">
        <v>14</v>
      </c>
      <c r="L238" s="61" t="n">
        <f aca="false">I238*J238</f>
        <v>45</v>
      </c>
      <c r="M238" s="61" t="n">
        <f aca="false">L238-I238*K238</f>
        <v>31</v>
      </c>
      <c r="N238" s="57" t="n">
        <f aca="false">IF(COUNTIFS(E$2:E238,E238,C$2:C238,C238)=1,1,0)</f>
        <v>0</v>
      </c>
      <c r="O238" s="57" t="n">
        <f aca="false">IF(COUNTIFS(E$2:E238,E238,C$2:C238,C238,D$2:D238,D238)=1,1,0)</f>
        <v>0</v>
      </c>
      <c r="P238" s="57" t="n">
        <f aca="false">IF(AND(C238=Calc!$C$3,OR(Calc!$C$4=0,D238=Calc!$C$4)),ROW(),0)</f>
        <v>0</v>
      </c>
    </row>
    <row r="239" customFormat="false" ht="15" hidden="false" customHeight="false" outlineLevel="0" collapsed="false">
      <c r="A239" s="57" t="s">
        <v>484</v>
      </c>
      <c r="B239" s="58" t="n">
        <v>45381</v>
      </c>
      <c r="C239" s="57" t="n">
        <f aca="false">YEAR(B239)</f>
        <v>2024</v>
      </c>
      <c r="D239" s="57" t="n">
        <f aca="false">MONTH(B239)</f>
        <v>3</v>
      </c>
      <c r="E239" s="57" t="s">
        <v>189</v>
      </c>
      <c r="F239" s="57" t="s">
        <v>69</v>
      </c>
      <c r="G239" s="57" t="s">
        <v>35</v>
      </c>
      <c r="H239" s="57" t="s">
        <v>37</v>
      </c>
      <c r="I239" s="59" t="n">
        <v>2</v>
      </c>
      <c r="J239" s="60" t="n">
        <v>59</v>
      </c>
      <c r="K239" s="60" t="n">
        <v>27</v>
      </c>
      <c r="L239" s="61" t="n">
        <f aca="false">I239*J239</f>
        <v>118</v>
      </c>
      <c r="M239" s="61" t="n">
        <f aca="false">L239-I239*K239</f>
        <v>64</v>
      </c>
      <c r="N239" s="57" t="n">
        <f aca="false">IF(COUNTIFS(E$2:E239,E239,C$2:C239,C239)=1,1,0)</f>
        <v>0</v>
      </c>
      <c r="O239" s="57" t="n">
        <f aca="false">IF(COUNTIFS(E$2:E239,E239,C$2:C239,C239,D$2:D239,D239)=1,1,0)</f>
        <v>1</v>
      </c>
      <c r="P239" s="57" t="n">
        <f aca="false">IF(AND(C239=Calc!$C$3,OR(Calc!$C$4=0,D239=Calc!$C$4)),ROW(),0)</f>
        <v>0</v>
      </c>
    </row>
    <row r="240" customFormat="false" ht="15" hidden="false" customHeight="false" outlineLevel="0" collapsed="false">
      <c r="A240" s="57" t="s">
        <v>485</v>
      </c>
      <c r="B240" s="58" t="n">
        <v>45381</v>
      </c>
      <c r="C240" s="57" t="n">
        <f aca="false">YEAR(B240)</f>
        <v>2024</v>
      </c>
      <c r="D240" s="57" t="n">
        <f aca="false">MONTH(B240)</f>
        <v>3</v>
      </c>
      <c r="E240" s="57" t="s">
        <v>486</v>
      </c>
      <c r="F240" s="57" t="s">
        <v>75</v>
      </c>
      <c r="G240" s="57" t="s">
        <v>40</v>
      </c>
      <c r="H240" s="57" t="s">
        <v>39</v>
      </c>
      <c r="I240" s="59" t="n">
        <v>1</v>
      </c>
      <c r="J240" s="60" t="n">
        <v>54</v>
      </c>
      <c r="K240" s="60" t="n">
        <v>19</v>
      </c>
      <c r="L240" s="61" t="n">
        <f aca="false">I240*J240</f>
        <v>54</v>
      </c>
      <c r="M240" s="61" t="n">
        <f aca="false">L240-I240*K240</f>
        <v>35</v>
      </c>
      <c r="N240" s="57" t="n">
        <f aca="false">IF(COUNTIFS(E$2:E240,E240,C$2:C240,C240)=1,1,0)</f>
        <v>1</v>
      </c>
      <c r="O240" s="57" t="n">
        <f aca="false">IF(COUNTIFS(E$2:E240,E240,C$2:C240,C240,D$2:D240,D240)=1,1,0)</f>
        <v>1</v>
      </c>
      <c r="P240" s="57" t="n">
        <f aca="false">IF(AND(C240=Calc!$C$3,OR(Calc!$C$4=0,D240=Calc!$C$4)),ROW(),0)</f>
        <v>0</v>
      </c>
    </row>
    <row r="241" customFormat="false" ht="15" hidden="false" customHeight="false" outlineLevel="0" collapsed="false">
      <c r="A241" s="57" t="s">
        <v>487</v>
      </c>
      <c r="B241" s="58" t="n">
        <v>45382</v>
      </c>
      <c r="C241" s="57" t="n">
        <f aca="false">YEAR(B241)</f>
        <v>2024</v>
      </c>
      <c r="D241" s="57" t="n">
        <f aca="false">MONTH(B241)</f>
        <v>3</v>
      </c>
      <c r="E241" s="57" t="s">
        <v>488</v>
      </c>
      <c r="F241" s="57" t="s">
        <v>69</v>
      </c>
      <c r="G241" s="57" t="s">
        <v>40</v>
      </c>
      <c r="H241" s="57" t="s">
        <v>39</v>
      </c>
      <c r="I241" s="59" t="n">
        <v>2</v>
      </c>
      <c r="J241" s="60" t="n">
        <v>54</v>
      </c>
      <c r="K241" s="60" t="n">
        <v>19</v>
      </c>
      <c r="L241" s="61" t="n">
        <f aca="false">I241*J241</f>
        <v>108</v>
      </c>
      <c r="M241" s="61" t="n">
        <f aca="false">L241-I241*K241</f>
        <v>70</v>
      </c>
      <c r="N241" s="57" t="n">
        <f aca="false">IF(COUNTIFS(E$2:E241,E241,C$2:C241,C241)=1,1,0)</f>
        <v>1</v>
      </c>
      <c r="O241" s="57" t="n">
        <f aca="false">IF(COUNTIFS(E$2:E241,E241,C$2:C241,C241,D$2:D241,D241)=1,1,0)</f>
        <v>1</v>
      </c>
      <c r="P241" s="57" t="n">
        <f aca="false">IF(AND(C241=Calc!$C$3,OR(Calc!$C$4=0,D241=Calc!$C$4)),ROW(),0)</f>
        <v>0</v>
      </c>
    </row>
    <row r="242" customFormat="false" ht="15" hidden="false" customHeight="false" outlineLevel="0" collapsed="false">
      <c r="A242" s="57" t="s">
        <v>489</v>
      </c>
      <c r="B242" s="58" t="n">
        <v>45382</v>
      </c>
      <c r="C242" s="57" t="n">
        <f aca="false">YEAR(B242)</f>
        <v>2024</v>
      </c>
      <c r="D242" s="57" t="n">
        <f aca="false">MONTH(B242)</f>
        <v>3</v>
      </c>
      <c r="E242" s="57" t="s">
        <v>490</v>
      </c>
      <c r="F242" s="57" t="s">
        <v>72</v>
      </c>
      <c r="G242" s="57" t="s">
        <v>40</v>
      </c>
      <c r="H242" s="57" t="s">
        <v>42</v>
      </c>
      <c r="I242" s="59" t="n">
        <v>1</v>
      </c>
      <c r="J242" s="60" t="n">
        <v>79</v>
      </c>
      <c r="K242" s="60" t="n">
        <v>31</v>
      </c>
      <c r="L242" s="61" t="n">
        <f aca="false">I242*J242</f>
        <v>79</v>
      </c>
      <c r="M242" s="61" t="n">
        <f aca="false">L242-I242*K242</f>
        <v>48</v>
      </c>
      <c r="N242" s="57" t="n">
        <f aca="false">IF(COUNTIFS(E$2:E242,E242,C$2:C242,C242)=1,1,0)</f>
        <v>1</v>
      </c>
      <c r="O242" s="57" t="n">
        <f aca="false">IF(COUNTIFS(E$2:E242,E242,C$2:C242,C242,D$2:D242,D242)=1,1,0)</f>
        <v>1</v>
      </c>
      <c r="P242" s="57" t="n">
        <f aca="false">IF(AND(C242=Calc!$C$3,OR(Calc!$C$4=0,D242=Calc!$C$4)),ROW(),0)</f>
        <v>0</v>
      </c>
    </row>
    <row r="243" customFormat="false" ht="15" hidden="false" customHeight="false" outlineLevel="0" collapsed="false">
      <c r="A243" s="57" t="s">
        <v>491</v>
      </c>
      <c r="B243" s="58" t="n">
        <v>45382</v>
      </c>
      <c r="C243" s="57" t="n">
        <f aca="false">YEAR(B243)</f>
        <v>2024</v>
      </c>
      <c r="D243" s="57" t="n">
        <f aca="false">MONTH(B243)</f>
        <v>3</v>
      </c>
      <c r="E243" s="57" t="s">
        <v>492</v>
      </c>
      <c r="F243" s="57" t="s">
        <v>78</v>
      </c>
      <c r="G243" s="57" t="s">
        <v>45</v>
      </c>
      <c r="H243" s="57" t="s">
        <v>46</v>
      </c>
      <c r="I243" s="59" t="n">
        <v>2</v>
      </c>
      <c r="J243" s="60" t="n">
        <v>149</v>
      </c>
      <c r="K243" s="60" t="n">
        <v>71</v>
      </c>
      <c r="L243" s="61" t="n">
        <f aca="false">I243*J243</f>
        <v>298</v>
      </c>
      <c r="M243" s="61" t="n">
        <f aca="false">L243-I243*K243</f>
        <v>156</v>
      </c>
      <c r="N243" s="57" t="n">
        <f aca="false">IF(COUNTIFS(E$2:E243,E243,C$2:C243,C243)=1,1,0)</f>
        <v>1</v>
      </c>
      <c r="O243" s="57" t="n">
        <f aca="false">IF(COUNTIFS(E$2:E243,E243,C$2:C243,C243,D$2:D243,D243)=1,1,0)</f>
        <v>1</v>
      </c>
      <c r="P243" s="57" t="n">
        <f aca="false">IF(AND(C243=Calc!$C$3,OR(Calc!$C$4=0,D243=Calc!$C$4)),ROW(),0)</f>
        <v>0</v>
      </c>
    </row>
    <row r="244" customFormat="false" ht="15" hidden="false" customHeight="false" outlineLevel="0" collapsed="false">
      <c r="A244" s="57" t="s">
        <v>493</v>
      </c>
      <c r="B244" s="58" t="n">
        <v>45382</v>
      </c>
      <c r="C244" s="57" t="n">
        <f aca="false">YEAR(B244)</f>
        <v>2024</v>
      </c>
      <c r="D244" s="57" t="n">
        <f aca="false">MONTH(B244)</f>
        <v>3</v>
      </c>
      <c r="E244" s="57" t="s">
        <v>494</v>
      </c>
      <c r="F244" s="57" t="s">
        <v>78</v>
      </c>
      <c r="G244" s="57" t="s">
        <v>35</v>
      </c>
      <c r="H244" s="57" t="s">
        <v>36</v>
      </c>
      <c r="I244" s="59" t="n">
        <v>1</v>
      </c>
      <c r="J244" s="60" t="n">
        <v>179</v>
      </c>
      <c r="K244" s="60" t="n">
        <v>92</v>
      </c>
      <c r="L244" s="61" t="n">
        <f aca="false">I244*J244</f>
        <v>179</v>
      </c>
      <c r="M244" s="61" t="n">
        <f aca="false">L244-I244*K244</f>
        <v>87</v>
      </c>
      <c r="N244" s="57" t="n">
        <f aca="false">IF(COUNTIFS(E$2:E244,E244,C$2:C244,C244)=1,1,0)</f>
        <v>1</v>
      </c>
      <c r="O244" s="57" t="n">
        <f aca="false">IF(COUNTIFS(E$2:E244,E244,C$2:C244,C244,D$2:D244,D244)=1,1,0)</f>
        <v>1</v>
      </c>
      <c r="P244" s="57" t="n">
        <f aca="false">IF(AND(C244=Calc!$C$3,OR(Calc!$C$4=0,D244=Calc!$C$4)),ROW(),0)</f>
        <v>0</v>
      </c>
    </row>
    <row r="245" customFormat="false" ht="15" hidden="false" customHeight="false" outlineLevel="0" collapsed="false">
      <c r="A245" s="57" t="s">
        <v>495</v>
      </c>
      <c r="B245" s="58" t="n">
        <v>45383</v>
      </c>
      <c r="C245" s="57" t="n">
        <f aca="false">YEAR(B245)</f>
        <v>2024</v>
      </c>
      <c r="D245" s="57" t="n">
        <f aca="false">MONTH(B245)</f>
        <v>4</v>
      </c>
      <c r="E245" s="57" t="s">
        <v>450</v>
      </c>
      <c r="F245" s="57" t="s">
        <v>81</v>
      </c>
      <c r="G245" s="57" t="s">
        <v>40</v>
      </c>
      <c r="H245" s="57" t="s">
        <v>39</v>
      </c>
      <c r="I245" s="59" t="n">
        <v>1</v>
      </c>
      <c r="J245" s="60" t="n">
        <v>54</v>
      </c>
      <c r="K245" s="60" t="n">
        <v>19</v>
      </c>
      <c r="L245" s="61" t="n">
        <f aca="false">I245*J245</f>
        <v>54</v>
      </c>
      <c r="M245" s="61" t="n">
        <f aca="false">L245-I245*K245</f>
        <v>35</v>
      </c>
      <c r="N245" s="57" t="n">
        <f aca="false">IF(COUNTIFS(E$2:E245,E245,C$2:C245,C245)=1,1,0)</f>
        <v>0</v>
      </c>
      <c r="O245" s="57" t="n">
        <f aca="false">IF(COUNTIFS(E$2:E245,E245,C$2:C245,C245,D$2:D245,D245)=1,1,0)</f>
        <v>1</v>
      </c>
      <c r="P245" s="57" t="n">
        <f aca="false">IF(AND(C245=Calc!$C$3,OR(Calc!$C$4=0,D245=Calc!$C$4)),ROW(),0)</f>
        <v>0</v>
      </c>
    </row>
    <row r="246" customFormat="false" ht="15" hidden="false" customHeight="false" outlineLevel="0" collapsed="false">
      <c r="A246" s="57" t="s">
        <v>496</v>
      </c>
      <c r="B246" s="58" t="n">
        <v>45383</v>
      </c>
      <c r="C246" s="57" t="n">
        <f aca="false">YEAR(B246)</f>
        <v>2024</v>
      </c>
      <c r="D246" s="57" t="n">
        <f aca="false">MONTH(B246)</f>
        <v>4</v>
      </c>
      <c r="E246" s="57" t="s">
        <v>323</v>
      </c>
      <c r="F246" s="57" t="s">
        <v>75</v>
      </c>
      <c r="G246" s="57" t="s">
        <v>40</v>
      </c>
      <c r="H246" s="57" t="s">
        <v>39</v>
      </c>
      <c r="I246" s="59" t="n">
        <v>1</v>
      </c>
      <c r="J246" s="60" t="n">
        <v>54</v>
      </c>
      <c r="K246" s="60" t="n">
        <v>19</v>
      </c>
      <c r="L246" s="61" t="n">
        <f aca="false">I246*J246</f>
        <v>54</v>
      </c>
      <c r="M246" s="61" t="n">
        <f aca="false">L246-I246*K246</f>
        <v>35</v>
      </c>
      <c r="N246" s="57" t="n">
        <f aca="false">IF(COUNTIFS(E$2:E246,E246,C$2:C246,C246)=1,1,0)</f>
        <v>0</v>
      </c>
      <c r="O246" s="57" t="n">
        <f aca="false">IF(COUNTIFS(E$2:E246,E246,C$2:C246,C246,D$2:D246,D246)=1,1,0)</f>
        <v>1</v>
      </c>
      <c r="P246" s="57" t="n">
        <f aca="false">IF(AND(C246=Calc!$C$3,OR(Calc!$C$4=0,D246=Calc!$C$4)),ROW(),0)</f>
        <v>0</v>
      </c>
    </row>
    <row r="247" customFormat="false" ht="15" hidden="false" customHeight="false" outlineLevel="0" collapsed="false">
      <c r="A247" s="57" t="s">
        <v>497</v>
      </c>
      <c r="B247" s="58" t="n">
        <v>45383</v>
      </c>
      <c r="C247" s="57" t="n">
        <f aca="false">YEAR(B247)</f>
        <v>2024</v>
      </c>
      <c r="D247" s="57" t="n">
        <f aca="false">MONTH(B247)</f>
        <v>4</v>
      </c>
      <c r="E247" s="57" t="s">
        <v>498</v>
      </c>
      <c r="F247" s="57" t="s">
        <v>78</v>
      </c>
      <c r="G247" s="57" t="s">
        <v>35</v>
      </c>
      <c r="H247" s="57" t="s">
        <v>34</v>
      </c>
      <c r="I247" s="59" t="n">
        <v>1</v>
      </c>
      <c r="J247" s="60" t="n">
        <v>89</v>
      </c>
      <c r="K247" s="60" t="n">
        <v>41</v>
      </c>
      <c r="L247" s="61" t="n">
        <f aca="false">I247*J247</f>
        <v>89</v>
      </c>
      <c r="M247" s="61" t="n">
        <f aca="false">L247-I247*K247</f>
        <v>48</v>
      </c>
      <c r="N247" s="57" t="n">
        <f aca="false">IF(COUNTIFS(E$2:E247,E247,C$2:C247,C247)=1,1,0)</f>
        <v>1</v>
      </c>
      <c r="O247" s="57" t="n">
        <f aca="false">IF(COUNTIFS(E$2:E247,E247,C$2:C247,C247,D$2:D247,D247)=1,1,0)</f>
        <v>1</v>
      </c>
      <c r="P247" s="57" t="n">
        <f aca="false">IF(AND(C247=Calc!$C$3,OR(Calc!$C$4=0,D247=Calc!$C$4)),ROW(),0)</f>
        <v>0</v>
      </c>
    </row>
    <row r="248" customFormat="false" ht="15" hidden="false" customHeight="false" outlineLevel="0" collapsed="false">
      <c r="A248" s="57" t="s">
        <v>499</v>
      </c>
      <c r="B248" s="58" t="n">
        <v>45383</v>
      </c>
      <c r="C248" s="57" t="n">
        <f aca="false">YEAR(B248)</f>
        <v>2024</v>
      </c>
      <c r="D248" s="57" t="n">
        <f aca="false">MONTH(B248)</f>
        <v>4</v>
      </c>
      <c r="E248" s="57" t="s">
        <v>500</v>
      </c>
      <c r="F248" s="57" t="s">
        <v>72</v>
      </c>
      <c r="G248" s="57" t="s">
        <v>35</v>
      </c>
      <c r="H248" s="57" t="s">
        <v>37</v>
      </c>
      <c r="I248" s="59" t="n">
        <v>1</v>
      </c>
      <c r="J248" s="60" t="n">
        <v>59</v>
      </c>
      <c r="K248" s="60" t="n">
        <v>27</v>
      </c>
      <c r="L248" s="61" t="n">
        <f aca="false">I248*J248</f>
        <v>59</v>
      </c>
      <c r="M248" s="61" t="n">
        <f aca="false">L248-I248*K248</f>
        <v>32</v>
      </c>
      <c r="N248" s="57" t="n">
        <f aca="false">IF(COUNTIFS(E$2:E248,E248,C$2:C248,C248)=1,1,0)</f>
        <v>1</v>
      </c>
      <c r="O248" s="57" t="n">
        <f aca="false">IF(COUNTIFS(E$2:E248,E248,C$2:C248,C248,D$2:D248,D248)=1,1,0)</f>
        <v>1</v>
      </c>
      <c r="P248" s="57" t="n">
        <f aca="false">IF(AND(C248=Calc!$C$3,OR(Calc!$C$4=0,D248=Calc!$C$4)),ROW(),0)</f>
        <v>0</v>
      </c>
    </row>
    <row r="249" customFormat="false" ht="15" hidden="false" customHeight="false" outlineLevel="0" collapsed="false">
      <c r="A249" s="57" t="s">
        <v>501</v>
      </c>
      <c r="B249" s="58" t="n">
        <v>45384</v>
      </c>
      <c r="C249" s="57" t="n">
        <f aca="false">YEAR(B249)</f>
        <v>2024</v>
      </c>
      <c r="D249" s="57" t="n">
        <f aca="false">MONTH(B249)</f>
        <v>4</v>
      </c>
      <c r="E249" s="57" t="s">
        <v>502</v>
      </c>
      <c r="F249" s="57" t="s">
        <v>72</v>
      </c>
      <c r="G249" s="57" t="s">
        <v>45</v>
      </c>
      <c r="H249" s="57" t="s">
        <v>44</v>
      </c>
      <c r="I249" s="59" t="n">
        <v>1</v>
      </c>
      <c r="J249" s="60" t="n">
        <v>119</v>
      </c>
      <c r="K249" s="60" t="n">
        <v>63</v>
      </c>
      <c r="L249" s="61" t="n">
        <f aca="false">I249*J249</f>
        <v>119</v>
      </c>
      <c r="M249" s="61" t="n">
        <f aca="false">L249-I249*K249</f>
        <v>56</v>
      </c>
      <c r="N249" s="57" t="n">
        <f aca="false">IF(COUNTIFS(E$2:E249,E249,C$2:C249,C249)=1,1,0)</f>
        <v>1</v>
      </c>
      <c r="O249" s="57" t="n">
        <f aca="false">IF(COUNTIFS(E$2:E249,E249,C$2:C249,C249,D$2:D249,D249)=1,1,0)</f>
        <v>1</v>
      </c>
      <c r="P249" s="57" t="n">
        <f aca="false">IF(AND(C249=Calc!$C$3,OR(Calc!$C$4=0,D249=Calc!$C$4)),ROW(),0)</f>
        <v>0</v>
      </c>
    </row>
    <row r="250" customFormat="false" ht="15" hidden="false" customHeight="false" outlineLevel="0" collapsed="false">
      <c r="A250" s="57" t="s">
        <v>503</v>
      </c>
      <c r="B250" s="58" t="n">
        <v>45384</v>
      </c>
      <c r="C250" s="57" t="n">
        <f aca="false">YEAR(B250)</f>
        <v>2024</v>
      </c>
      <c r="D250" s="57" t="n">
        <f aca="false">MONTH(B250)</f>
        <v>4</v>
      </c>
      <c r="E250" s="57" t="s">
        <v>504</v>
      </c>
      <c r="F250" s="57" t="s">
        <v>72</v>
      </c>
      <c r="G250" s="57" t="s">
        <v>40</v>
      </c>
      <c r="H250" s="57" t="s">
        <v>42</v>
      </c>
      <c r="I250" s="59" t="n">
        <v>1</v>
      </c>
      <c r="J250" s="60" t="n">
        <v>79</v>
      </c>
      <c r="K250" s="60" t="n">
        <v>31</v>
      </c>
      <c r="L250" s="61" t="n">
        <f aca="false">I250*J250</f>
        <v>79</v>
      </c>
      <c r="M250" s="61" t="n">
        <f aca="false">L250-I250*K250</f>
        <v>48</v>
      </c>
      <c r="N250" s="57" t="n">
        <f aca="false">IF(COUNTIFS(E$2:E250,E250,C$2:C250,C250)=1,1,0)</f>
        <v>1</v>
      </c>
      <c r="O250" s="57" t="n">
        <f aca="false">IF(COUNTIFS(E$2:E250,E250,C$2:C250,C250,D$2:D250,D250)=1,1,0)</f>
        <v>1</v>
      </c>
      <c r="P250" s="57" t="n">
        <f aca="false">IF(AND(C250=Calc!$C$3,OR(Calc!$C$4=0,D250=Calc!$C$4)),ROW(),0)</f>
        <v>0</v>
      </c>
    </row>
    <row r="251" customFormat="false" ht="15" hidden="false" customHeight="false" outlineLevel="0" collapsed="false">
      <c r="A251" s="57" t="s">
        <v>505</v>
      </c>
      <c r="B251" s="58" t="n">
        <v>45384</v>
      </c>
      <c r="C251" s="57" t="n">
        <f aca="false">YEAR(B251)</f>
        <v>2024</v>
      </c>
      <c r="D251" s="57" t="n">
        <f aca="false">MONTH(B251)</f>
        <v>4</v>
      </c>
      <c r="E251" s="57" t="s">
        <v>506</v>
      </c>
      <c r="F251" s="57" t="s">
        <v>78</v>
      </c>
      <c r="G251" s="57" t="s">
        <v>40</v>
      </c>
      <c r="H251" s="57" t="s">
        <v>43</v>
      </c>
      <c r="I251" s="59" t="n">
        <v>1</v>
      </c>
      <c r="J251" s="60" t="n">
        <v>29</v>
      </c>
      <c r="K251" s="60" t="n">
        <v>9</v>
      </c>
      <c r="L251" s="61" t="n">
        <f aca="false">I251*J251</f>
        <v>29</v>
      </c>
      <c r="M251" s="61" t="n">
        <f aca="false">L251-I251*K251</f>
        <v>20</v>
      </c>
      <c r="N251" s="57" t="n">
        <f aca="false">IF(COUNTIFS(E$2:E251,E251,C$2:C251,C251)=1,1,0)</f>
        <v>1</v>
      </c>
      <c r="O251" s="57" t="n">
        <f aca="false">IF(COUNTIFS(E$2:E251,E251,C$2:C251,C251,D$2:D251,D251)=1,1,0)</f>
        <v>1</v>
      </c>
      <c r="P251" s="57" t="n">
        <f aca="false">IF(AND(C251=Calc!$C$3,OR(Calc!$C$4=0,D251=Calc!$C$4)),ROW(),0)</f>
        <v>0</v>
      </c>
    </row>
    <row r="252" customFormat="false" ht="15" hidden="false" customHeight="false" outlineLevel="0" collapsed="false">
      <c r="A252" s="57" t="s">
        <v>507</v>
      </c>
      <c r="B252" s="58" t="n">
        <v>45384</v>
      </c>
      <c r="C252" s="57" t="n">
        <f aca="false">YEAR(B252)</f>
        <v>2024</v>
      </c>
      <c r="D252" s="57" t="n">
        <f aca="false">MONTH(B252)</f>
        <v>4</v>
      </c>
      <c r="E252" s="57" t="s">
        <v>508</v>
      </c>
      <c r="F252" s="57" t="s">
        <v>81</v>
      </c>
      <c r="G252" s="57" t="s">
        <v>45</v>
      </c>
      <c r="H252" s="57" t="s">
        <v>48</v>
      </c>
      <c r="I252" s="59" t="n">
        <v>1</v>
      </c>
      <c r="J252" s="60" t="n">
        <v>99</v>
      </c>
      <c r="K252" s="60" t="n">
        <v>38</v>
      </c>
      <c r="L252" s="61" t="n">
        <f aca="false">I252*J252</f>
        <v>99</v>
      </c>
      <c r="M252" s="61" t="n">
        <f aca="false">L252-I252*K252</f>
        <v>61</v>
      </c>
      <c r="N252" s="57" t="n">
        <f aca="false">IF(COUNTIFS(E$2:E252,E252,C$2:C252,C252)=1,1,0)</f>
        <v>1</v>
      </c>
      <c r="O252" s="57" t="n">
        <f aca="false">IF(COUNTIFS(E$2:E252,E252,C$2:C252,C252,D$2:D252,D252)=1,1,0)</f>
        <v>1</v>
      </c>
      <c r="P252" s="57" t="n">
        <f aca="false">IF(AND(C252=Calc!$C$3,OR(Calc!$C$4=0,D252=Calc!$C$4)),ROW(),0)</f>
        <v>0</v>
      </c>
    </row>
    <row r="253" customFormat="false" ht="15" hidden="false" customHeight="false" outlineLevel="0" collapsed="false">
      <c r="A253" s="57" t="s">
        <v>509</v>
      </c>
      <c r="B253" s="58" t="n">
        <v>45384</v>
      </c>
      <c r="C253" s="57" t="n">
        <f aca="false">YEAR(B253)</f>
        <v>2024</v>
      </c>
      <c r="D253" s="57" t="n">
        <f aca="false">MONTH(B253)</f>
        <v>4</v>
      </c>
      <c r="E253" s="57" t="s">
        <v>510</v>
      </c>
      <c r="F253" s="57" t="s">
        <v>78</v>
      </c>
      <c r="G253" s="57" t="s">
        <v>35</v>
      </c>
      <c r="H253" s="57" t="s">
        <v>34</v>
      </c>
      <c r="I253" s="59" t="n">
        <v>1</v>
      </c>
      <c r="J253" s="60" t="n">
        <v>89</v>
      </c>
      <c r="K253" s="60" t="n">
        <v>41</v>
      </c>
      <c r="L253" s="61" t="n">
        <f aca="false">I253*J253</f>
        <v>89</v>
      </c>
      <c r="M253" s="61" t="n">
        <f aca="false">L253-I253*K253</f>
        <v>48</v>
      </c>
      <c r="N253" s="57" t="n">
        <f aca="false">IF(COUNTIFS(E$2:E253,E253,C$2:C253,C253)=1,1,0)</f>
        <v>1</v>
      </c>
      <c r="O253" s="57" t="n">
        <f aca="false">IF(COUNTIFS(E$2:E253,E253,C$2:C253,C253,D$2:D253,D253)=1,1,0)</f>
        <v>1</v>
      </c>
      <c r="P253" s="57" t="n">
        <f aca="false">IF(AND(C253=Calc!$C$3,OR(Calc!$C$4=0,D253=Calc!$C$4)),ROW(),0)</f>
        <v>0</v>
      </c>
    </row>
    <row r="254" customFormat="false" ht="15" hidden="false" customHeight="false" outlineLevel="0" collapsed="false">
      <c r="A254" s="57" t="s">
        <v>511</v>
      </c>
      <c r="B254" s="58" t="n">
        <v>45384</v>
      </c>
      <c r="C254" s="57" t="n">
        <f aca="false">YEAR(B254)</f>
        <v>2024</v>
      </c>
      <c r="D254" s="57" t="n">
        <f aca="false">MONTH(B254)</f>
        <v>4</v>
      </c>
      <c r="E254" s="57" t="s">
        <v>512</v>
      </c>
      <c r="F254" s="57" t="s">
        <v>75</v>
      </c>
      <c r="G254" s="57" t="s">
        <v>54</v>
      </c>
      <c r="H254" s="57" t="s">
        <v>55</v>
      </c>
      <c r="I254" s="59" t="n">
        <v>1</v>
      </c>
      <c r="J254" s="60" t="n">
        <v>64</v>
      </c>
      <c r="K254" s="60" t="n">
        <v>25</v>
      </c>
      <c r="L254" s="61" t="n">
        <f aca="false">I254*J254</f>
        <v>64</v>
      </c>
      <c r="M254" s="61" t="n">
        <f aca="false">L254-I254*K254</f>
        <v>39</v>
      </c>
      <c r="N254" s="57" t="n">
        <f aca="false">IF(COUNTIFS(E$2:E254,E254,C$2:C254,C254)=1,1,0)</f>
        <v>1</v>
      </c>
      <c r="O254" s="57" t="n">
        <f aca="false">IF(COUNTIFS(E$2:E254,E254,C$2:C254,C254,D$2:D254,D254)=1,1,0)</f>
        <v>1</v>
      </c>
      <c r="P254" s="57" t="n">
        <f aca="false">IF(AND(C254=Calc!$C$3,OR(Calc!$C$4=0,D254=Calc!$C$4)),ROW(),0)</f>
        <v>0</v>
      </c>
    </row>
    <row r="255" customFormat="false" ht="15" hidden="false" customHeight="false" outlineLevel="0" collapsed="false">
      <c r="A255" s="57" t="s">
        <v>513</v>
      </c>
      <c r="B255" s="58" t="n">
        <v>45385</v>
      </c>
      <c r="C255" s="57" t="n">
        <f aca="false">YEAR(B255)</f>
        <v>2024</v>
      </c>
      <c r="D255" s="57" t="n">
        <f aca="false">MONTH(B255)</f>
        <v>4</v>
      </c>
      <c r="E255" s="57" t="s">
        <v>514</v>
      </c>
      <c r="F255" s="57" t="s">
        <v>72</v>
      </c>
      <c r="G255" s="57" t="s">
        <v>40</v>
      </c>
      <c r="H255" s="57" t="s">
        <v>41</v>
      </c>
      <c r="I255" s="59" t="n">
        <v>1</v>
      </c>
      <c r="J255" s="60" t="n">
        <v>46</v>
      </c>
      <c r="K255" s="60" t="n">
        <v>16</v>
      </c>
      <c r="L255" s="61" t="n">
        <f aca="false">I255*J255</f>
        <v>46</v>
      </c>
      <c r="M255" s="61" t="n">
        <f aca="false">L255-I255*K255</f>
        <v>30</v>
      </c>
      <c r="N255" s="57" t="n">
        <f aca="false">IF(COUNTIFS(E$2:E255,E255,C$2:C255,C255)=1,1,0)</f>
        <v>1</v>
      </c>
      <c r="O255" s="57" t="n">
        <f aca="false">IF(COUNTIFS(E$2:E255,E255,C$2:C255,C255,D$2:D255,D255)=1,1,0)</f>
        <v>1</v>
      </c>
      <c r="P255" s="57" t="n">
        <f aca="false">IF(AND(C255=Calc!$C$3,OR(Calc!$C$4=0,D255=Calc!$C$4)),ROW(),0)</f>
        <v>0</v>
      </c>
    </row>
    <row r="256" customFormat="false" ht="15" hidden="false" customHeight="false" outlineLevel="0" collapsed="false">
      <c r="A256" s="57" t="s">
        <v>515</v>
      </c>
      <c r="B256" s="58" t="n">
        <v>45385</v>
      </c>
      <c r="C256" s="57" t="n">
        <f aca="false">YEAR(B256)</f>
        <v>2024</v>
      </c>
      <c r="D256" s="57" t="n">
        <f aca="false">MONTH(B256)</f>
        <v>4</v>
      </c>
      <c r="E256" s="57" t="s">
        <v>133</v>
      </c>
      <c r="F256" s="57" t="s">
        <v>72</v>
      </c>
      <c r="G256" s="57" t="s">
        <v>40</v>
      </c>
      <c r="H256" s="57" t="s">
        <v>43</v>
      </c>
      <c r="I256" s="59" t="n">
        <v>1</v>
      </c>
      <c r="J256" s="60" t="n">
        <v>29</v>
      </c>
      <c r="K256" s="60" t="n">
        <v>9</v>
      </c>
      <c r="L256" s="61" t="n">
        <f aca="false">I256*J256</f>
        <v>29</v>
      </c>
      <c r="M256" s="61" t="n">
        <f aca="false">L256-I256*K256</f>
        <v>20</v>
      </c>
      <c r="N256" s="57" t="n">
        <f aca="false">IF(COUNTIFS(E$2:E256,E256,C$2:C256,C256)=1,1,0)</f>
        <v>0</v>
      </c>
      <c r="O256" s="57" t="n">
        <f aca="false">IF(COUNTIFS(E$2:E256,E256,C$2:C256,C256,D$2:D256,D256)=1,1,0)</f>
        <v>1</v>
      </c>
      <c r="P256" s="57" t="n">
        <f aca="false">IF(AND(C256=Calc!$C$3,OR(Calc!$C$4=0,D256=Calc!$C$4)),ROW(),0)</f>
        <v>0</v>
      </c>
    </row>
    <row r="257" customFormat="false" ht="15" hidden="false" customHeight="false" outlineLevel="0" collapsed="false">
      <c r="A257" s="57" t="s">
        <v>516</v>
      </c>
      <c r="B257" s="58" t="n">
        <v>45385</v>
      </c>
      <c r="C257" s="57" t="n">
        <f aca="false">YEAR(B257)</f>
        <v>2024</v>
      </c>
      <c r="D257" s="57" t="n">
        <f aca="false">MONTH(B257)</f>
        <v>4</v>
      </c>
      <c r="E257" s="57" t="s">
        <v>311</v>
      </c>
      <c r="F257" s="57" t="s">
        <v>69</v>
      </c>
      <c r="G257" s="57" t="s">
        <v>45</v>
      </c>
      <c r="H257" s="57" t="s">
        <v>48</v>
      </c>
      <c r="I257" s="59" t="n">
        <v>1</v>
      </c>
      <c r="J257" s="60" t="n">
        <v>99</v>
      </c>
      <c r="K257" s="60" t="n">
        <v>38</v>
      </c>
      <c r="L257" s="61" t="n">
        <f aca="false">I257*J257</f>
        <v>99</v>
      </c>
      <c r="M257" s="61" t="n">
        <f aca="false">L257-I257*K257</f>
        <v>61</v>
      </c>
      <c r="N257" s="57" t="n">
        <f aca="false">IF(COUNTIFS(E$2:E257,E257,C$2:C257,C257)=1,1,0)</f>
        <v>0</v>
      </c>
      <c r="O257" s="57" t="n">
        <f aca="false">IF(COUNTIFS(E$2:E257,E257,C$2:C257,C257,D$2:D257,D257)=1,1,0)</f>
        <v>1</v>
      </c>
      <c r="P257" s="57" t="n">
        <f aca="false">IF(AND(C257=Calc!$C$3,OR(Calc!$C$4=0,D257=Calc!$C$4)),ROW(),0)</f>
        <v>0</v>
      </c>
    </row>
    <row r="258" customFormat="false" ht="15" hidden="false" customHeight="false" outlineLevel="0" collapsed="false">
      <c r="A258" s="57" t="s">
        <v>517</v>
      </c>
      <c r="B258" s="58" t="n">
        <v>45386</v>
      </c>
      <c r="C258" s="57" t="n">
        <f aca="false">YEAR(B258)</f>
        <v>2024</v>
      </c>
      <c r="D258" s="57" t="n">
        <f aca="false">MONTH(B258)</f>
        <v>4</v>
      </c>
      <c r="E258" s="57" t="s">
        <v>146</v>
      </c>
      <c r="F258" s="57" t="s">
        <v>78</v>
      </c>
      <c r="G258" s="57" t="s">
        <v>40</v>
      </c>
      <c r="H258" s="57" t="s">
        <v>41</v>
      </c>
      <c r="I258" s="59" t="n">
        <v>2</v>
      </c>
      <c r="J258" s="60" t="n">
        <v>46</v>
      </c>
      <c r="K258" s="60" t="n">
        <v>16</v>
      </c>
      <c r="L258" s="61" t="n">
        <f aca="false">I258*J258</f>
        <v>92</v>
      </c>
      <c r="M258" s="61" t="n">
        <f aca="false">L258-I258*K258</f>
        <v>60</v>
      </c>
      <c r="N258" s="57" t="n">
        <f aca="false">IF(COUNTIFS(E$2:E258,E258,C$2:C258,C258)=1,1,0)</f>
        <v>0</v>
      </c>
      <c r="O258" s="57" t="n">
        <f aca="false">IF(COUNTIFS(E$2:E258,E258,C$2:C258,C258,D$2:D258,D258)=1,1,0)</f>
        <v>1</v>
      </c>
      <c r="P258" s="57" t="n">
        <f aca="false">IF(AND(C258=Calc!$C$3,OR(Calc!$C$4=0,D258=Calc!$C$4)),ROW(),0)</f>
        <v>0</v>
      </c>
    </row>
    <row r="259" customFormat="false" ht="15" hidden="false" customHeight="false" outlineLevel="0" collapsed="false">
      <c r="A259" s="57" t="s">
        <v>518</v>
      </c>
      <c r="B259" s="58" t="n">
        <v>45386</v>
      </c>
      <c r="C259" s="57" t="n">
        <f aca="false">YEAR(B259)</f>
        <v>2024</v>
      </c>
      <c r="D259" s="57" t="n">
        <f aca="false">MONTH(B259)</f>
        <v>4</v>
      </c>
      <c r="E259" s="57" t="s">
        <v>183</v>
      </c>
      <c r="F259" s="57" t="s">
        <v>72</v>
      </c>
      <c r="G259" s="57" t="s">
        <v>45</v>
      </c>
      <c r="H259" s="57" t="s">
        <v>48</v>
      </c>
      <c r="I259" s="59" t="n">
        <v>1</v>
      </c>
      <c r="J259" s="60" t="n">
        <v>99</v>
      </c>
      <c r="K259" s="60" t="n">
        <v>38</v>
      </c>
      <c r="L259" s="61" t="n">
        <f aca="false">I259*J259</f>
        <v>99</v>
      </c>
      <c r="M259" s="61" t="n">
        <f aca="false">L259-I259*K259</f>
        <v>61</v>
      </c>
      <c r="N259" s="57" t="n">
        <f aca="false">IF(COUNTIFS(E$2:E259,E259,C$2:C259,C259)=1,1,0)</f>
        <v>0</v>
      </c>
      <c r="O259" s="57" t="n">
        <f aca="false">IF(COUNTIFS(E$2:E259,E259,C$2:C259,C259,D$2:D259,D259)=1,1,0)</f>
        <v>1</v>
      </c>
      <c r="P259" s="57" t="n">
        <f aca="false">IF(AND(C259=Calc!$C$3,OR(Calc!$C$4=0,D259=Calc!$C$4)),ROW(),0)</f>
        <v>0</v>
      </c>
    </row>
    <row r="260" customFormat="false" ht="15" hidden="false" customHeight="false" outlineLevel="0" collapsed="false">
      <c r="A260" s="57" t="s">
        <v>519</v>
      </c>
      <c r="B260" s="58" t="n">
        <v>45386</v>
      </c>
      <c r="C260" s="57" t="n">
        <f aca="false">YEAR(B260)</f>
        <v>2024</v>
      </c>
      <c r="D260" s="57" t="n">
        <f aca="false">MONTH(B260)</f>
        <v>4</v>
      </c>
      <c r="E260" s="57" t="s">
        <v>520</v>
      </c>
      <c r="F260" s="57" t="s">
        <v>78</v>
      </c>
      <c r="G260" s="57" t="s">
        <v>40</v>
      </c>
      <c r="H260" s="57" t="s">
        <v>43</v>
      </c>
      <c r="I260" s="59" t="n">
        <v>1</v>
      </c>
      <c r="J260" s="60" t="n">
        <v>29</v>
      </c>
      <c r="K260" s="60" t="n">
        <v>9</v>
      </c>
      <c r="L260" s="61" t="n">
        <f aca="false">I260*J260</f>
        <v>29</v>
      </c>
      <c r="M260" s="61" t="n">
        <f aca="false">L260-I260*K260</f>
        <v>20</v>
      </c>
      <c r="N260" s="57" t="n">
        <f aca="false">IF(COUNTIFS(E$2:E260,E260,C$2:C260,C260)=1,1,0)</f>
        <v>1</v>
      </c>
      <c r="O260" s="57" t="n">
        <f aca="false">IF(COUNTIFS(E$2:E260,E260,C$2:C260,C260,D$2:D260,D260)=1,1,0)</f>
        <v>1</v>
      </c>
      <c r="P260" s="57" t="n">
        <f aca="false">IF(AND(C260=Calc!$C$3,OR(Calc!$C$4=0,D260=Calc!$C$4)),ROW(),0)</f>
        <v>0</v>
      </c>
    </row>
    <row r="261" customFormat="false" ht="15" hidden="false" customHeight="false" outlineLevel="0" collapsed="false">
      <c r="A261" s="57" t="s">
        <v>521</v>
      </c>
      <c r="B261" s="58" t="n">
        <v>45386</v>
      </c>
      <c r="C261" s="57" t="n">
        <f aca="false">YEAR(B261)</f>
        <v>2024</v>
      </c>
      <c r="D261" s="57" t="n">
        <f aca="false">MONTH(B261)</f>
        <v>4</v>
      </c>
      <c r="E261" s="57" t="s">
        <v>114</v>
      </c>
      <c r="F261" s="57" t="s">
        <v>69</v>
      </c>
      <c r="G261" s="57" t="s">
        <v>45</v>
      </c>
      <c r="H261" s="57" t="s">
        <v>44</v>
      </c>
      <c r="I261" s="59" t="n">
        <v>1</v>
      </c>
      <c r="J261" s="60" t="n">
        <v>119</v>
      </c>
      <c r="K261" s="60" t="n">
        <v>63</v>
      </c>
      <c r="L261" s="61" t="n">
        <f aca="false">I261*J261</f>
        <v>119</v>
      </c>
      <c r="M261" s="61" t="n">
        <f aca="false">L261-I261*K261</f>
        <v>56</v>
      </c>
      <c r="N261" s="57" t="n">
        <f aca="false">IF(COUNTIFS(E$2:E261,E261,C$2:C261,C261)=1,1,0)</f>
        <v>0</v>
      </c>
      <c r="O261" s="57" t="n">
        <f aca="false">IF(COUNTIFS(E$2:E261,E261,C$2:C261,C261,D$2:D261,D261)=1,1,0)</f>
        <v>1</v>
      </c>
      <c r="P261" s="57" t="n">
        <f aca="false">IF(AND(C261=Calc!$C$3,OR(Calc!$C$4=0,D261=Calc!$C$4)),ROW(),0)</f>
        <v>0</v>
      </c>
    </row>
    <row r="262" customFormat="false" ht="15" hidden="false" customHeight="false" outlineLevel="0" collapsed="false">
      <c r="A262" s="57" t="s">
        <v>522</v>
      </c>
      <c r="B262" s="58" t="n">
        <v>45386</v>
      </c>
      <c r="C262" s="57" t="n">
        <f aca="false">YEAR(B262)</f>
        <v>2024</v>
      </c>
      <c r="D262" s="57" t="n">
        <f aca="false">MONTH(B262)</f>
        <v>4</v>
      </c>
      <c r="E262" s="57" t="s">
        <v>523</v>
      </c>
      <c r="F262" s="57" t="s">
        <v>69</v>
      </c>
      <c r="G262" s="57" t="s">
        <v>35</v>
      </c>
      <c r="H262" s="57" t="s">
        <v>34</v>
      </c>
      <c r="I262" s="59" t="n">
        <v>2</v>
      </c>
      <c r="J262" s="60" t="n">
        <v>89</v>
      </c>
      <c r="K262" s="60" t="n">
        <v>41</v>
      </c>
      <c r="L262" s="61" t="n">
        <f aca="false">I262*J262</f>
        <v>178</v>
      </c>
      <c r="M262" s="61" t="n">
        <f aca="false">L262-I262*K262</f>
        <v>96</v>
      </c>
      <c r="N262" s="57" t="n">
        <f aca="false">IF(COUNTIFS(E$2:E262,E262,C$2:C262,C262)=1,1,0)</f>
        <v>1</v>
      </c>
      <c r="O262" s="57" t="n">
        <f aca="false">IF(COUNTIFS(E$2:E262,E262,C$2:C262,C262,D$2:D262,D262)=1,1,0)</f>
        <v>1</v>
      </c>
      <c r="P262" s="57" t="n">
        <f aca="false">IF(AND(C262=Calc!$C$3,OR(Calc!$C$4=0,D262=Calc!$C$4)),ROW(),0)</f>
        <v>0</v>
      </c>
    </row>
    <row r="263" customFormat="false" ht="15" hidden="false" customHeight="false" outlineLevel="0" collapsed="false">
      <c r="A263" s="57" t="s">
        <v>524</v>
      </c>
      <c r="B263" s="58" t="n">
        <v>45386</v>
      </c>
      <c r="C263" s="57" t="n">
        <f aca="false">YEAR(B263)</f>
        <v>2024</v>
      </c>
      <c r="D263" s="57" t="n">
        <f aca="false">MONTH(B263)</f>
        <v>4</v>
      </c>
      <c r="E263" s="57" t="s">
        <v>525</v>
      </c>
      <c r="F263" s="57" t="s">
        <v>78</v>
      </c>
      <c r="G263" s="57" t="s">
        <v>35</v>
      </c>
      <c r="H263" s="57" t="s">
        <v>38</v>
      </c>
      <c r="I263" s="59" t="n">
        <v>1</v>
      </c>
      <c r="J263" s="60" t="n">
        <v>49</v>
      </c>
      <c r="K263" s="60" t="n">
        <v>22</v>
      </c>
      <c r="L263" s="61" t="n">
        <f aca="false">I263*J263</f>
        <v>49</v>
      </c>
      <c r="M263" s="61" t="n">
        <f aca="false">L263-I263*K263</f>
        <v>27</v>
      </c>
      <c r="N263" s="57" t="n">
        <f aca="false">IF(COUNTIFS(E$2:E263,E263,C$2:C263,C263)=1,1,0)</f>
        <v>1</v>
      </c>
      <c r="O263" s="57" t="n">
        <f aca="false">IF(COUNTIFS(E$2:E263,E263,C$2:C263,C263,D$2:D263,D263)=1,1,0)</f>
        <v>1</v>
      </c>
      <c r="P263" s="57" t="n">
        <f aca="false">IF(AND(C263=Calc!$C$3,OR(Calc!$C$4=0,D263=Calc!$C$4)),ROW(),0)</f>
        <v>0</v>
      </c>
    </row>
    <row r="264" customFormat="false" ht="15" hidden="false" customHeight="false" outlineLevel="0" collapsed="false">
      <c r="A264" s="57" t="s">
        <v>526</v>
      </c>
      <c r="B264" s="58" t="n">
        <v>45387</v>
      </c>
      <c r="C264" s="57" t="n">
        <f aca="false">YEAR(B264)</f>
        <v>2024</v>
      </c>
      <c r="D264" s="57" t="n">
        <f aca="false">MONTH(B264)</f>
        <v>4</v>
      </c>
      <c r="E264" s="57" t="s">
        <v>256</v>
      </c>
      <c r="F264" s="57" t="s">
        <v>69</v>
      </c>
      <c r="G264" s="57" t="s">
        <v>54</v>
      </c>
      <c r="H264" s="57" t="s">
        <v>56</v>
      </c>
      <c r="I264" s="59" t="n">
        <v>1</v>
      </c>
      <c r="J264" s="60" t="n">
        <v>42</v>
      </c>
      <c r="K264" s="60" t="n">
        <v>17</v>
      </c>
      <c r="L264" s="61" t="n">
        <f aca="false">I264*J264</f>
        <v>42</v>
      </c>
      <c r="M264" s="61" t="n">
        <f aca="false">L264-I264*K264</f>
        <v>25</v>
      </c>
      <c r="N264" s="57" t="n">
        <f aca="false">IF(COUNTIFS(E$2:E264,E264,C$2:C264,C264)=1,1,0)</f>
        <v>0</v>
      </c>
      <c r="O264" s="57" t="n">
        <f aca="false">IF(COUNTIFS(E$2:E264,E264,C$2:C264,C264,D$2:D264,D264)=1,1,0)</f>
        <v>1</v>
      </c>
      <c r="P264" s="57" t="n">
        <f aca="false">IF(AND(C264=Calc!$C$3,OR(Calc!$C$4=0,D264=Calc!$C$4)),ROW(),0)</f>
        <v>0</v>
      </c>
    </row>
    <row r="265" customFormat="false" ht="15" hidden="false" customHeight="false" outlineLevel="0" collapsed="false">
      <c r="A265" s="57" t="s">
        <v>527</v>
      </c>
      <c r="B265" s="58" t="n">
        <v>45387</v>
      </c>
      <c r="C265" s="57" t="n">
        <f aca="false">YEAR(B265)</f>
        <v>2024</v>
      </c>
      <c r="D265" s="57" t="n">
        <f aca="false">MONTH(B265)</f>
        <v>4</v>
      </c>
      <c r="E265" s="57" t="s">
        <v>528</v>
      </c>
      <c r="F265" s="57" t="s">
        <v>78</v>
      </c>
      <c r="G265" s="57" t="s">
        <v>40</v>
      </c>
      <c r="H265" s="57" t="s">
        <v>43</v>
      </c>
      <c r="I265" s="59" t="n">
        <v>1</v>
      </c>
      <c r="J265" s="60" t="n">
        <v>29</v>
      </c>
      <c r="K265" s="60" t="n">
        <v>9</v>
      </c>
      <c r="L265" s="61" t="n">
        <f aca="false">I265*J265</f>
        <v>29</v>
      </c>
      <c r="M265" s="61" t="n">
        <f aca="false">L265-I265*K265</f>
        <v>20</v>
      </c>
      <c r="N265" s="57" t="n">
        <f aca="false">IF(COUNTIFS(E$2:E265,E265,C$2:C265,C265)=1,1,0)</f>
        <v>1</v>
      </c>
      <c r="O265" s="57" t="n">
        <f aca="false">IF(COUNTIFS(E$2:E265,E265,C$2:C265,C265,D$2:D265,D265)=1,1,0)</f>
        <v>1</v>
      </c>
      <c r="P265" s="57" t="n">
        <f aca="false">IF(AND(C265=Calc!$C$3,OR(Calc!$C$4=0,D265=Calc!$C$4)),ROW(),0)</f>
        <v>0</v>
      </c>
    </row>
    <row r="266" customFormat="false" ht="15" hidden="false" customHeight="false" outlineLevel="0" collapsed="false">
      <c r="A266" s="57" t="s">
        <v>529</v>
      </c>
      <c r="B266" s="58" t="n">
        <v>45388</v>
      </c>
      <c r="C266" s="57" t="n">
        <f aca="false">YEAR(B266)</f>
        <v>2024</v>
      </c>
      <c r="D266" s="57" t="n">
        <f aca="false">MONTH(B266)</f>
        <v>4</v>
      </c>
      <c r="E266" s="57" t="s">
        <v>530</v>
      </c>
      <c r="F266" s="57" t="s">
        <v>72</v>
      </c>
      <c r="G266" s="57" t="s">
        <v>45</v>
      </c>
      <c r="H266" s="57" t="s">
        <v>44</v>
      </c>
      <c r="I266" s="59" t="n">
        <v>1</v>
      </c>
      <c r="J266" s="60" t="n">
        <v>119</v>
      </c>
      <c r="K266" s="60" t="n">
        <v>63</v>
      </c>
      <c r="L266" s="61" t="n">
        <f aca="false">I266*J266</f>
        <v>119</v>
      </c>
      <c r="M266" s="61" t="n">
        <f aca="false">L266-I266*K266</f>
        <v>56</v>
      </c>
      <c r="N266" s="57" t="n">
        <f aca="false">IF(COUNTIFS(E$2:E266,E266,C$2:C266,C266)=1,1,0)</f>
        <v>1</v>
      </c>
      <c r="O266" s="57" t="n">
        <f aca="false">IF(COUNTIFS(E$2:E266,E266,C$2:C266,C266,D$2:D266,D266)=1,1,0)</f>
        <v>1</v>
      </c>
      <c r="P266" s="57" t="n">
        <f aca="false">IF(AND(C266=Calc!$C$3,OR(Calc!$C$4=0,D266=Calc!$C$4)),ROW(),0)</f>
        <v>0</v>
      </c>
    </row>
    <row r="267" customFormat="false" ht="15" hidden="false" customHeight="false" outlineLevel="0" collapsed="false">
      <c r="A267" s="57" t="s">
        <v>531</v>
      </c>
      <c r="B267" s="58" t="n">
        <v>45389</v>
      </c>
      <c r="C267" s="57" t="n">
        <f aca="false">YEAR(B267)</f>
        <v>2024</v>
      </c>
      <c r="D267" s="57" t="n">
        <f aca="false">MONTH(B267)</f>
        <v>4</v>
      </c>
      <c r="E267" s="57" t="s">
        <v>231</v>
      </c>
      <c r="F267" s="57" t="s">
        <v>72</v>
      </c>
      <c r="G267" s="57" t="s">
        <v>35</v>
      </c>
      <c r="H267" s="57" t="s">
        <v>37</v>
      </c>
      <c r="I267" s="59" t="n">
        <v>1</v>
      </c>
      <c r="J267" s="60" t="n">
        <v>59</v>
      </c>
      <c r="K267" s="60" t="n">
        <v>27</v>
      </c>
      <c r="L267" s="61" t="n">
        <f aca="false">I267*J267</f>
        <v>59</v>
      </c>
      <c r="M267" s="61" t="n">
        <f aca="false">L267-I267*K267</f>
        <v>32</v>
      </c>
      <c r="N267" s="57" t="n">
        <f aca="false">IF(COUNTIFS(E$2:E267,E267,C$2:C267,C267)=1,1,0)</f>
        <v>0</v>
      </c>
      <c r="O267" s="57" t="n">
        <f aca="false">IF(COUNTIFS(E$2:E267,E267,C$2:C267,C267,D$2:D267,D267)=1,1,0)</f>
        <v>1</v>
      </c>
      <c r="P267" s="57" t="n">
        <f aca="false">IF(AND(C267=Calc!$C$3,OR(Calc!$C$4=0,D267=Calc!$C$4)),ROW(),0)</f>
        <v>0</v>
      </c>
    </row>
    <row r="268" customFormat="false" ht="15" hidden="false" customHeight="false" outlineLevel="0" collapsed="false">
      <c r="A268" s="57" t="s">
        <v>532</v>
      </c>
      <c r="B268" s="58" t="n">
        <v>45389</v>
      </c>
      <c r="C268" s="57" t="n">
        <f aca="false">YEAR(B268)</f>
        <v>2024</v>
      </c>
      <c r="D268" s="57" t="n">
        <f aca="false">MONTH(B268)</f>
        <v>4</v>
      </c>
      <c r="E268" s="57" t="s">
        <v>494</v>
      </c>
      <c r="F268" s="57" t="s">
        <v>78</v>
      </c>
      <c r="G268" s="57" t="s">
        <v>45</v>
      </c>
      <c r="H268" s="57" t="s">
        <v>47</v>
      </c>
      <c r="I268" s="59" t="n">
        <v>1</v>
      </c>
      <c r="J268" s="60" t="n">
        <v>34</v>
      </c>
      <c r="K268" s="60" t="n">
        <v>12</v>
      </c>
      <c r="L268" s="61" t="n">
        <f aca="false">I268*J268</f>
        <v>34</v>
      </c>
      <c r="M268" s="61" t="n">
        <f aca="false">L268-I268*K268</f>
        <v>22</v>
      </c>
      <c r="N268" s="57" t="n">
        <f aca="false">IF(COUNTIFS(E$2:E268,E268,C$2:C268,C268)=1,1,0)</f>
        <v>0</v>
      </c>
      <c r="O268" s="57" t="n">
        <f aca="false">IF(COUNTIFS(E$2:E268,E268,C$2:C268,C268,D$2:D268,D268)=1,1,0)</f>
        <v>1</v>
      </c>
      <c r="P268" s="57" t="n">
        <f aca="false">IF(AND(C268=Calc!$C$3,OR(Calc!$C$4=0,D268=Calc!$C$4)),ROW(),0)</f>
        <v>0</v>
      </c>
    </row>
    <row r="269" customFormat="false" ht="15" hidden="false" customHeight="false" outlineLevel="0" collapsed="false">
      <c r="A269" s="57" t="s">
        <v>533</v>
      </c>
      <c r="B269" s="58" t="n">
        <v>45390</v>
      </c>
      <c r="C269" s="57" t="n">
        <f aca="false">YEAR(B269)</f>
        <v>2024</v>
      </c>
      <c r="D269" s="57" t="n">
        <f aca="false">MONTH(B269)</f>
        <v>4</v>
      </c>
      <c r="E269" s="57" t="s">
        <v>142</v>
      </c>
      <c r="F269" s="57" t="s">
        <v>78</v>
      </c>
      <c r="G269" s="57" t="s">
        <v>35</v>
      </c>
      <c r="H269" s="57" t="s">
        <v>38</v>
      </c>
      <c r="I269" s="59" t="n">
        <v>1</v>
      </c>
      <c r="J269" s="60" t="n">
        <v>49</v>
      </c>
      <c r="K269" s="60" t="n">
        <v>22</v>
      </c>
      <c r="L269" s="61" t="n">
        <f aca="false">I269*J269</f>
        <v>49</v>
      </c>
      <c r="M269" s="61" t="n">
        <f aca="false">L269-I269*K269</f>
        <v>27</v>
      </c>
      <c r="N269" s="57" t="n">
        <f aca="false">IF(COUNTIFS(E$2:E269,E269,C$2:C269,C269)=1,1,0)</f>
        <v>0</v>
      </c>
      <c r="O269" s="57" t="n">
        <f aca="false">IF(COUNTIFS(E$2:E269,E269,C$2:C269,C269,D$2:D269,D269)=1,1,0)</f>
        <v>1</v>
      </c>
      <c r="P269" s="57" t="n">
        <f aca="false">IF(AND(C269=Calc!$C$3,OR(Calc!$C$4=0,D269=Calc!$C$4)),ROW(),0)</f>
        <v>0</v>
      </c>
    </row>
    <row r="270" customFormat="false" ht="15" hidden="false" customHeight="false" outlineLevel="0" collapsed="false">
      <c r="A270" s="57" t="s">
        <v>534</v>
      </c>
      <c r="B270" s="58" t="n">
        <v>45390</v>
      </c>
      <c r="C270" s="57" t="n">
        <f aca="false">YEAR(B270)</f>
        <v>2024</v>
      </c>
      <c r="D270" s="57" t="n">
        <f aca="false">MONTH(B270)</f>
        <v>4</v>
      </c>
      <c r="E270" s="57" t="s">
        <v>535</v>
      </c>
      <c r="F270" s="57" t="s">
        <v>81</v>
      </c>
      <c r="G270" s="57" t="s">
        <v>35</v>
      </c>
      <c r="H270" s="57" t="s">
        <v>38</v>
      </c>
      <c r="I270" s="59" t="n">
        <v>1</v>
      </c>
      <c r="J270" s="60" t="n">
        <v>49</v>
      </c>
      <c r="K270" s="60" t="n">
        <v>22</v>
      </c>
      <c r="L270" s="61" t="n">
        <f aca="false">I270*J270</f>
        <v>49</v>
      </c>
      <c r="M270" s="61" t="n">
        <f aca="false">L270-I270*K270</f>
        <v>27</v>
      </c>
      <c r="N270" s="57" t="n">
        <f aca="false">IF(COUNTIFS(E$2:E270,E270,C$2:C270,C270)=1,1,0)</f>
        <v>1</v>
      </c>
      <c r="O270" s="57" t="n">
        <f aca="false">IF(COUNTIFS(E$2:E270,E270,C$2:C270,C270,D$2:D270,D270)=1,1,0)</f>
        <v>1</v>
      </c>
      <c r="P270" s="57" t="n">
        <f aca="false">IF(AND(C270=Calc!$C$3,OR(Calc!$C$4=0,D270=Calc!$C$4)),ROW(),0)</f>
        <v>0</v>
      </c>
    </row>
    <row r="271" customFormat="false" ht="15" hidden="false" customHeight="false" outlineLevel="0" collapsed="false">
      <c r="A271" s="57" t="s">
        <v>536</v>
      </c>
      <c r="B271" s="58" t="n">
        <v>45390</v>
      </c>
      <c r="C271" s="57" t="n">
        <f aca="false">YEAR(B271)</f>
        <v>2024</v>
      </c>
      <c r="D271" s="57" t="n">
        <f aca="false">MONTH(B271)</f>
        <v>4</v>
      </c>
      <c r="E271" s="57" t="s">
        <v>537</v>
      </c>
      <c r="F271" s="57" t="s">
        <v>75</v>
      </c>
      <c r="G271" s="57" t="s">
        <v>40</v>
      </c>
      <c r="H271" s="57" t="s">
        <v>41</v>
      </c>
      <c r="I271" s="59" t="n">
        <v>1</v>
      </c>
      <c r="J271" s="60" t="n">
        <v>46</v>
      </c>
      <c r="K271" s="60" t="n">
        <v>16</v>
      </c>
      <c r="L271" s="61" t="n">
        <f aca="false">I271*J271</f>
        <v>46</v>
      </c>
      <c r="M271" s="61" t="n">
        <f aca="false">L271-I271*K271</f>
        <v>30</v>
      </c>
      <c r="N271" s="57" t="n">
        <f aca="false">IF(COUNTIFS(E$2:E271,E271,C$2:C271,C271)=1,1,0)</f>
        <v>1</v>
      </c>
      <c r="O271" s="57" t="n">
        <f aca="false">IF(COUNTIFS(E$2:E271,E271,C$2:C271,C271,D$2:D271,D271)=1,1,0)</f>
        <v>1</v>
      </c>
      <c r="P271" s="57" t="n">
        <f aca="false">IF(AND(C271=Calc!$C$3,OR(Calc!$C$4=0,D271=Calc!$C$4)),ROW(),0)</f>
        <v>0</v>
      </c>
    </row>
    <row r="272" customFormat="false" ht="15" hidden="false" customHeight="false" outlineLevel="0" collapsed="false">
      <c r="A272" s="57" t="s">
        <v>538</v>
      </c>
      <c r="B272" s="58" t="n">
        <v>45390</v>
      </c>
      <c r="C272" s="57" t="n">
        <f aca="false">YEAR(B272)</f>
        <v>2024</v>
      </c>
      <c r="D272" s="57" t="n">
        <f aca="false">MONTH(B272)</f>
        <v>4</v>
      </c>
      <c r="E272" s="57" t="s">
        <v>539</v>
      </c>
      <c r="F272" s="57" t="s">
        <v>81</v>
      </c>
      <c r="G272" s="57" t="s">
        <v>50</v>
      </c>
      <c r="H272" s="57" t="s">
        <v>49</v>
      </c>
      <c r="I272" s="59" t="n">
        <v>1</v>
      </c>
      <c r="J272" s="60" t="n">
        <v>32</v>
      </c>
      <c r="K272" s="60" t="n">
        <v>7</v>
      </c>
      <c r="L272" s="61" t="n">
        <f aca="false">I272*J272</f>
        <v>32</v>
      </c>
      <c r="M272" s="61" t="n">
        <f aca="false">L272-I272*K272</f>
        <v>25</v>
      </c>
      <c r="N272" s="57" t="n">
        <f aca="false">IF(COUNTIFS(E$2:E272,E272,C$2:C272,C272)=1,1,0)</f>
        <v>1</v>
      </c>
      <c r="O272" s="57" t="n">
        <f aca="false">IF(COUNTIFS(E$2:E272,E272,C$2:C272,C272,D$2:D272,D272)=1,1,0)</f>
        <v>1</v>
      </c>
      <c r="P272" s="57" t="n">
        <f aca="false">IF(AND(C272=Calc!$C$3,OR(Calc!$C$4=0,D272=Calc!$C$4)),ROW(),0)</f>
        <v>0</v>
      </c>
    </row>
    <row r="273" customFormat="false" ht="15" hidden="false" customHeight="false" outlineLevel="0" collapsed="false">
      <c r="A273" s="57" t="s">
        <v>540</v>
      </c>
      <c r="B273" s="58" t="n">
        <v>45391</v>
      </c>
      <c r="C273" s="57" t="n">
        <f aca="false">YEAR(B273)</f>
        <v>2024</v>
      </c>
      <c r="D273" s="57" t="n">
        <f aca="false">MONTH(B273)</f>
        <v>4</v>
      </c>
      <c r="E273" s="57" t="s">
        <v>541</v>
      </c>
      <c r="F273" s="57" t="s">
        <v>75</v>
      </c>
      <c r="G273" s="57" t="s">
        <v>45</v>
      </c>
      <c r="H273" s="57" t="s">
        <v>44</v>
      </c>
      <c r="I273" s="59" t="n">
        <v>1</v>
      </c>
      <c r="J273" s="60" t="n">
        <v>119</v>
      </c>
      <c r="K273" s="60" t="n">
        <v>63</v>
      </c>
      <c r="L273" s="61" t="n">
        <f aca="false">I273*J273</f>
        <v>119</v>
      </c>
      <c r="M273" s="61" t="n">
        <f aca="false">L273-I273*K273</f>
        <v>56</v>
      </c>
      <c r="N273" s="57" t="n">
        <f aca="false">IF(COUNTIFS(E$2:E273,E273,C$2:C273,C273)=1,1,0)</f>
        <v>1</v>
      </c>
      <c r="O273" s="57" t="n">
        <f aca="false">IF(COUNTIFS(E$2:E273,E273,C$2:C273,C273,D$2:D273,D273)=1,1,0)</f>
        <v>1</v>
      </c>
      <c r="P273" s="57" t="n">
        <f aca="false">IF(AND(C273=Calc!$C$3,OR(Calc!$C$4=0,D273=Calc!$C$4)),ROW(),0)</f>
        <v>0</v>
      </c>
    </row>
    <row r="274" customFormat="false" ht="15" hidden="false" customHeight="false" outlineLevel="0" collapsed="false">
      <c r="A274" s="57" t="s">
        <v>542</v>
      </c>
      <c r="B274" s="58" t="n">
        <v>45391</v>
      </c>
      <c r="C274" s="57" t="n">
        <f aca="false">YEAR(B274)</f>
        <v>2024</v>
      </c>
      <c r="D274" s="57" t="n">
        <f aca="false">MONTH(B274)</f>
        <v>4</v>
      </c>
      <c r="E274" s="57" t="s">
        <v>543</v>
      </c>
      <c r="F274" s="57" t="s">
        <v>78</v>
      </c>
      <c r="G274" s="57" t="s">
        <v>35</v>
      </c>
      <c r="H274" s="57" t="s">
        <v>34</v>
      </c>
      <c r="I274" s="59" t="n">
        <v>3</v>
      </c>
      <c r="J274" s="60" t="n">
        <v>89</v>
      </c>
      <c r="K274" s="60" t="n">
        <v>41</v>
      </c>
      <c r="L274" s="61" t="n">
        <f aca="false">I274*J274</f>
        <v>267</v>
      </c>
      <c r="M274" s="61" t="n">
        <f aca="false">L274-I274*K274</f>
        <v>144</v>
      </c>
      <c r="N274" s="57" t="n">
        <f aca="false">IF(COUNTIFS(E$2:E274,E274,C$2:C274,C274)=1,1,0)</f>
        <v>1</v>
      </c>
      <c r="O274" s="57" t="n">
        <f aca="false">IF(COUNTIFS(E$2:E274,E274,C$2:C274,C274,D$2:D274,D274)=1,1,0)</f>
        <v>1</v>
      </c>
      <c r="P274" s="57" t="n">
        <f aca="false">IF(AND(C274=Calc!$C$3,OR(Calc!$C$4=0,D274=Calc!$C$4)),ROW(),0)</f>
        <v>0</v>
      </c>
    </row>
    <row r="275" customFormat="false" ht="15" hidden="false" customHeight="false" outlineLevel="0" collapsed="false">
      <c r="A275" s="57" t="s">
        <v>544</v>
      </c>
      <c r="B275" s="58" t="n">
        <v>45392</v>
      </c>
      <c r="C275" s="57" t="n">
        <f aca="false">YEAR(B275)</f>
        <v>2024</v>
      </c>
      <c r="D275" s="57" t="n">
        <f aca="false">MONTH(B275)</f>
        <v>4</v>
      </c>
      <c r="E275" s="57" t="s">
        <v>85</v>
      </c>
      <c r="F275" s="57" t="s">
        <v>69</v>
      </c>
      <c r="G275" s="57" t="s">
        <v>45</v>
      </c>
      <c r="H275" s="57" t="s">
        <v>44</v>
      </c>
      <c r="I275" s="59" t="n">
        <v>1</v>
      </c>
      <c r="J275" s="60" t="n">
        <v>119</v>
      </c>
      <c r="K275" s="60" t="n">
        <v>63</v>
      </c>
      <c r="L275" s="61" t="n">
        <f aca="false">I275*J275</f>
        <v>119</v>
      </c>
      <c r="M275" s="61" t="n">
        <f aca="false">L275-I275*K275</f>
        <v>56</v>
      </c>
      <c r="N275" s="57" t="n">
        <f aca="false">IF(COUNTIFS(E$2:E275,E275,C$2:C275,C275)=1,1,0)</f>
        <v>0</v>
      </c>
      <c r="O275" s="57" t="n">
        <f aca="false">IF(COUNTIFS(E$2:E275,E275,C$2:C275,C275,D$2:D275,D275)=1,1,0)</f>
        <v>1</v>
      </c>
      <c r="P275" s="57" t="n">
        <f aca="false">IF(AND(C275=Calc!$C$3,OR(Calc!$C$4=0,D275=Calc!$C$4)),ROW(),0)</f>
        <v>0</v>
      </c>
    </row>
    <row r="276" customFormat="false" ht="15" hidden="false" customHeight="false" outlineLevel="0" collapsed="false">
      <c r="A276" s="57" t="s">
        <v>545</v>
      </c>
      <c r="B276" s="58" t="n">
        <v>45392</v>
      </c>
      <c r="C276" s="57" t="n">
        <f aca="false">YEAR(B276)</f>
        <v>2024</v>
      </c>
      <c r="D276" s="57" t="n">
        <f aca="false">MONTH(B276)</f>
        <v>4</v>
      </c>
      <c r="E276" s="57" t="s">
        <v>95</v>
      </c>
      <c r="F276" s="57" t="s">
        <v>75</v>
      </c>
      <c r="G276" s="57" t="s">
        <v>35</v>
      </c>
      <c r="H276" s="57" t="s">
        <v>37</v>
      </c>
      <c r="I276" s="59" t="n">
        <v>2</v>
      </c>
      <c r="J276" s="60" t="n">
        <v>59</v>
      </c>
      <c r="K276" s="60" t="n">
        <v>27</v>
      </c>
      <c r="L276" s="61" t="n">
        <f aca="false">I276*J276</f>
        <v>118</v>
      </c>
      <c r="M276" s="61" t="n">
        <f aca="false">L276-I276*K276</f>
        <v>64</v>
      </c>
      <c r="N276" s="57" t="n">
        <f aca="false">IF(COUNTIFS(E$2:E276,E276,C$2:C276,C276)=1,1,0)</f>
        <v>0</v>
      </c>
      <c r="O276" s="57" t="n">
        <f aca="false">IF(COUNTIFS(E$2:E276,E276,C$2:C276,C276,D$2:D276,D276)=1,1,0)</f>
        <v>1</v>
      </c>
      <c r="P276" s="57" t="n">
        <f aca="false">IF(AND(C276=Calc!$C$3,OR(Calc!$C$4=0,D276=Calc!$C$4)),ROW(),0)</f>
        <v>0</v>
      </c>
    </row>
    <row r="277" customFormat="false" ht="15" hidden="false" customHeight="false" outlineLevel="0" collapsed="false">
      <c r="A277" s="57" t="s">
        <v>546</v>
      </c>
      <c r="B277" s="58" t="n">
        <v>45393</v>
      </c>
      <c r="C277" s="57" t="n">
        <f aca="false">YEAR(B277)</f>
        <v>2024</v>
      </c>
      <c r="D277" s="57" t="n">
        <f aca="false">MONTH(B277)</f>
        <v>4</v>
      </c>
      <c r="E277" s="57" t="s">
        <v>547</v>
      </c>
      <c r="F277" s="57" t="s">
        <v>72</v>
      </c>
      <c r="G277" s="57" t="s">
        <v>54</v>
      </c>
      <c r="H277" s="57" t="s">
        <v>55</v>
      </c>
      <c r="I277" s="59" t="n">
        <v>1</v>
      </c>
      <c r="J277" s="60" t="n">
        <v>64</v>
      </c>
      <c r="K277" s="60" t="n">
        <v>25</v>
      </c>
      <c r="L277" s="61" t="n">
        <f aca="false">I277*J277</f>
        <v>64</v>
      </c>
      <c r="M277" s="61" t="n">
        <f aca="false">L277-I277*K277</f>
        <v>39</v>
      </c>
      <c r="N277" s="57" t="n">
        <f aca="false">IF(COUNTIFS(E$2:E277,E277,C$2:C277,C277)=1,1,0)</f>
        <v>1</v>
      </c>
      <c r="O277" s="57" t="n">
        <f aca="false">IF(COUNTIFS(E$2:E277,E277,C$2:C277,C277,D$2:D277,D277)=1,1,0)</f>
        <v>1</v>
      </c>
      <c r="P277" s="57" t="n">
        <f aca="false">IF(AND(C277=Calc!$C$3,OR(Calc!$C$4=0,D277=Calc!$C$4)),ROW(),0)</f>
        <v>0</v>
      </c>
    </row>
    <row r="278" customFormat="false" ht="15" hidden="false" customHeight="false" outlineLevel="0" collapsed="false">
      <c r="A278" s="57" t="s">
        <v>548</v>
      </c>
      <c r="B278" s="58" t="n">
        <v>45393</v>
      </c>
      <c r="C278" s="57" t="n">
        <f aca="false">YEAR(B278)</f>
        <v>2024</v>
      </c>
      <c r="D278" s="57" t="n">
        <f aca="false">MONTH(B278)</f>
        <v>4</v>
      </c>
      <c r="E278" s="57" t="s">
        <v>68</v>
      </c>
      <c r="F278" s="57" t="s">
        <v>69</v>
      </c>
      <c r="G278" s="57" t="s">
        <v>50</v>
      </c>
      <c r="H278" s="57" t="s">
        <v>52</v>
      </c>
      <c r="I278" s="59" t="n">
        <v>1</v>
      </c>
      <c r="J278" s="60" t="n">
        <v>45</v>
      </c>
      <c r="K278" s="60" t="n">
        <v>14</v>
      </c>
      <c r="L278" s="61" t="n">
        <f aca="false">I278*J278</f>
        <v>45</v>
      </c>
      <c r="M278" s="61" t="n">
        <f aca="false">L278-I278*K278</f>
        <v>31</v>
      </c>
      <c r="N278" s="57" t="n">
        <f aca="false">IF(COUNTIFS(E$2:E278,E278,C$2:C278,C278)=1,1,0)</f>
        <v>0</v>
      </c>
      <c r="O278" s="57" t="n">
        <f aca="false">IF(COUNTIFS(E$2:E278,E278,C$2:C278,C278,D$2:D278,D278)=1,1,0)</f>
        <v>1</v>
      </c>
      <c r="P278" s="57" t="n">
        <f aca="false">IF(AND(C278=Calc!$C$3,OR(Calc!$C$4=0,D278=Calc!$C$4)),ROW(),0)</f>
        <v>0</v>
      </c>
    </row>
    <row r="279" customFormat="false" ht="15" hidden="false" customHeight="false" outlineLevel="0" collapsed="false">
      <c r="A279" s="57" t="s">
        <v>549</v>
      </c>
      <c r="B279" s="58" t="n">
        <v>45393</v>
      </c>
      <c r="C279" s="57" t="n">
        <f aca="false">YEAR(B279)</f>
        <v>2024</v>
      </c>
      <c r="D279" s="57" t="n">
        <f aca="false">MONTH(B279)</f>
        <v>4</v>
      </c>
      <c r="E279" s="57" t="s">
        <v>550</v>
      </c>
      <c r="F279" s="57" t="s">
        <v>69</v>
      </c>
      <c r="G279" s="57" t="s">
        <v>45</v>
      </c>
      <c r="H279" s="57" t="s">
        <v>48</v>
      </c>
      <c r="I279" s="59" t="n">
        <v>1</v>
      </c>
      <c r="J279" s="60" t="n">
        <v>99</v>
      </c>
      <c r="K279" s="60" t="n">
        <v>38</v>
      </c>
      <c r="L279" s="61" t="n">
        <f aca="false">I279*J279</f>
        <v>99</v>
      </c>
      <c r="M279" s="61" t="n">
        <f aca="false">L279-I279*K279</f>
        <v>61</v>
      </c>
      <c r="N279" s="57" t="n">
        <f aca="false">IF(COUNTIFS(E$2:E279,E279,C$2:C279,C279)=1,1,0)</f>
        <v>1</v>
      </c>
      <c r="O279" s="57" t="n">
        <f aca="false">IF(COUNTIFS(E$2:E279,E279,C$2:C279,C279,D$2:D279,D279)=1,1,0)</f>
        <v>1</v>
      </c>
      <c r="P279" s="57" t="n">
        <f aca="false">IF(AND(C279=Calc!$C$3,OR(Calc!$C$4=0,D279=Calc!$C$4)),ROW(),0)</f>
        <v>0</v>
      </c>
    </row>
    <row r="280" customFormat="false" ht="15" hidden="false" customHeight="false" outlineLevel="0" collapsed="false">
      <c r="A280" s="57" t="s">
        <v>551</v>
      </c>
      <c r="B280" s="58" t="n">
        <v>45393</v>
      </c>
      <c r="C280" s="57" t="n">
        <f aca="false">YEAR(B280)</f>
        <v>2024</v>
      </c>
      <c r="D280" s="57" t="n">
        <f aca="false">MONTH(B280)</f>
        <v>4</v>
      </c>
      <c r="E280" s="57" t="s">
        <v>122</v>
      </c>
      <c r="F280" s="57" t="s">
        <v>81</v>
      </c>
      <c r="G280" s="57" t="s">
        <v>45</v>
      </c>
      <c r="H280" s="57" t="s">
        <v>48</v>
      </c>
      <c r="I280" s="59" t="n">
        <v>1</v>
      </c>
      <c r="J280" s="60" t="n">
        <v>99</v>
      </c>
      <c r="K280" s="60" t="n">
        <v>38</v>
      </c>
      <c r="L280" s="61" t="n">
        <f aca="false">I280*J280</f>
        <v>99</v>
      </c>
      <c r="M280" s="61" t="n">
        <f aca="false">L280-I280*K280</f>
        <v>61</v>
      </c>
      <c r="N280" s="57" t="n">
        <f aca="false">IF(COUNTIFS(E$2:E280,E280,C$2:C280,C280)=1,1,0)</f>
        <v>0</v>
      </c>
      <c r="O280" s="57" t="n">
        <f aca="false">IF(COUNTIFS(E$2:E280,E280,C$2:C280,C280,D$2:D280,D280)=1,1,0)</f>
        <v>1</v>
      </c>
      <c r="P280" s="57" t="n">
        <f aca="false">IF(AND(C280=Calc!$C$3,OR(Calc!$C$4=0,D280=Calc!$C$4)),ROW(),0)</f>
        <v>0</v>
      </c>
    </row>
    <row r="281" customFormat="false" ht="15" hidden="false" customHeight="false" outlineLevel="0" collapsed="false">
      <c r="A281" s="57" t="s">
        <v>552</v>
      </c>
      <c r="B281" s="58" t="n">
        <v>45394</v>
      </c>
      <c r="C281" s="57" t="n">
        <f aca="false">YEAR(B281)</f>
        <v>2024</v>
      </c>
      <c r="D281" s="57" t="n">
        <f aca="false">MONTH(B281)</f>
        <v>4</v>
      </c>
      <c r="E281" s="57" t="s">
        <v>553</v>
      </c>
      <c r="F281" s="57" t="s">
        <v>72</v>
      </c>
      <c r="G281" s="57" t="s">
        <v>35</v>
      </c>
      <c r="H281" s="57" t="s">
        <v>34</v>
      </c>
      <c r="I281" s="59" t="n">
        <v>1</v>
      </c>
      <c r="J281" s="60" t="n">
        <v>89</v>
      </c>
      <c r="K281" s="60" t="n">
        <v>41</v>
      </c>
      <c r="L281" s="61" t="n">
        <f aca="false">I281*J281</f>
        <v>89</v>
      </c>
      <c r="M281" s="61" t="n">
        <f aca="false">L281-I281*K281</f>
        <v>48</v>
      </c>
      <c r="N281" s="57" t="n">
        <f aca="false">IF(COUNTIFS(E$2:E281,E281,C$2:C281,C281)=1,1,0)</f>
        <v>1</v>
      </c>
      <c r="O281" s="57" t="n">
        <f aca="false">IF(COUNTIFS(E$2:E281,E281,C$2:C281,C281,D$2:D281,D281)=1,1,0)</f>
        <v>1</v>
      </c>
      <c r="P281" s="57" t="n">
        <f aca="false">IF(AND(C281=Calc!$C$3,OR(Calc!$C$4=0,D281=Calc!$C$4)),ROW(),0)</f>
        <v>0</v>
      </c>
    </row>
    <row r="282" customFormat="false" ht="15" hidden="false" customHeight="false" outlineLevel="0" collapsed="false">
      <c r="A282" s="57" t="s">
        <v>554</v>
      </c>
      <c r="B282" s="58" t="n">
        <v>45394</v>
      </c>
      <c r="C282" s="57" t="n">
        <f aca="false">YEAR(B282)</f>
        <v>2024</v>
      </c>
      <c r="D282" s="57" t="n">
        <f aca="false">MONTH(B282)</f>
        <v>4</v>
      </c>
      <c r="E282" s="57" t="s">
        <v>461</v>
      </c>
      <c r="F282" s="57" t="s">
        <v>78</v>
      </c>
      <c r="G282" s="57" t="s">
        <v>35</v>
      </c>
      <c r="H282" s="57" t="s">
        <v>38</v>
      </c>
      <c r="I282" s="59" t="n">
        <v>1</v>
      </c>
      <c r="J282" s="60" t="n">
        <v>49</v>
      </c>
      <c r="K282" s="60" t="n">
        <v>22</v>
      </c>
      <c r="L282" s="61" t="n">
        <f aca="false">I282*J282</f>
        <v>49</v>
      </c>
      <c r="M282" s="61" t="n">
        <f aca="false">L282-I282*K282</f>
        <v>27</v>
      </c>
      <c r="N282" s="57" t="n">
        <f aca="false">IF(COUNTIFS(E$2:E282,E282,C$2:C282,C282)=1,1,0)</f>
        <v>0</v>
      </c>
      <c r="O282" s="57" t="n">
        <f aca="false">IF(COUNTIFS(E$2:E282,E282,C$2:C282,C282,D$2:D282,D282)=1,1,0)</f>
        <v>1</v>
      </c>
      <c r="P282" s="57" t="n">
        <f aca="false">IF(AND(C282=Calc!$C$3,OR(Calc!$C$4=0,D282=Calc!$C$4)),ROW(),0)</f>
        <v>0</v>
      </c>
    </row>
    <row r="283" customFormat="false" ht="15" hidden="false" customHeight="false" outlineLevel="0" collapsed="false">
      <c r="A283" s="57" t="s">
        <v>555</v>
      </c>
      <c r="B283" s="58" t="n">
        <v>45394</v>
      </c>
      <c r="C283" s="57" t="n">
        <f aca="false">YEAR(B283)</f>
        <v>2024</v>
      </c>
      <c r="D283" s="57" t="n">
        <f aca="false">MONTH(B283)</f>
        <v>4</v>
      </c>
      <c r="E283" s="57" t="s">
        <v>556</v>
      </c>
      <c r="F283" s="57" t="s">
        <v>78</v>
      </c>
      <c r="G283" s="57" t="s">
        <v>40</v>
      </c>
      <c r="H283" s="57" t="s">
        <v>41</v>
      </c>
      <c r="I283" s="59" t="n">
        <v>3</v>
      </c>
      <c r="J283" s="60" t="n">
        <v>46</v>
      </c>
      <c r="K283" s="60" t="n">
        <v>16</v>
      </c>
      <c r="L283" s="61" t="n">
        <f aca="false">I283*J283</f>
        <v>138</v>
      </c>
      <c r="M283" s="61" t="n">
        <f aca="false">L283-I283*K283</f>
        <v>90</v>
      </c>
      <c r="N283" s="57" t="n">
        <f aca="false">IF(COUNTIFS(E$2:E283,E283,C$2:C283,C283)=1,1,0)</f>
        <v>1</v>
      </c>
      <c r="O283" s="57" t="n">
        <f aca="false">IF(COUNTIFS(E$2:E283,E283,C$2:C283,C283,D$2:D283,D283)=1,1,0)</f>
        <v>1</v>
      </c>
      <c r="P283" s="57" t="n">
        <f aca="false">IF(AND(C283=Calc!$C$3,OR(Calc!$C$4=0,D283=Calc!$C$4)),ROW(),0)</f>
        <v>0</v>
      </c>
    </row>
    <row r="284" customFormat="false" ht="15" hidden="false" customHeight="false" outlineLevel="0" collapsed="false">
      <c r="A284" s="57" t="s">
        <v>557</v>
      </c>
      <c r="B284" s="58" t="n">
        <v>45395</v>
      </c>
      <c r="C284" s="57" t="n">
        <f aca="false">YEAR(B284)</f>
        <v>2024</v>
      </c>
      <c r="D284" s="57" t="n">
        <f aca="false">MONTH(B284)</f>
        <v>4</v>
      </c>
      <c r="E284" s="57" t="s">
        <v>558</v>
      </c>
      <c r="F284" s="57" t="s">
        <v>81</v>
      </c>
      <c r="G284" s="57" t="s">
        <v>40</v>
      </c>
      <c r="H284" s="57" t="s">
        <v>41</v>
      </c>
      <c r="I284" s="59" t="n">
        <v>1</v>
      </c>
      <c r="J284" s="60" t="n">
        <v>46</v>
      </c>
      <c r="K284" s="60" t="n">
        <v>16</v>
      </c>
      <c r="L284" s="61" t="n">
        <f aca="false">I284*J284</f>
        <v>46</v>
      </c>
      <c r="M284" s="61" t="n">
        <f aca="false">L284-I284*K284</f>
        <v>30</v>
      </c>
      <c r="N284" s="57" t="n">
        <f aca="false">IF(COUNTIFS(E$2:E284,E284,C$2:C284,C284)=1,1,0)</f>
        <v>1</v>
      </c>
      <c r="O284" s="57" t="n">
        <f aca="false">IF(COUNTIFS(E$2:E284,E284,C$2:C284,C284,D$2:D284,D284)=1,1,0)</f>
        <v>1</v>
      </c>
      <c r="P284" s="57" t="n">
        <f aca="false">IF(AND(C284=Calc!$C$3,OR(Calc!$C$4=0,D284=Calc!$C$4)),ROW(),0)</f>
        <v>0</v>
      </c>
    </row>
    <row r="285" customFormat="false" ht="15" hidden="false" customHeight="false" outlineLevel="0" collapsed="false">
      <c r="A285" s="57" t="s">
        <v>559</v>
      </c>
      <c r="B285" s="58" t="n">
        <v>45395</v>
      </c>
      <c r="C285" s="57" t="n">
        <f aca="false">YEAR(B285)</f>
        <v>2024</v>
      </c>
      <c r="D285" s="57" t="n">
        <f aca="false">MONTH(B285)</f>
        <v>4</v>
      </c>
      <c r="E285" s="57" t="s">
        <v>537</v>
      </c>
      <c r="F285" s="57" t="s">
        <v>75</v>
      </c>
      <c r="G285" s="57" t="s">
        <v>45</v>
      </c>
      <c r="H285" s="57" t="s">
        <v>47</v>
      </c>
      <c r="I285" s="59" t="n">
        <v>1</v>
      </c>
      <c r="J285" s="60" t="n">
        <v>34</v>
      </c>
      <c r="K285" s="60" t="n">
        <v>12</v>
      </c>
      <c r="L285" s="61" t="n">
        <f aca="false">I285*J285</f>
        <v>34</v>
      </c>
      <c r="M285" s="61" t="n">
        <f aca="false">L285-I285*K285</f>
        <v>22</v>
      </c>
      <c r="N285" s="57" t="n">
        <f aca="false">IF(COUNTIFS(E$2:E285,E285,C$2:C285,C285)=1,1,0)</f>
        <v>0</v>
      </c>
      <c r="O285" s="57" t="n">
        <f aca="false">IF(COUNTIFS(E$2:E285,E285,C$2:C285,C285,D$2:D285,D285)=1,1,0)</f>
        <v>0</v>
      </c>
      <c r="P285" s="57" t="n">
        <f aca="false">IF(AND(C285=Calc!$C$3,OR(Calc!$C$4=0,D285=Calc!$C$4)),ROW(),0)</f>
        <v>0</v>
      </c>
    </row>
    <row r="286" customFormat="false" ht="15" hidden="false" customHeight="false" outlineLevel="0" collapsed="false">
      <c r="A286" s="57" t="s">
        <v>560</v>
      </c>
      <c r="B286" s="58" t="n">
        <v>45395</v>
      </c>
      <c r="C286" s="57" t="n">
        <f aca="false">YEAR(B286)</f>
        <v>2024</v>
      </c>
      <c r="D286" s="57" t="n">
        <f aca="false">MONTH(B286)</f>
        <v>4</v>
      </c>
      <c r="E286" s="57" t="s">
        <v>118</v>
      </c>
      <c r="F286" s="57" t="s">
        <v>72</v>
      </c>
      <c r="G286" s="57" t="s">
        <v>35</v>
      </c>
      <c r="H286" s="57" t="s">
        <v>37</v>
      </c>
      <c r="I286" s="59" t="n">
        <v>1</v>
      </c>
      <c r="J286" s="60" t="n">
        <v>59</v>
      </c>
      <c r="K286" s="60" t="n">
        <v>27</v>
      </c>
      <c r="L286" s="61" t="n">
        <f aca="false">I286*J286</f>
        <v>59</v>
      </c>
      <c r="M286" s="61" t="n">
        <f aca="false">L286-I286*K286</f>
        <v>32</v>
      </c>
      <c r="N286" s="57" t="n">
        <f aca="false">IF(COUNTIFS(E$2:E286,E286,C$2:C286,C286)=1,1,0)</f>
        <v>0</v>
      </c>
      <c r="O286" s="57" t="n">
        <f aca="false">IF(COUNTIFS(E$2:E286,E286,C$2:C286,C286,D$2:D286,D286)=1,1,0)</f>
        <v>1</v>
      </c>
      <c r="P286" s="57" t="n">
        <f aca="false">IF(AND(C286=Calc!$C$3,OR(Calc!$C$4=0,D286=Calc!$C$4)),ROW(),0)</f>
        <v>0</v>
      </c>
    </row>
    <row r="287" customFormat="false" ht="15" hidden="false" customHeight="false" outlineLevel="0" collapsed="false">
      <c r="A287" s="57" t="s">
        <v>561</v>
      </c>
      <c r="B287" s="58" t="n">
        <v>45395</v>
      </c>
      <c r="C287" s="57" t="n">
        <f aca="false">YEAR(B287)</f>
        <v>2024</v>
      </c>
      <c r="D287" s="57" t="n">
        <f aca="false">MONTH(B287)</f>
        <v>4</v>
      </c>
      <c r="E287" s="57" t="s">
        <v>562</v>
      </c>
      <c r="F287" s="57" t="s">
        <v>69</v>
      </c>
      <c r="G287" s="57" t="s">
        <v>45</v>
      </c>
      <c r="H287" s="57" t="s">
        <v>48</v>
      </c>
      <c r="I287" s="59" t="n">
        <v>1</v>
      </c>
      <c r="J287" s="60" t="n">
        <v>99</v>
      </c>
      <c r="K287" s="60" t="n">
        <v>38</v>
      </c>
      <c r="L287" s="61" t="n">
        <f aca="false">I287*J287</f>
        <v>99</v>
      </c>
      <c r="M287" s="61" t="n">
        <f aca="false">L287-I287*K287</f>
        <v>61</v>
      </c>
      <c r="N287" s="57" t="n">
        <f aca="false">IF(COUNTIFS(E$2:E287,E287,C$2:C287,C287)=1,1,0)</f>
        <v>1</v>
      </c>
      <c r="O287" s="57" t="n">
        <f aca="false">IF(COUNTIFS(E$2:E287,E287,C$2:C287,C287,D$2:D287,D287)=1,1,0)</f>
        <v>1</v>
      </c>
      <c r="P287" s="57" t="n">
        <f aca="false">IF(AND(C287=Calc!$C$3,OR(Calc!$C$4=0,D287=Calc!$C$4)),ROW(),0)</f>
        <v>0</v>
      </c>
    </row>
    <row r="288" customFormat="false" ht="15" hidden="false" customHeight="false" outlineLevel="0" collapsed="false">
      <c r="A288" s="57" t="s">
        <v>563</v>
      </c>
      <c r="B288" s="58" t="n">
        <v>45396</v>
      </c>
      <c r="C288" s="57" t="n">
        <f aca="false">YEAR(B288)</f>
        <v>2024</v>
      </c>
      <c r="D288" s="57" t="n">
        <f aca="false">MONTH(B288)</f>
        <v>4</v>
      </c>
      <c r="E288" s="57" t="s">
        <v>564</v>
      </c>
      <c r="F288" s="57" t="s">
        <v>78</v>
      </c>
      <c r="G288" s="57" t="s">
        <v>45</v>
      </c>
      <c r="H288" s="57" t="s">
        <v>46</v>
      </c>
      <c r="I288" s="59" t="n">
        <v>2</v>
      </c>
      <c r="J288" s="60" t="n">
        <v>149</v>
      </c>
      <c r="K288" s="60" t="n">
        <v>71</v>
      </c>
      <c r="L288" s="61" t="n">
        <f aca="false">I288*J288</f>
        <v>298</v>
      </c>
      <c r="M288" s="61" t="n">
        <f aca="false">L288-I288*K288</f>
        <v>156</v>
      </c>
      <c r="N288" s="57" t="n">
        <f aca="false">IF(COUNTIFS(E$2:E288,E288,C$2:C288,C288)=1,1,0)</f>
        <v>1</v>
      </c>
      <c r="O288" s="57" t="n">
        <f aca="false">IF(COUNTIFS(E$2:E288,E288,C$2:C288,C288,D$2:D288,D288)=1,1,0)</f>
        <v>1</v>
      </c>
      <c r="P288" s="57" t="n">
        <f aca="false">IF(AND(C288=Calc!$C$3,OR(Calc!$C$4=0,D288=Calc!$C$4)),ROW(),0)</f>
        <v>0</v>
      </c>
    </row>
    <row r="289" customFormat="false" ht="15" hidden="false" customHeight="false" outlineLevel="0" collapsed="false">
      <c r="A289" s="57" t="s">
        <v>565</v>
      </c>
      <c r="B289" s="58" t="n">
        <v>45396</v>
      </c>
      <c r="C289" s="57" t="n">
        <f aca="false">YEAR(B289)</f>
        <v>2024</v>
      </c>
      <c r="D289" s="57" t="n">
        <f aca="false">MONTH(B289)</f>
        <v>4</v>
      </c>
      <c r="E289" s="57" t="s">
        <v>566</v>
      </c>
      <c r="F289" s="57" t="s">
        <v>69</v>
      </c>
      <c r="G289" s="57" t="s">
        <v>50</v>
      </c>
      <c r="H289" s="57" t="s">
        <v>51</v>
      </c>
      <c r="I289" s="59" t="n">
        <v>3</v>
      </c>
      <c r="J289" s="60" t="n">
        <v>69</v>
      </c>
      <c r="K289" s="60" t="n">
        <v>29</v>
      </c>
      <c r="L289" s="61" t="n">
        <f aca="false">I289*J289</f>
        <v>207</v>
      </c>
      <c r="M289" s="61" t="n">
        <f aca="false">L289-I289*K289</f>
        <v>120</v>
      </c>
      <c r="N289" s="57" t="n">
        <f aca="false">IF(COUNTIFS(E$2:E289,E289,C$2:C289,C289)=1,1,0)</f>
        <v>1</v>
      </c>
      <c r="O289" s="57" t="n">
        <f aca="false">IF(COUNTIFS(E$2:E289,E289,C$2:C289,C289,D$2:D289,D289)=1,1,0)</f>
        <v>1</v>
      </c>
      <c r="P289" s="57" t="n">
        <f aca="false">IF(AND(C289=Calc!$C$3,OR(Calc!$C$4=0,D289=Calc!$C$4)),ROW(),0)</f>
        <v>0</v>
      </c>
    </row>
    <row r="290" customFormat="false" ht="15" hidden="false" customHeight="false" outlineLevel="0" collapsed="false">
      <c r="A290" s="57" t="s">
        <v>567</v>
      </c>
      <c r="B290" s="58" t="n">
        <v>45396</v>
      </c>
      <c r="C290" s="57" t="n">
        <f aca="false">YEAR(B290)</f>
        <v>2024</v>
      </c>
      <c r="D290" s="57" t="n">
        <f aca="false">MONTH(B290)</f>
        <v>4</v>
      </c>
      <c r="E290" s="57" t="s">
        <v>347</v>
      </c>
      <c r="F290" s="57" t="s">
        <v>72</v>
      </c>
      <c r="G290" s="57" t="s">
        <v>45</v>
      </c>
      <c r="H290" s="57" t="s">
        <v>47</v>
      </c>
      <c r="I290" s="59" t="n">
        <v>1</v>
      </c>
      <c r="J290" s="60" t="n">
        <v>34</v>
      </c>
      <c r="K290" s="60" t="n">
        <v>12</v>
      </c>
      <c r="L290" s="61" t="n">
        <f aca="false">I290*J290</f>
        <v>34</v>
      </c>
      <c r="M290" s="61" t="n">
        <f aca="false">L290-I290*K290</f>
        <v>22</v>
      </c>
      <c r="N290" s="57" t="n">
        <f aca="false">IF(COUNTIFS(E$2:E290,E290,C$2:C290,C290)=1,1,0)</f>
        <v>0</v>
      </c>
      <c r="O290" s="57" t="n">
        <f aca="false">IF(COUNTIFS(E$2:E290,E290,C$2:C290,C290,D$2:D290,D290)=1,1,0)</f>
        <v>1</v>
      </c>
      <c r="P290" s="57" t="n">
        <f aca="false">IF(AND(C290=Calc!$C$3,OR(Calc!$C$4=0,D290=Calc!$C$4)),ROW(),0)</f>
        <v>0</v>
      </c>
    </row>
    <row r="291" customFormat="false" ht="15" hidden="false" customHeight="false" outlineLevel="0" collapsed="false">
      <c r="A291" s="57" t="s">
        <v>568</v>
      </c>
      <c r="B291" s="58" t="n">
        <v>45396</v>
      </c>
      <c r="C291" s="57" t="n">
        <f aca="false">YEAR(B291)</f>
        <v>2024</v>
      </c>
      <c r="D291" s="57" t="n">
        <f aca="false">MONTH(B291)</f>
        <v>4</v>
      </c>
      <c r="E291" s="57" t="s">
        <v>569</v>
      </c>
      <c r="F291" s="57" t="s">
        <v>72</v>
      </c>
      <c r="G291" s="57" t="s">
        <v>35</v>
      </c>
      <c r="H291" s="57" t="s">
        <v>37</v>
      </c>
      <c r="I291" s="59" t="n">
        <v>1</v>
      </c>
      <c r="J291" s="60" t="n">
        <v>59</v>
      </c>
      <c r="K291" s="60" t="n">
        <v>27</v>
      </c>
      <c r="L291" s="61" t="n">
        <f aca="false">I291*J291</f>
        <v>59</v>
      </c>
      <c r="M291" s="61" t="n">
        <f aca="false">L291-I291*K291</f>
        <v>32</v>
      </c>
      <c r="N291" s="57" t="n">
        <f aca="false">IF(COUNTIFS(E$2:E291,E291,C$2:C291,C291)=1,1,0)</f>
        <v>1</v>
      </c>
      <c r="O291" s="57" t="n">
        <f aca="false">IF(COUNTIFS(E$2:E291,E291,C$2:C291,C291,D$2:D291,D291)=1,1,0)</f>
        <v>1</v>
      </c>
      <c r="P291" s="57" t="n">
        <f aca="false">IF(AND(C291=Calc!$C$3,OR(Calc!$C$4=0,D291=Calc!$C$4)),ROW(),0)</f>
        <v>0</v>
      </c>
    </row>
    <row r="292" customFormat="false" ht="15" hidden="false" customHeight="false" outlineLevel="0" collapsed="false">
      <c r="A292" s="57" t="s">
        <v>570</v>
      </c>
      <c r="B292" s="58" t="n">
        <v>45397</v>
      </c>
      <c r="C292" s="57" t="n">
        <f aca="false">YEAR(B292)</f>
        <v>2024</v>
      </c>
      <c r="D292" s="57" t="n">
        <f aca="false">MONTH(B292)</f>
        <v>4</v>
      </c>
      <c r="E292" s="57" t="s">
        <v>571</v>
      </c>
      <c r="F292" s="57" t="s">
        <v>75</v>
      </c>
      <c r="G292" s="57" t="s">
        <v>35</v>
      </c>
      <c r="H292" s="57" t="s">
        <v>37</v>
      </c>
      <c r="I292" s="59" t="n">
        <v>1</v>
      </c>
      <c r="J292" s="60" t="n">
        <v>59</v>
      </c>
      <c r="K292" s="60" t="n">
        <v>27</v>
      </c>
      <c r="L292" s="61" t="n">
        <f aca="false">I292*J292</f>
        <v>59</v>
      </c>
      <c r="M292" s="61" t="n">
        <f aca="false">L292-I292*K292</f>
        <v>32</v>
      </c>
      <c r="N292" s="57" t="n">
        <f aca="false">IF(COUNTIFS(E$2:E292,E292,C$2:C292,C292)=1,1,0)</f>
        <v>1</v>
      </c>
      <c r="O292" s="57" t="n">
        <f aca="false">IF(COUNTIFS(E$2:E292,E292,C$2:C292,C292,D$2:D292,D292)=1,1,0)</f>
        <v>1</v>
      </c>
      <c r="P292" s="57" t="n">
        <f aca="false">IF(AND(C292=Calc!$C$3,OR(Calc!$C$4=0,D292=Calc!$C$4)),ROW(),0)</f>
        <v>0</v>
      </c>
    </row>
    <row r="293" customFormat="false" ht="15" hidden="false" customHeight="false" outlineLevel="0" collapsed="false">
      <c r="A293" s="57" t="s">
        <v>572</v>
      </c>
      <c r="B293" s="58" t="n">
        <v>45397</v>
      </c>
      <c r="C293" s="57" t="n">
        <f aca="false">YEAR(B293)</f>
        <v>2024</v>
      </c>
      <c r="D293" s="57" t="n">
        <f aca="false">MONTH(B293)</f>
        <v>4</v>
      </c>
      <c r="E293" s="57" t="s">
        <v>302</v>
      </c>
      <c r="F293" s="57" t="s">
        <v>81</v>
      </c>
      <c r="G293" s="57" t="s">
        <v>40</v>
      </c>
      <c r="H293" s="57" t="s">
        <v>42</v>
      </c>
      <c r="I293" s="59" t="n">
        <v>1</v>
      </c>
      <c r="J293" s="60" t="n">
        <v>79</v>
      </c>
      <c r="K293" s="60" t="n">
        <v>31</v>
      </c>
      <c r="L293" s="61" t="n">
        <f aca="false">I293*J293</f>
        <v>79</v>
      </c>
      <c r="M293" s="61" t="n">
        <f aca="false">L293-I293*K293</f>
        <v>48</v>
      </c>
      <c r="N293" s="57" t="n">
        <f aca="false">IF(COUNTIFS(E$2:E293,E293,C$2:C293,C293)=1,1,0)</f>
        <v>0</v>
      </c>
      <c r="O293" s="57" t="n">
        <f aca="false">IF(COUNTIFS(E$2:E293,E293,C$2:C293,C293,D$2:D293,D293)=1,1,0)</f>
        <v>1</v>
      </c>
      <c r="P293" s="57" t="n">
        <f aca="false">IF(AND(C293=Calc!$C$3,OR(Calc!$C$4=0,D293=Calc!$C$4)),ROW(),0)</f>
        <v>0</v>
      </c>
    </row>
    <row r="294" customFormat="false" ht="15" hidden="false" customHeight="false" outlineLevel="0" collapsed="false">
      <c r="A294" s="57" t="s">
        <v>573</v>
      </c>
      <c r="B294" s="58" t="n">
        <v>45397</v>
      </c>
      <c r="C294" s="57" t="n">
        <f aca="false">YEAR(B294)</f>
        <v>2024</v>
      </c>
      <c r="D294" s="57" t="n">
        <f aca="false">MONTH(B294)</f>
        <v>4</v>
      </c>
      <c r="E294" s="57" t="s">
        <v>374</v>
      </c>
      <c r="F294" s="57" t="s">
        <v>69</v>
      </c>
      <c r="G294" s="57" t="s">
        <v>40</v>
      </c>
      <c r="H294" s="57" t="s">
        <v>41</v>
      </c>
      <c r="I294" s="59" t="n">
        <v>1</v>
      </c>
      <c r="J294" s="60" t="n">
        <v>46</v>
      </c>
      <c r="K294" s="60" t="n">
        <v>16</v>
      </c>
      <c r="L294" s="61" t="n">
        <f aca="false">I294*J294</f>
        <v>46</v>
      </c>
      <c r="M294" s="61" t="n">
        <f aca="false">L294-I294*K294</f>
        <v>30</v>
      </c>
      <c r="N294" s="57" t="n">
        <f aca="false">IF(COUNTIFS(E$2:E294,E294,C$2:C294,C294)=1,1,0)</f>
        <v>0</v>
      </c>
      <c r="O294" s="57" t="n">
        <f aca="false">IF(COUNTIFS(E$2:E294,E294,C$2:C294,C294,D$2:D294,D294)=1,1,0)</f>
        <v>1</v>
      </c>
      <c r="P294" s="57" t="n">
        <f aca="false">IF(AND(C294=Calc!$C$3,OR(Calc!$C$4=0,D294=Calc!$C$4)),ROW(),0)</f>
        <v>0</v>
      </c>
    </row>
    <row r="295" customFormat="false" ht="15" hidden="false" customHeight="false" outlineLevel="0" collapsed="false">
      <c r="A295" s="57" t="s">
        <v>574</v>
      </c>
      <c r="B295" s="58" t="n">
        <v>45397</v>
      </c>
      <c r="C295" s="57" t="n">
        <f aca="false">YEAR(B295)</f>
        <v>2024</v>
      </c>
      <c r="D295" s="57" t="n">
        <f aca="false">MONTH(B295)</f>
        <v>4</v>
      </c>
      <c r="E295" s="57" t="s">
        <v>181</v>
      </c>
      <c r="F295" s="57" t="s">
        <v>69</v>
      </c>
      <c r="G295" s="57" t="s">
        <v>35</v>
      </c>
      <c r="H295" s="57" t="s">
        <v>37</v>
      </c>
      <c r="I295" s="59" t="n">
        <v>2</v>
      </c>
      <c r="J295" s="60" t="n">
        <v>59</v>
      </c>
      <c r="K295" s="60" t="n">
        <v>27</v>
      </c>
      <c r="L295" s="61" t="n">
        <f aca="false">I295*J295</f>
        <v>118</v>
      </c>
      <c r="M295" s="61" t="n">
        <f aca="false">L295-I295*K295</f>
        <v>64</v>
      </c>
      <c r="N295" s="57" t="n">
        <f aca="false">IF(COUNTIFS(E$2:E295,E295,C$2:C295,C295)=1,1,0)</f>
        <v>0</v>
      </c>
      <c r="O295" s="57" t="n">
        <f aca="false">IF(COUNTIFS(E$2:E295,E295,C$2:C295,C295,D$2:D295,D295)=1,1,0)</f>
        <v>1</v>
      </c>
      <c r="P295" s="57" t="n">
        <f aca="false">IF(AND(C295=Calc!$C$3,OR(Calc!$C$4=0,D295=Calc!$C$4)),ROW(),0)</f>
        <v>0</v>
      </c>
    </row>
    <row r="296" customFormat="false" ht="15" hidden="false" customHeight="false" outlineLevel="0" collapsed="false">
      <c r="A296" s="57" t="s">
        <v>575</v>
      </c>
      <c r="B296" s="58" t="n">
        <v>45397</v>
      </c>
      <c r="C296" s="57" t="n">
        <f aca="false">YEAR(B296)</f>
        <v>2024</v>
      </c>
      <c r="D296" s="57" t="n">
        <f aca="false">MONTH(B296)</f>
        <v>4</v>
      </c>
      <c r="E296" s="57" t="s">
        <v>434</v>
      </c>
      <c r="F296" s="57" t="s">
        <v>78</v>
      </c>
      <c r="G296" s="57" t="s">
        <v>45</v>
      </c>
      <c r="H296" s="57" t="s">
        <v>48</v>
      </c>
      <c r="I296" s="59" t="n">
        <v>1</v>
      </c>
      <c r="J296" s="60" t="n">
        <v>99</v>
      </c>
      <c r="K296" s="60" t="n">
        <v>38</v>
      </c>
      <c r="L296" s="61" t="n">
        <f aca="false">I296*J296</f>
        <v>99</v>
      </c>
      <c r="M296" s="61" t="n">
        <f aca="false">L296-I296*K296</f>
        <v>61</v>
      </c>
      <c r="N296" s="57" t="n">
        <f aca="false">IF(COUNTIFS(E$2:E296,E296,C$2:C296,C296)=1,1,0)</f>
        <v>0</v>
      </c>
      <c r="O296" s="57" t="n">
        <f aca="false">IF(COUNTIFS(E$2:E296,E296,C$2:C296,C296,D$2:D296,D296)=1,1,0)</f>
        <v>1</v>
      </c>
      <c r="P296" s="57" t="n">
        <f aca="false">IF(AND(C296=Calc!$C$3,OR(Calc!$C$4=0,D296=Calc!$C$4)),ROW(),0)</f>
        <v>0</v>
      </c>
    </row>
    <row r="297" customFormat="false" ht="15" hidden="false" customHeight="false" outlineLevel="0" collapsed="false">
      <c r="A297" s="57" t="s">
        <v>576</v>
      </c>
      <c r="B297" s="58" t="n">
        <v>45398</v>
      </c>
      <c r="C297" s="57" t="n">
        <f aca="false">YEAR(B297)</f>
        <v>2024</v>
      </c>
      <c r="D297" s="57" t="n">
        <f aca="false">MONTH(B297)</f>
        <v>4</v>
      </c>
      <c r="E297" s="57" t="s">
        <v>395</v>
      </c>
      <c r="F297" s="57" t="s">
        <v>69</v>
      </c>
      <c r="G297" s="57" t="s">
        <v>40</v>
      </c>
      <c r="H297" s="57" t="s">
        <v>43</v>
      </c>
      <c r="I297" s="59" t="n">
        <v>1</v>
      </c>
      <c r="J297" s="60" t="n">
        <v>29</v>
      </c>
      <c r="K297" s="60" t="n">
        <v>9</v>
      </c>
      <c r="L297" s="61" t="n">
        <f aca="false">I297*J297</f>
        <v>29</v>
      </c>
      <c r="M297" s="61" t="n">
        <f aca="false">L297-I297*K297</f>
        <v>20</v>
      </c>
      <c r="N297" s="57" t="n">
        <f aca="false">IF(COUNTIFS(E$2:E297,E297,C$2:C297,C297)=1,1,0)</f>
        <v>0</v>
      </c>
      <c r="O297" s="57" t="n">
        <f aca="false">IF(COUNTIFS(E$2:E297,E297,C$2:C297,C297,D$2:D297,D297)=1,1,0)</f>
        <v>1</v>
      </c>
      <c r="P297" s="57" t="n">
        <f aca="false">IF(AND(C297=Calc!$C$3,OR(Calc!$C$4=0,D297=Calc!$C$4)),ROW(),0)</f>
        <v>0</v>
      </c>
    </row>
    <row r="298" customFormat="false" ht="15" hidden="false" customHeight="false" outlineLevel="0" collapsed="false">
      <c r="A298" s="57" t="s">
        <v>577</v>
      </c>
      <c r="B298" s="58" t="n">
        <v>45398</v>
      </c>
      <c r="C298" s="57" t="n">
        <f aca="false">YEAR(B298)</f>
        <v>2024</v>
      </c>
      <c r="D298" s="57" t="n">
        <f aca="false">MONTH(B298)</f>
        <v>4</v>
      </c>
      <c r="E298" s="57" t="s">
        <v>578</v>
      </c>
      <c r="F298" s="57" t="s">
        <v>75</v>
      </c>
      <c r="G298" s="57" t="s">
        <v>35</v>
      </c>
      <c r="H298" s="57" t="s">
        <v>34</v>
      </c>
      <c r="I298" s="59" t="n">
        <v>2</v>
      </c>
      <c r="J298" s="60" t="n">
        <v>89</v>
      </c>
      <c r="K298" s="60" t="n">
        <v>41</v>
      </c>
      <c r="L298" s="61" t="n">
        <f aca="false">I298*J298</f>
        <v>178</v>
      </c>
      <c r="M298" s="61" t="n">
        <f aca="false">L298-I298*K298</f>
        <v>96</v>
      </c>
      <c r="N298" s="57" t="n">
        <f aca="false">IF(COUNTIFS(E$2:E298,E298,C$2:C298,C298)=1,1,0)</f>
        <v>1</v>
      </c>
      <c r="O298" s="57" t="n">
        <f aca="false">IF(COUNTIFS(E$2:E298,E298,C$2:C298,C298,D$2:D298,D298)=1,1,0)</f>
        <v>1</v>
      </c>
      <c r="P298" s="57" t="n">
        <f aca="false">IF(AND(C298=Calc!$C$3,OR(Calc!$C$4=0,D298=Calc!$C$4)),ROW(),0)</f>
        <v>0</v>
      </c>
    </row>
    <row r="299" customFormat="false" ht="15" hidden="false" customHeight="false" outlineLevel="0" collapsed="false">
      <c r="A299" s="57" t="s">
        <v>579</v>
      </c>
      <c r="B299" s="58" t="n">
        <v>45398</v>
      </c>
      <c r="C299" s="57" t="n">
        <f aca="false">YEAR(B299)</f>
        <v>2024</v>
      </c>
      <c r="D299" s="57" t="n">
        <f aca="false">MONTH(B299)</f>
        <v>4</v>
      </c>
      <c r="E299" s="57" t="s">
        <v>580</v>
      </c>
      <c r="F299" s="57" t="s">
        <v>75</v>
      </c>
      <c r="G299" s="57" t="s">
        <v>50</v>
      </c>
      <c r="H299" s="57" t="s">
        <v>51</v>
      </c>
      <c r="I299" s="59" t="n">
        <v>1</v>
      </c>
      <c r="J299" s="60" t="n">
        <v>69</v>
      </c>
      <c r="K299" s="60" t="n">
        <v>29</v>
      </c>
      <c r="L299" s="61" t="n">
        <f aca="false">I299*J299</f>
        <v>69</v>
      </c>
      <c r="M299" s="61" t="n">
        <f aca="false">L299-I299*K299</f>
        <v>40</v>
      </c>
      <c r="N299" s="57" t="n">
        <f aca="false">IF(COUNTIFS(E$2:E299,E299,C$2:C299,C299)=1,1,0)</f>
        <v>1</v>
      </c>
      <c r="O299" s="57" t="n">
        <f aca="false">IF(COUNTIFS(E$2:E299,E299,C$2:C299,C299,D$2:D299,D299)=1,1,0)</f>
        <v>1</v>
      </c>
      <c r="P299" s="57" t="n">
        <f aca="false">IF(AND(C299=Calc!$C$3,OR(Calc!$C$4=0,D299=Calc!$C$4)),ROW(),0)</f>
        <v>0</v>
      </c>
    </row>
    <row r="300" customFormat="false" ht="15" hidden="false" customHeight="false" outlineLevel="0" collapsed="false">
      <c r="A300" s="57" t="s">
        <v>581</v>
      </c>
      <c r="B300" s="58" t="n">
        <v>45398</v>
      </c>
      <c r="C300" s="57" t="n">
        <f aca="false">YEAR(B300)</f>
        <v>2024</v>
      </c>
      <c r="D300" s="57" t="n">
        <f aca="false">MONTH(B300)</f>
        <v>4</v>
      </c>
      <c r="E300" s="57" t="s">
        <v>582</v>
      </c>
      <c r="F300" s="57" t="s">
        <v>69</v>
      </c>
      <c r="G300" s="57" t="s">
        <v>35</v>
      </c>
      <c r="H300" s="57" t="s">
        <v>36</v>
      </c>
      <c r="I300" s="59" t="n">
        <v>1</v>
      </c>
      <c r="J300" s="60" t="n">
        <v>179</v>
      </c>
      <c r="K300" s="60" t="n">
        <v>92</v>
      </c>
      <c r="L300" s="61" t="n">
        <f aca="false">I300*J300</f>
        <v>179</v>
      </c>
      <c r="M300" s="61" t="n">
        <f aca="false">L300-I300*K300</f>
        <v>87</v>
      </c>
      <c r="N300" s="57" t="n">
        <f aca="false">IF(COUNTIFS(E$2:E300,E300,C$2:C300,C300)=1,1,0)</f>
        <v>1</v>
      </c>
      <c r="O300" s="57" t="n">
        <f aca="false">IF(COUNTIFS(E$2:E300,E300,C$2:C300,C300,D$2:D300,D300)=1,1,0)</f>
        <v>1</v>
      </c>
      <c r="P300" s="57" t="n">
        <f aca="false">IF(AND(C300=Calc!$C$3,OR(Calc!$C$4=0,D300=Calc!$C$4)),ROW(),0)</f>
        <v>0</v>
      </c>
    </row>
    <row r="301" customFormat="false" ht="15" hidden="false" customHeight="false" outlineLevel="0" collapsed="false">
      <c r="A301" s="57" t="s">
        <v>583</v>
      </c>
      <c r="B301" s="58" t="n">
        <v>45399</v>
      </c>
      <c r="C301" s="57" t="n">
        <f aca="false">YEAR(B301)</f>
        <v>2024</v>
      </c>
      <c r="D301" s="57" t="n">
        <f aca="false">MONTH(B301)</f>
        <v>4</v>
      </c>
      <c r="E301" s="57" t="s">
        <v>584</v>
      </c>
      <c r="F301" s="57" t="s">
        <v>75</v>
      </c>
      <c r="G301" s="57" t="s">
        <v>35</v>
      </c>
      <c r="H301" s="57" t="s">
        <v>34</v>
      </c>
      <c r="I301" s="59" t="n">
        <v>2</v>
      </c>
      <c r="J301" s="60" t="n">
        <v>89</v>
      </c>
      <c r="K301" s="60" t="n">
        <v>41</v>
      </c>
      <c r="L301" s="61" t="n">
        <f aca="false">I301*J301</f>
        <v>178</v>
      </c>
      <c r="M301" s="61" t="n">
        <f aca="false">L301-I301*K301</f>
        <v>96</v>
      </c>
      <c r="N301" s="57" t="n">
        <f aca="false">IF(COUNTIFS(E$2:E301,E301,C$2:C301,C301)=1,1,0)</f>
        <v>1</v>
      </c>
      <c r="O301" s="57" t="n">
        <f aca="false">IF(COUNTIFS(E$2:E301,E301,C$2:C301,C301,D$2:D301,D301)=1,1,0)</f>
        <v>1</v>
      </c>
      <c r="P301" s="57" t="n">
        <f aca="false">IF(AND(C301=Calc!$C$3,OR(Calc!$C$4=0,D301=Calc!$C$4)),ROW(),0)</f>
        <v>0</v>
      </c>
    </row>
    <row r="302" customFormat="false" ht="15" hidden="false" customHeight="false" outlineLevel="0" collapsed="false">
      <c r="A302" s="57" t="s">
        <v>585</v>
      </c>
      <c r="B302" s="58" t="n">
        <v>45399</v>
      </c>
      <c r="C302" s="57" t="n">
        <f aca="false">YEAR(B302)</f>
        <v>2024</v>
      </c>
      <c r="D302" s="57" t="n">
        <f aca="false">MONTH(B302)</f>
        <v>4</v>
      </c>
      <c r="E302" s="57" t="s">
        <v>586</v>
      </c>
      <c r="F302" s="57" t="s">
        <v>75</v>
      </c>
      <c r="G302" s="57" t="s">
        <v>35</v>
      </c>
      <c r="H302" s="57" t="s">
        <v>38</v>
      </c>
      <c r="I302" s="59" t="n">
        <v>2</v>
      </c>
      <c r="J302" s="60" t="n">
        <v>49</v>
      </c>
      <c r="K302" s="60" t="n">
        <v>22</v>
      </c>
      <c r="L302" s="61" t="n">
        <f aca="false">I302*J302</f>
        <v>98</v>
      </c>
      <c r="M302" s="61" t="n">
        <f aca="false">L302-I302*K302</f>
        <v>54</v>
      </c>
      <c r="N302" s="57" t="n">
        <f aca="false">IF(COUNTIFS(E$2:E302,E302,C$2:C302,C302)=1,1,0)</f>
        <v>1</v>
      </c>
      <c r="O302" s="57" t="n">
        <f aca="false">IF(COUNTIFS(E$2:E302,E302,C$2:C302,C302,D$2:D302,D302)=1,1,0)</f>
        <v>1</v>
      </c>
      <c r="P302" s="57" t="n">
        <f aca="false">IF(AND(C302=Calc!$C$3,OR(Calc!$C$4=0,D302=Calc!$C$4)),ROW(),0)</f>
        <v>0</v>
      </c>
    </row>
    <row r="303" customFormat="false" ht="15" hidden="false" customHeight="false" outlineLevel="0" collapsed="false">
      <c r="A303" s="57" t="s">
        <v>587</v>
      </c>
      <c r="B303" s="58" t="n">
        <v>45399</v>
      </c>
      <c r="C303" s="57" t="n">
        <f aca="false">YEAR(B303)</f>
        <v>2024</v>
      </c>
      <c r="D303" s="57" t="n">
        <f aca="false">MONTH(B303)</f>
        <v>4</v>
      </c>
      <c r="E303" s="57" t="s">
        <v>372</v>
      </c>
      <c r="F303" s="57" t="s">
        <v>81</v>
      </c>
      <c r="G303" s="57" t="s">
        <v>45</v>
      </c>
      <c r="H303" s="57" t="s">
        <v>47</v>
      </c>
      <c r="I303" s="59" t="n">
        <v>2</v>
      </c>
      <c r="J303" s="60" t="n">
        <v>34</v>
      </c>
      <c r="K303" s="60" t="n">
        <v>12</v>
      </c>
      <c r="L303" s="61" t="n">
        <f aca="false">I303*J303</f>
        <v>68</v>
      </c>
      <c r="M303" s="61" t="n">
        <f aca="false">L303-I303*K303</f>
        <v>44</v>
      </c>
      <c r="N303" s="57" t="n">
        <f aca="false">IF(COUNTIFS(E$2:E303,E303,C$2:C303,C303)=1,1,0)</f>
        <v>0</v>
      </c>
      <c r="O303" s="57" t="n">
        <f aca="false">IF(COUNTIFS(E$2:E303,E303,C$2:C303,C303,D$2:D303,D303)=1,1,0)</f>
        <v>1</v>
      </c>
      <c r="P303" s="57" t="n">
        <f aca="false">IF(AND(C303=Calc!$C$3,OR(Calc!$C$4=0,D303=Calc!$C$4)),ROW(),0)</f>
        <v>0</v>
      </c>
    </row>
    <row r="304" customFormat="false" ht="15" hidden="false" customHeight="false" outlineLevel="0" collapsed="false">
      <c r="A304" s="57" t="s">
        <v>588</v>
      </c>
      <c r="B304" s="58" t="n">
        <v>45399</v>
      </c>
      <c r="C304" s="57" t="n">
        <f aca="false">YEAR(B304)</f>
        <v>2024</v>
      </c>
      <c r="D304" s="57" t="n">
        <f aca="false">MONTH(B304)</f>
        <v>4</v>
      </c>
      <c r="E304" s="57" t="s">
        <v>589</v>
      </c>
      <c r="F304" s="57" t="s">
        <v>75</v>
      </c>
      <c r="G304" s="57" t="s">
        <v>35</v>
      </c>
      <c r="H304" s="57" t="s">
        <v>34</v>
      </c>
      <c r="I304" s="59" t="n">
        <v>1</v>
      </c>
      <c r="J304" s="60" t="n">
        <v>89</v>
      </c>
      <c r="K304" s="60" t="n">
        <v>41</v>
      </c>
      <c r="L304" s="61" t="n">
        <f aca="false">I304*J304</f>
        <v>89</v>
      </c>
      <c r="M304" s="61" t="n">
        <f aca="false">L304-I304*K304</f>
        <v>48</v>
      </c>
      <c r="N304" s="57" t="n">
        <f aca="false">IF(COUNTIFS(E$2:E304,E304,C$2:C304,C304)=1,1,0)</f>
        <v>1</v>
      </c>
      <c r="O304" s="57" t="n">
        <f aca="false">IF(COUNTIFS(E$2:E304,E304,C$2:C304,C304,D$2:D304,D304)=1,1,0)</f>
        <v>1</v>
      </c>
      <c r="P304" s="57" t="n">
        <f aca="false">IF(AND(C304=Calc!$C$3,OR(Calc!$C$4=0,D304=Calc!$C$4)),ROW(),0)</f>
        <v>0</v>
      </c>
    </row>
    <row r="305" customFormat="false" ht="15" hidden="false" customHeight="false" outlineLevel="0" collapsed="false">
      <c r="A305" s="57" t="s">
        <v>590</v>
      </c>
      <c r="B305" s="58" t="n">
        <v>45399</v>
      </c>
      <c r="C305" s="57" t="n">
        <f aca="false">YEAR(B305)</f>
        <v>2024</v>
      </c>
      <c r="D305" s="57" t="n">
        <f aca="false">MONTH(B305)</f>
        <v>4</v>
      </c>
      <c r="E305" s="57" t="s">
        <v>83</v>
      </c>
      <c r="F305" s="57" t="s">
        <v>75</v>
      </c>
      <c r="G305" s="57" t="s">
        <v>45</v>
      </c>
      <c r="H305" s="57" t="s">
        <v>47</v>
      </c>
      <c r="I305" s="59" t="n">
        <v>1</v>
      </c>
      <c r="J305" s="60" t="n">
        <v>34</v>
      </c>
      <c r="K305" s="60" t="n">
        <v>12</v>
      </c>
      <c r="L305" s="61" t="n">
        <f aca="false">I305*J305</f>
        <v>34</v>
      </c>
      <c r="M305" s="61" t="n">
        <f aca="false">L305-I305*K305</f>
        <v>22</v>
      </c>
      <c r="N305" s="57" t="n">
        <f aca="false">IF(COUNTIFS(E$2:E305,E305,C$2:C305,C305)=1,1,0)</f>
        <v>0</v>
      </c>
      <c r="O305" s="57" t="n">
        <f aca="false">IF(COUNTIFS(E$2:E305,E305,C$2:C305,C305,D$2:D305,D305)=1,1,0)</f>
        <v>1</v>
      </c>
      <c r="P305" s="57" t="n">
        <f aca="false">IF(AND(C305=Calc!$C$3,OR(Calc!$C$4=0,D305=Calc!$C$4)),ROW(),0)</f>
        <v>0</v>
      </c>
    </row>
    <row r="306" customFormat="false" ht="15" hidden="false" customHeight="false" outlineLevel="0" collapsed="false">
      <c r="A306" s="57" t="s">
        <v>591</v>
      </c>
      <c r="B306" s="58" t="n">
        <v>45400</v>
      </c>
      <c r="C306" s="57" t="n">
        <f aca="false">YEAR(B306)</f>
        <v>2024</v>
      </c>
      <c r="D306" s="57" t="n">
        <f aca="false">MONTH(B306)</f>
        <v>4</v>
      </c>
      <c r="E306" s="57" t="s">
        <v>446</v>
      </c>
      <c r="F306" s="57" t="s">
        <v>75</v>
      </c>
      <c r="G306" s="57" t="s">
        <v>40</v>
      </c>
      <c r="H306" s="57" t="s">
        <v>41</v>
      </c>
      <c r="I306" s="59" t="n">
        <v>2</v>
      </c>
      <c r="J306" s="60" t="n">
        <v>46</v>
      </c>
      <c r="K306" s="60" t="n">
        <v>16</v>
      </c>
      <c r="L306" s="61" t="n">
        <f aca="false">I306*J306</f>
        <v>92</v>
      </c>
      <c r="M306" s="61" t="n">
        <f aca="false">L306-I306*K306</f>
        <v>60</v>
      </c>
      <c r="N306" s="57" t="n">
        <f aca="false">IF(COUNTIFS(E$2:E306,E306,C$2:C306,C306)=1,1,0)</f>
        <v>0</v>
      </c>
      <c r="O306" s="57" t="n">
        <f aca="false">IF(COUNTIFS(E$2:E306,E306,C$2:C306,C306,D$2:D306,D306)=1,1,0)</f>
        <v>1</v>
      </c>
      <c r="P306" s="57" t="n">
        <f aca="false">IF(AND(C306=Calc!$C$3,OR(Calc!$C$4=0,D306=Calc!$C$4)),ROW(),0)</f>
        <v>0</v>
      </c>
    </row>
    <row r="307" customFormat="false" ht="15" hidden="false" customHeight="false" outlineLevel="0" collapsed="false">
      <c r="A307" s="57" t="s">
        <v>592</v>
      </c>
      <c r="B307" s="58" t="n">
        <v>45400</v>
      </c>
      <c r="C307" s="57" t="n">
        <f aca="false">YEAR(B307)</f>
        <v>2024</v>
      </c>
      <c r="D307" s="57" t="n">
        <f aca="false">MONTH(B307)</f>
        <v>4</v>
      </c>
      <c r="E307" s="57" t="s">
        <v>85</v>
      </c>
      <c r="F307" s="57" t="s">
        <v>69</v>
      </c>
      <c r="G307" s="57" t="s">
        <v>35</v>
      </c>
      <c r="H307" s="57" t="s">
        <v>37</v>
      </c>
      <c r="I307" s="59" t="n">
        <v>2</v>
      </c>
      <c r="J307" s="60" t="n">
        <v>59</v>
      </c>
      <c r="K307" s="60" t="n">
        <v>27</v>
      </c>
      <c r="L307" s="61" t="n">
        <f aca="false">I307*J307</f>
        <v>118</v>
      </c>
      <c r="M307" s="61" t="n">
        <f aca="false">L307-I307*K307</f>
        <v>64</v>
      </c>
      <c r="N307" s="57" t="n">
        <f aca="false">IF(COUNTIFS(E$2:E307,E307,C$2:C307,C307)=1,1,0)</f>
        <v>0</v>
      </c>
      <c r="O307" s="57" t="n">
        <f aca="false">IF(COUNTIFS(E$2:E307,E307,C$2:C307,C307,D$2:D307,D307)=1,1,0)</f>
        <v>0</v>
      </c>
      <c r="P307" s="57" t="n">
        <f aca="false">IF(AND(C307=Calc!$C$3,OR(Calc!$C$4=0,D307=Calc!$C$4)),ROW(),0)</f>
        <v>0</v>
      </c>
    </row>
    <row r="308" customFormat="false" ht="15" hidden="false" customHeight="false" outlineLevel="0" collapsed="false">
      <c r="A308" s="57" t="s">
        <v>593</v>
      </c>
      <c r="B308" s="58" t="n">
        <v>45400</v>
      </c>
      <c r="C308" s="57" t="n">
        <f aca="false">YEAR(B308)</f>
        <v>2024</v>
      </c>
      <c r="D308" s="57" t="n">
        <f aca="false">MONTH(B308)</f>
        <v>4</v>
      </c>
      <c r="E308" s="57" t="s">
        <v>594</v>
      </c>
      <c r="F308" s="57" t="s">
        <v>81</v>
      </c>
      <c r="G308" s="57" t="s">
        <v>35</v>
      </c>
      <c r="H308" s="57" t="s">
        <v>34</v>
      </c>
      <c r="I308" s="59" t="n">
        <v>1</v>
      </c>
      <c r="J308" s="60" t="n">
        <v>89</v>
      </c>
      <c r="K308" s="60" t="n">
        <v>41</v>
      </c>
      <c r="L308" s="61" t="n">
        <f aca="false">I308*J308</f>
        <v>89</v>
      </c>
      <c r="M308" s="61" t="n">
        <f aca="false">L308-I308*K308</f>
        <v>48</v>
      </c>
      <c r="N308" s="57" t="n">
        <f aca="false">IF(COUNTIFS(E$2:E308,E308,C$2:C308,C308)=1,1,0)</f>
        <v>1</v>
      </c>
      <c r="O308" s="57" t="n">
        <f aca="false">IF(COUNTIFS(E$2:E308,E308,C$2:C308,C308,D$2:D308,D308)=1,1,0)</f>
        <v>1</v>
      </c>
      <c r="P308" s="57" t="n">
        <f aca="false">IF(AND(C308=Calc!$C$3,OR(Calc!$C$4=0,D308=Calc!$C$4)),ROW(),0)</f>
        <v>0</v>
      </c>
    </row>
    <row r="309" customFormat="false" ht="15" hidden="false" customHeight="false" outlineLevel="0" collapsed="false">
      <c r="A309" s="57" t="s">
        <v>595</v>
      </c>
      <c r="B309" s="58" t="n">
        <v>45401</v>
      </c>
      <c r="C309" s="57" t="n">
        <f aca="false">YEAR(B309)</f>
        <v>2024</v>
      </c>
      <c r="D309" s="57" t="n">
        <f aca="false">MONTH(B309)</f>
        <v>4</v>
      </c>
      <c r="E309" s="57" t="s">
        <v>594</v>
      </c>
      <c r="F309" s="57" t="s">
        <v>81</v>
      </c>
      <c r="G309" s="57" t="s">
        <v>40</v>
      </c>
      <c r="H309" s="57" t="s">
        <v>41</v>
      </c>
      <c r="I309" s="59" t="n">
        <v>1</v>
      </c>
      <c r="J309" s="60" t="n">
        <v>46</v>
      </c>
      <c r="K309" s="60" t="n">
        <v>16</v>
      </c>
      <c r="L309" s="61" t="n">
        <f aca="false">I309*J309</f>
        <v>46</v>
      </c>
      <c r="M309" s="61" t="n">
        <f aca="false">L309-I309*K309</f>
        <v>30</v>
      </c>
      <c r="N309" s="57" t="n">
        <f aca="false">IF(COUNTIFS(E$2:E309,E309,C$2:C309,C309)=1,1,0)</f>
        <v>0</v>
      </c>
      <c r="O309" s="57" t="n">
        <f aca="false">IF(COUNTIFS(E$2:E309,E309,C$2:C309,C309,D$2:D309,D309)=1,1,0)</f>
        <v>0</v>
      </c>
      <c r="P309" s="57" t="n">
        <f aca="false">IF(AND(C309=Calc!$C$3,OR(Calc!$C$4=0,D309=Calc!$C$4)),ROW(),0)</f>
        <v>0</v>
      </c>
    </row>
    <row r="310" customFormat="false" ht="15" hidden="false" customHeight="false" outlineLevel="0" collapsed="false">
      <c r="A310" s="57" t="s">
        <v>596</v>
      </c>
      <c r="B310" s="58" t="n">
        <v>45401</v>
      </c>
      <c r="C310" s="57" t="n">
        <f aca="false">YEAR(B310)</f>
        <v>2024</v>
      </c>
      <c r="D310" s="57" t="n">
        <f aca="false">MONTH(B310)</f>
        <v>4</v>
      </c>
      <c r="E310" s="57" t="s">
        <v>338</v>
      </c>
      <c r="F310" s="57" t="s">
        <v>78</v>
      </c>
      <c r="G310" s="57" t="s">
        <v>35</v>
      </c>
      <c r="H310" s="57" t="s">
        <v>34</v>
      </c>
      <c r="I310" s="59" t="n">
        <v>1</v>
      </c>
      <c r="J310" s="60" t="n">
        <v>89</v>
      </c>
      <c r="K310" s="60" t="n">
        <v>41</v>
      </c>
      <c r="L310" s="61" t="n">
        <f aca="false">I310*J310</f>
        <v>89</v>
      </c>
      <c r="M310" s="61" t="n">
        <f aca="false">L310-I310*K310</f>
        <v>48</v>
      </c>
      <c r="N310" s="57" t="n">
        <f aca="false">IF(COUNTIFS(E$2:E310,E310,C$2:C310,C310)=1,1,0)</f>
        <v>0</v>
      </c>
      <c r="O310" s="57" t="n">
        <f aca="false">IF(COUNTIFS(E$2:E310,E310,C$2:C310,C310,D$2:D310,D310)=1,1,0)</f>
        <v>1</v>
      </c>
      <c r="P310" s="57" t="n">
        <f aca="false">IF(AND(C310=Calc!$C$3,OR(Calc!$C$4=0,D310=Calc!$C$4)),ROW(),0)</f>
        <v>0</v>
      </c>
    </row>
    <row r="311" customFormat="false" ht="15" hidden="false" customHeight="false" outlineLevel="0" collapsed="false">
      <c r="A311" s="57" t="s">
        <v>597</v>
      </c>
      <c r="B311" s="58" t="n">
        <v>45401</v>
      </c>
      <c r="C311" s="57" t="n">
        <f aca="false">YEAR(B311)</f>
        <v>2024</v>
      </c>
      <c r="D311" s="57" t="n">
        <f aca="false">MONTH(B311)</f>
        <v>4</v>
      </c>
      <c r="E311" s="57" t="s">
        <v>238</v>
      </c>
      <c r="F311" s="57" t="s">
        <v>78</v>
      </c>
      <c r="G311" s="57" t="s">
        <v>45</v>
      </c>
      <c r="H311" s="57" t="s">
        <v>44</v>
      </c>
      <c r="I311" s="59" t="n">
        <v>1</v>
      </c>
      <c r="J311" s="60" t="n">
        <v>119</v>
      </c>
      <c r="K311" s="60" t="n">
        <v>63</v>
      </c>
      <c r="L311" s="61" t="n">
        <f aca="false">I311*J311</f>
        <v>119</v>
      </c>
      <c r="M311" s="61" t="n">
        <f aca="false">L311-I311*K311</f>
        <v>56</v>
      </c>
      <c r="N311" s="57" t="n">
        <f aca="false">IF(COUNTIFS(E$2:E311,E311,C$2:C311,C311)=1,1,0)</f>
        <v>0</v>
      </c>
      <c r="O311" s="57" t="n">
        <f aca="false">IF(COUNTIFS(E$2:E311,E311,C$2:C311,C311,D$2:D311,D311)=1,1,0)</f>
        <v>1</v>
      </c>
      <c r="P311" s="57" t="n">
        <f aca="false">IF(AND(C311=Calc!$C$3,OR(Calc!$C$4=0,D311=Calc!$C$4)),ROW(),0)</f>
        <v>0</v>
      </c>
    </row>
    <row r="312" customFormat="false" ht="15" hidden="false" customHeight="false" outlineLevel="0" collapsed="false">
      <c r="A312" s="57" t="s">
        <v>598</v>
      </c>
      <c r="B312" s="58" t="n">
        <v>45402</v>
      </c>
      <c r="C312" s="57" t="n">
        <f aca="false">YEAR(B312)</f>
        <v>2024</v>
      </c>
      <c r="D312" s="57" t="n">
        <f aca="false">MONTH(B312)</f>
        <v>4</v>
      </c>
      <c r="E312" s="57" t="s">
        <v>104</v>
      </c>
      <c r="F312" s="57" t="s">
        <v>78</v>
      </c>
      <c r="G312" s="57" t="s">
        <v>35</v>
      </c>
      <c r="H312" s="57" t="s">
        <v>36</v>
      </c>
      <c r="I312" s="59" t="n">
        <v>1</v>
      </c>
      <c r="J312" s="60" t="n">
        <v>179</v>
      </c>
      <c r="K312" s="60" t="n">
        <v>92</v>
      </c>
      <c r="L312" s="61" t="n">
        <f aca="false">I312*J312</f>
        <v>179</v>
      </c>
      <c r="M312" s="61" t="n">
        <f aca="false">L312-I312*K312</f>
        <v>87</v>
      </c>
      <c r="N312" s="57" t="n">
        <f aca="false">IF(COUNTIFS(E$2:E312,E312,C$2:C312,C312)=1,1,0)</f>
        <v>0</v>
      </c>
      <c r="O312" s="57" t="n">
        <f aca="false">IF(COUNTIFS(E$2:E312,E312,C$2:C312,C312,D$2:D312,D312)=1,1,0)</f>
        <v>1</v>
      </c>
      <c r="P312" s="57" t="n">
        <f aca="false">IF(AND(C312=Calc!$C$3,OR(Calc!$C$4=0,D312=Calc!$C$4)),ROW(),0)</f>
        <v>0</v>
      </c>
    </row>
    <row r="313" customFormat="false" ht="15" hidden="false" customHeight="false" outlineLevel="0" collapsed="false">
      <c r="A313" s="57" t="s">
        <v>599</v>
      </c>
      <c r="B313" s="58" t="n">
        <v>45402</v>
      </c>
      <c r="C313" s="57" t="n">
        <f aca="false">YEAR(B313)</f>
        <v>2024</v>
      </c>
      <c r="D313" s="57" t="n">
        <f aca="false">MONTH(B313)</f>
        <v>4</v>
      </c>
      <c r="E313" s="57" t="s">
        <v>97</v>
      </c>
      <c r="F313" s="57" t="s">
        <v>78</v>
      </c>
      <c r="G313" s="57" t="s">
        <v>35</v>
      </c>
      <c r="H313" s="57" t="s">
        <v>38</v>
      </c>
      <c r="I313" s="59" t="n">
        <v>2</v>
      </c>
      <c r="J313" s="60" t="n">
        <v>49</v>
      </c>
      <c r="K313" s="60" t="n">
        <v>22</v>
      </c>
      <c r="L313" s="61" t="n">
        <f aca="false">I313*J313</f>
        <v>98</v>
      </c>
      <c r="M313" s="61" t="n">
        <f aca="false">L313-I313*K313</f>
        <v>54</v>
      </c>
      <c r="N313" s="57" t="n">
        <f aca="false">IF(COUNTIFS(E$2:E313,E313,C$2:C313,C313)=1,1,0)</f>
        <v>0</v>
      </c>
      <c r="O313" s="57" t="n">
        <f aca="false">IF(COUNTIFS(E$2:E313,E313,C$2:C313,C313,D$2:D313,D313)=1,1,0)</f>
        <v>1</v>
      </c>
      <c r="P313" s="57" t="n">
        <f aca="false">IF(AND(C313=Calc!$C$3,OR(Calc!$C$4=0,D313=Calc!$C$4)),ROW(),0)</f>
        <v>0</v>
      </c>
    </row>
    <row r="314" customFormat="false" ht="15" hidden="false" customHeight="false" outlineLevel="0" collapsed="false">
      <c r="A314" s="57" t="s">
        <v>600</v>
      </c>
      <c r="B314" s="58" t="n">
        <v>45402</v>
      </c>
      <c r="C314" s="57" t="n">
        <f aca="false">YEAR(B314)</f>
        <v>2024</v>
      </c>
      <c r="D314" s="57" t="n">
        <f aca="false">MONTH(B314)</f>
        <v>4</v>
      </c>
      <c r="E314" s="57" t="s">
        <v>601</v>
      </c>
      <c r="F314" s="57" t="s">
        <v>78</v>
      </c>
      <c r="G314" s="57" t="s">
        <v>35</v>
      </c>
      <c r="H314" s="57" t="s">
        <v>36</v>
      </c>
      <c r="I314" s="59" t="n">
        <v>2</v>
      </c>
      <c r="J314" s="60" t="n">
        <v>179</v>
      </c>
      <c r="K314" s="60" t="n">
        <v>92</v>
      </c>
      <c r="L314" s="61" t="n">
        <f aca="false">I314*J314</f>
        <v>358</v>
      </c>
      <c r="M314" s="61" t="n">
        <f aca="false">L314-I314*K314</f>
        <v>174</v>
      </c>
      <c r="N314" s="57" t="n">
        <f aca="false">IF(COUNTIFS(E$2:E314,E314,C$2:C314,C314)=1,1,0)</f>
        <v>1</v>
      </c>
      <c r="O314" s="57" t="n">
        <f aca="false">IF(COUNTIFS(E$2:E314,E314,C$2:C314,C314,D$2:D314,D314)=1,1,0)</f>
        <v>1</v>
      </c>
      <c r="P314" s="57" t="n">
        <f aca="false">IF(AND(C314=Calc!$C$3,OR(Calc!$C$4=0,D314=Calc!$C$4)),ROW(),0)</f>
        <v>0</v>
      </c>
    </row>
    <row r="315" customFormat="false" ht="15" hidden="false" customHeight="false" outlineLevel="0" collapsed="false">
      <c r="A315" s="57" t="s">
        <v>602</v>
      </c>
      <c r="B315" s="58" t="n">
        <v>45402</v>
      </c>
      <c r="C315" s="57" t="n">
        <f aca="false">YEAR(B315)</f>
        <v>2024</v>
      </c>
      <c r="D315" s="57" t="n">
        <f aca="false">MONTH(B315)</f>
        <v>4</v>
      </c>
      <c r="E315" s="57" t="s">
        <v>603</v>
      </c>
      <c r="F315" s="57" t="s">
        <v>81</v>
      </c>
      <c r="G315" s="57" t="s">
        <v>35</v>
      </c>
      <c r="H315" s="57" t="s">
        <v>38</v>
      </c>
      <c r="I315" s="59" t="n">
        <v>1</v>
      </c>
      <c r="J315" s="60" t="n">
        <v>49</v>
      </c>
      <c r="K315" s="60" t="n">
        <v>22</v>
      </c>
      <c r="L315" s="61" t="n">
        <f aca="false">I315*J315</f>
        <v>49</v>
      </c>
      <c r="M315" s="61" t="n">
        <f aca="false">L315-I315*K315</f>
        <v>27</v>
      </c>
      <c r="N315" s="57" t="n">
        <f aca="false">IF(COUNTIFS(E$2:E315,E315,C$2:C315,C315)=1,1,0)</f>
        <v>1</v>
      </c>
      <c r="O315" s="57" t="n">
        <f aca="false">IF(COUNTIFS(E$2:E315,E315,C$2:C315,C315,D$2:D315,D315)=1,1,0)</f>
        <v>1</v>
      </c>
      <c r="P315" s="57" t="n">
        <f aca="false">IF(AND(C315=Calc!$C$3,OR(Calc!$C$4=0,D315=Calc!$C$4)),ROW(),0)</f>
        <v>0</v>
      </c>
    </row>
    <row r="316" customFormat="false" ht="15" hidden="false" customHeight="false" outlineLevel="0" collapsed="false">
      <c r="A316" s="57" t="s">
        <v>604</v>
      </c>
      <c r="B316" s="58" t="n">
        <v>45403</v>
      </c>
      <c r="C316" s="57" t="n">
        <f aca="false">YEAR(B316)</f>
        <v>2024</v>
      </c>
      <c r="D316" s="57" t="n">
        <f aca="false">MONTH(B316)</f>
        <v>4</v>
      </c>
      <c r="E316" s="57" t="s">
        <v>605</v>
      </c>
      <c r="F316" s="57" t="s">
        <v>78</v>
      </c>
      <c r="G316" s="57" t="s">
        <v>45</v>
      </c>
      <c r="H316" s="57" t="s">
        <v>46</v>
      </c>
      <c r="I316" s="59" t="n">
        <v>1</v>
      </c>
      <c r="J316" s="60" t="n">
        <v>149</v>
      </c>
      <c r="K316" s="60" t="n">
        <v>71</v>
      </c>
      <c r="L316" s="61" t="n">
        <f aca="false">I316*J316</f>
        <v>149</v>
      </c>
      <c r="M316" s="61" t="n">
        <f aca="false">L316-I316*K316</f>
        <v>78</v>
      </c>
      <c r="N316" s="57" t="n">
        <f aca="false">IF(COUNTIFS(E$2:E316,E316,C$2:C316,C316)=1,1,0)</f>
        <v>1</v>
      </c>
      <c r="O316" s="57" t="n">
        <f aca="false">IF(COUNTIFS(E$2:E316,E316,C$2:C316,C316,D$2:D316,D316)=1,1,0)</f>
        <v>1</v>
      </c>
      <c r="P316" s="57" t="n">
        <f aca="false">IF(AND(C316=Calc!$C$3,OR(Calc!$C$4=0,D316=Calc!$C$4)),ROW(),0)</f>
        <v>0</v>
      </c>
    </row>
    <row r="317" customFormat="false" ht="15" hidden="false" customHeight="false" outlineLevel="0" collapsed="false">
      <c r="A317" s="57" t="s">
        <v>606</v>
      </c>
      <c r="B317" s="58" t="n">
        <v>45403</v>
      </c>
      <c r="C317" s="57" t="n">
        <f aca="false">YEAR(B317)</f>
        <v>2024</v>
      </c>
      <c r="D317" s="57" t="n">
        <f aca="false">MONTH(B317)</f>
        <v>4</v>
      </c>
      <c r="E317" s="57" t="s">
        <v>199</v>
      </c>
      <c r="F317" s="57" t="s">
        <v>72</v>
      </c>
      <c r="G317" s="57" t="s">
        <v>35</v>
      </c>
      <c r="H317" s="57" t="s">
        <v>34</v>
      </c>
      <c r="I317" s="59" t="n">
        <v>1</v>
      </c>
      <c r="J317" s="60" t="n">
        <v>89</v>
      </c>
      <c r="K317" s="60" t="n">
        <v>41</v>
      </c>
      <c r="L317" s="61" t="n">
        <f aca="false">I317*J317</f>
        <v>89</v>
      </c>
      <c r="M317" s="61" t="n">
        <f aca="false">L317-I317*K317</f>
        <v>48</v>
      </c>
      <c r="N317" s="57" t="n">
        <f aca="false">IF(COUNTIFS(E$2:E317,E317,C$2:C317,C317)=1,1,0)</f>
        <v>0</v>
      </c>
      <c r="O317" s="57" t="n">
        <f aca="false">IF(COUNTIFS(E$2:E317,E317,C$2:C317,C317,D$2:D317,D317)=1,1,0)</f>
        <v>1</v>
      </c>
      <c r="P317" s="57" t="n">
        <f aca="false">IF(AND(C317=Calc!$C$3,OR(Calc!$C$4=0,D317=Calc!$C$4)),ROW(),0)</f>
        <v>0</v>
      </c>
    </row>
    <row r="318" customFormat="false" ht="15" hidden="false" customHeight="false" outlineLevel="0" collapsed="false">
      <c r="A318" s="57" t="s">
        <v>607</v>
      </c>
      <c r="B318" s="58" t="n">
        <v>45403</v>
      </c>
      <c r="C318" s="57" t="n">
        <f aca="false">YEAR(B318)</f>
        <v>2024</v>
      </c>
      <c r="D318" s="57" t="n">
        <f aca="false">MONTH(B318)</f>
        <v>4</v>
      </c>
      <c r="E318" s="57" t="s">
        <v>215</v>
      </c>
      <c r="F318" s="57" t="s">
        <v>75</v>
      </c>
      <c r="G318" s="57" t="s">
        <v>45</v>
      </c>
      <c r="H318" s="57" t="s">
        <v>47</v>
      </c>
      <c r="I318" s="59" t="n">
        <v>1</v>
      </c>
      <c r="J318" s="60" t="n">
        <v>34</v>
      </c>
      <c r="K318" s="60" t="n">
        <v>12</v>
      </c>
      <c r="L318" s="61" t="n">
        <f aca="false">I318*J318</f>
        <v>34</v>
      </c>
      <c r="M318" s="61" t="n">
        <f aca="false">L318-I318*K318</f>
        <v>22</v>
      </c>
      <c r="N318" s="57" t="n">
        <f aca="false">IF(COUNTIFS(E$2:E318,E318,C$2:C318,C318)=1,1,0)</f>
        <v>0</v>
      </c>
      <c r="O318" s="57" t="n">
        <f aca="false">IF(COUNTIFS(E$2:E318,E318,C$2:C318,C318,D$2:D318,D318)=1,1,0)</f>
        <v>1</v>
      </c>
      <c r="P318" s="57" t="n">
        <f aca="false">IF(AND(C318=Calc!$C$3,OR(Calc!$C$4=0,D318=Calc!$C$4)),ROW(),0)</f>
        <v>0</v>
      </c>
    </row>
    <row r="319" customFormat="false" ht="15" hidden="false" customHeight="false" outlineLevel="0" collapsed="false">
      <c r="A319" s="57" t="s">
        <v>608</v>
      </c>
      <c r="B319" s="58" t="n">
        <v>45403</v>
      </c>
      <c r="C319" s="57" t="n">
        <f aca="false">YEAR(B319)</f>
        <v>2024</v>
      </c>
      <c r="D319" s="57" t="n">
        <f aca="false">MONTH(B319)</f>
        <v>4</v>
      </c>
      <c r="E319" s="57" t="s">
        <v>466</v>
      </c>
      <c r="F319" s="57" t="s">
        <v>72</v>
      </c>
      <c r="G319" s="57" t="s">
        <v>40</v>
      </c>
      <c r="H319" s="57" t="s">
        <v>39</v>
      </c>
      <c r="I319" s="59" t="n">
        <v>2</v>
      </c>
      <c r="J319" s="60" t="n">
        <v>54</v>
      </c>
      <c r="K319" s="60" t="n">
        <v>19</v>
      </c>
      <c r="L319" s="61" t="n">
        <f aca="false">I319*J319</f>
        <v>108</v>
      </c>
      <c r="M319" s="61" t="n">
        <f aca="false">L319-I319*K319</f>
        <v>70</v>
      </c>
      <c r="N319" s="57" t="n">
        <f aca="false">IF(COUNTIFS(E$2:E319,E319,C$2:C319,C319)=1,1,0)</f>
        <v>0</v>
      </c>
      <c r="O319" s="57" t="n">
        <f aca="false">IF(COUNTIFS(E$2:E319,E319,C$2:C319,C319,D$2:D319,D319)=1,1,0)</f>
        <v>1</v>
      </c>
      <c r="P319" s="57" t="n">
        <f aca="false">IF(AND(C319=Calc!$C$3,OR(Calc!$C$4=0,D319=Calc!$C$4)),ROW(),0)</f>
        <v>0</v>
      </c>
    </row>
    <row r="320" customFormat="false" ht="15" hidden="false" customHeight="false" outlineLevel="0" collapsed="false">
      <c r="A320" s="57" t="s">
        <v>609</v>
      </c>
      <c r="B320" s="58" t="n">
        <v>45403</v>
      </c>
      <c r="C320" s="57" t="n">
        <f aca="false">YEAR(B320)</f>
        <v>2024</v>
      </c>
      <c r="D320" s="57" t="n">
        <f aca="false">MONTH(B320)</f>
        <v>4</v>
      </c>
      <c r="E320" s="57" t="s">
        <v>446</v>
      </c>
      <c r="F320" s="57" t="s">
        <v>75</v>
      </c>
      <c r="G320" s="57" t="s">
        <v>35</v>
      </c>
      <c r="H320" s="57" t="s">
        <v>34</v>
      </c>
      <c r="I320" s="59" t="n">
        <v>1</v>
      </c>
      <c r="J320" s="60" t="n">
        <v>89</v>
      </c>
      <c r="K320" s="60" t="n">
        <v>41</v>
      </c>
      <c r="L320" s="61" t="n">
        <f aca="false">I320*J320</f>
        <v>89</v>
      </c>
      <c r="M320" s="61" t="n">
        <f aca="false">L320-I320*K320</f>
        <v>48</v>
      </c>
      <c r="N320" s="57" t="n">
        <f aca="false">IF(COUNTIFS(E$2:E320,E320,C$2:C320,C320)=1,1,0)</f>
        <v>0</v>
      </c>
      <c r="O320" s="57" t="n">
        <f aca="false">IF(COUNTIFS(E$2:E320,E320,C$2:C320,C320,D$2:D320,D320)=1,1,0)</f>
        <v>0</v>
      </c>
      <c r="P320" s="57" t="n">
        <f aca="false">IF(AND(C320=Calc!$C$3,OR(Calc!$C$4=0,D320=Calc!$C$4)),ROW(),0)</f>
        <v>0</v>
      </c>
    </row>
    <row r="321" customFormat="false" ht="15" hidden="false" customHeight="false" outlineLevel="0" collapsed="false">
      <c r="A321" s="57" t="s">
        <v>610</v>
      </c>
      <c r="B321" s="58" t="n">
        <v>45404</v>
      </c>
      <c r="C321" s="57" t="n">
        <f aca="false">YEAR(B321)</f>
        <v>2024</v>
      </c>
      <c r="D321" s="57" t="n">
        <f aca="false">MONTH(B321)</f>
        <v>4</v>
      </c>
      <c r="E321" s="57" t="s">
        <v>611</v>
      </c>
      <c r="F321" s="57" t="s">
        <v>78</v>
      </c>
      <c r="G321" s="57" t="s">
        <v>35</v>
      </c>
      <c r="H321" s="57" t="s">
        <v>36</v>
      </c>
      <c r="I321" s="59" t="n">
        <v>1</v>
      </c>
      <c r="J321" s="60" t="n">
        <v>179</v>
      </c>
      <c r="K321" s="60" t="n">
        <v>92</v>
      </c>
      <c r="L321" s="61" t="n">
        <f aca="false">I321*J321</f>
        <v>179</v>
      </c>
      <c r="M321" s="61" t="n">
        <f aca="false">L321-I321*K321</f>
        <v>87</v>
      </c>
      <c r="N321" s="57" t="n">
        <f aca="false">IF(COUNTIFS(E$2:E321,E321,C$2:C321,C321)=1,1,0)</f>
        <v>1</v>
      </c>
      <c r="O321" s="57" t="n">
        <f aca="false">IF(COUNTIFS(E$2:E321,E321,C$2:C321,C321,D$2:D321,D321)=1,1,0)</f>
        <v>1</v>
      </c>
      <c r="P321" s="57" t="n">
        <f aca="false">IF(AND(C321=Calc!$C$3,OR(Calc!$C$4=0,D321=Calc!$C$4)),ROW(),0)</f>
        <v>0</v>
      </c>
    </row>
    <row r="322" customFormat="false" ht="15" hidden="false" customHeight="false" outlineLevel="0" collapsed="false">
      <c r="A322" s="57" t="s">
        <v>612</v>
      </c>
      <c r="B322" s="58" t="n">
        <v>45404</v>
      </c>
      <c r="C322" s="57" t="n">
        <f aca="false">YEAR(B322)</f>
        <v>2024</v>
      </c>
      <c r="D322" s="57" t="n">
        <f aca="false">MONTH(B322)</f>
        <v>4</v>
      </c>
      <c r="E322" s="57" t="s">
        <v>613</v>
      </c>
      <c r="F322" s="57" t="s">
        <v>72</v>
      </c>
      <c r="G322" s="57" t="s">
        <v>35</v>
      </c>
      <c r="H322" s="57" t="s">
        <v>36</v>
      </c>
      <c r="I322" s="59" t="n">
        <v>1</v>
      </c>
      <c r="J322" s="60" t="n">
        <v>179</v>
      </c>
      <c r="K322" s="60" t="n">
        <v>92</v>
      </c>
      <c r="L322" s="61" t="n">
        <f aca="false">I322*J322</f>
        <v>179</v>
      </c>
      <c r="M322" s="61" t="n">
        <f aca="false">L322-I322*K322</f>
        <v>87</v>
      </c>
      <c r="N322" s="57" t="n">
        <f aca="false">IF(COUNTIFS(E$2:E322,E322,C$2:C322,C322)=1,1,0)</f>
        <v>1</v>
      </c>
      <c r="O322" s="57" t="n">
        <f aca="false">IF(COUNTIFS(E$2:E322,E322,C$2:C322,C322,D$2:D322,D322)=1,1,0)</f>
        <v>1</v>
      </c>
      <c r="P322" s="57" t="n">
        <f aca="false">IF(AND(C322=Calc!$C$3,OR(Calc!$C$4=0,D322=Calc!$C$4)),ROW(),0)</f>
        <v>0</v>
      </c>
    </row>
    <row r="323" customFormat="false" ht="15" hidden="false" customHeight="false" outlineLevel="0" collapsed="false">
      <c r="A323" s="57" t="s">
        <v>614</v>
      </c>
      <c r="B323" s="58" t="n">
        <v>45405</v>
      </c>
      <c r="C323" s="57" t="n">
        <f aca="false">YEAR(B323)</f>
        <v>2024</v>
      </c>
      <c r="D323" s="57" t="n">
        <f aca="false">MONTH(B323)</f>
        <v>4</v>
      </c>
      <c r="E323" s="57" t="s">
        <v>440</v>
      </c>
      <c r="F323" s="57" t="s">
        <v>78</v>
      </c>
      <c r="G323" s="57" t="s">
        <v>50</v>
      </c>
      <c r="H323" s="57" t="s">
        <v>49</v>
      </c>
      <c r="I323" s="59" t="n">
        <v>1</v>
      </c>
      <c r="J323" s="60" t="n">
        <v>32</v>
      </c>
      <c r="K323" s="60" t="n">
        <v>7</v>
      </c>
      <c r="L323" s="61" t="n">
        <f aca="false">I323*J323</f>
        <v>32</v>
      </c>
      <c r="M323" s="61" t="n">
        <f aca="false">L323-I323*K323</f>
        <v>25</v>
      </c>
      <c r="N323" s="57" t="n">
        <f aca="false">IF(COUNTIFS(E$2:E323,E323,C$2:C323,C323)=1,1,0)</f>
        <v>0</v>
      </c>
      <c r="O323" s="57" t="n">
        <f aca="false">IF(COUNTIFS(E$2:E323,E323,C$2:C323,C323,D$2:D323,D323)=1,1,0)</f>
        <v>1</v>
      </c>
      <c r="P323" s="57" t="n">
        <f aca="false">IF(AND(C323=Calc!$C$3,OR(Calc!$C$4=0,D323=Calc!$C$4)),ROW(),0)</f>
        <v>0</v>
      </c>
    </row>
    <row r="324" customFormat="false" ht="15" hidden="false" customHeight="false" outlineLevel="0" collapsed="false">
      <c r="A324" s="57" t="s">
        <v>615</v>
      </c>
      <c r="B324" s="58" t="n">
        <v>45405</v>
      </c>
      <c r="C324" s="57" t="n">
        <f aca="false">YEAR(B324)</f>
        <v>2024</v>
      </c>
      <c r="D324" s="57" t="n">
        <f aca="false">MONTH(B324)</f>
        <v>4</v>
      </c>
      <c r="E324" s="57" t="s">
        <v>386</v>
      </c>
      <c r="F324" s="57" t="s">
        <v>78</v>
      </c>
      <c r="G324" s="57" t="s">
        <v>35</v>
      </c>
      <c r="H324" s="57" t="s">
        <v>34</v>
      </c>
      <c r="I324" s="59" t="n">
        <v>1</v>
      </c>
      <c r="J324" s="60" t="n">
        <v>89</v>
      </c>
      <c r="K324" s="60" t="n">
        <v>41</v>
      </c>
      <c r="L324" s="61" t="n">
        <f aca="false">I324*J324</f>
        <v>89</v>
      </c>
      <c r="M324" s="61" t="n">
        <f aca="false">L324-I324*K324</f>
        <v>48</v>
      </c>
      <c r="N324" s="57" t="n">
        <f aca="false">IF(COUNTIFS(E$2:E324,E324,C$2:C324,C324)=1,1,0)</f>
        <v>0</v>
      </c>
      <c r="O324" s="57" t="n">
        <f aca="false">IF(COUNTIFS(E$2:E324,E324,C$2:C324,C324,D$2:D324,D324)=1,1,0)</f>
        <v>1</v>
      </c>
      <c r="P324" s="57" t="n">
        <f aca="false">IF(AND(C324=Calc!$C$3,OR(Calc!$C$4=0,D324=Calc!$C$4)),ROW(),0)</f>
        <v>0</v>
      </c>
    </row>
    <row r="325" customFormat="false" ht="15" hidden="false" customHeight="false" outlineLevel="0" collapsed="false">
      <c r="A325" s="57" t="s">
        <v>616</v>
      </c>
      <c r="B325" s="58" t="n">
        <v>45405</v>
      </c>
      <c r="C325" s="57" t="n">
        <f aca="false">YEAR(B325)</f>
        <v>2024</v>
      </c>
      <c r="D325" s="57" t="n">
        <f aca="false">MONTH(B325)</f>
        <v>4</v>
      </c>
      <c r="E325" s="57" t="s">
        <v>617</v>
      </c>
      <c r="F325" s="57" t="s">
        <v>69</v>
      </c>
      <c r="G325" s="57" t="s">
        <v>40</v>
      </c>
      <c r="H325" s="57" t="s">
        <v>43</v>
      </c>
      <c r="I325" s="59" t="n">
        <v>1</v>
      </c>
      <c r="J325" s="60" t="n">
        <v>29</v>
      </c>
      <c r="K325" s="60" t="n">
        <v>9</v>
      </c>
      <c r="L325" s="61" t="n">
        <f aca="false">I325*J325</f>
        <v>29</v>
      </c>
      <c r="M325" s="61" t="n">
        <f aca="false">L325-I325*K325</f>
        <v>20</v>
      </c>
      <c r="N325" s="57" t="n">
        <f aca="false">IF(COUNTIFS(E$2:E325,E325,C$2:C325,C325)=1,1,0)</f>
        <v>1</v>
      </c>
      <c r="O325" s="57" t="n">
        <f aca="false">IF(COUNTIFS(E$2:E325,E325,C$2:C325,C325,D$2:D325,D325)=1,1,0)</f>
        <v>1</v>
      </c>
      <c r="P325" s="57" t="n">
        <f aca="false">IF(AND(C325=Calc!$C$3,OR(Calc!$C$4=0,D325=Calc!$C$4)),ROW(),0)</f>
        <v>0</v>
      </c>
    </row>
    <row r="326" customFormat="false" ht="15" hidden="false" customHeight="false" outlineLevel="0" collapsed="false">
      <c r="A326" s="57" t="s">
        <v>618</v>
      </c>
      <c r="B326" s="58" t="n">
        <v>45406</v>
      </c>
      <c r="C326" s="57" t="n">
        <f aca="false">YEAR(B326)</f>
        <v>2024</v>
      </c>
      <c r="D326" s="57" t="n">
        <f aca="false">MONTH(B326)</f>
        <v>4</v>
      </c>
      <c r="E326" s="57" t="s">
        <v>265</v>
      </c>
      <c r="F326" s="57" t="s">
        <v>78</v>
      </c>
      <c r="G326" s="57" t="s">
        <v>35</v>
      </c>
      <c r="H326" s="57" t="s">
        <v>37</v>
      </c>
      <c r="I326" s="59" t="n">
        <v>1</v>
      </c>
      <c r="J326" s="60" t="n">
        <v>59</v>
      </c>
      <c r="K326" s="60" t="n">
        <v>27</v>
      </c>
      <c r="L326" s="61" t="n">
        <f aca="false">I326*J326</f>
        <v>59</v>
      </c>
      <c r="M326" s="61" t="n">
        <f aca="false">L326-I326*K326</f>
        <v>32</v>
      </c>
      <c r="N326" s="57" t="n">
        <f aca="false">IF(COUNTIFS(E$2:E326,E326,C$2:C326,C326)=1,1,0)</f>
        <v>0</v>
      </c>
      <c r="O326" s="57" t="n">
        <f aca="false">IF(COUNTIFS(E$2:E326,E326,C$2:C326,C326,D$2:D326,D326)=1,1,0)</f>
        <v>1</v>
      </c>
      <c r="P326" s="57" t="n">
        <f aca="false">IF(AND(C326=Calc!$C$3,OR(Calc!$C$4=0,D326=Calc!$C$4)),ROW(),0)</f>
        <v>0</v>
      </c>
    </row>
    <row r="327" customFormat="false" ht="15" hidden="false" customHeight="false" outlineLevel="0" collapsed="false">
      <c r="A327" s="57" t="s">
        <v>619</v>
      </c>
      <c r="B327" s="58" t="n">
        <v>45406</v>
      </c>
      <c r="C327" s="57" t="n">
        <f aca="false">YEAR(B327)</f>
        <v>2024</v>
      </c>
      <c r="D327" s="57" t="n">
        <f aca="false">MONTH(B327)</f>
        <v>4</v>
      </c>
      <c r="E327" s="57" t="s">
        <v>620</v>
      </c>
      <c r="F327" s="57" t="s">
        <v>72</v>
      </c>
      <c r="G327" s="57" t="s">
        <v>45</v>
      </c>
      <c r="H327" s="57" t="s">
        <v>44</v>
      </c>
      <c r="I327" s="59" t="n">
        <v>1</v>
      </c>
      <c r="J327" s="60" t="n">
        <v>119</v>
      </c>
      <c r="K327" s="60" t="n">
        <v>63</v>
      </c>
      <c r="L327" s="61" t="n">
        <f aca="false">I327*J327</f>
        <v>119</v>
      </c>
      <c r="M327" s="61" t="n">
        <f aca="false">L327-I327*K327</f>
        <v>56</v>
      </c>
      <c r="N327" s="57" t="n">
        <f aca="false">IF(COUNTIFS(E$2:E327,E327,C$2:C327,C327)=1,1,0)</f>
        <v>1</v>
      </c>
      <c r="O327" s="57" t="n">
        <f aca="false">IF(COUNTIFS(E$2:E327,E327,C$2:C327,C327,D$2:D327,D327)=1,1,0)</f>
        <v>1</v>
      </c>
      <c r="P327" s="57" t="n">
        <f aca="false">IF(AND(C327=Calc!$C$3,OR(Calc!$C$4=0,D327=Calc!$C$4)),ROW(),0)</f>
        <v>0</v>
      </c>
    </row>
    <row r="328" customFormat="false" ht="15" hidden="false" customHeight="false" outlineLevel="0" collapsed="false">
      <c r="A328" s="57" t="s">
        <v>621</v>
      </c>
      <c r="B328" s="58" t="n">
        <v>45407</v>
      </c>
      <c r="C328" s="57" t="n">
        <f aca="false">YEAR(B328)</f>
        <v>2024</v>
      </c>
      <c r="D328" s="57" t="n">
        <f aca="false">MONTH(B328)</f>
        <v>4</v>
      </c>
      <c r="E328" s="57" t="s">
        <v>622</v>
      </c>
      <c r="F328" s="57" t="s">
        <v>69</v>
      </c>
      <c r="G328" s="57" t="s">
        <v>35</v>
      </c>
      <c r="H328" s="57" t="s">
        <v>34</v>
      </c>
      <c r="I328" s="59" t="n">
        <v>1</v>
      </c>
      <c r="J328" s="60" t="n">
        <v>89</v>
      </c>
      <c r="K328" s="60" t="n">
        <v>41</v>
      </c>
      <c r="L328" s="61" t="n">
        <f aca="false">I328*J328</f>
        <v>89</v>
      </c>
      <c r="M328" s="61" t="n">
        <f aca="false">L328-I328*K328</f>
        <v>48</v>
      </c>
      <c r="N328" s="57" t="n">
        <f aca="false">IF(COUNTIFS(E$2:E328,E328,C$2:C328,C328)=1,1,0)</f>
        <v>1</v>
      </c>
      <c r="O328" s="57" t="n">
        <f aca="false">IF(COUNTIFS(E$2:E328,E328,C$2:C328,C328,D$2:D328,D328)=1,1,0)</f>
        <v>1</v>
      </c>
      <c r="P328" s="57" t="n">
        <f aca="false">IF(AND(C328=Calc!$C$3,OR(Calc!$C$4=0,D328=Calc!$C$4)),ROW(),0)</f>
        <v>0</v>
      </c>
    </row>
    <row r="329" customFormat="false" ht="15" hidden="false" customHeight="false" outlineLevel="0" collapsed="false">
      <c r="A329" s="57" t="s">
        <v>623</v>
      </c>
      <c r="B329" s="58" t="n">
        <v>45407</v>
      </c>
      <c r="C329" s="57" t="n">
        <f aca="false">YEAR(B329)</f>
        <v>2024</v>
      </c>
      <c r="D329" s="57" t="n">
        <f aca="false">MONTH(B329)</f>
        <v>4</v>
      </c>
      <c r="E329" s="57" t="s">
        <v>374</v>
      </c>
      <c r="F329" s="57" t="s">
        <v>69</v>
      </c>
      <c r="G329" s="57" t="s">
        <v>50</v>
      </c>
      <c r="H329" s="57" t="s">
        <v>52</v>
      </c>
      <c r="I329" s="59" t="n">
        <v>1</v>
      </c>
      <c r="J329" s="60" t="n">
        <v>45</v>
      </c>
      <c r="K329" s="60" t="n">
        <v>14</v>
      </c>
      <c r="L329" s="61" t="n">
        <f aca="false">I329*J329</f>
        <v>45</v>
      </c>
      <c r="M329" s="61" t="n">
        <f aca="false">L329-I329*K329</f>
        <v>31</v>
      </c>
      <c r="N329" s="57" t="n">
        <f aca="false">IF(COUNTIFS(E$2:E329,E329,C$2:C329,C329)=1,1,0)</f>
        <v>0</v>
      </c>
      <c r="O329" s="57" t="n">
        <f aca="false">IF(COUNTIFS(E$2:E329,E329,C$2:C329,C329,D$2:D329,D329)=1,1,0)</f>
        <v>0</v>
      </c>
      <c r="P329" s="57" t="n">
        <f aca="false">IF(AND(C329=Calc!$C$3,OR(Calc!$C$4=0,D329=Calc!$C$4)),ROW(),0)</f>
        <v>0</v>
      </c>
    </row>
    <row r="330" customFormat="false" ht="15" hidden="false" customHeight="false" outlineLevel="0" collapsed="false">
      <c r="A330" s="57" t="s">
        <v>624</v>
      </c>
      <c r="B330" s="58" t="n">
        <v>45407</v>
      </c>
      <c r="C330" s="57" t="n">
        <f aca="false">YEAR(B330)</f>
        <v>2024</v>
      </c>
      <c r="D330" s="57" t="n">
        <f aca="false">MONTH(B330)</f>
        <v>4</v>
      </c>
      <c r="E330" s="57" t="s">
        <v>340</v>
      </c>
      <c r="F330" s="57" t="s">
        <v>69</v>
      </c>
      <c r="G330" s="57" t="s">
        <v>35</v>
      </c>
      <c r="H330" s="57" t="s">
        <v>34</v>
      </c>
      <c r="I330" s="59" t="n">
        <v>1</v>
      </c>
      <c r="J330" s="60" t="n">
        <v>89</v>
      </c>
      <c r="K330" s="60" t="n">
        <v>41</v>
      </c>
      <c r="L330" s="61" t="n">
        <f aca="false">I330*J330</f>
        <v>89</v>
      </c>
      <c r="M330" s="61" t="n">
        <f aca="false">L330-I330*K330</f>
        <v>48</v>
      </c>
      <c r="N330" s="57" t="n">
        <f aca="false">IF(COUNTIFS(E$2:E330,E330,C$2:C330,C330)=1,1,0)</f>
        <v>0</v>
      </c>
      <c r="O330" s="57" t="n">
        <f aca="false">IF(COUNTIFS(E$2:E330,E330,C$2:C330,C330,D$2:D330,D330)=1,1,0)</f>
        <v>1</v>
      </c>
      <c r="P330" s="57" t="n">
        <f aca="false">IF(AND(C330=Calc!$C$3,OR(Calc!$C$4=0,D330=Calc!$C$4)),ROW(),0)</f>
        <v>0</v>
      </c>
    </row>
    <row r="331" customFormat="false" ht="15" hidden="false" customHeight="false" outlineLevel="0" collapsed="false">
      <c r="A331" s="57" t="s">
        <v>625</v>
      </c>
      <c r="B331" s="58" t="n">
        <v>45408</v>
      </c>
      <c r="C331" s="57" t="n">
        <f aca="false">YEAR(B331)</f>
        <v>2024</v>
      </c>
      <c r="D331" s="57" t="n">
        <f aca="false">MONTH(B331)</f>
        <v>4</v>
      </c>
      <c r="E331" s="57" t="s">
        <v>626</v>
      </c>
      <c r="F331" s="57" t="s">
        <v>69</v>
      </c>
      <c r="G331" s="57" t="s">
        <v>50</v>
      </c>
      <c r="H331" s="57" t="s">
        <v>49</v>
      </c>
      <c r="I331" s="59" t="n">
        <v>1</v>
      </c>
      <c r="J331" s="60" t="n">
        <v>32</v>
      </c>
      <c r="K331" s="60" t="n">
        <v>7</v>
      </c>
      <c r="L331" s="61" t="n">
        <f aca="false">I331*J331</f>
        <v>32</v>
      </c>
      <c r="M331" s="61" t="n">
        <f aca="false">L331-I331*K331</f>
        <v>25</v>
      </c>
      <c r="N331" s="57" t="n">
        <f aca="false">IF(COUNTIFS(E$2:E331,E331,C$2:C331,C331)=1,1,0)</f>
        <v>1</v>
      </c>
      <c r="O331" s="57" t="n">
        <f aca="false">IF(COUNTIFS(E$2:E331,E331,C$2:C331,C331,D$2:D331,D331)=1,1,0)</f>
        <v>1</v>
      </c>
      <c r="P331" s="57" t="n">
        <f aca="false">IF(AND(C331=Calc!$C$3,OR(Calc!$C$4=0,D331=Calc!$C$4)),ROW(),0)</f>
        <v>0</v>
      </c>
    </row>
    <row r="332" customFormat="false" ht="15" hidden="false" customHeight="false" outlineLevel="0" collapsed="false">
      <c r="A332" s="57" t="s">
        <v>627</v>
      </c>
      <c r="B332" s="58" t="n">
        <v>45408</v>
      </c>
      <c r="C332" s="57" t="n">
        <f aca="false">YEAR(B332)</f>
        <v>2024</v>
      </c>
      <c r="D332" s="57" t="n">
        <f aca="false">MONTH(B332)</f>
        <v>4</v>
      </c>
      <c r="E332" s="57" t="s">
        <v>434</v>
      </c>
      <c r="F332" s="57" t="s">
        <v>78</v>
      </c>
      <c r="G332" s="57" t="s">
        <v>35</v>
      </c>
      <c r="H332" s="57" t="s">
        <v>37</v>
      </c>
      <c r="I332" s="59" t="n">
        <v>1</v>
      </c>
      <c r="J332" s="60" t="n">
        <v>59</v>
      </c>
      <c r="K332" s="60" t="n">
        <v>27</v>
      </c>
      <c r="L332" s="61" t="n">
        <f aca="false">I332*J332</f>
        <v>59</v>
      </c>
      <c r="M332" s="61" t="n">
        <f aca="false">L332-I332*K332</f>
        <v>32</v>
      </c>
      <c r="N332" s="57" t="n">
        <f aca="false">IF(COUNTIFS(E$2:E332,E332,C$2:C332,C332)=1,1,0)</f>
        <v>0</v>
      </c>
      <c r="O332" s="57" t="n">
        <f aca="false">IF(COUNTIFS(E$2:E332,E332,C$2:C332,C332,D$2:D332,D332)=1,1,0)</f>
        <v>0</v>
      </c>
      <c r="P332" s="57" t="n">
        <f aca="false">IF(AND(C332=Calc!$C$3,OR(Calc!$C$4=0,D332=Calc!$C$4)),ROW(),0)</f>
        <v>0</v>
      </c>
    </row>
    <row r="333" customFormat="false" ht="15" hidden="false" customHeight="false" outlineLevel="0" collapsed="false">
      <c r="A333" s="57" t="s">
        <v>628</v>
      </c>
      <c r="B333" s="58" t="n">
        <v>45408</v>
      </c>
      <c r="C333" s="57" t="n">
        <f aca="false">YEAR(B333)</f>
        <v>2024</v>
      </c>
      <c r="D333" s="57" t="n">
        <f aca="false">MONTH(B333)</f>
        <v>4</v>
      </c>
      <c r="E333" s="57" t="s">
        <v>629</v>
      </c>
      <c r="F333" s="57" t="s">
        <v>78</v>
      </c>
      <c r="G333" s="57" t="s">
        <v>35</v>
      </c>
      <c r="H333" s="57" t="s">
        <v>36</v>
      </c>
      <c r="I333" s="59" t="n">
        <v>2</v>
      </c>
      <c r="J333" s="60" t="n">
        <v>179</v>
      </c>
      <c r="K333" s="60" t="n">
        <v>92</v>
      </c>
      <c r="L333" s="61" t="n">
        <f aca="false">I333*J333</f>
        <v>358</v>
      </c>
      <c r="M333" s="61" t="n">
        <f aca="false">L333-I333*K333</f>
        <v>174</v>
      </c>
      <c r="N333" s="57" t="n">
        <f aca="false">IF(COUNTIFS(E$2:E333,E333,C$2:C333,C333)=1,1,0)</f>
        <v>1</v>
      </c>
      <c r="O333" s="57" t="n">
        <f aca="false">IF(COUNTIFS(E$2:E333,E333,C$2:C333,C333,D$2:D333,D333)=1,1,0)</f>
        <v>1</v>
      </c>
      <c r="P333" s="57" t="n">
        <f aca="false">IF(AND(C333=Calc!$C$3,OR(Calc!$C$4=0,D333=Calc!$C$4)),ROW(),0)</f>
        <v>0</v>
      </c>
    </row>
    <row r="334" customFormat="false" ht="15" hidden="false" customHeight="false" outlineLevel="0" collapsed="false">
      <c r="A334" s="57" t="s">
        <v>630</v>
      </c>
      <c r="B334" s="58" t="n">
        <v>45408</v>
      </c>
      <c r="C334" s="57" t="n">
        <f aca="false">YEAR(B334)</f>
        <v>2024</v>
      </c>
      <c r="D334" s="57" t="n">
        <f aca="false">MONTH(B334)</f>
        <v>4</v>
      </c>
      <c r="E334" s="57" t="s">
        <v>631</v>
      </c>
      <c r="F334" s="57" t="s">
        <v>78</v>
      </c>
      <c r="G334" s="57" t="s">
        <v>35</v>
      </c>
      <c r="H334" s="57" t="s">
        <v>36</v>
      </c>
      <c r="I334" s="59" t="n">
        <v>1</v>
      </c>
      <c r="J334" s="60" t="n">
        <v>179</v>
      </c>
      <c r="K334" s="60" t="n">
        <v>92</v>
      </c>
      <c r="L334" s="61" t="n">
        <f aca="false">I334*J334</f>
        <v>179</v>
      </c>
      <c r="M334" s="61" t="n">
        <f aca="false">L334-I334*K334</f>
        <v>87</v>
      </c>
      <c r="N334" s="57" t="n">
        <f aca="false">IF(COUNTIFS(E$2:E334,E334,C$2:C334,C334)=1,1,0)</f>
        <v>1</v>
      </c>
      <c r="O334" s="57" t="n">
        <f aca="false">IF(COUNTIFS(E$2:E334,E334,C$2:C334,C334,D$2:D334,D334)=1,1,0)</f>
        <v>1</v>
      </c>
      <c r="P334" s="57" t="n">
        <f aca="false">IF(AND(C334=Calc!$C$3,OR(Calc!$C$4=0,D334=Calc!$C$4)),ROW(),0)</f>
        <v>0</v>
      </c>
    </row>
    <row r="335" customFormat="false" ht="15" hidden="false" customHeight="false" outlineLevel="0" collapsed="false">
      <c r="A335" s="57" t="s">
        <v>632</v>
      </c>
      <c r="B335" s="58" t="n">
        <v>45409</v>
      </c>
      <c r="C335" s="57" t="n">
        <f aca="false">YEAR(B335)</f>
        <v>2024</v>
      </c>
      <c r="D335" s="57" t="n">
        <f aca="false">MONTH(B335)</f>
        <v>4</v>
      </c>
      <c r="E335" s="57" t="s">
        <v>434</v>
      </c>
      <c r="F335" s="57" t="s">
        <v>78</v>
      </c>
      <c r="G335" s="57" t="s">
        <v>35</v>
      </c>
      <c r="H335" s="57" t="s">
        <v>37</v>
      </c>
      <c r="I335" s="59" t="n">
        <v>1</v>
      </c>
      <c r="J335" s="60" t="n">
        <v>59</v>
      </c>
      <c r="K335" s="60" t="n">
        <v>27</v>
      </c>
      <c r="L335" s="61" t="n">
        <f aca="false">I335*J335</f>
        <v>59</v>
      </c>
      <c r="M335" s="61" t="n">
        <f aca="false">L335-I335*K335</f>
        <v>32</v>
      </c>
      <c r="N335" s="57" t="n">
        <f aca="false">IF(COUNTIFS(E$2:E335,E335,C$2:C335,C335)=1,1,0)</f>
        <v>0</v>
      </c>
      <c r="O335" s="57" t="n">
        <f aca="false">IF(COUNTIFS(E$2:E335,E335,C$2:C335,C335,D$2:D335,D335)=1,1,0)</f>
        <v>0</v>
      </c>
      <c r="P335" s="57" t="n">
        <f aca="false">IF(AND(C335=Calc!$C$3,OR(Calc!$C$4=0,D335=Calc!$C$4)),ROW(),0)</f>
        <v>0</v>
      </c>
    </row>
    <row r="336" customFormat="false" ht="15" hidden="false" customHeight="false" outlineLevel="0" collapsed="false">
      <c r="A336" s="57" t="s">
        <v>633</v>
      </c>
      <c r="B336" s="58" t="n">
        <v>45409</v>
      </c>
      <c r="C336" s="57" t="n">
        <f aca="false">YEAR(B336)</f>
        <v>2024</v>
      </c>
      <c r="D336" s="57" t="n">
        <f aca="false">MONTH(B336)</f>
        <v>4</v>
      </c>
      <c r="E336" s="57" t="s">
        <v>376</v>
      </c>
      <c r="F336" s="57" t="s">
        <v>78</v>
      </c>
      <c r="G336" s="57" t="s">
        <v>50</v>
      </c>
      <c r="H336" s="57" t="s">
        <v>49</v>
      </c>
      <c r="I336" s="59" t="n">
        <v>1</v>
      </c>
      <c r="J336" s="60" t="n">
        <v>32</v>
      </c>
      <c r="K336" s="60" t="n">
        <v>7</v>
      </c>
      <c r="L336" s="61" t="n">
        <f aca="false">I336*J336</f>
        <v>32</v>
      </c>
      <c r="M336" s="61" t="n">
        <f aca="false">L336-I336*K336</f>
        <v>25</v>
      </c>
      <c r="N336" s="57" t="n">
        <f aca="false">IF(COUNTIFS(E$2:E336,E336,C$2:C336,C336)=1,1,0)</f>
        <v>0</v>
      </c>
      <c r="O336" s="57" t="n">
        <f aca="false">IF(COUNTIFS(E$2:E336,E336,C$2:C336,C336,D$2:D336,D336)=1,1,0)</f>
        <v>1</v>
      </c>
      <c r="P336" s="57" t="n">
        <f aca="false">IF(AND(C336=Calc!$C$3,OR(Calc!$C$4=0,D336=Calc!$C$4)),ROW(),0)</f>
        <v>0</v>
      </c>
    </row>
    <row r="337" customFormat="false" ht="15" hidden="false" customHeight="false" outlineLevel="0" collapsed="false">
      <c r="A337" s="57" t="s">
        <v>634</v>
      </c>
      <c r="B337" s="58" t="n">
        <v>45409</v>
      </c>
      <c r="C337" s="57" t="n">
        <f aca="false">YEAR(B337)</f>
        <v>2024</v>
      </c>
      <c r="D337" s="57" t="n">
        <f aca="false">MONTH(B337)</f>
        <v>4</v>
      </c>
      <c r="E337" s="57" t="s">
        <v>635</v>
      </c>
      <c r="F337" s="57" t="s">
        <v>69</v>
      </c>
      <c r="G337" s="57" t="s">
        <v>45</v>
      </c>
      <c r="H337" s="57" t="s">
        <v>48</v>
      </c>
      <c r="I337" s="59" t="n">
        <v>1</v>
      </c>
      <c r="J337" s="60" t="n">
        <v>99</v>
      </c>
      <c r="K337" s="60" t="n">
        <v>38</v>
      </c>
      <c r="L337" s="61" t="n">
        <f aca="false">I337*J337</f>
        <v>99</v>
      </c>
      <c r="M337" s="61" t="n">
        <f aca="false">L337-I337*K337</f>
        <v>61</v>
      </c>
      <c r="N337" s="57" t="n">
        <f aca="false">IF(COUNTIFS(E$2:E337,E337,C$2:C337,C337)=1,1,0)</f>
        <v>1</v>
      </c>
      <c r="O337" s="57" t="n">
        <f aca="false">IF(COUNTIFS(E$2:E337,E337,C$2:C337,C337,D$2:D337,D337)=1,1,0)</f>
        <v>1</v>
      </c>
      <c r="P337" s="57" t="n">
        <f aca="false">IF(AND(C337=Calc!$C$3,OR(Calc!$C$4=0,D337=Calc!$C$4)),ROW(),0)</f>
        <v>0</v>
      </c>
    </row>
    <row r="338" customFormat="false" ht="15" hidden="false" customHeight="false" outlineLevel="0" collapsed="false">
      <c r="A338" s="57" t="s">
        <v>636</v>
      </c>
      <c r="B338" s="58" t="n">
        <v>45409</v>
      </c>
      <c r="C338" s="57" t="n">
        <f aca="false">YEAR(B338)</f>
        <v>2024</v>
      </c>
      <c r="D338" s="57" t="n">
        <f aca="false">MONTH(B338)</f>
        <v>4</v>
      </c>
      <c r="E338" s="57" t="s">
        <v>477</v>
      </c>
      <c r="F338" s="57" t="s">
        <v>78</v>
      </c>
      <c r="G338" s="57" t="s">
        <v>35</v>
      </c>
      <c r="H338" s="57" t="s">
        <v>37</v>
      </c>
      <c r="I338" s="59" t="n">
        <v>1</v>
      </c>
      <c r="J338" s="60" t="n">
        <v>59</v>
      </c>
      <c r="K338" s="60" t="n">
        <v>27</v>
      </c>
      <c r="L338" s="61" t="n">
        <f aca="false">I338*J338</f>
        <v>59</v>
      </c>
      <c r="M338" s="61" t="n">
        <f aca="false">L338-I338*K338</f>
        <v>32</v>
      </c>
      <c r="N338" s="57" t="n">
        <f aca="false">IF(COUNTIFS(E$2:E338,E338,C$2:C338,C338)=1,1,0)</f>
        <v>0</v>
      </c>
      <c r="O338" s="57" t="n">
        <f aca="false">IF(COUNTIFS(E$2:E338,E338,C$2:C338,C338,D$2:D338,D338)=1,1,0)</f>
        <v>1</v>
      </c>
      <c r="P338" s="57" t="n">
        <f aca="false">IF(AND(C338=Calc!$C$3,OR(Calc!$C$4=0,D338=Calc!$C$4)),ROW(),0)</f>
        <v>0</v>
      </c>
    </row>
    <row r="339" customFormat="false" ht="15" hidden="false" customHeight="false" outlineLevel="0" collapsed="false">
      <c r="A339" s="57" t="s">
        <v>637</v>
      </c>
      <c r="B339" s="58" t="n">
        <v>45409</v>
      </c>
      <c r="C339" s="57" t="n">
        <f aca="false">YEAR(B339)</f>
        <v>2024</v>
      </c>
      <c r="D339" s="57" t="n">
        <f aca="false">MONTH(B339)</f>
        <v>4</v>
      </c>
      <c r="E339" s="57" t="s">
        <v>446</v>
      </c>
      <c r="F339" s="57" t="s">
        <v>75</v>
      </c>
      <c r="G339" s="57" t="s">
        <v>35</v>
      </c>
      <c r="H339" s="57" t="s">
        <v>37</v>
      </c>
      <c r="I339" s="59" t="n">
        <v>1</v>
      </c>
      <c r="J339" s="60" t="n">
        <v>59</v>
      </c>
      <c r="K339" s="60" t="n">
        <v>27</v>
      </c>
      <c r="L339" s="61" t="n">
        <f aca="false">I339*J339</f>
        <v>59</v>
      </c>
      <c r="M339" s="61" t="n">
        <f aca="false">L339-I339*K339</f>
        <v>32</v>
      </c>
      <c r="N339" s="57" t="n">
        <f aca="false">IF(COUNTIFS(E$2:E339,E339,C$2:C339,C339)=1,1,0)</f>
        <v>0</v>
      </c>
      <c r="O339" s="57" t="n">
        <f aca="false">IF(COUNTIFS(E$2:E339,E339,C$2:C339,C339,D$2:D339,D339)=1,1,0)</f>
        <v>0</v>
      </c>
      <c r="P339" s="57" t="n">
        <f aca="false">IF(AND(C339=Calc!$C$3,OR(Calc!$C$4=0,D339=Calc!$C$4)),ROW(),0)</f>
        <v>0</v>
      </c>
    </row>
    <row r="340" customFormat="false" ht="15" hidden="false" customHeight="false" outlineLevel="0" collapsed="false">
      <c r="A340" s="57" t="s">
        <v>638</v>
      </c>
      <c r="B340" s="58" t="n">
        <v>45410</v>
      </c>
      <c r="C340" s="57" t="n">
        <f aca="false">YEAR(B340)</f>
        <v>2024</v>
      </c>
      <c r="D340" s="57" t="n">
        <f aca="false">MONTH(B340)</f>
        <v>4</v>
      </c>
      <c r="E340" s="57" t="s">
        <v>635</v>
      </c>
      <c r="F340" s="57" t="s">
        <v>69</v>
      </c>
      <c r="G340" s="57" t="s">
        <v>35</v>
      </c>
      <c r="H340" s="57" t="s">
        <v>36</v>
      </c>
      <c r="I340" s="59" t="n">
        <v>3</v>
      </c>
      <c r="J340" s="60" t="n">
        <v>179</v>
      </c>
      <c r="K340" s="60" t="n">
        <v>92</v>
      </c>
      <c r="L340" s="61" t="n">
        <f aca="false">I340*J340</f>
        <v>537</v>
      </c>
      <c r="M340" s="61" t="n">
        <f aca="false">L340-I340*K340</f>
        <v>261</v>
      </c>
      <c r="N340" s="57" t="n">
        <f aca="false">IF(COUNTIFS(E$2:E340,E340,C$2:C340,C340)=1,1,0)</f>
        <v>0</v>
      </c>
      <c r="O340" s="57" t="n">
        <f aca="false">IF(COUNTIFS(E$2:E340,E340,C$2:C340,C340,D$2:D340,D340)=1,1,0)</f>
        <v>0</v>
      </c>
      <c r="P340" s="57" t="n">
        <f aca="false">IF(AND(C340=Calc!$C$3,OR(Calc!$C$4=0,D340=Calc!$C$4)),ROW(),0)</f>
        <v>0</v>
      </c>
    </row>
    <row r="341" customFormat="false" ht="15" hidden="false" customHeight="false" outlineLevel="0" collapsed="false">
      <c r="A341" s="57" t="s">
        <v>639</v>
      </c>
      <c r="B341" s="58" t="n">
        <v>45411</v>
      </c>
      <c r="C341" s="57" t="n">
        <f aca="false">YEAR(B341)</f>
        <v>2024</v>
      </c>
      <c r="D341" s="57" t="n">
        <f aca="false">MONTH(B341)</f>
        <v>4</v>
      </c>
      <c r="E341" s="57" t="s">
        <v>85</v>
      </c>
      <c r="F341" s="57" t="s">
        <v>69</v>
      </c>
      <c r="G341" s="57" t="s">
        <v>40</v>
      </c>
      <c r="H341" s="57" t="s">
        <v>43</v>
      </c>
      <c r="I341" s="59" t="n">
        <v>1</v>
      </c>
      <c r="J341" s="60" t="n">
        <v>29</v>
      </c>
      <c r="K341" s="60" t="n">
        <v>9</v>
      </c>
      <c r="L341" s="61" t="n">
        <f aca="false">I341*J341</f>
        <v>29</v>
      </c>
      <c r="M341" s="61" t="n">
        <f aca="false">L341-I341*K341</f>
        <v>20</v>
      </c>
      <c r="N341" s="57" t="n">
        <f aca="false">IF(COUNTIFS(E$2:E341,E341,C$2:C341,C341)=1,1,0)</f>
        <v>0</v>
      </c>
      <c r="O341" s="57" t="n">
        <f aca="false">IF(COUNTIFS(E$2:E341,E341,C$2:C341,C341,D$2:D341,D341)=1,1,0)</f>
        <v>0</v>
      </c>
      <c r="P341" s="57" t="n">
        <f aca="false">IF(AND(C341=Calc!$C$3,OR(Calc!$C$4=0,D341=Calc!$C$4)),ROW(),0)</f>
        <v>0</v>
      </c>
    </row>
    <row r="342" customFormat="false" ht="15" hidden="false" customHeight="false" outlineLevel="0" collapsed="false">
      <c r="A342" s="57" t="s">
        <v>640</v>
      </c>
      <c r="B342" s="58" t="n">
        <v>45411</v>
      </c>
      <c r="C342" s="57" t="n">
        <f aca="false">YEAR(B342)</f>
        <v>2024</v>
      </c>
      <c r="D342" s="57" t="n">
        <f aca="false">MONTH(B342)</f>
        <v>4</v>
      </c>
      <c r="E342" s="57" t="s">
        <v>641</v>
      </c>
      <c r="F342" s="57" t="s">
        <v>75</v>
      </c>
      <c r="G342" s="57" t="s">
        <v>35</v>
      </c>
      <c r="H342" s="57" t="s">
        <v>36</v>
      </c>
      <c r="I342" s="59" t="n">
        <v>1</v>
      </c>
      <c r="J342" s="60" t="n">
        <v>179</v>
      </c>
      <c r="K342" s="60" t="n">
        <v>92</v>
      </c>
      <c r="L342" s="61" t="n">
        <f aca="false">I342*J342</f>
        <v>179</v>
      </c>
      <c r="M342" s="61" t="n">
        <f aca="false">L342-I342*K342</f>
        <v>87</v>
      </c>
      <c r="N342" s="57" t="n">
        <f aca="false">IF(COUNTIFS(E$2:E342,E342,C$2:C342,C342)=1,1,0)</f>
        <v>1</v>
      </c>
      <c r="O342" s="57" t="n">
        <f aca="false">IF(COUNTIFS(E$2:E342,E342,C$2:C342,C342,D$2:D342,D342)=1,1,0)</f>
        <v>1</v>
      </c>
      <c r="P342" s="57" t="n">
        <f aca="false">IF(AND(C342=Calc!$C$3,OR(Calc!$C$4=0,D342=Calc!$C$4)),ROW(),0)</f>
        <v>0</v>
      </c>
    </row>
    <row r="343" customFormat="false" ht="15" hidden="false" customHeight="false" outlineLevel="0" collapsed="false">
      <c r="A343" s="57" t="s">
        <v>642</v>
      </c>
      <c r="B343" s="58" t="n">
        <v>45411</v>
      </c>
      <c r="C343" s="57" t="n">
        <f aca="false">YEAR(B343)</f>
        <v>2024</v>
      </c>
      <c r="D343" s="57" t="n">
        <f aca="false">MONTH(B343)</f>
        <v>4</v>
      </c>
      <c r="E343" s="57" t="s">
        <v>181</v>
      </c>
      <c r="F343" s="57" t="s">
        <v>69</v>
      </c>
      <c r="G343" s="57" t="s">
        <v>40</v>
      </c>
      <c r="H343" s="57" t="s">
        <v>39</v>
      </c>
      <c r="I343" s="59" t="n">
        <v>1</v>
      </c>
      <c r="J343" s="60" t="n">
        <v>54</v>
      </c>
      <c r="K343" s="60" t="n">
        <v>19</v>
      </c>
      <c r="L343" s="61" t="n">
        <f aca="false">I343*J343</f>
        <v>54</v>
      </c>
      <c r="M343" s="61" t="n">
        <f aca="false">L343-I343*K343</f>
        <v>35</v>
      </c>
      <c r="N343" s="57" t="n">
        <f aca="false">IF(COUNTIFS(E$2:E343,E343,C$2:C343,C343)=1,1,0)</f>
        <v>0</v>
      </c>
      <c r="O343" s="57" t="n">
        <f aca="false">IF(COUNTIFS(E$2:E343,E343,C$2:C343,C343,D$2:D343,D343)=1,1,0)</f>
        <v>0</v>
      </c>
      <c r="P343" s="57" t="n">
        <f aca="false">IF(AND(C343=Calc!$C$3,OR(Calc!$C$4=0,D343=Calc!$C$4)),ROW(),0)</f>
        <v>0</v>
      </c>
    </row>
    <row r="344" customFormat="false" ht="15" hidden="false" customHeight="false" outlineLevel="0" collapsed="false">
      <c r="A344" s="57" t="s">
        <v>643</v>
      </c>
      <c r="B344" s="58" t="n">
        <v>45412</v>
      </c>
      <c r="C344" s="57" t="n">
        <f aca="false">YEAR(B344)</f>
        <v>2024</v>
      </c>
      <c r="D344" s="57" t="n">
        <f aca="false">MONTH(B344)</f>
        <v>4</v>
      </c>
      <c r="E344" s="57" t="s">
        <v>376</v>
      </c>
      <c r="F344" s="57" t="s">
        <v>78</v>
      </c>
      <c r="G344" s="57" t="s">
        <v>35</v>
      </c>
      <c r="H344" s="57" t="s">
        <v>38</v>
      </c>
      <c r="I344" s="59" t="n">
        <v>2</v>
      </c>
      <c r="J344" s="60" t="n">
        <v>49</v>
      </c>
      <c r="K344" s="60" t="n">
        <v>22</v>
      </c>
      <c r="L344" s="61" t="n">
        <f aca="false">I344*J344</f>
        <v>98</v>
      </c>
      <c r="M344" s="61" t="n">
        <f aca="false">L344-I344*K344</f>
        <v>54</v>
      </c>
      <c r="N344" s="57" t="n">
        <f aca="false">IF(COUNTIFS(E$2:E344,E344,C$2:C344,C344)=1,1,0)</f>
        <v>0</v>
      </c>
      <c r="O344" s="57" t="n">
        <f aca="false">IF(COUNTIFS(E$2:E344,E344,C$2:C344,C344,D$2:D344,D344)=1,1,0)</f>
        <v>0</v>
      </c>
      <c r="P344" s="57" t="n">
        <f aca="false">IF(AND(C344=Calc!$C$3,OR(Calc!$C$4=0,D344=Calc!$C$4)),ROW(),0)</f>
        <v>0</v>
      </c>
    </row>
    <row r="345" customFormat="false" ht="15" hidden="false" customHeight="false" outlineLevel="0" collapsed="false">
      <c r="A345" s="57" t="s">
        <v>644</v>
      </c>
      <c r="B345" s="58" t="n">
        <v>45412</v>
      </c>
      <c r="C345" s="57" t="n">
        <f aca="false">YEAR(B345)</f>
        <v>2024</v>
      </c>
      <c r="D345" s="57" t="n">
        <f aca="false">MONTH(B345)</f>
        <v>4</v>
      </c>
      <c r="E345" s="57" t="s">
        <v>120</v>
      </c>
      <c r="F345" s="57" t="s">
        <v>78</v>
      </c>
      <c r="G345" s="57" t="s">
        <v>40</v>
      </c>
      <c r="H345" s="57" t="s">
        <v>43</v>
      </c>
      <c r="I345" s="59" t="n">
        <v>1</v>
      </c>
      <c r="J345" s="60" t="n">
        <v>29</v>
      </c>
      <c r="K345" s="60" t="n">
        <v>9</v>
      </c>
      <c r="L345" s="61" t="n">
        <f aca="false">I345*J345</f>
        <v>29</v>
      </c>
      <c r="M345" s="61" t="n">
        <f aca="false">L345-I345*K345</f>
        <v>20</v>
      </c>
      <c r="N345" s="57" t="n">
        <f aca="false">IF(COUNTIFS(E$2:E345,E345,C$2:C345,C345)=1,1,0)</f>
        <v>0</v>
      </c>
      <c r="O345" s="57" t="n">
        <f aca="false">IF(COUNTIFS(E$2:E345,E345,C$2:C345,C345,D$2:D345,D345)=1,1,0)</f>
        <v>1</v>
      </c>
      <c r="P345" s="57" t="n">
        <f aca="false">IF(AND(C345=Calc!$C$3,OR(Calc!$C$4=0,D345=Calc!$C$4)),ROW(),0)</f>
        <v>0</v>
      </c>
    </row>
    <row r="346" customFormat="false" ht="15" hidden="false" customHeight="false" outlineLevel="0" collapsed="false">
      <c r="A346" s="57" t="s">
        <v>645</v>
      </c>
      <c r="B346" s="58" t="n">
        <v>45412</v>
      </c>
      <c r="C346" s="57" t="n">
        <f aca="false">YEAR(B346)</f>
        <v>2024</v>
      </c>
      <c r="D346" s="57" t="n">
        <f aca="false">MONTH(B346)</f>
        <v>4</v>
      </c>
      <c r="E346" s="57" t="s">
        <v>646</v>
      </c>
      <c r="F346" s="57" t="s">
        <v>81</v>
      </c>
      <c r="G346" s="57" t="s">
        <v>40</v>
      </c>
      <c r="H346" s="57" t="s">
        <v>42</v>
      </c>
      <c r="I346" s="59" t="n">
        <v>2</v>
      </c>
      <c r="J346" s="60" t="n">
        <v>79</v>
      </c>
      <c r="K346" s="60" t="n">
        <v>31</v>
      </c>
      <c r="L346" s="61" t="n">
        <f aca="false">I346*J346</f>
        <v>158</v>
      </c>
      <c r="M346" s="61" t="n">
        <f aca="false">L346-I346*K346</f>
        <v>96</v>
      </c>
      <c r="N346" s="57" t="n">
        <f aca="false">IF(COUNTIFS(E$2:E346,E346,C$2:C346,C346)=1,1,0)</f>
        <v>1</v>
      </c>
      <c r="O346" s="57" t="n">
        <f aca="false">IF(COUNTIFS(E$2:E346,E346,C$2:C346,C346,D$2:D346,D346)=1,1,0)</f>
        <v>1</v>
      </c>
      <c r="P346" s="57" t="n">
        <f aca="false">IF(AND(C346=Calc!$C$3,OR(Calc!$C$4=0,D346=Calc!$C$4)),ROW(),0)</f>
        <v>0</v>
      </c>
    </row>
    <row r="347" customFormat="false" ht="15" hidden="false" customHeight="false" outlineLevel="0" collapsed="false">
      <c r="A347" s="57" t="s">
        <v>647</v>
      </c>
      <c r="B347" s="58" t="n">
        <v>45413</v>
      </c>
      <c r="C347" s="57" t="n">
        <f aca="false">YEAR(B347)</f>
        <v>2024</v>
      </c>
      <c r="D347" s="57" t="n">
        <f aca="false">MONTH(B347)</f>
        <v>5</v>
      </c>
      <c r="E347" s="57" t="s">
        <v>85</v>
      </c>
      <c r="F347" s="57" t="s">
        <v>69</v>
      </c>
      <c r="G347" s="57" t="s">
        <v>35</v>
      </c>
      <c r="H347" s="57" t="s">
        <v>34</v>
      </c>
      <c r="I347" s="59" t="n">
        <v>1</v>
      </c>
      <c r="J347" s="60" t="n">
        <v>89</v>
      </c>
      <c r="K347" s="60" t="n">
        <v>41</v>
      </c>
      <c r="L347" s="61" t="n">
        <f aca="false">I347*J347</f>
        <v>89</v>
      </c>
      <c r="M347" s="61" t="n">
        <f aca="false">L347-I347*K347</f>
        <v>48</v>
      </c>
      <c r="N347" s="57" t="n">
        <f aca="false">IF(COUNTIFS(E$2:E347,E347,C$2:C347,C347)=1,1,0)</f>
        <v>0</v>
      </c>
      <c r="O347" s="57" t="n">
        <f aca="false">IF(COUNTIFS(E$2:E347,E347,C$2:C347,C347,D$2:D347,D347)=1,1,0)</f>
        <v>1</v>
      </c>
      <c r="P347" s="57" t="n">
        <f aca="false">IF(AND(C347=Calc!$C$3,OR(Calc!$C$4=0,D347=Calc!$C$4)),ROW(),0)</f>
        <v>0</v>
      </c>
    </row>
    <row r="348" customFormat="false" ht="15" hidden="false" customHeight="false" outlineLevel="0" collapsed="false">
      <c r="A348" s="57" t="s">
        <v>648</v>
      </c>
      <c r="B348" s="58" t="n">
        <v>45413</v>
      </c>
      <c r="C348" s="57" t="n">
        <f aca="false">YEAR(B348)</f>
        <v>2024</v>
      </c>
      <c r="D348" s="57" t="n">
        <f aca="false">MONTH(B348)</f>
        <v>5</v>
      </c>
      <c r="E348" s="57" t="s">
        <v>649</v>
      </c>
      <c r="F348" s="57" t="s">
        <v>72</v>
      </c>
      <c r="G348" s="57" t="s">
        <v>45</v>
      </c>
      <c r="H348" s="57" t="s">
        <v>48</v>
      </c>
      <c r="I348" s="59" t="n">
        <v>1</v>
      </c>
      <c r="J348" s="60" t="n">
        <v>99</v>
      </c>
      <c r="K348" s="60" t="n">
        <v>38</v>
      </c>
      <c r="L348" s="61" t="n">
        <f aca="false">I348*J348</f>
        <v>99</v>
      </c>
      <c r="M348" s="61" t="n">
        <f aca="false">L348-I348*K348</f>
        <v>61</v>
      </c>
      <c r="N348" s="57" t="n">
        <f aca="false">IF(COUNTIFS(E$2:E348,E348,C$2:C348,C348)=1,1,0)</f>
        <v>1</v>
      </c>
      <c r="O348" s="57" t="n">
        <f aca="false">IF(COUNTIFS(E$2:E348,E348,C$2:C348,C348,D$2:D348,D348)=1,1,0)</f>
        <v>1</v>
      </c>
      <c r="P348" s="57" t="n">
        <f aca="false">IF(AND(C348=Calc!$C$3,OR(Calc!$C$4=0,D348=Calc!$C$4)),ROW(),0)</f>
        <v>0</v>
      </c>
    </row>
    <row r="349" customFormat="false" ht="15" hidden="false" customHeight="false" outlineLevel="0" collapsed="false">
      <c r="A349" s="57" t="s">
        <v>650</v>
      </c>
      <c r="B349" s="58" t="n">
        <v>45413</v>
      </c>
      <c r="C349" s="57" t="n">
        <f aca="false">YEAR(B349)</f>
        <v>2024</v>
      </c>
      <c r="D349" s="57" t="n">
        <f aca="false">MONTH(B349)</f>
        <v>5</v>
      </c>
      <c r="E349" s="57" t="s">
        <v>309</v>
      </c>
      <c r="F349" s="57" t="s">
        <v>81</v>
      </c>
      <c r="G349" s="57" t="s">
        <v>50</v>
      </c>
      <c r="H349" s="57" t="s">
        <v>51</v>
      </c>
      <c r="I349" s="59" t="n">
        <v>3</v>
      </c>
      <c r="J349" s="60" t="n">
        <v>69</v>
      </c>
      <c r="K349" s="60" t="n">
        <v>29</v>
      </c>
      <c r="L349" s="61" t="n">
        <f aca="false">I349*J349</f>
        <v>207</v>
      </c>
      <c r="M349" s="61" t="n">
        <f aca="false">L349-I349*K349</f>
        <v>120</v>
      </c>
      <c r="N349" s="57" t="n">
        <f aca="false">IF(COUNTIFS(E$2:E349,E349,C$2:C349,C349)=1,1,0)</f>
        <v>0</v>
      </c>
      <c r="O349" s="57" t="n">
        <f aca="false">IF(COUNTIFS(E$2:E349,E349,C$2:C349,C349,D$2:D349,D349)=1,1,0)</f>
        <v>1</v>
      </c>
      <c r="P349" s="57" t="n">
        <f aca="false">IF(AND(C349=Calc!$C$3,OR(Calc!$C$4=0,D349=Calc!$C$4)),ROW(),0)</f>
        <v>0</v>
      </c>
    </row>
    <row r="350" customFormat="false" ht="15" hidden="false" customHeight="false" outlineLevel="0" collapsed="false">
      <c r="A350" s="57" t="s">
        <v>651</v>
      </c>
      <c r="B350" s="58" t="n">
        <v>45413</v>
      </c>
      <c r="C350" s="57" t="n">
        <f aca="false">YEAR(B350)</f>
        <v>2024</v>
      </c>
      <c r="D350" s="57" t="n">
        <f aca="false">MONTH(B350)</f>
        <v>5</v>
      </c>
      <c r="E350" s="57" t="s">
        <v>512</v>
      </c>
      <c r="F350" s="57" t="s">
        <v>75</v>
      </c>
      <c r="G350" s="57" t="s">
        <v>50</v>
      </c>
      <c r="H350" s="57" t="s">
        <v>52</v>
      </c>
      <c r="I350" s="59" t="n">
        <v>1</v>
      </c>
      <c r="J350" s="60" t="n">
        <v>45</v>
      </c>
      <c r="K350" s="60" t="n">
        <v>14</v>
      </c>
      <c r="L350" s="61" t="n">
        <f aca="false">I350*J350</f>
        <v>45</v>
      </c>
      <c r="M350" s="61" t="n">
        <f aca="false">L350-I350*K350</f>
        <v>31</v>
      </c>
      <c r="N350" s="57" t="n">
        <f aca="false">IF(COUNTIFS(E$2:E350,E350,C$2:C350,C350)=1,1,0)</f>
        <v>0</v>
      </c>
      <c r="O350" s="57" t="n">
        <f aca="false">IF(COUNTIFS(E$2:E350,E350,C$2:C350,C350,D$2:D350,D350)=1,1,0)</f>
        <v>1</v>
      </c>
      <c r="P350" s="57" t="n">
        <f aca="false">IF(AND(C350=Calc!$C$3,OR(Calc!$C$4=0,D350=Calc!$C$4)),ROW(),0)</f>
        <v>0</v>
      </c>
    </row>
    <row r="351" customFormat="false" ht="15" hidden="false" customHeight="false" outlineLevel="0" collapsed="false">
      <c r="A351" s="57" t="s">
        <v>652</v>
      </c>
      <c r="B351" s="58" t="n">
        <v>45413</v>
      </c>
      <c r="C351" s="57" t="n">
        <f aca="false">YEAR(B351)</f>
        <v>2024</v>
      </c>
      <c r="D351" s="57" t="n">
        <f aca="false">MONTH(B351)</f>
        <v>5</v>
      </c>
      <c r="E351" s="57" t="s">
        <v>653</v>
      </c>
      <c r="F351" s="57" t="s">
        <v>69</v>
      </c>
      <c r="G351" s="57" t="s">
        <v>40</v>
      </c>
      <c r="H351" s="57" t="s">
        <v>42</v>
      </c>
      <c r="I351" s="59" t="n">
        <v>1</v>
      </c>
      <c r="J351" s="60" t="n">
        <v>79</v>
      </c>
      <c r="K351" s="60" t="n">
        <v>31</v>
      </c>
      <c r="L351" s="61" t="n">
        <f aca="false">I351*J351</f>
        <v>79</v>
      </c>
      <c r="M351" s="61" t="n">
        <f aca="false">L351-I351*K351</f>
        <v>48</v>
      </c>
      <c r="N351" s="57" t="n">
        <f aca="false">IF(COUNTIFS(E$2:E351,E351,C$2:C351,C351)=1,1,0)</f>
        <v>1</v>
      </c>
      <c r="O351" s="57" t="n">
        <f aca="false">IF(COUNTIFS(E$2:E351,E351,C$2:C351,C351,D$2:D351,D351)=1,1,0)</f>
        <v>1</v>
      </c>
      <c r="P351" s="57" t="n">
        <f aca="false">IF(AND(C351=Calc!$C$3,OR(Calc!$C$4=0,D351=Calc!$C$4)),ROW(),0)</f>
        <v>0</v>
      </c>
    </row>
    <row r="352" customFormat="false" ht="15" hidden="false" customHeight="false" outlineLevel="0" collapsed="false">
      <c r="A352" s="57" t="s">
        <v>654</v>
      </c>
      <c r="B352" s="58" t="n">
        <v>45413</v>
      </c>
      <c r="C352" s="57" t="n">
        <f aca="false">YEAR(B352)</f>
        <v>2024</v>
      </c>
      <c r="D352" s="57" t="n">
        <f aca="false">MONTH(B352)</f>
        <v>5</v>
      </c>
      <c r="E352" s="57" t="s">
        <v>97</v>
      </c>
      <c r="F352" s="57" t="s">
        <v>78</v>
      </c>
      <c r="G352" s="57" t="s">
        <v>45</v>
      </c>
      <c r="H352" s="57" t="s">
        <v>46</v>
      </c>
      <c r="I352" s="59" t="n">
        <v>1</v>
      </c>
      <c r="J352" s="60" t="n">
        <v>149</v>
      </c>
      <c r="K352" s="60" t="n">
        <v>71</v>
      </c>
      <c r="L352" s="61" t="n">
        <f aca="false">I352*J352</f>
        <v>149</v>
      </c>
      <c r="M352" s="61" t="n">
        <f aca="false">L352-I352*K352</f>
        <v>78</v>
      </c>
      <c r="N352" s="57" t="n">
        <f aca="false">IF(COUNTIFS(E$2:E352,E352,C$2:C352,C352)=1,1,0)</f>
        <v>0</v>
      </c>
      <c r="O352" s="57" t="n">
        <f aca="false">IF(COUNTIFS(E$2:E352,E352,C$2:C352,C352,D$2:D352,D352)=1,1,0)</f>
        <v>1</v>
      </c>
      <c r="P352" s="57" t="n">
        <f aca="false">IF(AND(C352=Calc!$C$3,OR(Calc!$C$4=0,D352=Calc!$C$4)),ROW(),0)</f>
        <v>0</v>
      </c>
    </row>
    <row r="353" customFormat="false" ht="15" hidden="false" customHeight="false" outlineLevel="0" collapsed="false">
      <c r="A353" s="57" t="s">
        <v>655</v>
      </c>
      <c r="B353" s="58" t="n">
        <v>45414</v>
      </c>
      <c r="C353" s="57" t="n">
        <f aca="false">YEAR(B353)</f>
        <v>2024</v>
      </c>
      <c r="D353" s="57" t="n">
        <f aca="false">MONTH(B353)</f>
        <v>5</v>
      </c>
      <c r="E353" s="57" t="s">
        <v>535</v>
      </c>
      <c r="F353" s="57" t="s">
        <v>81</v>
      </c>
      <c r="G353" s="57" t="s">
        <v>40</v>
      </c>
      <c r="H353" s="57" t="s">
        <v>42</v>
      </c>
      <c r="I353" s="59" t="n">
        <v>2</v>
      </c>
      <c r="J353" s="60" t="n">
        <v>79</v>
      </c>
      <c r="K353" s="60" t="n">
        <v>31</v>
      </c>
      <c r="L353" s="61" t="n">
        <f aca="false">I353*J353</f>
        <v>158</v>
      </c>
      <c r="M353" s="61" t="n">
        <f aca="false">L353-I353*K353</f>
        <v>96</v>
      </c>
      <c r="N353" s="57" t="n">
        <f aca="false">IF(COUNTIFS(E$2:E353,E353,C$2:C353,C353)=1,1,0)</f>
        <v>0</v>
      </c>
      <c r="O353" s="57" t="n">
        <f aca="false">IF(COUNTIFS(E$2:E353,E353,C$2:C353,C353,D$2:D353,D353)=1,1,0)</f>
        <v>1</v>
      </c>
      <c r="P353" s="57" t="n">
        <f aca="false">IF(AND(C353=Calc!$C$3,OR(Calc!$C$4=0,D353=Calc!$C$4)),ROW(),0)</f>
        <v>0</v>
      </c>
    </row>
    <row r="354" customFormat="false" ht="15" hidden="false" customHeight="false" outlineLevel="0" collapsed="false">
      <c r="A354" s="57" t="s">
        <v>656</v>
      </c>
      <c r="B354" s="58" t="n">
        <v>45414</v>
      </c>
      <c r="C354" s="57" t="n">
        <f aca="false">YEAR(B354)</f>
        <v>2024</v>
      </c>
      <c r="D354" s="57" t="n">
        <f aca="false">MONTH(B354)</f>
        <v>5</v>
      </c>
      <c r="E354" s="57" t="s">
        <v>657</v>
      </c>
      <c r="F354" s="57" t="s">
        <v>81</v>
      </c>
      <c r="G354" s="57" t="s">
        <v>40</v>
      </c>
      <c r="H354" s="57" t="s">
        <v>39</v>
      </c>
      <c r="I354" s="59" t="n">
        <v>1</v>
      </c>
      <c r="J354" s="60" t="n">
        <v>54</v>
      </c>
      <c r="K354" s="60" t="n">
        <v>19</v>
      </c>
      <c r="L354" s="61" t="n">
        <f aca="false">I354*J354</f>
        <v>54</v>
      </c>
      <c r="M354" s="61" t="n">
        <f aca="false">L354-I354*K354</f>
        <v>35</v>
      </c>
      <c r="N354" s="57" t="n">
        <f aca="false">IF(COUNTIFS(E$2:E354,E354,C$2:C354,C354)=1,1,0)</f>
        <v>1</v>
      </c>
      <c r="O354" s="57" t="n">
        <f aca="false">IF(COUNTIFS(E$2:E354,E354,C$2:C354,C354,D$2:D354,D354)=1,1,0)</f>
        <v>1</v>
      </c>
      <c r="P354" s="57" t="n">
        <f aca="false">IF(AND(C354=Calc!$C$3,OR(Calc!$C$4=0,D354=Calc!$C$4)),ROW(),0)</f>
        <v>0</v>
      </c>
    </row>
    <row r="355" customFormat="false" ht="15" hidden="false" customHeight="false" outlineLevel="0" collapsed="false">
      <c r="A355" s="57" t="s">
        <v>658</v>
      </c>
      <c r="B355" s="58" t="n">
        <v>45414</v>
      </c>
      <c r="C355" s="57" t="n">
        <f aca="false">YEAR(B355)</f>
        <v>2024</v>
      </c>
      <c r="D355" s="57" t="n">
        <f aca="false">MONTH(B355)</f>
        <v>5</v>
      </c>
      <c r="E355" s="57" t="s">
        <v>372</v>
      </c>
      <c r="F355" s="57" t="s">
        <v>81</v>
      </c>
      <c r="G355" s="57" t="s">
        <v>50</v>
      </c>
      <c r="H355" s="57" t="s">
        <v>49</v>
      </c>
      <c r="I355" s="59" t="n">
        <v>1</v>
      </c>
      <c r="J355" s="60" t="n">
        <v>32</v>
      </c>
      <c r="K355" s="60" t="n">
        <v>7</v>
      </c>
      <c r="L355" s="61" t="n">
        <f aca="false">I355*J355</f>
        <v>32</v>
      </c>
      <c r="M355" s="61" t="n">
        <f aca="false">L355-I355*K355</f>
        <v>25</v>
      </c>
      <c r="N355" s="57" t="n">
        <f aca="false">IF(COUNTIFS(E$2:E355,E355,C$2:C355,C355)=1,1,0)</f>
        <v>0</v>
      </c>
      <c r="O355" s="57" t="n">
        <f aca="false">IF(COUNTIFS(E$2:E355,E355,C$2:C355,C355,D$2:D355,D355)=1,1,0)</f>
        <v>1</v>
      </c>
      <c r="P355" s="57" t="n">
        <f aca="false">IF(AND(C355=Calc!$C$3,OR(Calc!$C$4=0,D355=Calc!$C$4)),ROW(),0)</f>
        <v>0</v>
      </c>
    </row>
    <row r="356" customFormat="false" ht="15" hidden="false" customHeight="false" outlineLevel="0" collapsed="false">
      <c r="A356" s="57" t="s">
        <v>659</v>
      </c>
      <c r="B356" s="58" t="n">
        <v>45414</v>
      </c>
      <c r="C356" s="57" t="n">
        <f aca="false">YEAR(B356)</f>
        <v>2024</v>
      </c>
      <c r="D356" s="57" t="n">
        <f aca="false">MONTH(B356)</f>
        <v>5</v>
      </c>
      <c r="E356" s="57" t="s">
        <v>660</v>
      </c>
      <c r="F356" s="57" t="s">
        <v>78</v>
      </c>
      <c r="G356" s="57" t="s">
        <v>45</v>
      </c>
      <c r="H356" s="57" t="s">
        <v>46</v>
      </c>
      <c r="I356" s="59" t="n">
        <v>1</v>
      </c>
      <c r="J356" s="60" t="n">
        <v>149</v>
      </c>
      <c r="K356" s="60" t="n">
        <v>71</v>
      </c>
      <c r="L356" s="61" t="n">
        <f aca="false">I356*J356</f>
        <v>149</v>
      </c>
      <c r="M356" s="61" t="n">
        <f aca="false">L356-I356*K356</f>
        <v>78</v>
      </c>
      <c r="N356" s="57" t="n">
        <f aca="false">IF(COUNTIFS(E$2:E356,E356,C$2:C356,C356)=1,1,0)</f>
        <v>1</v>
      </c>
      <c r="O356" s="57" t="n">
        <f aca="false">IF(COUNTIFS(E$2:E356,E356,C$2:C356,C356,D$2:D356,D356)=1,1,0)</f>
        <v>1</v>
      </c>
      <c r="P356" s="57" t="n">
        <f aca="false">IF(AND(C356=Calc!$C$3,OR(Calc!$C$4=0,D356=Calc!$C$4)),ROW(),0)</f>
        <v>0</v>
      </c>
    </row>
    <row r="357" customFormat="false" ht="15" hidden="false" customHeight="false" outlineLevel="0" collapsed="false">
      <c r="A357" s="57" t="s">
        <v>661</v>
      </c>
      <c r="B357" s="58" t="n">
        <v>45415</v>
      </c>
      <c r="C357" s="57" t="n">
        <f aca="false">YEAR(B357)</f>
        <v>2024</v>
      </c>
      <c r="D357" s="57" t="n">
        <f aca="false">MONTH(B357)</f>
        <v>5</v>
      </c>
      <c r="E357" s="57" t="s">
        <v>662</v>
      </c>
      <c r="F357" s="57" t="s">
        <v>69</v>
      </c>
      <c r="G357" s="57" t="s">
        <v>35</v>
      </c>
      <c r="H357" s="57" t="s">
        <v>36</v>
      </c>
      <c r="I357" s="59" t="n">
        <v>2</v>
      </c>
      <c r="J357" s="60" t="n">
        <v>179</v>
      </c>
      <c r="K357" s="60" t="n">
        <v>92</v>
      </c>
      <c r="L357" s="61" t="n">
        <f aca="false">I357*J357</f>
        <v>358</v>
      </c>
      <c r="M357" s="61" t="n">
        <f aca="false">L357-I357*K357</f>
        <v>174</v>
      </c>
      <c r="N357" s="57" t="n">
        <f aca="false">IF(COUNTIFS(E$2:E357,E357,C$2:C357,C357)=1,1,0)</f>
        <v>1</v>
      </c>
      <c r="O357" s="57" t="n">
        <f aca="false">IF(COUNTIFS(E$2:E357,E357,C$2:C357,C357,D$2:D357,D357)=1,1,0)</f>
        <v>1</v>
      </c>
      <c r="P357" s="57" t="n">
        <f aca="false">IF(AND(C357=Calc!$C$3,OR(Calc!$C$4=0,D357=Calc!$C$4)),ROW(),0)</f>
        <v>0</v>
      </c>
    </row>
    <row r="358" customFormat="false" ht="15" hidden="false" customHeight="false" outlineLevel="0" collapsed="false">
      <c r="A358" s="57" t="s">
        <v>663</v>
      </c>
      <c r="B358" s="58" t="n">
        <v>45415</v>
      </c>
      <c r="C358" s="57" t="n">
        <f aca="false">YEAR(B358)</f>
        <v>2024</v>
      </c>
      <c r="D358" s="57" t="n">
        <f aca="false">MONTH(B358)</f>
        <v>5</v>
      </c>
      <c r="E358" s="57" t="s">
        <v>179</v>
      </c>
      <c r="F358" s="57" t="s">
        <v>78</v>
      </c>
      <c r="G358" s="57" t="s">
        <v>40</v>
      </c>
      <c r="H358" s="57" t="s">
        <v>42</v>
      </c>
      <c r="I358" s="59" t="n">
        <v>2</v>
      </c>
      <c r="J358" s="60" t="n">
        <v>79</v>
      </c>
      <c r="K358" s="60" t="n">
        <v>31</v>
      </c>
      <c r="L358" s="61" t="n">
        <f aca="false">I358*J358</f>
        <v>158</v>
      </c>
      <c r="M358" s="61" t="n">
        <f aca="false">L358-I358*K358</f>
        <v>96</v>
      </c>
      <c r="N358" s="57" t="n">
        <f aca="false">IF(COUNTIFS(E$2:E358,E358,C$2:C358,C358)=1,1,0)</f>
        <v>0</v>
      </c>
      <c r="O358" s="57" t="n">
        <f aca="false">IF(COUNTIFS(E$2:E358,E358,C$2:C358,C358,D$2:D358,D358)=1,1,0)</f>
        <v>1</v>
      </c>
      <c r="P358" s="57" t="n">
        <f aca="false">IF(AND(C358=Calc!$C$3,OR(Calc!$C$4=0,D358=Calc!$C$4)),ROW(),0)</f>
        <v>0</v>
      </c>
    </row>
    <row r="359" customFormat="false" ht="15" hidden="false" customHeight="false" outlineLevel="0" collapsed="false">
      <c r="A359" s="57" t="s">
        <v>664</v>
      </c>
      <c r="B359" s="58" t="n">
        <v>45415</v>
      </c>
      <c r="C359" s="57" t="n">
        <f aca="false">YEAR(B359)</f>
        <v>2024</v>
      </c>
      <c r="D359" s="57" t="n">
        <f aca="false">MONTH(B359)</f>
        <v>5</v>
      </c>
      <c r="E359" s="57" t="s">
        <v>390</v>
      </c>
      <c r="F359" s="57" t="s">
        <v>72</v>
      </c>
      <c r="G359" s="57" t="s">
        <v>40</v>
      </c>
      <c r="H359" s="57" t="s">
        <v>42</v>
      </c>
      <c r="I359" s="59" t="n">
        <v>1</v>
      </c>
      <c r="J359" s="60" t="n">
        <v>79</v>
      </c>
      <c r="K359" s="60" t="n">
        <v>31</v>
      </c>
      <c r="L359" s="61" t="n">
        <f aca="false">I359*J359</f>
        <v>79</v>
      </c>
      <c r="M359" s="61" t="n">
        <f aca="false">L359-I359*K359</f>
        <v>48</v>
      </c>
      <c r="N359" s="57" t="n">
        <f aca="false">IF(COUNTIFS(E$2:E359,E359,C$2:C359,C359)=1,1,0)</f>
        <v>0</v>
      </c>
      <c r="O359" s="57" t="n">
        <f aca="false">IF(COUNTIFS(E$2:E359,E359,C$2:C359,C359,D$2:D359,D359)=1,1,0)</f>
        <v>1</v>
      </c>
      <c r="P359" s="57" t="n">
        <f aca="false">IF(AND(C359=Calc!$C$3,OR(Calc!$C$4=0,D359=Calc!$C$4)),ROW(),0)</f>
        <v>0</v>
      </c>
    </row>
    <row r="360" customFormat="false" ht="15" hidden="false" customHeight="false" outlineLevel="0" collapsed="false">
      <c r="A360" s="57" t="s">
        <v>665</v>
      </c>
      <c r="B360" s="58" t="n">
        <v>45415</v>
      </c>
      <c r="C360" s="57" t="n">
        <f aca="false">YEAR(B360)</f>
        <v>2024</v>
      </c>
      <c r="D360" s="57" t="n">
        <f aca="false">MONTH(B360)</f>
        <v>5</v>
      </c>
      <c r="E360" s="57" t="s">
        <v>666</v>
      </c>
      <c r="F360" s="57" t="s">
        <v>69</v>
      </c>
      <c r="G360" s="57" t="s">
        <v>40</v>
      </c>
      <c r="H360" s="57" t="s">
        <v>39</v>
      </c>
      <c r="I360" s="59" t="n">
        <v>1</v>
      </c>
      <c r="J360" s="60" t="n">
        <v>54</v>
      </c>
      <c r="K360" s="60" t="n">
        <v>19</v>
      </c>
      <c r="L360" s="61" t="n">
        <f aca="false">I360*J360</f>
        <v>54</v>
      </c>
      <c r="M360" s="61" t="n">
        <f aca="false">L360-I360*K360</f>
        <v>35</v>
      </c>
      <c r="N360" s="57" t="n">
        <f aca="false">IF(COUNTIFS(E$2:E360,E360,C$2:C360,C360)=1,1,0)</f>
        <v>1</v>
      </c>
      <c r="O360" s="57" t="n">
        <f aca="false">IF(COUNTIFS(E$2:E360,E360,C$2:C360,C360,D$2:D360,D360)=1,1,0)</f>
        <v>1</v>
      </c>
      <c r="P360" s="57" t="n">
        <f aca="false">IF(AND(C360=Calc!$C$3,OR(Calc!$C$4=0,D360=Calc!$C$4)),ROW(),0)</f>
        <v>0</v>
      </c>
    </row>
    <row r="361" customFormat="false" ht="15" hidden="false" customHeight="false" outlineLevel="0" collapsed="false">
      <c r="A361" s="57" t="s">
        <v>667</v>
      </c>
      <c r="B361" s="58" t="n">
        <v>45415</v>
      </c>
      <c r="C361" s="57" t="n">
        <f aca="false">YEAR(B361)</f>
        <v>2024</v>
      </c>
      <c r="D361" s="57" t="n">
        <f aca="false">MONTH(B361)</f>
        <v>5</v>
      </c>
      <c r="E361" s="57" t="s">
        <v>668</v>
      </c>
      <c r="F361" s="57" t="s">
        <v>78</v>
      </c>
      <c r="G361" s="57" t="s">
        <v>35</v>
      </c>
      <c r="H361" s="57" t="s">
        <v>34</v>
      </c>
      <c r="I361" s="59" t="n">
        <v>1</v>
      </c>
      <c r="J361" s="60" t="n">
        <v>89</v>
      </c>
      <c r="K361" s="60" t="n">
        <v>41</v>
      </c>
      <c r="L361" s="61" t="n">
        <f aca="false">I361*J361</f>
        <v>89</v>
      </c>
      <c r="M361" s="61" t="n">
        <f aca="false">L361-I361*K361</f>
        <v>48</v>
      </c>
      <c r="N361" s="57" t="n">
        <f aca="false">IF(COUNTIFS(E$2:E361,E361,C$2:C361,C361)=1,1,0)</f>
        <v>1</v>
      </c>
      <c r="O361" s="57" t="n">
        <f aca="false">IF(COUNTIFS(E$2:E361,E361,C$2:C361,C361,D$2:D361,D361)=1,1,0)</f>
        <v>1</v>
      </c>
      <c r="P361" s="57" t="n">
        <f aca="false">IF(AND(C361=Calc!$C$3,OR(Calc!$C$4=0,D361=Calc!$C$4)),ROW(),0)</f>
        <v>0</v>
      </c>
    </row>
    <row r="362" customFormat="false" ht="15" hidden="false" customHeight="false" outlineLevel="0" collapsed="false">
      <c r="A362" s="57" t="s">
        <v>669</v>
      </c>
      <c r="B362" s="58" t="n">
        <v>45416</v>
      </c>
      <c r="C362" s="57" t="n">
        <f aca="false">YEAR(B362)</f>
        <v>2024</v>
      </c>
      <c r="D362" s="57" t="n">
        <f aca="false">MONTH(B362)</f>
        <v>5</v>
      </c>
      <c r="E362" s="57" t="s">
        <v>486</v>
      </c>
      <c r="F362" s="57" t="s">
        <v>75</v>
      </c>
      <c r="G362" s="57" t="s">
        <v>50</v>
      </c>
      <c r="H362" s="57" t="s">
        <v>51</v>
      </c>
      <c r="I362" s="59" t="n">
        <v>1</v>
      </c>
      <c r="J362" s="60" t="n">
        <v>69</v>
      </c>
      <c r="K362" s="60" t="n">
        <v>29</v>
      </c>
      <c r="L362" s="61" t="n">
        <f aca="false">I362*J362</f>
        <v>69</v>
      </c>
      <c r="M362" s="61" t="n">
        <f aca="false">L362-I362*K362</f>
        <v>40</v>
      </c>
      <c r="N362" s="57" t="n">
        <f aca="false">IF(COUNTIFS(E$2:E362,E362,C$2:C362,C362)=1,1,0)</f>
        <v>0</v>
      </c>
      <c r="O362" s="57" t="n">
        <f aca="false">IF(COUNTIFS(E$2:E362,E362,C$2:C362,C362,D$2:D362,D362)=1,1,0)</f>
        <v>1</v>
      </c>
      <c r="P362" s="57" t="n">
        <f aca="false">IF(AND(C362=Calc!$C$3,OR(Calc!$C$4=0,D362=Calc!$C$4)),ROW(),0)</f>
        <v>0</v>
      </c>
    </row>
    <row r="363" customFormat="false" ht="15" hidden="false" customHeight="false" outlineLevel="0" collapsed="false">
      <c r="A363" s="57" t="s">
        <v>670</v>
      </c>
      <c r="B363" s="58" t="n">
        <v>45416</v>
      </c>
      <c r="C363" s="57" t="n">
        <f aca="false">YEAR(B363)</f>
        <v>2024</v>
      </c>
      <c r="D363" s="57" t="n">
        <f aca="false">MONTH(B363)</f>
        <v>5</v>
      </c>
      <c r="E363" s="57" t="s">
        <v>219</v>
      </c>
      <c r="F363" s="57" t="s">
        <v>78</v>
      </c>
      <c r="G363" s="57" t="s">
        <v>45</v>
      </c>
      <c r="H363" s="57" t="s">
        <v>46</v>
      </c>
      <c r="I363" s="59" t="n">
        <v>1</v>
      </c>
      <c r="J363" s="60" t="n">
        <v>149</v>
      </c>
      <c r="K363" s="60" t="n">
        <v>71</v>
      </c>
      <c r="L363" s="61" t="n">
        <f aca="false">I363*J363</f>
        <v>149</v>
      </c>
      <c r="M363" s="61" t="n">
        <f aca="false">L363-I363*K363</f>
        <v>78</v>
      </c>
      <c r="N363" s="57" t="n">
        <f aca="false">IF(COUNTIFS(E$2:E363,E363,C$2:C363,C363)=1,1,0)</f>
        <v>0</v>
      </c>
      <c r="O363" s="57" t="n">
        <f aca="false">IF(COUNTIFS(E$2:E363,E363,C$2:C363,C363,D$2:D363,D363)=1,1,0)</f>
        <v>1</v>
      </c>
      <c r="P363" s="57" t="n">
        <f aca="false">IF(AND(C363=Calc!$C$3,OR(Calc!$C$4=0,D363=Calc!$C$4)),ROW(),0)</f>
        <v>0</v>
      </c>
    </row>
    <row r="364" customFormat="false" ht="15" hidden="false" customHeight="false" outlineLevel="0" collapsed="false">
      <c r="A364" s="57" t="s">
        <v>671</v>
      </c>
      <c r="B364" s="58" t="n">
        <v>45416</v>
      </c>
      <c r="C364" s="57" t="n">
        <f aca="false">YEAR(B364)</f>
        <v>2024</v>
      </c>
      <c r="D364" s="57" t="n">
        <f aca="false">MONTH(B364)</f>
        <v>5</v>
      </c>
      <c r="E364" s="57" t="s">
        <v>672</v>
      </c>
      <c r="F364" s="57" t="s">
        <v>72</v>
      </c>
      <c r="G364" s="57" t="s">
        <v>54</v>
      </c>
      <c r="H364" s="57" t="s">
        <v>56</v>
      </c>
      <c r="I364" s="59" t="n">
        <v>1</v>
      </c>
      <c r="J364" s="60" t="n">
        <v>42</v>
      </c>
      <c r="K364" s="60" t="n">
        <v>17</v>
      </c>
      <c r="L364" s="61" t="n">
        <f aca="false">I364*J364</f>
        <v>42</v>
      </c>
      <c r="M364" s="61" t="n">
        <f aca="false">L364-I364*K364</f>
        <v>25</v>
      </c>
      <c r="N364" s="57" t="n">
        <f aca="false">IF(COUNTIFS(E$2:E364,E364,C$2:C364,C364)=1,1,0)</f>
        <v>1</v>
      </c>
      <c r="O364" s="57" t="n">
        <f aca="false">IF(COUNTIFS(E$2:E364,E364,C$2:C364,C364,D$2:D364,D364)=1,1,0)</f>
        <v>1</v>
      </c>
      <c r="P364" s="57" t="n">
        <f aca="false">IF(AND(C364=Calc!$C$3,OR(Calc!$C$4=0,D364=Calc!$C$4)),ROW(),0)</f>
        <v>0</v>
      </c>
    </row>
    <row r="365" customFormat="false" ht="15" hidden="false" customHeight="false" outlineLevel="0" collapsed="false">
      <c r="A365" s="57" t="s">
        <v>673</v>
      </c>
      <c r="B365" s="58" t="n">
        <v>45416</v>
      </c>
      <c r="C365" s="57" t="n">
        <f aca="false">YEAR(B365)</f>
        <v>2024</v>
      </c>
      <c r="D365" s="57" t="n">
        <f aca="false">MONTH(B365)</f>
        <v>5</v>
      </c>
      <c r="E365" s="57" t="s">
        <v>191</v>
      </c>
      <c r="F365" s="57" t="s">
        <v>78</v>
      </c>
      <c r="G365" s="57" t="s">
        <v>54</v>
      </c>
      <c r="H365" s="57" t="s">
        <v>56</v>
      </c>
      <c r="I365" s="59" t="n">
        <v>1</v>
      </c>
      <c r="J365" s="60" t="n">
        <v>42</v>
      </c>
      <c r="K365" s="60" t="n">
        <v>17</v>
      </c>
      <c r="L365" s="61" t="n">
        <f aca="false">I365*J365</f>
        <v>42</v>
      </c>
      <c r="M365" s="61" t="n">
        <f aca="false">L365-I365*K365</f>
        <v>25</v>
      </c>
      <c r="N365" s="57" t="n">
        <f aca="false">IF(COUNTIFS(E$2:E365,E365,C$2:C365,C365)=1,1,0)</f>
        <v>0</v>
      </c>
      <c r="O365" s="57" t="n">
        <f aca="false">IF(COUNTIFS(E$2:E365,E365,C$2:C365,C365,D$2:D365,D365)=1,1,0)</f>
        <v>1</v>
      </c>
      <c r="P365" s="57" t="n">
        <f aca="false">IF(AND(C365=Calc!$C$3,OR(Calc!$C$4=0,D365=Calc!$C$4)),ROW(),0)</f>
        <v>0</v>
      </c>
    </row>
    <row r="366" customFormat="false" ht="15" hidden="false" customHeight="false" outlineLevel="0" collapsed="false">
      <c r="A366" s="57" t="s">
        <v>674</v>
      </c>
      <c r="B366" s="58" t="n">
        <v>45416</v>
      </c>
      <c r="C366" s="57" t="n">
        <f aca="false">YEAR(B366)</f>
        <v>2024</v>
      </c>
      <c r="D366" s="57" t="n">
        <f aca="false">MONTH(B366)</f>
        <v>5</v>
      </c>
      <c r="E366" s="57" t="s">
        <v>675</v>
      </c>
      <c r="F366" s="57" t="s">
        <v>69</v>
      </c>
      <c r="G366" s="57" t="s">
        <v>50</v>
      </c>
      <c r="H366" s="57" t="s">
        <v>52</v>
      </c>
      <c r="I366" s="59" t="n">
        <v>1</v>
      </c>
      <c r="J366" s="60" t="n">
        <v>45</v>
      </c>
      <c r="K366" s="60" t="n">
        <v>14</v>
      </c>
      <c r="L366" s="61" t="n">
        <f aca="false">I366*J366</f>
        <v>45</v>
      </c>
      <c r="M366" s="61" t="n">
        <f aca="false">L366-I366*K366</f>
        <v>31</v>
      </c>
      <c r="N366" s="57" t="n">
        <f aca="false">IF(COUNTIFS(E$2:E366,E366,C$2:C366,C366)=1,1,0)</f>
        <v>1</v>
      </c>
      <c r="O366" s="57" t="n">
        <f aca="false">IF(COUNTIFS(E$2:E366,E366,C$2:C366,C366,D$2:D366,D366)=1,1,0)</f>
        <v>1</v>
      </c>
      <c r="P366" s="57" t="n">
        <f aca="false">IF(AND(C366=Calc!$C$3,OR(Calc!$C$4=0,D366=Calc!$C$4)),ROW(),0)</f>
        <v>0</v>
      </c>
    </row>
    <row r="367" customFormat="false" ht="15" hidden="false" customHeight="false" outlineLevel="0" collapsed="false">
      <c r="A367" s="57" t="s">
        <v>676</v>
      </c>
      <c r="B367" s="58" t="n">
        <v>45417</v>
      </c>
      <c r="C367" s="57" t="n">
        <f aca="false">YEAR(B367)</f>
        <v>2024</v>
      </c>
      <c r="D367" s="57" t="n">
        <f aca="false">MONTH(B367)</f>
        <v>5</v>
      </c>
      <c r="E367" s="57" t="s">
        <v>177</v>
      </c>
      <c r="F367" s="57" t="s">
        <v>75</v>
      </c>
      <c r="G367" s="57" t="s">
        <v>35</v>
      </c>
      <c r="H367" s="57" t="s">
        <v>36</v>
      </c>
      <c r="I367" s="59" t="n">
        <v>2</v>
      </c>
      <c r="J367" s="60" t="n">
        <v>179</v>
      </c>
      <c r="K367" s="60" t="n">
        <v>92</v>
      </c>
      <c r="L367" s="61" t="n">
        <f aca="false">I367*J367</f>
        <v>358</v>
      </c>
      <c r="M367" s="61" t="n">
        <f aca="false">L367-I367*K367</f>
        <v>174</v>
      </c>
      <c r="N367" s="57" t="n">
        <f aca="false">IF(COUNTIFS(E$2:E367,E367,C$2:C367,C367)=1,1,0)</f>
        <v>0</v>
      </c>
      <c r="O367" s="57" t="n">
        <f aca="false">IF(COUNTIFS(E$2:E367,E367,C$2:C367,C367,D$2:D367,D367)=1,1,0)</f>
        <v>1</v>
      </c>
      <c r="P367" s="57" t="n">
        <f aca="false">IF(AND(C367=Calc!$C$3,OR(Calc!$C$4=0,D367=Calc!$C$4)),ROW(),0)</f>
        <v>0</v>
      </c>
    </row>
    <row r="368" customFormat="false" ht="15" hidden="false" customHeight="false" outlineLevel="0" collapsed="false">
      <c r="A368" s="57" t="s">
        <v>677</v>
      </c>
      <c r="B368" s="58" t="n">
        <v>45417</v>
      </c>
      <c r="C368" s="57" t="n">
        <f aca="false">YEAR(B368)</f>
        <v>2024</v>
      </c>
      <c r="D368" s="57" t="n">
        <f aca="false">MONTH(B368)</f>
        <v>5</v>
      </c>
      <c r="E368" s="57" t="s">
        <v>304</v>
      </c>
      <c r="F368" s="57" t="s">
        <v>69</v>
      </c>
      <c r="G368" s="57" t="s">
        <v>40</v>
      </c>
      <c r="H368" s="57" t="s">
        <v>43</v>
      </c>
      <c r="I368" s="59" t="n">
        <v>1</v>
      </c>
      <c r="J368" s="60" t="n">
        <v>29</v>
      </c>
      <c r="K368" s="60" t="n">
        <v>9</v>
      </c>
      <c r="L368" s="61" t="n">
        <f aca="false">I368*J368</f>
        <v>29</v>
      </c>
      <c r="M368" s="61" t="n">
        <f aca="false">L368-I368*K368</f>
        <v>20</v>
      </c>
      <c r="N368" s="57" t="n">
        <f aca="false">IF(COUNTIFS(E$2:E368,E368,C$2:C368,C368)=1,1,0)</f>
        <v>0</v>
      </c>
      <c r="O368" s="57" t="n">
        <f aca="false">IF(COUNTIFS(E$2:E368,E368,C$2:C368,C368,D$2:D368,D368)=1,1,0)</f>
        <v>1</v>
      </c>
      <c r="P368" s="57" t="n">
        <f aca="false">IF(AND(C368=Calc!$C$3,OR(Calc!$C$4=0,D368=Calc!$C$4)),ROW(),0)</f>
        <v>0</v>
      </c>
    </row>
    <row r="369" customFormat="false" ht="15" hidden="false" customHeight="false" outlineLevel="0" collapsed="false">
      <c r="A369" s="57" t="s">
        <v>678</v>
      </c>
      <c r="B369" s="58" t="n">
        <v>45417</v>
      </c>
      <c r="C369" s="57" t="n">
        <f aca="false">YEAR(B369)</f>
        <v>2024</v>
      </c>
      <c r="D369" s="57" t="n">
        <f aca="false">MONTH(B369)</f>
        <v>5</v>
      </c>
      <c r="E369" s="57" t="s">
        <v>277</v>
      </c>
      <c r="F369" s="57" t="s">
        <v>75</v>
      </c>
      <c r="G369" s="57" t="s">
        <v>35</v>
      </c>
      <c r="H369" s="57" t="s">
        <v>36</v>
      </c>
      <c r="I369" s="59" t="n">
        <v>1</v>
      </c>
      <c r="J369" s="60" t="n">
        <v>179</v>
      </c>
      <c r="K369" s="60" t="n">
        <v>92</v>
      </c>
      <c r="L369" s="61" t="n">
        <f aca="false">I369*J369</f>
        <v>179</v>
      </c>
      <c r="M369" s="61" t="n">
        <f aca="false">L369-I369*K369</f>
        <v>87</v>
      </c>
      <c r="N369" s="57" t="n">
        <f aca="false">IF(COUNTIFS(E$2:E369,E369,C$2:C369,C369)=1,1,0)</f>
        <v>0</v>
      </c>
      <c r="O369" s="57" t="n">
        <f aca="false">IF(COUNTIFS(E$2:E369,E369,C$2:C369,C369,D$2:D369,D369)=1,1,0)</f>
        <v>1</v>
      </c>
      <c r="P369" s="57" t="n">
        <f aca="false">IF(AND(C369=Calc!$C$3,OR(Calc!$C$4=0,D369=Calc!$C$4)),ROW(),0)</f>
        <v>0</v>
      </c>
    </row>
    <row r="370" customFormat="false" ht="15" hidden="false" customHeight="false" outlineLevel="0" collapsed="false">
      <c r="A370" s="57" t="s">
        <v>679</v>
      </c>
      <c r="B370" s="58" t="n">
        <v>45418</v>
      </c>
      <c r="C370" s="57" t="n">
        <f aca="false">YEAR(B370)</f>
        <v>2024</v>
      </c>
      <c r="D370" s="57" t="n">
        <f aca="false">MONTH(B370)</f>
        <v>5</v>
      </c>
      <c r="E370" s="57" t="s">
        <v>680</v>
      </c>
      <c r="F370" s="57" t="s">
        <v>81</v>
      </c>
      <c r="G370" s="57" t="s">
        <v>40</v>
      </c>
      <c r="H370" s="57" t="s">
        <v>39</v>
      </c>
      <c r="I370" s="59" t="n">
        <v>1</v>
      </c>
      <c r="J370" s="60" t="n">
        <v>54</v>
      </c>
      <c r="K370" s="60" t="n">
        <v>19</v>
      </c>
      <c r="L370" s="61" t="n">
        <f aca="false">I370*J370</f>
        <v>54</v>
      </c>
      <c r="M370" s="61" t="n">
        <f aca="false">L370-I370*K370</f>
        <v>35</v>
      </c>
      <c r="N370" s="57" t="n">
        <f aca="false">IF(COUNTIFS(E$2:E370,E370,C$2:C370,C370)=1,1,0)</f>
        <v>1</v>
      </c>
      <c r="O370" s="57" t="n">
        <f aca="false">IF(COUNTIFS(E$2:E370,E370,C$2:C370,C370,D$2:D370,D370)=1,1,0)</f>
        <v>1</v>
      </c>
      <c r="P370" s="57" t="n">
        <f aca="false">IF(AND(C370=Calc!$C$3,OR(Calc!$C$4=0,D370=Calc!$C$4)),ROW(),0)</f>
        <v>0</v>
      </c>
    </row>
    <row r="371" customFormat="false" ht="15" hidden="false" customHeight="false" outlineLevel="0" collapsed="false">
      <c r="A371" s="57" t="s">
        <v>681</v>
      </c>
      <c r="B371" s="58" t="n">
        <v>45418</v>
      </c>
      <c r="C371" s="57" t="n">
        <f aca="false">YEAR(B371)</f>
        <v>2024</v>
      </c>
      <c r="D371" s="57" t="n">
        <f aca="false">MONTH(B371)</f>
        <v>5</v>
      </c>
      <c r="E371" s="57" t="s">
        <v>326</v>
      </c>
      <c r="F371" s="57" t="s">
        <v>78</v>
      </c>
      <c r="G371" s="57" t="s">
        <v>40</v>
      </c>
      <c r="H371" s="57" t="s">
        <v>43</v>
      </c>
      <c r="I371" s="59" t="n">
        <v>1</v>
      </c>
      <c r="J371" s="60" t="n">
        <v>29</v>
      </c>
      <c r="K371" s="60" t="n">
        <v>9</v>
      </c>
      <c r="L371" s="61" t="n">
        <f aca="false">I371*J371</f>
        <v>29</v>
      </c>
      <c r="M371" s="61" t="n">
        <f aca="false">L371-I371*K371</f>
        <v>20</v>
      </c>
      <c r="N371" s="57" t="n">
        <f aca="false">IF(COUNTIFS(E$2:E371,E371,C$2:C371,C371)=1,1,0)</f>
        <v>0</v>
      </c>
      <c r="O371" s="57" t="n">
        <f aca="false">IF(COUNTIFS(E$2:E371,E371,C$2:C371,C371,D$2:D371,D371)=1,1,0)</f>
        <v>1</v>
      </c>
      <c r="P371" s="57" t="n">
        <f aca="false">IF(AND(C371=Calc!$C$3,OR(Calc!$C$4=0,D371=Calc!$C$4)),ROW(),0)</f>
        <v>0</v>
      </c>
    </row>
    <row r="372" customFormat="false" ht="15" hidden="false" customHeight="false" outlineLevel="0" collapsed="false">
      <c r="A372" s="57" t="s">
        <v>682</v>
      </c>
      <c r="B372" s="58" t="n">
        <v>45418</v>
      </c>
      <c r="C372" s="57" t="n">
        <f aca="false">YEAR(B372)</f>
        <v>2024</v>
      </c>
      <c r="D372" s="57" t="n">
        <f aca="false">MONTH(B372)</f>
        <v>5</v>
      </c>
      <c r="E372" s="57" t="s">
        <v>231</v>
      </c>
      <c r="F372" s="57" t="s">
        <v>72</v>
      </c>
      <c r="G372" s="57" t="s">
        <v>35</v>
      </c>
      <c r="H372" s="57" t="s">
        <v>38</v>
      </c>
      <c r="I372" s="59" t="n">
        <v>1</v>
      </c>
      <c r="J372" s="60" t="n">
        <v>49</v>
      </c>
      <c r="K372" s="60" t="n">
        <v>22</v>
      </c>
      <c r="L372" s="61" t="n">
        <f aca="false">I372*J372</f>
        <v>49</v>
      </c>
      <c r="M372" s="61" t="n">
        <f aca="false">L372-I372*K372</f>
        <v>27</v>
      </c>
      <c r="N372" s="57" t="n">
        <f aca="false">IF(COUNTIFS(E$2:E372,E372,C$2:C372,C372)=1,1,0)</f>
        <v>0</v>
      </c>
      <c r="O372" s="57" t="n">
        <f aca="false">IF(COUNTIFS(E$2:E372,E372,C$2:C372,C372,D$2:D372,D372)=1,1,0)</f>
        <v>1</v>
      </c>
      <c r="P372" s="57" t="n">
        <f aca="false">IF(AND(C372=Calc!$C$3,OR(Calc!$C$4=0,D372=Calc!$C$4)),ROW(),0)</f>
        <v>0</v>
      </c>
    </row>
    <row r="373" customFormat="false" ht="15" hidden="false" customHeight="false" outlineLevel="0" collapsed="false">
      <c r="A373" s="57" t="s">
        <v>683</v>
      </c>
      <c r="B373" s="58" t="n">
        <v>45418</v>
      </c>
      <c r="C373" s="57" t="n">
        <f aca="false">YEAR(B373)</f>
        <v>2024</v>
      </c>
      <c r="D373" s="57" t="n">
        <f aca="false">MONTH(B373)</f>
        <v>5</v>
      </c>
      <c r="E373" s="57" t="s">
        <v>479</v>
      </c>
      <c r="F373" s="57" t="s">
        <v>72</v>
      </c>
      <c r="G373" s="57" t="s">
        <v>35</v>
      </c>
      <c r="H373" s="57" t="s">
        <v>36</v>
      </c>
      <c r="I373" s="59" t="n">
        <v>3</v>
      </c>
      <c r="J373" s="60" t="n">
        <v>179</v>
      </c>
      <c r="K373" s="60" t="n">
        <v>92</v>
      </c>
      <c r="L373" s="61" t="n">
        <f aca="false">I373*J373</f>
        <v>537</v>
      </c>
      <c r="M373" s="61" t="n">
        <f aca="false">L373-I373*K373</f>
        <v>261</v>
      </c>
      <c r="N373" s="57" t="n">
        <f aca="false">IF(COUNTIFS(E$2:E373,E373,C$2:C373,C373)=1,1,0)</f>
        <v>0</v>
      </c>
      <c r="O373" s="57" t="n">
        <f aca="false">IF(COUNTIFS(E$2:E373,E373,C$2:C373,C373,D$2:D373,D373)=1,1,0)</f>
        <v>1</v>
      </c>
      <c r="P373" s="57" t="n">
        <f aca="false">IF(AND(C373=Calc!$C$3,OR(Calc!$C$4=0,D373=Calc!$C$4)),ROW(),0)</f>
        <v>0</v>
      </c>
    </row>
    <row r="374" customFormat="false" ht="15" hidden="false" customHeight="false" outlineLevel="0" collapsed="false">
      <c r="A374" s="57" t="s">
        <v>684</v>
      </c>
      <c r="B374" s="58" t="n">
        <v>45418</v>
      </c>
      <c r="C374" s="57" t="n">
        <f aca="false">YEAR(B374)</f>
        <v>2024</v>
      </c>
      <c r="D374" s="57" t="n">
        <f aca="false">MONTH(B374)</f>
        <v>5</v>
      </c>
      <c r="E374" s="57" t="s">
        <v>685</v>
      </c>
      <c r="F374" s="57" t="s">
        <v>78</v>
      </c>
      <c r="G374" s="57" t="s">
        <v>40</v>
      </c>
      <c r="H374" s="57" t="s">
        <v>41</v>
      </c>
      <c r="I374" s="59" t="n">
        <v>2</v>
      </c>
      <c r="J374" s="60" t="n">
        <v>46</v>
      </c>
      <c r="K374" s="60" t="n">
        <v>16</v>
      </c>
      <c r="L374" s="61" t="n">
        <f aca="false">I374*J374</f>
        <v>92</v>
      </c>
      <c r="M374" s="61" t="n">
        <f aca="false">L374-I374*K374</f>
        <v>60</v>
      </c>
      <c r="N374" s="57" t="n">
        <f aca="false">IF(COUNTIFS(E$2:E374,E374,C$2:C374,C374)=1,1,0)</f>
        <v>1</v>
      </c>
      <c r="O374" s="57" t="n">
        <f aca="false">IF(COUNTIFS(E$2:E374,E374,C$2:C374,C374,D$2:D374,D374)=1,1,0)</f>
        <v>1</v>
      </c>
      <c r="P374" s="57" t="n">
        <f aca="false">IF(AND(C374=Calc!$C$3,OR(Calc!$C$4=0,D374=Calc!$C$4)),ROW(),0)</f>
        <v>0</v>
      </c>
    </row>
    <row r="375" customFormat="false" ht="15" hidden="false" customHeight="false" outlineLevel="0" collapsed="false">
      <c r="A375" s="57" t="s">
        <v>686</v>
      </c>
      <c r="B375" s="58" t="n">
        <v>45418</v>
      </c>
      <c r="C375" s="57" t="n">
        <f aca="false">YEAR(B375)</f>
        <v>2024</v>
      </c>
      <c r="D375" s="57" t="n">
        <f aca="false">MONTH(B375)</f>
        <v>5</v>
      </c>
      <c r="E375" s="57" t="s">
        <v>687</v>
      </c>
      <c r="F375" s="57" t="s">
        <v>75</v>
      </c>
      <c r="G375" s="57" t="s">
        <v>54</v>
      </c>
      <c r="H375" s="57" t="s">
        <v>56</v>
      </c>
      <c r="I375" s="59" t="n">
        <v>1</v>
      </c>
      <c r="J375" s="60" t="n">
        <v>42</v>
      </c>
      <c r="K375" s="60" t="n">
        <v>17</v>
      </c>
      <c r="L375" s="61" t="n">
        <f aca="false">I375*J375</f>
        <v>42</v>
      </c>
      <c r="M375" s="61" t="n">
        <f aca="false">L375-I375*K375</f>
        <v>25</v>
      </c>
      <c r="N375" s="57" t="n">
        <f aca="false">IF(COUNTIFS(E$2:E375,E375,C$2:C375,C375)=1,1,0)</f>
        <v>1</v>
      </c>
      <c r="O375" s="57" t="n">
        <f aca="false">IF(COUNTIFS(E$2:E375,E375,C$2:C375,C375,D$2:D375,D375)=1,1,0)</f>
        <v>1</v>
      </c>
      <c r="P375" s="57" t="n">
        <f aca="false">IF(AND(C375=Calc!$C$3,OR(Calc!$C$4=0,D375=Calc!$C$4)),ROW(),0)</f>
        <v>0</v>
      </c>
    </row>
    <row r="376" customFormat="false" ht="15" hidden="false" customHeight="false" outlineLevel="0" collapsed="false">
      <c r="A376" s="57" t="s">
        <v>688</v>
      </c>
      <c r="B376" s="58" t="n">
        <v>45419</v>
      </c>
      <c r="C376" s="57" t="n">
        <f aca="false">YEAR(B376)</f>
        <v>2024</v>
      </c>
      <c r="D376" s="57" t="n">
        <f aca="false">MONTH(B376)</f>
        <v>5</v>
      </c>
      <c r="E376" s="57" t="s">
        <v>85</v>
      </c>
      <c r="F376" s="57" t="s">
        <v>69</v>
      </c>
      <c r="G376" s="57" t="s">
        <v>35</v>
      </c>
      <c r="H376" s="57" t="s">
        <v>34</v>
      </c>
      <c r="I376" s="59" t="n">
        <v>1</v>
      </c>
      <c r="J376" s="60" t="n">
        <v>89</v>
      </c>
      <c r="K376" s="60" t="n">
        <v>41</v>
      </c>
      <c r="L376" s="61" t="n">
        <f aca="false">I376*J376</f>
        <v>89</v>
      </c>
      <c r="M376" s="61" t="n">
        <f aca="false">L376-I376*K376</f>
        <v>48</v>
      </c>
      <c r="N376" s="57" t="n">
        <f aca="false">IF(COUNTIFS(E$2:E376,E376,C$2:C376,C376)=1,1,0)</f>
        <v>0</v>
      </c>
      <c r="O376" s="57" t="n">
        <f aca="false">IF(COUNTIFS(E$2:E376,E376,C$2:C376,C376,D$2:D376,D376)=1,1,0)</f>
        <v>0</v>
      </c>
      <c r="P376" s="57" t="n">
        <f aca="false">IF(AND(C376=Calc!$C$3,OR(Calc!$C$4=0,D376=Calc!$C$4)),ROW(),0)</f>
        <v>0</v>
      </c>
    </row>
    <row r="377" customFormat="false" ht="15" hidden="false" customHeight="false" outlineLevel="0" collapsed="false">
      <c r="A377" s="57" t="s">
        <v>689</v>
      </c>
      <c r="B377" s="58" t="n">
        <v>45419</v>
      </c>
      <c r="C377" s="57" t="n">
        <f aca="false">YEAR(B377)</f>
        <v>2024</v>
      </c>
      <c r="D377" s="57" t="n">
        <f aca="false">MONTH(B377)</f>
        <v>5</v>
      </c>
      <c r="E377" s="57" t="s">
        <v>250</v>
      </c>
      <c r="F377" s="57" t="s">
        <v>78</v>
      </c>
      <c r="G377" s="57" t="s">
        <v>45</v>
      </c>
      <c r="H377" s="57" t="s">
        <v>44</v>
      </c>
      <c r="I377" s="59" t="n">
        <v>1</v>
      </c>
      <c r="J377" s="60" t="n">
        <v>119</v>
      </c>
      <c r="K377" s="60" t="n">
        <v>63</v>
      </c>
      <c r="L377" s="61" t="n">
        <f aca="false">I377*J377</f>
        <v>119</v>
      </c>
      <c r="M377" s="61" t="n">
        <f aca="false">L377-I377*K377</f>
        <v>56</v>
      </c>
      <c r="N377" s="57" t="n">
        <f aca="false">IF(COUNTIFS(E$2:E377,E377,C$2:C377,C377)=1,1,0)</f>
        <v>0</v>
      </c>
      <c r="O377" s="57" t="n">
        <f aca="false">IF(COUNTIFS(E$2:E377,E377,C$2:C377,C377,D$2:D377,D377)=1,1,0)</f>
        <v>1</v>
      </c>
      <c r="P377" s="57" t="n">
        <f aca="false">IF(AND(C377=Calc!$C$3,OR(Calc!$C$4=0,D377=Calc!$C$4)),ROW(),0)</f>
        <v>0</v>
      </c>
    </row>
    <row r="378" customFormat="false" ht="15" hidden="false" customHeight="false" outlineLevel="0" collapsed="false">
      <c r="A378" s="57" t="s">
        <v>690</v>
      </c>
      <c r="B378" s="58" t="n">
        <v>45419</v>
      </c>
      <c r="C378" s="57" t="n">
        <f aca="false">YEAR(B378)</f>
        <v>2024</v>
      </c>
      <c r="D378" s="57" t="n">
        <f aca="false">MONTH(B378)</f>
        <v>5</v>
      </c>
      <c r="E378" s="57" t="s">
        <v>691</v>
      </c>
      <c r="F378" s="57" t="s">
        <v>69</v>
      </c>
      <c r="G378" s="57" t="s">
        <v>45</v>
      </c>
      <c r="H378" s="57" t="s">
        <v>44</v>
      </c>
      <c r="I378" s="59" t="n">
        <v>3</v>
      </c>
      <c r="J378" s="60" t="n">
        <v>119</v>
      </c>
      <c r="K378" s="60" t="n">
        <v>63</v>
      </c>
      <c r="L378" s="61" t="n">
        <f aca="false">I378*J378</f>
        <v>357</v>
      </c>
      <c r="M378" s="61" t="n">
        <f aca="false">L378-I378*K378</f>
        <v>168</v>
      </c>
      <c r="N378" s="57" t="n">
        <f aca="false">IF(COUNTIFS(E$2:E378,E378,C$2:C378,C378)=1,1,0)</f>
        <v>1</v>
      </c>
      <c r="O378" s="57" t="n">
        <f aca="false">IF(COUNTIFS(E$2:E378,E378,C$2:C378,C378,D$2:D378,D378)=1,1,0)</f>
        <v>1</v>
      </c>
      <c r="P378" s="57" t="n">
        <f aca="false">IF(AND(C378=Calc!$C$3,OR(Calc!$C$4=0,D378=Calc!$C$4)),ROW(),0)</f>
        <v>0</v>
      </c>
    </row>
    <row r="379" customFormat="false" ht="15" hidden="false" customHeight="false" outlineLevel="0" collapsed="false">
      <c r="A379" s="57" t="s">
        <v>692</v>
      </c>
      <c r="B379" s="58" t="n">
        <v>45419</v>
      </c>
      <c r="C379" s="57" t="n">
        <f aca="false">YEAR(B379)</f>
        <v>2024</v>
      </c>
      <c r="D379" s="57" t="n">
        <f aca="false">MONTH(B379)</f>
        <v>5</v>
      </c>
      <c r="E379" s="57" t="s">
        <v>80</v>
      </c>
      <c r="F379" s="57" t="s">
        <v>81</v>
      </c>
      <c r="G379" s="57" t="s">
        <v>35</v>
      </c>
      <c r="H379" s="57" t="s">
        <v>36</v>
      </c>
      <c r="I379" s="59" t="n">
        <v>1</v>
      </c>
      <c r="J379" s="60" t="n">
        <v>179</v>
      </c>
      <c r="K379" s="60" t="n">
        <v>92</v>
      </c>
      <c r="L379" s="61" t="n">
        <f aca="false">I379*J379</f>
        <v>179</v>
      </c>
      <c r="M379" s="61" t="n">
        <f aca="false">L379-I379*K379</f>
        <v>87</v>
      </c>
      <c r="N379" s="57" t="n">
        <f aca="false">IF(COUNTIFS(E$2:E379,E379,C$2:C379,C379)=1,1,0)</f>
        <v>0</v>
      </c>
      <c r="O379" s="57" t="n">
        <f aca="false">IF(COUNTIFS(E$2:E379,E379,C$2:C379,C379,D$2:D379,D379)=1,1,0)</f>
        <v>1</v>
      </c>
      <c r="P379" s="57" t="n">
        <f aca="false">IF(AND(C379=Calc!$C$3,OR(Calc!$C$4=0,D379=Calc!$C$4)),ROW(),0)</f>
        <v>0</v>
      </c>
    </row>
    <row r="380" customFormat="false" ht="15" hidden="false" customHeight="false" outlineLevel="0" collapsed="false">
      <c r="A380" s="57" t="s">
        <v>693</v>
      </c>
      <c r="B380" s="58" t="n">
        <v>45419</v>
      </c>
      <c r="C380" s="57" t="n">
        <f aca="false">YEAR(B380)</f>
        <v>2024</v>
      </c>
      <c r="D380" s="57" t="n">
        <f aca="false">MONTH(B380)</f>
        <v>5</v>
      </c>
      <c r="E380" s="57" t="s">
        <v>211</v>
      </c>
      <c r="F380" s="57" t="s">
        <v>75</v>
      </c>
      <c r="G380" s="57" t="s">
        <v>50</v>
      </c>
      <c r="H380" s="57" t="s">
        <v>49</v>
      </c>
      <c r="I380" s="59" t="n">
        <v>1</v>
      </c>
      <c r="J380" s="60" t="n">
        <v>32</v>
      </c>
      <c r="K380" s="60" t="n">
        <v>7</v>
      </c>
      <c r="L380" s="61" t="n">
        <f aca="false">I380*J380</f>
        <v>32</v>
      </c>
      <c r="M380" s="61" t="n">
        <f aca="false">L380-I380*K380</f>
        <v>25</v>
      </c>
      <c r="N380" s="57" t="n">
        <f aca="false">IF(COUNTIFS(E$2:E380,E380,C$2:C380,C380)=1,1,0)</f>
        <v>0</v>
      </c>
      <c r="O380" s="57" t="n">
        <f aca="false">IF(COUNTIFS(E$2:E380,E380,C$2:C380,C380,D$2:D380,D380)=1,1,0)</f>
        <v>1</v>
      </c>
      <c r="P380" s="57" t="n">
        <f aca="false">IF(AND(C380=Calc!$C$3,OR(Calc!$C$4=0,D380=Calc!$C$4)),ROW(),0)</f>
        <v>0</v>
      </c>
    </row>
    <row r="381" customFormat="false" ht="15" hidden="false" customHeight="false" outlineLevel="0" collapsed="false">
      <c r="A381" s="57" t="s">
        <v>694</v>
      </c>
      <c r="B381" s="58" t="n">
        <v>45420</v>
      </c>
      <c r="C381" s="57" t="n">
        <f aca="false">YEAR(B381)</f>
        <v>2024</v>
      </c>
      <c r="D381" s="57" t="n">
        <f aca="false">MONTH(B381)</f>
        <v>5</v>
      </c>
      <c r="E381" s="57" t="s">
        <v>142</v>
      </c>
      <c r="F381" s="57" t="s">
        <v>78</v>
      </c>
      <c r="G381" s="57" t="s">
        <v>35</v>
      </c>
      <c r="H381" s="57" t="s">
        <v>34</v>
      </c>
      <c r="I381" s="59" t="n">
        <v>2</v>
      </c>
      <c r="J381" s="60" t="n">
        <v>89</v>
      </c>
      <c r="K381" s="60" t="n">
        <v>41</v>
      </c>
      <c r="L381" s="61" t="n">
        <f aca="false">I381*J381</f>
        <v>178</v>
      </c>
      <c r="M381" s="61" t="n">
        <f aca="false">L381-I381*K381</f>
        <v>96</v>
      </c>
      <c r="N381" s="57" t="n">
        <f aca="false">IF(COUNTIFS(E$2:E381,E381,C$2:C381,C381)=1,1,0)</f>
        <v>0</v>
      </c>
      <c r="O381" s="57" t="n">
        <f aca="false">IF(COUNTIFS(E$2:E381,E381,C$2:C381,C381,D$2:D381,D381)=1,1,0)</f>
        <v>1</v>
      </c>
      <c r="P381" s="57" t="n">
        <f aca="false">IF(AND(C381=Calc!$C$3,OR(Calc!$C$4=0,D381=Calc!$C$4)),ROW(),0)</f>
        <v>0</v>
      </c>
    </row>
    <row r="382" customFormat="false" ht="15" hidden="false" customHeight="false" outlineLevel="0" collapsed="false">
      <c r="A382" s="57" t="s">
        <v>695</v>
      </c>
      <c r="B382" s="58" t="n">
        <v>45420</v>
      </c>
      <c r="C382" s="57" t="n">
        <f aca="false">YEAR(B382)</f>
        <v>2024</v>
      </c>
      <c r="D382" s="57" t="n">
        <f aca="false">MONTH(B382)</f>
        <v>5</v>
      </c>
      <c r="E382" s="57" t="s">
        <v>696</v>
      </c>
      <c r="F382" s="57" t="s">
        <v>72</v>
      </c>
      <c r="G382" s="57" t="s">
        <v>45</v>
      </c>
      <c r="H382" s="57" t="s">
        <v>48</v>
      </c>
      <c r="I382" s="59" t="n">
        <v>2</v>
      </c>
      <c r="J382" s="60" t="n">
        <v>99</v>
      </c>
      <c r="K382" s="60" t="n">
        <v>38</v>
      </c>
      <c r="L382" s="61" t="n">
        <f aca="false">I382*J382</f>
        <v>198</v>
      </c>
      <c r="M382" s="61" t="n">
        <f aca="false">L382-I382*K382</f>
        <v>122</v>
      </c>
      <c r="N382" s="57" t="n">
        <f aca="false">IF(COUNTIFS(E$2:E382,E382,C$2:C382,C382)=1,1,0)</f>
        <v>1</v>
      </c>
      <c r="O382" s="57" t="n">
        <f aca="false">IF(COUNTIFS(E$2:E382,E382,C$2:C382,C382,D$2:D382,D382)=1,1,0)</f>
        <v>1</v>
      </c>
      <c r="P382" s="57" t="n">
        <f aca="false">IF(AND(C382=Calc!$C$3,OR(Calc!$C$4=0,D382=Calc!$C$4)),ROW(),0)</f>
        <v>0</v>
      </c>
    </row>
    <row r="383" customFormat="false" ht="15" hidden="false" customHeight="false" outlineLevel="0" collapsed="false">
      <c r="A383" s="57" t="s">
        <v>697</v>
      </c>
      <c r="B383" s="58" t="n">
        <v>45420</v>
      </c>
      <c r="C383" s="57" t="n">
        <f aca="false">YEAR(B383)</f>
        <v>2024</v>
      </c>
      <c r="D383" s="57" t="n">
        <f aca="false">MONTH(B383)</f>
        <v>5</v>
      </c>
      <c r="E383" s="57" t="s">
        <v>698</v>
      </c>
      <c r="F383" s="57" t="s">
        <v>75</v>
      </c>
      <c r="G383" s="57" t="s">
        <v>35</v>
      </c>
      <c r="H383" s="57" t="s">
        <v>38</v>
      </c>
      <c r="I383" s="59" t="n">
        <v>2</v>
      </c>
      <c r="J383" s="60" t="n">
        <v>49</v>
      </c>
      <c r="K383" s="60" t="n">
        <v>22</v>
      </c>
      <c r="L383" s="61" t="n">
        <f aca="false">I383*J383</f>
        <v>98</v>
      </c>
      <c r="M383" s="61" t="n">
        <f aca="false">L383-I383*K383</f>
        <v>54</v>
      </c>
      <c r="N383" s="57" t="n">
        <f aca="false">IF(COUNTIFS(E$2:E383,E383,C$2:C383,C383)=1,1,0)</f>
        <v>1</v>
      </c>
      <c r="O383" s="57" t="n">
        <f aca="false">IF(COUNTIFS(E$2:E383,E383,C$2:C383,C383,D$2:D383,D383)=1,1,0)</f>
        <v>1</v>
      </c>
      <c r="P383" s="57" t="n">
        <f aca="false">IF(AND(C383=Calc!$C$3,OR(Calc!$C$4=0,D383=Calc!$C$4)),ROW(),0)</f>
        <v>0</v>
      </c>
    </row>
    <row r="384" customFormat="false" ht="15" hidden="false" customHeight="false" outlineLevel="0" collapsed="false">
      <c r="A384" s="57" t="s">
        <v>699</v>
      </c>
      <c r="B384" s="58" t="n">
        <v>45421</v>
      </c>
      <c r="C384" s="57" t="n">
        <f aca="false">YEAR(B384)</f>
        <v>2024</v>
      </c>
      <c r="D384" s="57" t="n">
        <f aca="false">MONTH(B384)</f>
        <v>5</v>
      </c>
      <c r="E384" s="57" t="s">
        <v>514</v>
      </c>
      <c r="F384" s="57" t="s">
        <v>72</v>
      </c>
      <c r="G384" s="57" t="s">
        <v>40</v>
      </c>
      <c r="H384" s="57" t="s">
        <v>39</v>
      </c>
      <c r="I384" s="59" t="n">
        <v>1</v>
      </c>
      <c r="J384" s="60" t="n">
        <v>54</v>
      </c>
      <c r="K384" s="60" t="n">
        <v>19</v>
      </c>
      <c r="L384" s="61" t="n">
        <f aca="false">I384*J384</f>
        <v>54</v>
      </c>
      <c r="M384" s="61" t="n">
        <f aca="false">L384-I384*K384</f>
        <v>35</v>
      </c>
      <c r="N384" s="57" t="n">
        <f aca="false">IF(COUNTIFS(E$2:E384,E384,C$2:C384,C384)=1,1,0)</f>
        <v>0</v>
      </c>
      <c r="O384" s="57" t="n">
        <f aca="false">IF(COUNTIFS(E$2:E384,E384,C$2:C384,C384,D$2:D384,D384)=1,1,0)</f>
        <v>1</v>
      </c>
      <c r="P384" s="57" t="n">
        <f aca="false">IF(AND(C384=Calc!$C$3,OR(Calc!$C$4=0,D384=Calc!$C$4)),ROW(),0)</f>
        <v>0</v>
      </c>
    </row>
    <row r="385" customFormat="false" ht="15" hidden="false" customHeight="false" outlineLevel="0" collapsed="false">
      <c r="A385" s="57" t="s">
        <v>700</v>
      </c>
      <c r="B385" s="58" t="n">
        <v>45422</v>
      </c>
      <c r="C385" s="57" t="n">
        <f aca="false">YEAR(B385)</f>
        <v>2024</v>
      </c>
      <c r="D385" s="57" t="n">
        <f aca="false">MONTH(B385)</f>
        <v>5</v>
      </c>
      <c r="E385" s="57" t="s">
        <v>208</v>
      </c>
      <c r="F385" s="57" t="s">
        <v>81</v>
      </c>
      <c r="G385" s="57" t="s">
        <v>50</v>
      </c>
      <c r="H385" s="57" t="s">
        <v>52</v>
      </c>
      <c r="I385" s="59" t="n">
        <v>1</v>
      </c>
      <c r="J385" s="60" t="n">
        <v>45</v>
      </c>
      <c r="K385" s="60" t="n">
        <v>14</v>
      </c>
      <c r="L385" s="61" t="n">
        <f aca="false">I385*J385</f>
        <v>45</v>
      </c>
      <c r="M385" s="61" t="n">
        <f aca="false">L385-I385*K385</f>
        <v>31</v>
      </c>
      <c r="N385" s="57" t="n">
        <f aca="false">IF(COUNTIFS(E$2:E385,E385,C$2:C385,C385)=1,1,0)</f>
        <v>0</v>
      </c>
      <c r="O385" s="57" t="n">
        <f aca="false">IF(COUNTIFS(E$2:E385,E385,C$2:C385,C385,D$2:D385,D385)=1,1,0)</f>
        <v>1</v>
      </c>
      <c r="P385" s="57" t="n">
        <f aca="false">IF(AND(C385=Calc!$C$3,OR(Calc!$C$4=0,D385=Calc!$C$4)),ROW(),0)</f>
        <v>0</v>
      </c>
    </row>
    <row r="386" customFormat="false" ht="15" hidden="false" customHeight="false" outlineLevel="0" collapsed="false">
      <c r="A386" s="57" t="s">
        <v>701</v>
      </c>
      <c r="B386" s="58" t="n">
        <v>45422</v>
      </c>
      <c r="C386" s="57" t="n">
        <f aca="false">YEAR(B386)</f>
        <v>2024</v>
      </c>
      <c r="D386" s="57" t="n">
        <f aca="false">MONTH(B386)</f>
        <v>5</v>
      </c>
      <c r="E386" s="57" t="s">
        <v>702</v>
      </c>
      <c r="F386" s="57" t="s">
        <v>78</v>
      </c>
      <c r="G386" s="57" t="s">
        <v>35</v>
      </c>
      <c r="H386" s="57" t="s">
        <v>37</v>
      </c>
      <c r="I386" s="59" t="n">
        <v>1</v>
      </c>
      <c r="J386" s="60" t="n">
        <v>59</v>
      </c>
      <c r="K386" s="60" t="n">
        <v>27</v>
      </c>
      <c r="L386" s="61" t="n">
        <f aca="false">I386*J386</f>
        <v>59</v>
      </c>
      <c r="M386" s="61" t="n">
        <f aca="false">L386-I386*K386</f>
        <v>32</v>
      </c>
      <c r="N386" s="57" t="n">
        <f aca="false">IF(COUNTIFS(E$2:E386,E386,C$2:C386,C386)=1,1,0)</f>
        <v>1</v>
      </c>
      <c r="O386" s="57" t="n">
        <f aca="false">IF(COUNTIFS(E$2:E386,E386,C$2:C386,C386,D$2:D386,D386)=1,1,0)</f>
        <v>1</v>
      </c>
      <c r="P386" s="57" t="n">
        <f aca="false">IF(AND(C386=Calc!$C$3,OR(Calc!$C$4=0,D386=Calc!$C$4)),ROW(),0)</f>
        <v>0</v>
      </c>
    </row>
    <row r="387" customFormat="false" ht="15" hidden="false" customHeight="false" outlineLevel="0" collapsed="false">
      <c r="A387" s="57" t="s">
        <v>703</v>
      </c>
      <c r="B387" s="58" t="n">
        <v>45422</v>
      </c>
      <c r="C387" s="57" t="n">
        <f aca="false">YEAR(B387)</f>
        <v>2024</v>
      </c>
      <c r="D387" s="57" t="n">
        <f aca="false">MONTH(B387)</f>
        <v>5</v>
      </c>
      <c r="E387" s="57" t="s">
        <v>199</v>
      </c>
      <c r="F387" s="57" t="s">
        <v>72</v>
      </c>
      <c r="G387" s="57" t="s">
        <v>45</v>
      </c>
      <c r="H387" s="57" t="s">
        <v>44</v>
      </c>
      <c r="I387" s="59" t="n">
        <v>1</v>
      </c>
      <c r="J387" s="60" t="n">
        <v>119</v>
      </c>
      <c r="K387" s="60" t="n">
        <v>63</v>
      </c>
      <c r="L387" s="61" t="n">
        <f aca="false">I387*J387</f>
        <v>119</v>
      </c>
      <c r="M387" s="61" t="n">
        <f aca="false">L387-I387*K387</f>
        <v>56</v>
      </c>
      <c r="N387" s="57" t="n">
        <f aca="false">IF(COUNTIFS(E$2:E387,E387,C$2:C387,C387)=1,1,0)</f>
        <v>0</v>
      </c>
      <c r="O387" s="57" t="n">
        <f aca="false">IF(COUNTIFS(E$2:E387,E387,C$2:C387,C387,D$2:D387,D387)=1,1,0)</f>
        <v>1</v>
      </c>
      <c r="P387" s="57" t="n">
        <f aca="false">IF(AND(C387=Calc!$C$3,OR(Calc!$C$4=0,D387=Calc!$C$4)),ROW(),0)</f>
        <v>0</v>
      </c>
    </row>
    <row r="388" customFormat="false" ht="15" hidden="false" customHeight="false" outlineLevel="0" collapsed="false">
      <c r="A388" s="57" t="s">
        <v>704</v>
      </c>
      <c r="B388" s="58" t="n">
        <v>45422</v>
      </c>
      <c r="C388" s="57" t="n">
        <f aca="false">YEAR(B388)</f>
        <v>2024</v>
      </c>
      <c r="D388" s="57" t="n">
        <f aca="false">MONTH(B388)</f>
        <v>5</v>
      </c>
      <c r="E388" s="57" t="s">
        <v>275</v>
      </c>
      <c r="F388" s="57" t="s">
        <v>75</v>
      </c>
      <c r="G388" s="57" t="s">
        <v>40</v>
      </c>
      <c r="H388" s="57" t="s">
        <v>41</v>
      </c>
      <c r="I388" s="59" t="n">
        <v>1</v>
      </c>
      <c r="J388" s="60" t="n">
        <v>46</v>
      </c>
      <c r="K388" s="60" t="n">
        <v>16</v>
      </c>
      <c r="L388" s="61" t="n">
        <f aca="false">I388*J388</f>
        <v>46</v>
      </c>
      <c r="M388" s="61" t="n">
        <f aca="false">L388-I388*K388</f>
        <v>30</v>
      </c>
      <c r="N388" s="57" t="n">
        <f aca="false">IF(COUNTIFS(E$2:E388,E388,C$2:C388,C388)=1,1,0)</f>
        <v>0</v>
      </c>
      <c r="O388" s="57" t="n">
        <f aca="false">IF(COUNTIFS(E$2:E388,E388,C$2:C388,C388,D$2:D388,D388)=1,1,0)</f>
        <v>1</v>
      </c>
      <c r="P388" s="57" t="n">
        <f aca="false">IF(AND(C388=Calc!$C$3,OR(Calc!$C$4=0,D388=Calc!$C$4)),ROW(),0)</f>
        <v>0</v>
      </c>
    </row>
    <row r="389" customFormat="false" ht="15" hidden="false" customHeight="false" outlineLevel="0" collapsed="false">
      <c r="A389" s="57" t="s">
        <v>705</v>
      </c>
      <c r="B389" s="58" t="n">
        <v>45423</v>
      </c>
      <c r="C389" s="57" t="n">
        <f aca="false">YEAR(B389)</f>
        <v>2024</v>
      </c>
      <c r="D389" s="57" t="n">
        <f aca="false">MONTH(B389)</f>
        <v>5</v>
      </c>
      <c r="E389" s="57" t="s">
        <v>108</v>
      </c>
      <c r="F389" s="57" t="s">
        <v>75</v>
      </c>
      <c r="G389" s="57" t="s">
        <v>40</v>
      </c>
      <c r="H389" s="57" t="s">
        <v>42</v>
      </c>
      <c r="I389" s="59" t="n">
        <v>1</v>
      </c>
      <c r="J389" s="60" t="n">
        <v>79</v>
      </c>
      <c r="K389" s="60" t="n">
        <v>31</v>
      </c>
      <c r="L389" s="61" t="n">
        <f aca="false">I389*J389</f>
        <v>79</v>
      </c>
      <c r="M389" s="61" t="n">
        <f aca="false">L389-I389*K389</f>
        <v>48</v>
      </c>
      <c r="N389" s="57" t="n">
        <f aca="false">IF(COUNTIFS(E$2:E389,E389,C$2:C389,C389)=1,1,0)</f>
        <v>0</v>
      </c>
      <c r="O389" s="57" t="n">
        <f aca="false">IF(COUNTIFS(E$2:E389,E389,C$2:C389,C389,D$2:D389,D389)=1,1,0)</f>
        <v>1</v>
      </c>
      <c r="P389" s="57" t="n">
        <f aca="false">IF(AND(C389=Calc!$C$3,OR(Calc!$C$4=0,D389=Calc!$C$4)),ROW(),0)</f>
        <v>0</v>
      </c>
    </row>
    <row r="390" customFormat="false" ht="15" hidden="false" customHeight="false" outlineLevel="0" collapsed="false">
      <c r="A390" s="57" t="s">
        <v>706</v>
      </c>
      <c r="B390" s="58" t="n">
        <v>45423</v>
      </c>
      <c r="C390" s="57" t="n">
        <f aca="false">YEAR(B390)</f>
        <v>2024</v>
      </c>
      <c r="D390" s="57" t="n">
        <f aca="false">MONTH(B390)</f>
        <v>5</v>
      </c>
      <c r="E390" s="57" t="s">
        <v>372</v>
      </c>
      <c r="F390" s="57" t="s">
        <v>81</v>
      </c>
      <c r="G390" s="57" t="s">
        <v>40</v>
      </c>
      <c r="H390" s="57" t="s">
        <v>42</v>
      </c>
      <c r="I390" s="59" t="n">
        <v>1</v>
      </c>
      <c r="J390" s="60" t="n">
        <v>79</v>
      </c>
      <c r="K390" s="60" t="n">
        <v>31</v>
      </c>
      <c r="L390" s="61" t="n">
        <f aca="false">I390*J390</f>
        <v>79</v>
      </c>
      <c r="M390" s="61" t="n">
        <f aca="false">L390-I390*K390</f>
        <v>48</v>
      </c>
      <c r="N390" s="57" t="n">
        <f aca="false">IF(COUNTIFS(E$2:E390,E390,C$2:C390,C390)=1,1,0)</f>
        <v>0</v>
      </c>
      <c r="O390" s="57" t="n">
        <f aca="false">IF(COUNTIFS(E$2:E390,E390,C$2:C390,C390,D$2:D390,D390)=1,1,0)</f>
        <v>0</v>
      </c>
      <c r="P390" s="57" t="n">
        <f aca="false">IF(AND(C390=Calc!$C$3,OR(Calc!$C$4=0,D390=Calc!$C$4)),ROW(),0)</f>
        <v>0</v>
      </c>
    </row>
    <row r="391" customFormat="false" ht="15" hidden="false" customHeight="false" outlineLevel="0" collapsed="false">
      <c r="A391" s="57" t="s">
        <v>707</v>
      </c>
      <c r="B391" s="58" t="n">
        <v>45423</v>
      </c>
      <c r="C391" s="57" t="n">
        <f aca="false">YEAR(B391)</f>
        <v>2024</v>
      </c>
      <c r="D391" s="57" t="n">
        <f aca="false">MONTH(B391)</f>
        <v>5</v>
      </c>
      <c r="E391" s="57" t="s">
        <v>317</v>
      </c>
      <c r="F391" s="57" t="s">
        <v>72</v>
      </c>
      <c r="G391" s="57" t="s">
        <v>45</v>
      </c>
      <c r="H391" s="57" t="s">
        <v>44</v>
      </c>
      <c r="I391" s="59" t="n">
        <v>1</v>
      </c>
      <c r="J391" s="60" t="n">
        <v>119</v>
      </c>
      <c r="K391" s="60" t="n">
        <v>63</v>
      </c>
      <c r="L391" s="61" t="n">
        <f aca="false">I391*J391</f>
        <v>119</v>
      </c>
      <c r="M391" s="61" t="n">
        <f aca="false">L391-I391*K391</f>
        <v>56</v>
      </c>
      <c r="N391" s="57" t="n">
        <f aca="false">IF(COUNTIFS(E$2:E391,E391,C$2:C391,C391)=1,1,0)</f>
        <v>0</v>
      </c>
      <c r="O391" s="57" t="n">
        <f aca="false">IF(COUNTIFS(E$2:E391,E391,C$2:C391,C391,D$2:D391,D391)=1,1,0)</f>
        <v>1</v>
      </c>
      <c r="P391" s="57" t="n">
        <f aca="false">IF(AND(C391=Calc!$C$3,OR(Calc!$C$4=0,D391=Calc!$C$4)),ROW(),0)</f>
        <v>0</v>
      </c>
    </row>
    <row r="392" customFormat="false" ht="15" hidden="false" customHeight="false" outlineLevel="0" collapsed="false">
      <c r="A392" s="57" t="s">
        <v>708</v>
      </c>
      <c r="B392" s="58" t="n">
        <v>45423</v>
      </c>
      <c r="C392" s="57" t="n">
        <f aca="false">YEAR(B392)</f>
        <v>2024</v>
      </c>
      <c r="D392" s="57" t="n">
        <f aca="false">MONTH(B392)</f>
        <v>5</v>
      </c>
      <c r="E392" s="57" t="s">
        <v>89</v>
      </c>
      <c r="F392" s="57" t="s">
        <v>81</v>
      </c>
      <c r="G392" s="57" t="s">
        <v>35</v>
      </c>
      <c r="H392" s="57" t="s">
        <v>37</v>
      </c>
      <c r="I392" s="59" t="n">
        <v>2</v>
      </c>
      <c r="J392" s="60" t="n">
        <v>59</v>
      </c>
      <c r="K392" s="60" t="n">
        <v>27</v>
      </c>
      <c r="L392" s="61" t="n">
        <f aca="false">I392*J392</f>
        <v>118</v>
      </c>
      <c r="M392" s="61" t="n">
        <f aca="false">L392-I392*K392</f>
        <v>64</v>
      </c>
      <c r="N392" s="57" t="n">
        <f aca="false">IF(COUNTIFS(E$2:E392,E392,C$2:C392,C392)=1,1,0)</f>
        <v>0</v>
      </c>
      <c r="O392" s="57" t="n">
        <f aca="false">IF(COUNTIFS(E$2:E392,E392,C$2:C392,C392,D$2:D392,D392)=1,1,0)</f>
        <v>1</v>
      </c>
      <c r="P392" s="57" t="n">
        <f aca="false">IF(AND(C392=Calc!$C$3,OR(Calc!$C$4=0,D392=Calc!$C$4)),ROW(),0)</f>
        <v>0</v>
      </c>
    </row>
    <row r="393" customFormat="false" ht="15" hidden="false" customHeight="false" outlineLevel="0" collapsed="false">
      <c r="A393" s="57" t="s">
        <v>709</v>
      </c>
      <c r="B393" s="58" t="n">
        <v>45424</v>
      </c>
      <c r="C393" s="57" t="n">
        <f aca="false">YEAR(B393)</f>
        <v>2024</v>
      </c>
      <c r="D393" s="57" t="n">
        <f aca="false">MONTH(B393)</f>
        <v>5</v>
      </c>
      <c r="E393" s="57" t="s">
        <v>87</v>
      </c>
      <c r="F393" s="57" t="s">
        <v>72</v>
      </c>
      <c r="G393" s="57" t="s">
        <v>50</v>
      </c>
      <c r="H393" s="57" t="s">
        <v>52</v>
      </c>
      <c r="I393" s="59" t="n">
        <v>1</v>
      </c>
      <c r="J393" s="60" t="n">
        <v>45</v>
      </c>
      <c r="K393" s="60" t="n">
        <v>14</v>
      </c>
      <c r="L393" s="61" t="n">
        <f aca="false">I393*J393</f>
        <v>45</v>
      </c>
      <c r="M393" s="61" t="n">
        <f aca="false">L393-I393*K393</f>
        <v>31</v>
      </c>
      <c r="N393" s="57" t="n">
        <f aca="false">IF(COUNTIFS(E$2:E393,E393,C$2:C393,C393)=1,1,0)</f>
        <v>0</v>
      </c>
      <c r="O393" s="57" t="n">
        <f aca="false">IF(COUNTIFS(E$2:E393,E393,C$2:C393,C393,D$2:D393,D393)=1,1,0)</f>
        <v>1</v>
      </c>
      <c r="P393" s="57" t="n">
        <f aca="false">IF(AND(C393=Calc!$C$3,OR(Calc!$C$4=0,D393=Calc!$C$4)),ROW(),0)</f>
        <v>0</v>
      </c>
    </row>
    <row r="394" customFormat="false" ht="15" hidden="false" customHeight="false" outlineLevel="0" collapsed="false">
      <c r="A394" s="57" t="s">
        <v>710</v>
      </c>
      <c r="B394" s="58" t="n">
        <v>45424</v>
      </c>
      <c r="C394" s="57" t="n">
        <f aca="false">YEAR(B394)</f>
        <v>2024</v>
      </c>
      <c r="D394" s="57" t="n">
        <f aca="false">MONTH(B394)</f>
        <v>5</v>
      </c>
      <c r="E394" s="57" t="s">
        <v>488</v>
      </c>
      <c r="F394" s="57" t="s">
        <v>69</v>
      </c>
      <c r="G394" s="57" t="s">
        <v>35</v>
      </c>
      <c r="H394" s="57" t="s">
        <v>34</v>
      </c>
      <c r="I394" s="59" t="n">
        <v>1</v>
      </c>
      <c r="J394" s="60" t="n">
        <v>89</v>
      </c>
      <c r="K394" s="60" t="n">
        <v>41</v>
      </c>
      <c r="L394" s="61" t="n">
        <f aca="false">I394*J394</f>
        <v>89</v>
      </c>
      <c r="M394" s="61" t="n">
        <f aca="false">L394-I394*K394</f>
        <v>48</v>
      </c>
      <c r="N394" s="57" t="n">
        <f aca="false">IF(COUNTIFS(E$2:E394,E394,C$2:C394,C394)=1,1,0)</f>
        <v>0</v>
      </c>
      <c r="O394" s="57" t="n">
        <f aca="false">IF(COUNTIFS(E$2:E394,E394,C$2:C394,C394,D$2:D394,D394)=1,1,0)</f>
        <v>1</v>
      </c>
      <c r="P394" s="57" t="n">
        <f aca="false">IF(AND(C394=Calc!$C$3,OR(Calc!$C$4=0,D394=Calc!$C$4)),ROW(),0)</f>
        <v>0</v>
      </c>
    </row>
    <row r="395" customFormat="false" ht="15" hidden="false" customHeight="false" outlineLevel="0" collapsed="false">
      <c r="A395" s="57" t="s">
        <v>711</v>
      </c>
      <c r="B395" s="58" t="n">
        <v>45424</v>
      </c>
      <c r="C395" s="57" t="n">
        <f aca="false">YEAR(B395)</f>
        <v>2024</v>
      </c>
      <c r="D395" s="57" t="n">
        <f aca="false">MONTH(B395)</f>
        <v>5</v>
      </c>
      <c r="E395" s="57" t="s">
        <v>712</v>
      </c>
      <c r="F395" s="57" t="s">
        <v>78</v>
      </c>
      <c r="G395" s="57" t="s">
        <v>35</v>
      </c>
      <c r="H395" s="57" t="s">
        <v>38</v>
      </c>
      <c r="I395" s="59" t="n">
        <v>1</v>
      </c>
      <c r="J395" s="60" t="n">
        <v>49</v>
      </c>
      <c r="K395" s="60" t="n">
        <v>22</v>
      </c>
      <c r="L395" s="61" t="n">
        <f aca="false">I395*J395</f>
        <v>49</v>
      </c>
      <c r="M395" s="61" t="n">
        <f aca="false">L395-I395*K395</f>
        <v>27</v>
      </c>
      <c r="N395" s="57" t="n">
        <f aca="false">IF(COUNTIFS(E$2:E395,E395,C$2:C395,C395)=1,1,0)</f>
        <v>1</v>
      </c>
      <c r="O395" s="57" t="n">
        <f aca="false">IF(COUNTIFS(E$2:E395,E395,C$2:C395,C395,D$2:D395,D395)=1,1,0)</f>
        <v>1</v>
      </c>
      <c r="P395" s="57" t="n">
        <f aca="false">IF(AND(C395=Calc!$C$3,OR(Calc!$C$4=0,D395=Calc!$C$4)),ROW(),0)</f>
        <v>0</v>
      </c>
    </row>
    <row r="396" customFormat="false" ht="15" hidden="false" customHeight="false" outlineLevel="0" collapsed="false">
      <c r="A396" s="57" t="s">
        <v>713</v>
      </c>
      <c r="B396" s="58" t="n">
        <v>45424</v>
      </c>
      <c r="C396" s="57" t="n">
        <f aca="false">YEAR(B396)</f>
        <v>2024</v>
      </c>
      <c r="D396" s="57" t="n">
        <f aca="false">MONTH(B396)</f>
        <v>5</v>
      </c>
      <c r="E396" s="57" t="s">
        <v>97</v>
      </c>
      <c r="F396" s="57" t="s">
        <v>78</v>
      </c>
      <c r="G396" s="57" t="s">
        <v>35</v>
      </c>
      <c r="H396" s="57" t="s">
        <v>38</v>
      </c>
      <c r="I396" s="59" t="n">
        <v>2</v>
      </c>
      <c r="J396" s="60" t="n">
        <v>49</v>
      </c>
      <c r="K396" s="60" t="n">
        <v>22</v>
      </c>
      <c r="L396" s="61" t="n">
        <f aca="false">I396*J396</f>
        <v>98</v>
      </c>
      <c r="M396" s="61" t="n">
        <f aca="false">L396-I396*K396</f>
        <v>54</v>
      </c>
      <c r="N396" s="57" t="n">
        <f aca="false">IF(COUNTIFS(E$2:E396,E396,C$2:C396,C396)=1,1,0)</f>
        <v>0</v>
      </c>
      <c r="O396" s="57" t="n">
        <f aca="false">IF(COUNTIFS(E$2:E396,E396,C$2:C396,C396,D$2:D396,D396)=1,1,0)</f>
        <v>0</v>
      </c>
      <c r="P396" s="57" t="n">
        <f aca="false">IF(AND(C396=Calc!$C$3,OR(Calc!$C$4=0,D396=Calc!$C$4)),ROW(),0)</f>
        <v>0</v>
      </c>
    </row>
    <row r="397" customFormat="false" ht="15" hidden="false" customHeight="false" outlineLevel="0" collapsed="false">
      <c r="A397" s="57" t="s">
        <v>714</v>
      </c>
      <c r="B397" s="58" t="n">
        <v>45425</v>
      </c>
      <c r="C397" s="57" t="n">
        <f aca="false">YEAR(B397)</f>
        <v>2024</v>
      </c>
      <c r="D397" s="57" t="n">
        <f aca="false">MONTH(B397)</f>
        <v>5</v>
      </c>
      <c r="E397" s="57" t="s">
        <v>715</v>
      </c>
      <c r="F397" s="57" t="s">
        <v>72</v>
      </c>
      <c r="G397" s="57" t="s">
        <v>35</v>
      </c>
      <c r="H397" s="57" t="s">
        <v>36</v>
      </c>
      <c r="I397" s="59" t="n">
        <v>1</v>
      </c>
      <c r="J397" s="60" t="n">
        <v>179</v>
      </c>
      <c r="K397" s="60" t="n">
        <v>92</v>
      </c>
      <c r="L397" s="61" t="n">
        <f aca="false">I397*J397</f>
        <v>179</v>
      </c>
      <c r="M397" s="61" t="n">
        <f aca="false">L397-I397*K397</f>
        <v>87</v>
      </c>
      <c r="N397" s="57" t="n">
        <f aca="false">IF(COUNTIFS(E$2:E397,E397,C$2:C397,C397)=1,1,0)</f>
        <v>1</v>
      </c>
      <c r="O397" s="57" t="n">
        <f aca="false">IF(COUNTIFS(E$2:E397,E397,C$2:C397,C397,D$2:D397,D397)=1,1,0)</f>
        <v>1</v>
      </c>
      <c r="P397" s="57" t="n">
        <f aca="false">IF(AND(C397=Calc!$C$3,OR(Calc!$C$4=0,D397=Calc!$C$4)),ROW(),0)</f>
        <v>0</v>
      </c>
    </row>
    <row r="398" customFormat="false" ht="15" hidden="false" customHeight="false" outlineLevel="0" collapsed="false">
      <c r="A398" s="57" t="s">
        <v>716</v>
      </c>
      <c r="B398" s="58" t="n">
        <v>45425</v>
      </c>
      <c r="C398" s="57" t="n">
        <f aca="false">YEAR(B398)</f>
        <v>2024</v>
      </c>
      <c r="D398" s="57" t="n">
        <f aca="false">MONTH(B398)</f>
        <v>5</v>
      </c>
      <c r="E398" s="57" t="s">
        <v>382</v>
      </c>
      <c r="F398" s="57" t="s">
        <v>69</v>
      </c>
      <c r="G398" s="57" t="s">
        <v>35</v>
      </c>
      <c r="H398" s="57" t="s">
        <v>34</v>
      </c>
      <c r="I398" s="59" t="n">
        <v>1</v>
      </c>
      <c r="J398" s="60" t="n">
        <v>89</v>
      </c>
      <c r="K398" s="60" t="n">
        <v>41</v>
      </c>
      <c r="L398" s="61" t="n">
        <f aca="false">I398*J398</f>
        <v>89</v>
      </c>
      <c r="M398" s="61" t="n">
        <f aca="false">L398-I398*K398</f>
        <v>48</v>
      </c>
      <c r="N398" s="57" t="n">
        <f aca="false">IF(COUNTIFS(E$2:E398,E398,C$2:C398,C398)=1,1,0)</f>
        <v>0</v>
      </c>
      <c r="O398" s="57" t="n">
        <f aca="false">IF(COUNTIFS(E$2:E398,E398,C$2:C398,C398,D$2:D398,D398)=1,1,0)</f>
        <v>1</v>
      </c>
      <c r="P398" s="57" t="n">
        <f aca="false">IF(AND(C398=Calc!$C$3,OR(Calc!$C$4=0,D398=Calc!$C$4)),ROW(),0)</f>
        <v>0</v>
      </c>
    </row>
    <row r="399" customFormat="false" ht="15" hidden="false" customHeight="false" outlineLevel="0" collapsed="false">
      <c r="A399" s="57" t="s">
        <v>717</v>
      </c>
      <c r="B399" s="58" t="n">
        <v>45425</v>
      </c>
      <c r="C399" s="57" t="n">
        <f aca="false">YEAR(B399)</f>
        <v>2024</v>
      </c>
      <c r="D399" s="57" t="n">
        <f aca="false">MONTH(B399)</f>
        <v>5</v>
      </c>
      <c r="E399" s="57" t="s">
        <v>547</v>
      </c>
      <c r="F399" s="57" t="s">
        <v>72</v>
      </c>
      <c r="G399" s="57" t="s">
        <v>40</v>
      </c>
      <c r="H399" s="57" t="s">
        <v>39</v>
      </c>
      <c r="I399" s="59" t="n">
        <v>2</v>
      </c>
      <c r="J399" s="60" t="n">
        <v>54</v>
      </c>
      <c r="K399" s="60" t="n">
        <v>19</v>
      </c>
      <c r="L399" s="61" t="n">
        <f aca="false">I399*J399</f>
        <v>108</v>
      </c>
      <c r="M399" s="61" t="n">
        <f aca="false">L399-I399*K399</f>
        <v>70</v>
      </c>
      <c r="N399" s="57" t="n">
        <f aca="false">IF(COUNTIFS(E$2:E399,E399,C$2:C399,C399)=1,1,0)</f>
        <v>0</v>
      </c>
      <c r="O399" s="57" t="n">
        <f aca="false">IF(COUNTIFS(E$2:E399,E399,C$2:C399,C399,D$2:D399,D399)=1,1,0)</f>
        <v>1</v>
      </c>
      <c r="P399" s="57" t="n">
        <f aca="false">IF(AND(C399=Calc!$C$3,OR(Calc!$C$4=0,D399=Calc!$C$4)),ROW(),0)</f>
        <v>0</v>
      </c>
    </row>
    <row r="400" customFormat="false" ht="15" hidden="false" customHeight="false" outlineLevel="0" collapsed="false">
      <c r="A400" s="57" t="s">
        <v>718</v>
      </c>
      <c r="B400" s="58" t="n">
        <v>45425</v>
      </c>
      <c r="C400" s="57" t="n">
        <f aca="false">YEAR(B400)</f>
        <v>2024</v>
      </c>
      <c r="D400" s="57" t="n">
        <f aca="false">MONTH(B400)</f>
        <v>5</v>
      </c>
      <c r="E400" s="57" t="s">
        <v>719</v>
      </c>
      <c r="F400" s="57" t="s">
        <v>81</v>
      </c>
      <c r="G400" s="57" t="s">
        <v>35</v>
      </c>
      <c r="H400" s="57" t="s">
        <v>38</v>
      </c>
      <c r="I400" s="59" t="n">
        <v>1</v>
      </c>
      <c r="J400" s="60" t="n">
        <v>49</v>
      </c>
      <c r="K400" s="60" t="n">
        <v>22</v>
      </c>
      <c r="L400" s="61" t="n">
        <f aca="false">I400*J400</f>
        <v>49</v>
      </c>
      <c r="M400" s="61" t="n">
        <f aca="false">L400-I400*K400</f>
        <v>27</v>
      </c>
      <c r="N400" s="57" t="n">
        <f aca="false">IF(COUNTIFS(E$2:E400,E400,C$2:C400,C400)=1,1,0)</f>
        <v>1</v>
      </c>
      <c r="O400" s="57" t="n">
        <f aca="false">IF(COUNTIFS(E$2:E400,E400,C$2:C400,C400,D$2:D400,D400)=1,1,0)</f>
        <v>1</v>
      </c>
      <c r="P400" s="57" t="n">
        <f aca="false">IF(AND(C400=Calc!$C$3,OR(Calc!$C$4=0,D400=Calc!$C$4)),ROW(),0)</f>
        <v>0</v>
      </c>
    </row>
    <row r="401" customFormat="false" ht="15" hidden="false" customHeight="false" outlineLevel="0" collapsed="false">
      <c r="A401" s="57" t="s">
        <v>720</v>
      </c>
      <c r="B401" s="58" t="n">
        <v>45426</v>
      </c>
      <c r="C401" s="57" t="n">
        <f aca="false">YEAR(B401)</f>
        <v>2024</v>
      </c>
      <c r="D401" s="57" t="n">
        <f aca="false">MONTH(B401)</f>
        <v>5</v>
      </c>
      <c r="E401" s="57" t="s">
        <v>721</v>
      </c>
      <c r="F401" s="57" t="s">
        <v>69</v>
      </c>
      <c r="G401" s="57" t="s">
        <v>35</v>
      </c>
      <c r="H401" s="57" t="s">
        <v>36</v>
      </c>
      <c r="I401" s="59" t="n">
        <v>2</v>
      </c>
      <c r="J401" s="60" t="n">
        <v>179</v>
      </c>
      <c r="K401" s="60" t="n">
        <v>92</v>
      </c>
      <c r="L401" s="61" t="n">
        <f aca="false">I401*J401</f>
        <v>358</v>
      </c>
      <c r="M401" s="61" t="n">
        <f aca="false">L401-I401*K401</f>
        <v>174</v>
      </c>
      <c r="N401" s="57" t="n">
        <f aca="false">IF(COUNTIFS(E$2:E401,E401,C$2:C401,C401)=1,1,0)</f>
        <v>1</v>
      </c>
      <c r="O401" s="57" t="n">
        <f aca="false">IF(COUNTIFS(E$2:E401,E401,C$2:C401,C401,D$2:D401,D401)=1,1,0)</f>
        <v>1</v>
      </c>
      <c r="P401" s="57" t="n">
        <f aca="false">IF(AND(C401=Calc!$C$3,OR(Calc!$C$4=0,D401=Calc!$C$4)),ROW(),0)</f>
        <v>0</v>
      </c>
    </row>
    <row r="402" customFormat="false" ht="15" hidden="false" customHeight="false" outlineLevel="0" collapsed="false">
      <c r="A402" s="57" t="s">
        <v>722</v>
      </c>
      <c r="B402" s="58" t="n">
        <v>45426</v>
      </c>
      <c r="C402" s="57" t="n">
        <f aca="false">YEAR(B402)</f>
        <v>2024</v>
      </c>
      <c r="D402" s="57" t="n">
        <f aca="false">MONTH(B402)</f>
        <v>5</v>
      </c>
      <c r="E402" s="57" t="s">
        <v>168</v>
      </c>
      <c r="F402" s="57" t="s">
        <v>81</v>
      </c>
      <c r="G402" s="57" t="s">
        <v>45</v>
      </c>
      <c r="H402" s="57" t="s">
        <v>48</v>
      </c>
      <c r="I402" s="59" t="n">
        <v>1</v>
      </c>
      <c r="J402" s="60" t="n">
        <v>99</v>
      </c>
      <c r="K402" s="60" t="n">
        <v>38</v>
      </c>
      <c r="L402" s="61" t="n">
        <f aca="false">I402*J402</f>
        <v>99</v>
      </c>
      <c r="M402" s="61" t="n">
        <f aca="false">L402-I402*K402</f>
        <v>61</v>
      </c>
      <c r="N402" s="57" t="n">
        <f aca="false">IF(COUNTIFS(E$2:E402,E402,C$2:C402,C402)=1,1,0)</f>
        <v>0</v>
      </c>
      <c r="O402" s="57" t="n">
        <f aca="false">IF(COUNTIFS(E$2:E402,E402,C$2:C402,C402,D$2:D402,D402)=1,1,0)</f>
        <v>1</v>
      </c>
      <c r="P402" s="57" t="n">
        <f aca="false">IF(AND(C402=Calc!$C$3,OR(Calc!$C$4=0,D402=Calc!$C$4)),ROW(),0)</f>
        <v>0</v>
      </c>
    </row>
    <row r="403" customFormat="false" ht="15" hidden="false" customHeight="false" outlineLevel="0" collapsed="false">
      <c r="A403" s="57" t="s">
        <v>723</v>
      </c>
      <c r="B403" s="58" t="n">
        <v>45426</v>
      </c>
      <c r="C403" s="57" t="n">
        <f aca="false">YEAR(B403)</f>
        <v>2024</v>
      </c>
      <c r="D403" s="57" t="n">
        <f aca="false">MONTH(B403)</f>
        <v>5</v>
      </c>
      <c r="E403" s="57" t="s">
        <v>206</v>
      </c>
      <c r="F403" s="57" t="s">
        <v>78</v>
      </c>
      <c r="G403" s="57" t="s">
        <v>35</v>
      </c>
      <c r="H403" s="57" t="s">
        <v>37</v>
      </c>
      <c r="I403" s="59" t="n">
        <v>1</v>
      </c>
      <c r="J403" s="60" t="n">
        <v>59</v>
      </c>
      <c r="K403" s="60" t="n">
        <v>27</v>
      </c>
      <c r="L403" s="61" t="n">
        <f aca="false">I403*J403</f>
        <v>59</v>
      </c>
      <c r="M403" s="61" t="n">
        <f aca="false">L403-I403*K403</f>
        <v>32</v>
      </c>
      <c r="N403" s="57" t="n">
        <f aca="false">IF(COUNTIFS(E$2:E403,E403,C$2:C403,C403)=1,1,0)</f>
        <v>0</v>
      </c>
      <c r="O403" s="57" t="n">
        <f aca="false">IF(COUNTIFS(E$2:E403,E403,C$2:C403,C403,D$2:D403,D403)=1,1,0)</f>
        <v>1</v>
      </c>
      <c r="P403" s="57" t="n">
        <f aca="false">IF(AND(C403=Calc!$C$3,OR(Calc!$C$4=0,D403=Calc!$C$4)),ROW(),0)</f>
        <v>0</v>
      </c>
    </row>
    <row r="404" customFormat="false" ht="15" hidden="false" customHeight="false" outlineLevel="0" collapsed="false">
      <c r="A404" s="57" t="s">
        <v>724</v>
      </c>
      <c r="B404" s="58" t="n">
        <v>45426</v>
      </c>
      <c r="C404" s="57" t="n">
        <f aca="false">YEAR(B404)</f>
        <v>2024</v>
      </c>
      <c r="D404" s="57" t="n">
        <f aca="false">MONTH(B404)</f>
        <v>5</v>
      </c>
      <c r="E404" s="57" t="s">
        <v>725</v>
      </c>
      <c r="F404" s="57" t="s">
        <v>69</v>
      </c>
      <c r="G404" s="57" t="s">
        <v>50</v>
      </c>
      <c r="H404" s="57" t="s">
        <v>49</v>
      </c>
      <c r="I404" s="59" t="n">
        <v>2</v>
      </c>
      <c r="J404" s="60" t="n">
        <v>32</v>
      </c>
      <c r="K404" s="60" t="n">
        <v>7</v>
      </c>
      <c r="L404" s="61" t="n">
        <f aca="false">I404*J404</f>
        <v>64</v>
      </c>
      <c r="M404" s="61" t="n">
        <f aca="false">L404-I404*K404</f>
        <v>50</v>
      </c>
      <c r="N404" s="57" t="n">
        <f aca="false">IF(COUNTIFS(E$2:E404,E404,C$2:C404,C404)=1,1,0)</f>
        <v>1</v>
      </c>
      <c r="O404" s="57" t="n">
        <f aca="false">IF(COUNTIFS(E$2:E404,E404,C$2:C404,C404,D$2:D404,D404)=1,1,0)</f>
        <v>1</v>
      </c>
      <c r="P404" s="57" t="n">
        <f aca="false">IF(AND(C404=Calc!$C$3,OR(Calc!$C$4=0,D404=Calc!$C$4)),ROW(),0)</f>
        <v>0</v>
      </c>
    </row>
    <row r="405" customFormat="false" ht="15" hidden="false" customHeight="false" outlineLevel="0" collapsed="false">
      <c r="A405" s="57" t="s">
        <v>726</v>
      </c>
      <c r="B405" s="58" t="n">
        <v>45426</v>
      </c>
      <c r="C405" s="57" t="n">
        <f aca="false">YEAR(B405)</f>
        <v>2024</v>
      </c>
      <c r="D405" s="57" t="n">
        <f aca="false">MONTH(B405)</f>
        <v>5</v>
      </c>
      <c r="E405" s="57" t="s">
        <v>164</v>
      </c>
      <c r="F405" s="57" t="s">
        <v>69</v>
      </c>
      <c r="G405" s="57" t="s">
        <v>40</v>
      </c>
      <c r="H405" s="57" t="s">
        <v>39</v>
      </c>
      <c r="I405" s="59" t="n">
        <v>1</v>
      </c>
      <c r="J405" s="60" t="n">
        <v>54</v>
      </c>
      <c r="K405" s="60" t="n">
        <v>19</v>
      </c>
      <c r="L405" s="61" t="n">
        <f aca="false">I405*J405</f>
        <v>54</v>
      </c>
      <c r="M405" s="61" t="n">
        <f aca="false">L405-I405*K405</f>
        <v>35</v>
      </c>
      <c r="N405" s="57" t="n">
        <f aca="false">IF(COUNTIFS(E$2:E405,E405,C$2:C405,C405)=1,1,0)</f>
        <v>0</v>
      </c>
      <c r="O405" s="57" t="n">
        <f aca="false">IF(COUNTIFS(E$2:E405,E405,C$2:C405,C405,D$2:D405,D405)=1,1,0)</f>
        <v>1</v>
      </c>
      <c r="P405" s="57" t="n">
        <f aca="false">IF(AND(C405=Calc!$C$3,OR(Calc!$C$4=0,D405=Calc!$C$4)),ROW(),0)</f>
        <v>0</v>
      </c>
    </row>
    <row r="406" customFormat="false" ht="15" hidden="false" customHeight="false" outlineLevel="0" collapsed="false">
      <c r="A406" s="57" t="s">
        <v>727</v>
      </c>
      <c r="B406" s="58" t="n">
        <v>45427</v>
      </c>
      <c r="C406" s="57" t="n">
        <f aca="false">YEAR(B406)</f>
        <v>2024</v>
      </c>
      <c r="D406" s="57" t="n">
        <f aca="false">MONTH(B406)</f>
        <v>5</v>
      </c>
      <c r="E406" s="57" t="s">
        <v>728</v>
      </c>
      <c r="F406" s="57" t="s">
        <v>78</v>
      </c>
      <c r="G406" s="57" t="s">
        <v>35</v>
      </c>
      <c r="H406" s="57" t="s">
        <v>36</v>
      </c>
      <c r="I406" s="59" t="n">
        <v>2</v>
      </c>
      <c r="J406" s="60" t="n">
        <v>179</v>
      </c>
      <c r="K406" s="60" t="n">
        <v>92</v>
      </c>
      <c r="L406" s="61" t="n">
        <f aca="false">I406*J406</f>
        <v>358</v>
      </c>
      <c r="M406" s="61" t="n">
        <f aca="false">L406-I406*K406</f>
        <v>174</v>
      </c>
      <c r="N406" s="57" t="n">
        <f aca="false">IF(COUNTIFS(E$2:E406,E406,C$2:C406,C406)=1,1,0)</f>
        <v>1</v>
      </c>
      <c r="O406" s="57" t="n">
        <f aca="false">IF(COUNTIFS(E$2:E406,E406,C$2:C406,C406,D$2:D406,D406)=1,1,0)</f>
        <v>1</v>
      </c>
      <c r="P406" s="57" t="n">
        <f aca="false">IF(AND(C406=Calc!$C$3,OR(Calc!$C$4=0,D406=Calc!$C$4)),ROW(),0)</f>
        <v>0</v>
      </c>
    </row>
    <row r="407" customFormat="false" ht="15" hidden="false" customHeight="false" outlineLevel="0" collapsed="false">
      <c r="A407" s="57" t="s">
        <v>729</v>
      </c>
      <c r="B407" s="58" t="n">
        <v>45427</v>
      </c>
      <c r="C407" s="57" t="n">
        <f aca="false">YEAR(B407)</f>
        <v>2024</v>
      </c>
      <c r="D407" s="57" t="n">
        <f aca="false">MONTH(B407)</f>
        <v>5</v>
      </c>
      <c r="E407" s="57" t="s">
        <v>390</v>
      </c>
      <c r="F407" s="57" t="s">
        <v>72</v>
      </c>
      <c r="G407" s="57" t="s">
        <v>40</v>
      </c>
      <c r="H407" s="57" t="s">
        <v>39</v>
      </c>
      <c r="I407" s="59" t="n">
        <v>1</v>
      </c>
      <c r="J407" s="60" t="n">
        <v>54</v>
      </c>
      <c r="K407" s="60" t="n">
        <v>19</v>
      </c>
      <c r="L407" s="61" t="n">
        <f aca="false">I407*J407</f>
        <v>54</v>
      </c>
      <c r="M407" s="61" t="n">
        <f aca="false">L407-I407*K407</f>
        <v>35</v>
      </c>
      <c r="N407" s="57" t="n">
        <f aca="false">IF(COUNTIFS(E$2:E407,E407,C$2:C407,C407)=1,1,0)</f>
        <v>0</v>
      </c>
      <c r="O407" s="57" t="n">
        <f aca="false">IF(COUNTIFS(E$2:E407,E407,C$2:C407,C407,D$2:D407,D407)=1,1,0)</f>
        <v>0</v>
      </c>
      <c r="P407" s="57" t="n">
        <f aca="false">IF(AND(C407=Calc!$C$3,OR(Calc!$C$4=0,D407=Calc!$C$4)),ROW(),0)</f>
        <v>0</v>
      </c>
    </row>
    <row r="408" customFormat="false" ht="15" hidden="false" customHeight="false" outlineLevel="0" collapsed="false">
      <c r="A408" s="57" t="s">
        <v>730</v>
      </c>
      <c r="B408" s="58" t="n">
        <v>45427</v>
      </c>
      <c r="C408" s="57" t="n">
        <f aca="false">YEAR(B408)</f>
        <v>2024</v>
      </c>
      <c r="D408" s="57" t="n">
        <f aca="false">MONTH(B408)</f>
        <v>5</v>
      </c>
      <c r="E408" s="57" t="s">
        <v>390</v>
      </c>
      <c r="F408" s="57" t="s">
        <v>72</v>
      </c>
      <c r="G408" s="57" t="s">
        <v>40</v>
      </c>
      <c r="H408" s="57" t="s">
        <v>41</v>
      </c>
      <c r="I408" s="59" t="n">
        <v>1</v>
      </c>
      <c r="J408" s="60" t="n">
        <v>46</v>
      </c>
      <c r="K408" s="60" t="n">
        <v>16</v>
      </c>
      <c r="L408" s="61" t="n">
        <f aca="false">I408*J408</f>
        <v>46</v>
      </c>
      <c r="M408" s="61" t="n">
        <f aca="false">L408-I408*K408</f>
        <v>30</v>
      </c>
      <c r="N408" s="57" t="n">
        <f aca="false">IF(COUNTIFS(E$2:E408,E408,C$2:C408,C408)=1,1,0)</f>
        <v>0</v>
      </c>
      <c r="O408" s="57" t="n">
        <f aca="false">IF(COUNTIFS(E$2:E408,E408,C$2:C408,C408,D$2:D408,D408)=1,1,0)</f>
        <v>0</v>
      </c>
      <c r="P408" s="57" t="n">
        <f aca="false">IF(AND(C408=Calc!$C$3,OR(Calc!$C$4=0,D408=Calc!$C$4)),ROW(),0)</f>
        <v>0</v>
      </c>
    </row>
    <row r="409" customFormat="false" ht="15" hidden="false" customHeight="false" outlineLevel="0" collapsed="false">
      <c r="A409" s="57" t="s">
        <v>731</v>
      </c>
      <c r="B409" s="58" t="n">
        <v>45427</v>
      </c>
      <c r="C409" s="57" t="n">
        <f aca="false">YEAR(B409)</f>
        <v>2024</v>
      </c>
      <c r="D409" s="57" t="n">
        <f aca="false">MONTH(B409)</f>
        <v>5</v>
      </c>
      <c r="E409" s="57" t="s">
        <v>566</v>
      </c>
      <c r="F409" s="57" t="s">
        <v>69</v>
      </c>
      <c r="G409" s="57" t="s">
        <v>45</v>
      </c>
      <c r="H409" s="57" t="s">
        <v>44</v>
      </c>
      <c r="I409" s="59" t="n">
        <v>1</v>
      </c>
      <c r="J409" s="60" t="n">
        <v>119</v>
      </c>
      <c r="K409" s="60" t="n">
        <v>63</v>
      </c>
      <c r="L409" s="61" t="n">
        <f aca="false">I409*J409</f>
        <v>119</v>
      </c>
      <c r="M409" s="61" t="n">
        <f aca="false">L409-I409*K409</f>
        <v>56</v>
      </c>
      <c r="N409" s="57" t="n">
        <f aca="false">IF(COUNTIFS(E$2:E409,E409,C$2:C409,C409)=1,1,0)</f>
        <v>0</v>
      </c>
      <c r="O409" s="57" t="n">
        <f aca="false">IF(COUNTIFS(E$2:E409,E409,C$2:C409,C409,D$2:D409,D409)=1,1,0)</f>
        <v>1</v>
      </c>
      <c r="P409" s="57" t="n">
        <f aca="false">IF(AND(C409=Calc!$C$3,OR(Calc!$C$4=0,D409=Calc!$C$4)),ROW(),0)</f>
        <v>0</v>
      </c>
    </row>
    <row r="410" customFormat="false" ht="15" hidden="false" customHeight="false" outlineLevel="0" collapsed="false">
      <c r="A410" s="57" t="s">
        <v>732</v>
      </c>
      <c r="B410" s="58" t="n">
        <v>45428</v>
      </c>
      <c r="C410" s="57" t="n">
        <f aca="false">YEAR(B410)</f>
        <v>2024</v>
      </c>
      <c r="D410" s="57" t="n">
        <f aca="false">MONTH(B410)</f>
        <v>5</v>
      </c>
      <c r="E410" s="57" t="s">
        <v>201</v>
      </c>
      <c r="F410" s="57" t="s">
        <v>75</v>
      </c>
      <c r="G410" s="57" t="s">
        <v>40</v>
      </c>
      <c r="H410" s="57" t="s">
        <v>42</v>
      </c>
      <c r="I410" s="59" t="n">
        <v>2</v>
      </c>
      <c r="J410" s="60" t="n">
        <v>79</v>
      </c>
      <c r="K410" s="60" t="n">
        <v>31</v>
      </c>
      <c r="L410" s="61" t="n">
        <f aca="false">I410*J410</f>
        <v>158</v>
      </c>
      <c r="M410" s="61" t="n">
        <f aca="false">L410-I410*K410</f>
        <v>96</v>
      </c>
      <c r="N410" s="57" t="n">
        <f aca="false">IF(COUNTIFS(E$2:E410,E410,C$2:C410,C410)=1,1,0)</f>
        <v>0</v>
      </c>
      <c r="O410" s="57" t="n">
        <f aca="false">IF(COUNTIFS(E$2:E410,E410,C$2:C410,C410,D$2:D410,D410)=1,1,0)</f>
        <v>1</v>
      </c>
      <c r="P410" s="57" t="n">
        <f aca="false">IF(AND(C410=Calc!$C$3,OR(Calc!$C$4=0,D410=Calc!$C$4)),ROW(),0)</f>
        <v>0</v>
      </c>
    </row>
    <row r="411" customFormat="false" ht="15" hidden="false" customHeight="false" outlineLevel="0" collapsed="false">
      <c r="A411" s="57" t="s">
        <v>733</v>
      </c>
      <c r="B411" s="58" t="n">
        <v>45428</v>
      </c>
      <c r="C411" s="57" t="n">
        <f aca="false">YEAR(B411)</f>
        <v>2024</v>
      </c>
      <c r="D411" s="57" t="n">
        <f aca="false">MONTH(B411)</f>
        <v>5</v>
      </c>
      <c r="E411" s="57" t="s">
        <v>734</v>
      </c>
      <c r="F411" s="57" t="s">
        <v>69</v>
      </c>
      <c r="G411" s="57" t="s">
        <v>40</v>
      </c>
      <c r="H411" s="57" t="s">
        <v>42</v>
      </c>
      <c r="I411" s="59" t="n">
        <v>1</v>
      </c>
      <c r="J411" s="60" t="n">
        <v>79</v>
      </c>
      <c r="K411" s="60" t="n">
        <v>31</v>
      </c>
      <c r="L411" s="61" t="n">
        <f aca="false">I411*J411</f>
        <v>79</v>
      </c>
      <c r="M411" s="61" t="n">
        <f aca="false">L411-I411*K411</f>
        <v>48</v>
      </c>
      <c r="N411" s="57" t="n">
        <f aca="false">IF(COUNTIFS(E$2:E411,E411,C$2:C411,C411)=1,1,0)</f>
        <v>1</v>
      </c>
      <c r="O411" s="57" t="n">
        <f aca="false">IF(COUNTIFS(E$2:E411,E411,C$2:C411,C411,D$2:D411,D411)=1,1,0)</f>
        <v>1</v>
      </c>
      <c r="P411" s="57" t="n">
        <f aca="false">IF(AND(C411=Calc!$C$3,OR(Calc!$C$4=0,D411=Calc!$C$4)),ROW(),0)</f>
        <v>0</v>
      </c>
    </row>
    <row r="412" customFormat="false" ht="15" hidden="false" customHeight="false" outlineLevel="0" collapsed="false">
      <c r="A412" s="57" t="s">
        <v>735</v>
      </c>
      <c r="B412" s="58" t="n">
        <v>45428</v>
      </c>
      <c r="C412" s="57" t="n">
        <f aca="false">YEAR(B412)</f>
        <v>2024</v>
      </c>
      <c r="D412" s="57" t="n">
        <f aca="false">MONTH(B412)</f>
        <v>5</v>
      </c>
      <c r="E412" s="57" t="s">
        <v>227</v>
      </c>
      <c r="F412" s="57" t="s">
        <v>69</v>
      </c>
      <c r="G412" s="57" t="s">
        <v>35</v>
      </c>
      <c r="H412" s="57" t="s">
        <v>34</v>
      </c>
      <c r="I412" s="59" t="n">
        <v>1</v>
      </c>
      <c r="J412" s="60" t="n">
        <v>89</v>
      </c>
      <c r="K412" s="60" t="n">
        <v>41</v>
      </c>
      <c r="L412" s="61" t="n">
        <f aca="false">I412*J412</f>
        <v>89</v>
      </c>
      <c r="M412" s="61" t="n">
        <f aca="false">L412-I412*K412</f>
        <v>48</v>
      </c>
      <c r="N412" s="57" t="n">
        <f aca="false">IF(COUNTIFS(E$2:E412,E412,C$2:C412,C412)=1,1,0)</f>
        <v>0</v>
      </c>
      <c r="O412" s="57" t="n">
        <f aca="false">IF(COUNTIFS(E$2:E412,E412,C$2:C412,C412,D$2:D412,D412)=1,1,0)</f>
        <v>1</v>
      </c>
      <c r="P412" s="57" t="n">
        <f aca="false">IF(AND(C412=Calc!$C$3,OR(Calc!$C$4=0,D412=Calc!$C$4)),ROW(),0)</f>
        <v>0</v>
      </c>
    </row>
    <row r="413" customFormat="false" ht="15" hidden="false" customHeight="false" outlineLevel="0" collapsed="false">
      <c r="A413" s="57" t="s">
        <v>736</v>
      </c>
      <c r="B413" s="58" t="n">
        <v>45428</v>
      </c>
      <c r="C413" s="57" t="n">
        <f aca="false">YEAR(B413)</f>
        <v>2024</v>
      </c>
      <c r="D413" s="57" t="n">
        <f aca="false">MONTH(B413)</f>
        <v>5</v>
      </c>
      <c r="E413" s="57" t="s">
        <v>372</v>
      </c>
      <c r="F413" s="57" t="s">
        <v>81</v>
      </c>
      <c r="G413" s="57" t="s">
        <v>50</v>
      </c>
      <c r="H413" s="57" t="s">
        <v>51</v>
      </c>
      <c r="I413" s="59" t="n">
        <v>1</v>
      </c>
      <c r="J413" s="60" t="n">
        <v>69</v>
      </c>
      <c r="K413" s="60" t="n">
        <v>29</v>
      </c>
      <c r="L413" s="61" t="n">
        <f aca="false">I413*J413</f>
        <v>69</v>
      </c>
      <c r="M413" s="61" t="n">
        <f aca="false">L413-I413*K413</f>
        <v>40</v>
      </c>
      <c r="N413" s="57" t="n">
        <f aca="false">IF(COUNTIFS(E$2:E413,E413,C$2:C413,C413)=1,1,0)</f>
        <v>0</v>
      </c>
      <c r="O413" s="57" t="n">
        <f aca="false">IF(COUNTIFS(E$2:E413,E413,C$2:C413,C413,D$2:D413,D413)=1,1,0)</f>
        <v>0</v>
      </c>
      <c r="P413" s="57" t="n">
        <f aca="false">IF(AND(C413=Calc!$C$3,OR(Calc!$C$4=0,D413=Calc!$C$4)),ROW(),0)</f>
        <v>0</v>
      </c>
    </row>
    <row r="414" customFormat="false" ht="15" hidden="false" customHeight="false" outlineLevel="0" collapsed="false">
      <c r="A414" s="57" t="s">
        <v>737</v>
      </c>
      <c r="B414" s="58" t="n">
        <v>45429</v>
      </c>
      <c r="C414" s="57" t="n">
        <f aca="false">YEAR(B414)</f>
        <v>2024</v>
      </c>
      <c r="D414" s="57" t="n">
        <f aca="false">MONTH(B414)</f>
        <v>5</v>
      </c>
      <c r="E414" s="57" t="s">
        <v>390</v>
      </c>
      <c r="F414" s="57" t="s">
        <v>72</v>
      </c>
      <c r="G414" s="57" t="s">
        <v>35</v>
      </c>
      <c r="H414" s="57" t="s">
        <v>38</v>
      </c>
      <c r="I414" s="59" t="n">
        <v>2</v>
      </c>
      <c r="J414" s="60" t="n">
        <v>49</v>
      </c>
      <c r="K414" s="60" t="n">
        <v>22</v>
      </c>
      <c r="L414" s="61" t="n">
        <f aca="false">I414*J414</f>
        <v>98</v>
      </c>
      <c r="M414" s="61" t="n">
        <f aca="false">L414-I414*K414</f>
        <v>54</v>
      </c>
      <c r="N414" s="57" t="n">
        <f aca="false">IF(COUNTIFS(E$2:E414,E414,C$2:C414,C414)=1,1,0)</f>
        <v>0</v>
      </c>
      <c r="O414" s="57" t="n">
        <f aca="false">IF(COUNTIFS(E$2:E414,E414,C$2:C414,C414,D$2:D414,D414)=1,1,0)</f>
        <v>0</v>
      </c>
      <c r="P414" s="57" t="n">
        <f aca="false">IF(AND(C414=Calc!$C$3,OR(Calc!$C$4=0,D414=Calc!$C$4)),ROW(),0)</f>
        <v>0</v>
      </c>
    </row>
    <row r="415" customFormat="false" ht="15" hidden="false" customHeight="false" outlineLevel="0" collapsed="false">
      <c r="A415" s="57" t="s">
        <v>738</v>
      </c>
      <c r="B415" s="58" t="n">
        <v>45429</v>
      </c>
      <c r="C415" s="57" t="n">
        <f aca="false">YEAR(B415)</f>
        <v>2024</v>
      </c>
      <c r="D415" s="57" t="n">
        <f aca="false">MONTH(B415)</f>
        <v>5</v>
      </c>
      <c r="E415" s="57" t="s">
        <v>261</v>
      </c>
      <c r="F415" s="57" t="s">
        <v>75</v>
      </c>
      <c r="G415" s="57" t="s">
        <v>40</v>
      </c>
      <c r="H415" s="57" t="s">
        <v>42</v>
      </c>
      <c r="I415" s="59" t="n">
        <v>1</v>
      </c>
      <c r="J415" s="60" t="n">
        <v>79</v>
      </c>
      <c r="K415" s="60" t="n">
        <v>31</v>
      </c>
      <c r="L415" s="61" t="n">
        <f aca="false">I415*J415</f>
        <v>79</v>
      </c>
      <c r="M415" s="61" t="n">
        <f aca="false">L415-I415*K415</f>
        <v>48</v>
      </c>
      <c r="N415" s="57" t="n">
        <f aca="false">IF(COUNTIFS(E$2:E415,E415,C$2:C415,C415)=1,1,0)</f>
        <v>0</v>
      </c>
      <c r="O415" s="57" t="n">
        <f aca="false">IF(COUNTIFS(E$2:E415,E415,C$2:C415,C415,D$2:D415,D415)=1,1,0)</f>
        <v>1</v>
      </c>
      <c r="P415" s="57" t="n">
        <f aca="false">IF(AND(C415=Calc!$C$3,OR(Calc!$C$4=0,D415=Calc!$C$4)),ROW(),0)</f>
        <v>0</v>
      </c>
    </row>
    <row r="416" customFormat="false" ht="15" hidden="false" customHeight="false" outlineLevel="0" collapsed="false">
      <c r="A416" s="57" t="s">
        <v>739</v>
      </c>
      <c r="B416" s="58" t="n">
        <v>45429</v>
      </c>
      <c r="C416" s="57" t="n">
        <f aca="false">YEAR(B416)</f>
        <v>2024</v>
      </c>
      <c r="D416" s="57" t="n">
        <f aca="false">MONTH(B416)</f>
        <v>5</v>
      </c>
      <c r="E416" s="57" t="s">
        <v>263</v>
      </c>
      <c r="F416" s="57" t="s">
        <v>69</v>
      </c>
      <c r="G416" s="57" t="s">
        <v>35</v>
      </c>
      <c r="H416" s="57" t="s">
        <v>38</v>
      </c>
      <c r="I416" s="59" t="n">
        <v>1</v>
      </c>
      <c r="J416" s="60" t="n">
        <v>49</v>
      </c>
      <c r="K416" s="60" t="n">
        <v>22</v>
      </c>
      <c r="L416" s="61" t="n">
        <f aca="false">I416*J416</f>
        <v>49</v>
      </c>
      <c r="M416" s="61" t="n">
        <f aca="false">L416-I416*K416</f>
        <v>27</v>
      </c>
      <c r="N416" s="57" t="n">
        <f aca="false">IF(COUNTIFS(E$2:E416,E416,C$2:C416,C416)=1,1,0)</f>
        <v>0</v>
      </c>
      <c r="O416" s="57" t="n">
        <f aca="false">IF(COUNTIFS(E$2:E416,E416,C$2:C416,C416,D$2:D416,D416)=1,1,0)</f>
        <v>1</v>
      </c>
      <c r="P416" s="57" t="n">
        <f aca="false">IF(AND(C416=Calc!$C$3,OR(Calc!$C$4=0,D416=Calc!$C$4)),ROW(),0)</f>
        <v>0</v>
      </c>
    </row>
    <row r="417" customFormat="false" ht="15" hidden="false" customHeight="false" outlineLevel="0" collapsed="false">
      <c r="A417" s="57" t="s">
        <v>740</v>
      </c>
      <c r="B417" s="58" t="n">
        <v>45430</v>
      </c>
      <c r="C417" s="57" t="n">
        <f aca="false">YEAR(B417)</f>
        <v>2024</v>
      </c>
      <c r="D417" s="57" t="n">
        <f aca="false">MONTH(B417)</f>
        <v>5</v>
      </c>
      <c r="E417" s="57" t="s">
        <v>680</v>
      </c>
      <c r="F417" s="57" t="s">
        <v>81</v>
      </c>
      <c r="G417" s="57" t="s">
        <v>40</v>
      </c>
      <c r="H417" s="57" t="s">
        <v>39</v>
      </c>
      <c r="I417" s="59" t="n">
        <v>1</v>
      </c>
      <c r="J417" s="60" t="n">
        <v>54</v>
      </c>
      <c r="K417" s="60" t="n">
        <v>19</v>
      </c>
      <c r="L417" s="61" t="n">
        <f aca="false">I417*J417</f>
        <v>54</v>
      </c>
      <c r="M417" s="61" t="n">
        <f aca="false">L417-I417*K417</f>
        <v>35</v>
      </c>
      <c r="N417" s="57" t="n">
        <f aca="false">IF(COUNTIFS(E$2:E417,E417,C$2:C417,C417)=1,1,0)</f>
        <v>0</v>
      </c>
      <c r="O417" s="57" t="n">
        <f aca="false">IF(COUNTIFS(E$2:E417,E417,C$2:C417,C417,D$2:D417,D417)=1,1,0)</f>
        <v>0</v>
      </c>
      <c r="P417" s="57" t="n">
        <f aca="false">IF(AND(C417=Calc!$C$3,OR(Calc!$C$4=0,D417=Calc!$C$4)),ROW(),0)</f>
        <v>0</v>
      </c>
    </row>
    <row r="418" customFormat="false" ht="15" hidden="false" customHeight="false" outlineLevel="0" collapsed="false">
      <c r="A418" s="57" t="s">
        <v>741</v>
      </c>
      <c r="B418" s="58" t="n">
        <v>45430</v>
      </c>
      <c r="C418" s="57" t="n">
        <f aca="false">YEAR(B418)</f>
        <v>2024</v>
      </c>
      <c r="D418" s="57" t="n">
        <f aca="false">MONTH(B418)</f>
        <v>5</v>
      </c>
      <c r="E418" s="57" t="s">
        <v>240</v>
      </c>
      <c r="F418" s="57" t="s">
        <v>75</v>
      </c>
      <c r="G418" s="57" t="s">
        <v>40</v>
      </c>
      <c r="H418" s="57" t="s">
        <v>41</v>
      </c>
      <c r="I418" s="59" t="n">
        <v>1</v>
      </c>
      <c r="J418" s="60" t="n">
        <v>46</v>
      </c>
      <c r="K418" s="60" t="n">
        <v>16</v>
      </c>
      <c r="L418" s="61" t="n">
        <f aca="false">I418*J418</f>
        <v>46</v>
      </c>
      <c r="M418" s="61" t="n">
        <f aca="false">L418-I418*K418</f>
        <v>30</v>
      </c>
      <c r="N418" s="57" t="n">
        <f aca="false">IF(COUNTIFS(E$2:E418,E418,C$2:C418,C418)=1,1,0)</f>
        <v>0</v>
      </c>
      <c r="O418" s="57" t="n">
        <f aca="false">IF(COUNTIFS(E$2:E418,E418,C$2:C418,C418,D$2:D418,D418)=1,1,0)</f>
        <v>1</v>
      </c>
      <c r="P418" s="57" t="n">
        <f aca="false">IF(AND(C418=Calc!$C$3,OR(Calc!$C$4=0,D418=Calc!$C$4)),ROW(),0)</f>
        <v>0</v>
      </c>
    </row>
    <row r="419" customFormat="false" ht="15" hidden="false" customHeight="false" outlineLevel="0" collapsed="false">
      <c r="A419" s="57" t="s">
        <v>742</v>
      </c>
      <c r="B419" s="58" t="n">
        <v>45430</v>
      </c>
      <c r="C419" s="57" t="n">
        <f aca="false">YEAR(B419)</f>
        <v>2024</v>
      </c>
      <c r="D419" s="57" t="n">
        <f aca="false">MONTH(B419)</f>
        <v>5</v>
      </c>
      <c r="E419" s="57" t="s">
        <v>743</v>
      </c>
      <c r="F419" s="57" t="s">
        <v>69</v>
      </c>
      <c r="G419" s="57" t="s">
        <v>50</v>
      </c>
      <c r="H419" s="57" t="s">
        <v>52</v>
      </c>
      <c r="I419" s="59" t="n">
        <v>1</v>
      </c>
      <c r="J419" s="60" t="n">
        <v>45</v>
      </c>
      <c r="K419" s="60" t="n">
        <v>14</v>
      </c>
      <c r="L419" s="61" t="n">
        <f aca="false">I419*J419</f>
        <v>45</v>
      </c>
      <c r="M419" s="61" t="n">
        <f aca="false">L419-I419*K419</f>
        <v>31</v>
      </c>
      <c r="N419" s="57" t="n">
        <f aca="false">IF(COUNTIFS(E$2:E419,E419,C$2:C419,C419)=1,1,0)</f>
        <v>1</v>
      </c>
      <c r="O419" s="57" t="n">
        <f aca="false">IF(COUNTIFS(E$2:E419,E419,C$2:C419,C419,D$2:D419,D419)=1,1,0)</f>
        <v>1</v>
      </c>
      <c r="P419" s="57" t="n">
        <f aca="false">IF(AND(C419=Calc!$C$3,OR(Calc!$C$4=0,D419=Calc!$C$4)),ROW(),0)</f>
        <v>0</v>
      </c>
    </row>
    <row r="420" customFormat="false" ht="15" hidden="false" customHeight="false" outlineLevel="0" collapsed="false">
      <c r="A420" s="57" t="s">
        <v>744</v>
      </c>
      <c r="B420" s="58" t="n">
        <v>45431</v>
      </c>
      <c r="C420" s="57" t="n">
        <f aca="false">YEAR(B420)</f>
        <v>2024</v>
      </c>
      <c r="D420" s="57" t="n">
        <f aca="false">MONTH(B420)</f>
        <v>5</v>
      </c>
      <c r="E420" s="57" t="s">
        <v>393</v>
      </c>
      <c r="F420" s="57" t="s">
        <v>78</v>
      </c>
      <c r="G420" s="57" t="s">
        <v>45</v>
      </c>
      <c r="H420" s="57" t="s">
        <v>47</v>
      </c>
      <c r="I420" s="59" t="n">
        <v>2</v>
      </c>
      <c r="J420" s="60" t="n">
        <v>34</v>
      </c>
      <c r="K420" s="60" t="n">
        <v>12</v>
      </c>
      <c r="L420" s="61" t="n">
        <f aca="false">I420*J420</f>
        <v>68</v>
      </c>
      <c r="M420" s="61" t="n">
        <f aca="false">L420-I420*K420</f>
        <v>44</v>
      </c>
      <c r="N420" s="57" t="n">
        <f aca="false">IF(COUNTIFS(E$2:E420,E420,C$2:C420,C420)=1,1,0)</f>
        <v>0</v>
      </c>
      <c r="O420" s="57" t="n">
        <f aca="false">IF(COUNTIFS(E$2:E420,E420,C$2:C420,C420,D$2:D420,D420)=1,1,0)</f>
        <v>1</v>
      </c>
      <c r="P420" s="57" t="n">
        <f aca="false">IF(AND(C420=Calc!$C$3,OR(Calc!$C$4=0,D420=Calc!$C$4)),ROW(),0)</f>
        <v>0</v>
      </c>
    </row>
    <row r="421" customFormat="false" ht="15" hidden="false" customHeight="false" outlineLevel="0" collapsed="false">
      <c r="A421" s="57" t="s">
        <v>745</v>
      </c>
      <c r="B421" s="58" t="n">
        <v>45431</v>
      </c>
      <c r="C421" s="57" t="n">
        <f aca="false">YEAR(B421)</f>
        <v>2024</v>
      </c>
      <c r="D421" s="57" t="n">
        <f aca="false">MONTH(B421)</f>
        <v>5</v>
      </c>
      <c r="E421" s="57" t="s">
        <v>746</v>
      </c>
      <c r="F421" s="57" t="s">
        <v>69</v>
      </c>
      <c r="G421" s="57" t="s">
        <v>35</v>
      </c>
      <c r="H421" s="57" t="s">
        <v>34</v>
      </c>
      <c r="I421" s="59" t="n">
        <v>1</v>
      </c>
      <c r="J421" s="60" t="n">
        <v>89</v>
      </c>
      <c r="K421" s="60" t="n">
        <v>41</v>
      </c>
      <c r="L421" s="61" t="n">
        <f aca="false">I421*J421</f>
        <v>89</v>
      </c>
      <c r="M421" s="61" t="n">
        <f aca="false">L421-I421*K421</f>
        <v>48</v>
      </c>
      <c r="N421" s="57" t="n">
        <f aca="false">IF(COUNTIFS(E$2:E421,E421,C$2:C421,C421)=1,1,0)</f>
        <v>1</v>
      </c>
      <c r="O421" s="57" t="n">
        <f aca="false">IF(COUNTIFS(E$2:E421,E421,C$2:C421,C421,D$2:D421,D421)=1,1,0)</f>
        <v>1</v>
      </c>
      <c r="P421" s="57" t="n">
        <f aca="false">IF(AND(C421=Calc!$C$3,OR(Calc!$C$4=0,D421=Calc!$C$4)),ROW(),0)</f>
        <v>0</v>
      </c>
    </row>
    <row r="422" customFormat="false" ht="15" hidden="false" customHeight="false" outlineLevel="0" collapsed="false">
      <c r="A422" s="57" t="s">
        <v>747</v>
      </c>
      <c r="B422" s="58" t="n">
        <v>45431</v>
      </c>
      <c r="C422" s="57" t="n">
        <f aca="false">YEAR(B422)</f>
        <v>2024</v>
      </c>
      <c r="D422" s="57" t="n">
        <f aca="false">MONTH(B422)</f>
        <v>5</v>
      </c>
      <c r="E422" s="57" t="s">
        <v>748</v>
      </c>
      <c r="F422" s="57" t="s">
        <v>72</v>
      </c>
      <c r="G422" s="57" t="s">
        <v>40</v>
      </c>
      <c r="H422" s="57" t="s">
        <v>39</v>
      </c>
      <c r="I422" s="59" t="n">
        <v>1</v>
      </c>
      <c r="J422" s="60" t="n">
        <v>54</v>
      </c>
      <c r="K422" s="60" t="n">
        <v>19</v>
      </c>
      <c r="L422" s="61" t="n">
        <f aca="false">I422*J422</f>
        <v>54</v>
      </c>
      <c r="M422" s="61" t="n">
        <f aca="false">L422-I422*K422</f>
        <v>35</v>
      </c>
      <c r="N422" s="57" t="n">
        <f aca="false">IF(COUNTIFS(E$2:E422,E422,C$2:C422,C422)=1,1,0)</f>
        <v>1</v>
      </c>
      <c r="O422" s="57" t="n">
        <f aca="false">IF(COUNTIFS(E$2:E422,E422,C$2:C422,C422,D$2:D422,D422)=1,1,0)</f>
        <v>1</v>
      </c>
      <c r="P422" s="57" t="n">
        <f aca="false">IF(AND(C422=Calc!$C$3,OR(Calc!$C$4=0,D422=Calc!$C$4)),ROW(),0)</f>
        <v>0</v>
      </c>
    </row>
    <row r="423" customFormat="false" ht="15" hidden="false" customHeight="false" outlineLevel="0" collapsed="false">
      <c r="A423" s="57" t="s">
        <v>749</v>
      </c>
      <c r="B423" s="58" t="n">
        <v>45431</v>
      </c>
      <c r="C423" s="57" t="n">
        <f aca="false">YEAR(B423)</f>
        <v>2024</v>
      </c>
      <c r="D423" s="57" t="n">
        <f aca="false">MONTH(B423)</f>
        <v>5</v>
      </c>
      <c r="E423" s="57" t="s">
        <v>750</v>
      </c>
      <c r="F423" s="57" t="s">
        <v>72</v>
      </c>
      <c r="G423" s="57" t="s">
        <v>35</v>
      </c>
      <c r="H423" s="57" t="s">
        <v>37</v>
      </c>
      <c r="I423" s="59" t="n">
        <v>1</v>
      </c>
      <c r="J423" s="60" t="n">
        <v>59</v>
      </c>
      <c r="K423" s="60" t="n">
        <v>27</v>
      </c>
      <c r="L423" s="61" t="n">
        <f aca="false">I423*J423</f>
        <v>59</v>
      </c>
      <c r="M423" s="61" t="n">
        <f aca="false">L423-I423*K423</f>
        <v>32</v>
      </c>
      <c r="N423" s="57" t="n">
        <f aca="false">IF(COUNTIFS(E$2:E423,E423,C$2:C423,C423)=1,1,0)</f>
        <v>1</v>
      </c>
      <c r="O423" s="57" t="n">
        <f aca="false">IF(COUNTIFS(E$2:E423,E423,C$2:C423,C423,D$2:D423,D423)=1,1,0)</f>
        <v>1</v>
      </c>
      <c r="P423" s="57" t="n">
        <f aca="false">IF(AND(C423=Calc!$C$3,OR(Calc!$C$4=0,D423=Calc!$C$4)),ROW(),0)</f>
        <v>0</v>
      </c>
    </row>
    <row r="424" customFormat="false" ht="15" hidden="false" customHeight="false" outlineLevel="0" collapsed="false">
      <c r="A424" s="57" t="s">
        <v>751</v>
      </c>
      <c r="B424" s="58" t="n">
        <v>45431</v>
      </c>
      <c r="C424" s="57" t="n">
        <f aca="false">YEAR(B424)</f>
        <v>2024</v>
      </c>
      <c r="D424" s="57" t="n">
        <f aca="false">MONTH(B424)</f>
        <v>5</v>
      </c>
      <c r="E424" s="57" t="s">
        <v>752</v>
      </c>
      <c r="F424" s="57" t="s">
        <v>69</v>
      </c>
      <c r="G424" s="57" t="s">
        <v>35</v>
      </c>
      <c r="H424" s="57" t="s">
        <v>36</v>
      </c>
      <c r="I424" s="59" t="n">
        <v>1</v>
      </c>
      <c r="J424" s="60" t="n">
        <v>179</v>
      </c>
      <c r="K424" s="60" t="n">
        <v>92</v>
      </c>
      <c r="L424" s="61" t="n">
        <f aca="false">I424*J424</f>
        <v>179</v>
      </c>
      <c r="M424" s="61" t="n">
        <f aca="false">L424-I424*K424</f>
        <v>87</v>
      </c>
      <c r="N424" s="57" t="n">
        <f aca="false">IF(COUNTIFS(E$2:E424,E424,C$2:C424,C424)=1,1,0)</f>
        <v>1</v>
      </c>
      <c r="O424" s="57" t="n">
        <f aca="false">IF(COUNTIFS(E$2:E424,E424,C$2:C424,C424,D$2:D424,D424)=1,1,0)</f>
        <v>1</v>
      </c>
      <c r="P424" s="57" t="n">
        <f aca="false">IF(AND(C424=Calc!$C$3,OR(Calc!$C$4=0,D424=Calc!$C$4)),ROW(),0)</f>
        <v>0</v>
      </c>
    </row>
    <row r="425" customFormat="false" ht="15" hidden="false" customHeight="false" outlineLevel="0" collapsed="false">
      <c r="A425" s="57" t="s">
        <v>753</v>
      </c>
      <c r="B425" s="58" t="n">
        <v>45432</v>
      </c>
      <c r="C425" s="57" t="n">
        <f aca="false">YEAR(B425)</f>
        <v>2024</v>
      </c>
      <c r="D425" s="57" t="n">
        <f aca="false">MONTH(B425)</f>
        <v>5</v>
      </c>
      <c r="E425" s="57" t="s">
        <v>311</v>
      </c>
      <c r="F425" s="57" t="s">
        <v>69</v>
      </c>
      <c r="G425" s="57" t="s">
        <v>35</v>
      </c>
      <c r="H425" s="57" t="s">
        <v>37</v>
      </c>
      <c r="I425" s="59" t="n">
        <v>1</v>
      </c>
      <c r="J425" s="60" t="n">
        <v>59</v>
      </c>
      <c r="K425" s="60" t="n">
        <v>27</v>
      </c>
      <c r="L425" s="61" t="n">
        <f aca="false">I425*J425</f>
        <v>59</v>
      </c>
      <c r="M425" s="61" t="n">
        <f aca="false">L425-I425*K425</f>
        <v>32</v>
      </c>
      <c r="N425" s="57" t="n">
        <f aca="false">IF(COUNTIFS(E$2:E425,E425,C$2:C425,C425)=1,1,0)</f>
        <v>0</v>
      </c>
      <c r="O425" s="57" t="n">
        <f aca="false">IF(COUNTIFS(E$2:E425,E425,C$2:C425,C425,D$2:D425,D425)=1,1,0)</f>
        <v>1</v>
      </c>
      <c r="P425" s="57" t="n">
        <f aca="false">IF(AND(C425=Calc!$C$3,OR(Calc!$C$4=0,D425=Calc!$C$4)),ROW(),0)</f>
        <v>0</v>
      </c>
    </row>
    <row r="426" customFormat="false" ht="15" hidden="false" customHeight="false" outlineLevel="0" collapsed="false">
      <c r="A426" s="57" t="s">
        <v>754</v>
      </c>
      <c r="B426" s="58" t="n">
        <v>45432</v>
      </c>
      <c r="C426" s="57" t="n">
        <f aca="false">YEAR(B426)</f>
        <v>2024</v>
      </c>
      <c r="D426" s="57" t="n">
        <f aca="false">MONTH(B426)</f>
        <v>5</v>
      </c>
      <c r="E426" s="57" t="s">
        <v>85</v>
      </c>
      <c r="F426" s="57" t="s">
        <v>69</v>
      </c>
      <c r="G426" s="57" t="s">
        <v>35</v>
      </c>
      <c r="H426" s="57" t="s">
        <v>34</v>
      </c>
      <c r="I426" s="59" t="n">
        <v>1</v>
      </c>
      <c r="J426" s="60" t="n">
        <v>89</v>
      </c>
      <c r="K426" s="60" t="n">
        <v>41</v>
      </c>
      <c r="L426" s="61" t="n">
        <f aca="false">I426*J426</f>
        <v>89</v>
      </c>
      <c r="M426" s="61" t="n">
        <f aca="false">L426-I426*K426</f>
        <v>48</v>
      </c>
      <c r="N426" s="57" t="n">
        <f aca="false">IF(COUNTIFS(E$2:E426,E426,C$2:C426,C426)=1,1,0)</f>
        <v>0</v>
      </c>
      <c r="O426" s="57" t="n">
        <f aca="false">IF(COUNTIFS(E$2:E426,E426,C$2:C426,C426,D$2:D426,D426)=1,1,0)</f>
        <v>0</v>
      </c>
      <c r="P426" s="57" t="n">
        <f aca="false">IF(AND(C426=Calc!$C$3,OR(Calc!$C$4=0,D426=Calc!$C$4)),ROW(),0)</f>
        <v>0</v>
      </c>
    </row>
    <row r="427" customFormat="false" ht="15" hidden="false" customHeight="false" outlineLevel="0" collapsed="false">
      <c r="A427" s="57" t="s">
        <v>755</v>
      </c>
      <c r="B427" s="58" t="n">
        <v>45432</v>
      </c>
      <c r="C427" s="57" t="n">
        <f aca="false">YEAR(B427)</f>
        <v>2024</v>
      </c>
      <c r="D427" s="57" t="n">
        <f aca="false">MONTH(B427)</f>
        <v>5</v>
      </c>
      <c r="E427" s="57" t="s">
        <v>756</v>
      </c>
      <c r="F427" s="57" t="s">
        <v>69</v>
      </c>
      <c r="G427" s="57" t="s">
        <v>35</v>
      </c>
      <c r="H427" s="57" t="s">
        <v>37</v>
      </c>
      <c r="I427" s="59" t="n">
        <v>1</v>
      </c>
      <c r="J427" s="60" t="n">
        <v>59</v>
      </c>
      <c r="K427" s="60" t="n">
        <v>27</v>
      </c>
      <c r="L427" s="61" t="n">
        <f aca="false">I427*J427</f>
        <v>59</v>
      </c>
      <c r="M427" s="61" t="n">
        <f aca="false">L427-I427*K427</f>
        <v>32</v>
      </c>
      <c r="N427" s="57" t="n">
        <f aca="false">IF(COUNTIFS(E$2:E427,E427,C$2:C427,C427)=1,1,0)</f>
        <v>1</v>
      </c>
      <c r="O427" s="57" t="n">
        <f aca="false">IF(COUNTIFS(E$2:E427,E427,C$2:C427,C427,D$2:D427,D427)=1,1,0)</f>
        <v>1</v>
      </c>
      <c r="P427" s="57" t="n">
        <f aca="false">IF(AND(C427=Calc!$C$3,OR(Calc!$C$4=0,D427=Calc!$C$4)),ROW(),0)</f>
        <v>0</v>
      </c>
    </row>
    <row r="428" customFormat="false" ht="15" hidden="false" customHeight="false" outlineLevel="0" collapsed="false">
      <c r="A428" s="57" t="s">
        <v>757</v>
      </c>
      <c r="B428" s="58" t="n">
        <v>45433</v>
      </c>
      <c r="C428" s="57" t="n">
        <f aca="false">YEAR(B428)</f>
        <v>2024</v>
      </c>
      <c r="D428" s="57" t="n">
        <f aca="false">MONTH(B428)</f>
        <v>5</v>
      </c>
      <c r="E428" s="57" t="s">
        <v>758</v>
      </c>
      <c r="F428" s="57" t="s">
        <v>72</v>
      </c>
      <c r="G428" s="57" t="s">
        <v>45</v>
      </c>
      <c r="H428" s="57" t="s">
        <v>47</v>
      </c>
      <c r="I428" s="59" t="n">
        <v>1</v>
      </c>
      <c r="J428" s="60" t="n">
        <v>34</v>
      </c>
      <c r="K428" s="60" t="n">
        <v>12</v>
      </c>
      <c r="L428" s="61" t="n">
        <f aca="false">I428*J428</f>
        <v>34</v>
      </c>
      <c r="M428" s="61" t="n">
        <f aca="false">L428-I428*K428</f>
        <v>22</v>
      </c>
      <c r="N428" s="57" t="n">
        <f aca="false">IF(COUNTIFS(E$2:E428,E428,C$2:C428,C428)=1,1,0)</f>
        <v>1</v>
      </c>
      <c r="O428" s="57" t="n">
        <f aca="false">IF(COUNTIFS(E$2:E428,E428,C$2:C428,C428,D$2:D428,D428)=1,1,0)</f>
        <v>1</v>
      </c>
      <c r="P428" s="57" t="n">
        <f aca="false">IF(AND(C428=Calc!$C$3,OR(Calc!$C$4=0,D428=Calc!$C$4)),ROW(),0)</f>
        <v>0</v>
      </c>
    </row>
    <row r="429" customFormat="false" ht="15" hidden="false" customHeight="false" outlineLevel="0" collapsed="false">
      <c r="A429" s="57" t="s">
        <v>759</v>
      </c>
      <c r="B429" s="58" t="n">
        <v>45433</v>
      </c>
      <c r="C429" s="57" t="n">
        <f aca="false">YEAR(B429)</f>
        <v>2024</v>
      </c>
      <c r="D429" s="57" t="n">
        <f aca="false">MONTH(B429)</f>
        <v>5</v>
      </c>
      <c r="E429" s="57" t="s">
        <v>347</v>
      </c>
      <c r="F429" s="57" t="s">
        <v>72</v>
      </c>
      <c r="G429" s="57" t="s">
        <v>50</v>
      </c>
      <c r="H429" s="57" t="s">
        <v>49</v>
      </c>
      <c r="I429" s="59" t="n">
        <v>2</v>
      </c>
      <c r="J429" s="60" t="n">
        <v>32</v>
      </c>
      <c r="K429" s="60" t="n">
        <v>7</v>
      </c>
      <c r="L429" s="61" t="n">
        <f aca="false">I429*J429</f>
        <v>64</v>
      </c>
      <c r="M429" s="61" t="n">
        <f aca="false">L429-I429*K429</f>
        <v>50</v>
      </c>
      <c r="N429" s="57" t="n">
        <f aca="false">IF(COUNTIFS(E$2:E429,E429,C$2:C429,C429)=1,1,0)</f>
        <v>0</v>
      </c>
      <c r="O429" s="57" t="n">
        <f aca="false">IF(COUNTIFS(E$2:E429,E429,C$2:C429,C429,D$2:D429,D429)=1,1,0)</f>
        <v>1</v>
      </c>
      <c r="P429" s="57" t="n">
        <f aca="false">IF(AND(C429=Calc!$C$3,OR(Calc!$C$4=0,D429=Calc!$C$4)),ROW(),0)</f>
        <v>0</v>
      </c>
    </row>
    <row r="430" customFormat="false" ht="15" hidden="false" customHeight="false" outlineLevel="0" collapsed="false">
      <c r="A430" s="57" t="s">
        <v>760</v>
      </c>
      <c r="B430" s="58" t="n">
        <v>45433</v>
      </c>
      <c r="C430" s="57" t="n">
        <f aca="false">YEAR(B430)</f>
        <v>2024</v>
      </c>
      <c r="D430" s="57" t="n">
        <f aca="false">MONTH(B430)</f>
        <v>5</v>
      </c>
      <c r="E430" s="57" t="s">
        <v>761</v>
      </c>
      <c r="F430" s="57" t="s">
        <v>75</v>
      </c>
      <c r="G430" s="57" t="s">
        <v>35</v>
      </c>
      <c r="H430" s="57" t="s">
        <v>38</v>
      </c>
      <c r="I430" s="59" t="n">
        <v>1</v>
      </c>
      <c r="J430" s="60" t="n">
        <v>49</v>
      </c>
      <c r="K430" s="60" t="n">
        <v>22</v>
      </c>
      <c r="L430" s="61" t="n">
        <f aca="false">I430*J430</f>
        <v>49</v>
      </c>
      <c r="M430" s="61" t="n">
        <f aca="false">L430-I430*K430</f>
        <v>27</v>
      </c>
      <c r="N430" s="57" t="n">
        <f aca="false">IF(COUNTIFS(E$2:E430,E430,C$2:C430,C430)=1,1,0)</f>
        <v>1</v>
      </c>
      <c r="O430" s="57" t="n">
        <f aca="false">IF(COUNTIFS(E$2:E430,E430,C$2:C430,C430,D$2:D430,D430)=1,1,0)</f>
        <v>1</v>
      </c>
      <c r="P430" s="57" t="n">
        <f aca="false">IF(AND(C430=Calc!$C$3,OR(Calc!$C$4=0,D430=Calc!$C$4)),ROW(),0)</f>
        <v>0</v>
      </c>
    </row>
    <row r="431" customFormat="false" ht="15" hidden="false" customHeight="false" outlineLevel="0" collapsed="false">
      <c r="A431" s="57" t="s">
        <v>762</v>
      </c>
      <c r="B431" s="58" t="n">
        <v>45434</v>
      </c>
      <c r="C431" s="57" t="n">
        <f aca="false">YEAR(B431)</f>
        <v>2024</v>
      </c>
      <c r="D431" s="57" t="n">
        <f aca="false">MONTH(B431)</f>
        <v>5</v>
      </c>
      <c r="E431" s="57" t="s">
        <v>550</v>
      </c>
      <c r="F431" s="57" t="s">
        <v>69</v>
      </c>
      <c r="G431" s="57" t="s">
        <v>50</v>
      </c>
      <c r="H431" s="57" t="s">
        <v>49</v>
      </c>
      <c r="I431" s="59" t="n">
        <v>1</v>
      </c>
      <c r="J431" s="60" t="n">
        <v>32</v>
      </c>
      <c r="K431" s="60" t="n">
        <v>7</v>
      </c>
      <c r="L431" s="61" t="n">
        <f aca="false">I431*J431</f>
        <v>32</v>
      </c>
      <c r="M431" s="61" t="n">
        <f aca="false">L431-I431*K431</f>
        <v>25</v>
      </c>
      <c r="N431" s="57" t="n">
        <f aca="false">IF(COUNTIFS(E$2:E431,E431,C$2:C431,C431)=1,1,0)</f>
        <v>0</v>
      </c>
      <c r="O431" s="57" t="n">
        <f aca="false">IF(COUNTIFS(E$2:E431,E431,C$2:C431,C431,D$2:D431,D431)=1,1,0)</f>
        <v>1</v>
      </c>
      <c r="P431" s="57" t="n">
        <f aca="false">IF(AND(C431=Calc!$C$3,OR(Calc!$C$4=0,D431=Calc!$C$4)),ROW(),0)</f>
        <v>0</v>
      </c>
    </row>
    <row r="432" customFormat="false" ht="15" hidden="false" customHeight="false" outlineLevel="0" collapsed="false">
      <c r="A432" s="57" t="s">
        <v>763</v>
      </c>
      <c r="B432" s="58" t="n">
        <v>45434</v>
      </c>
      <c r="C432" s="57" t="n">
        <f aca="false">YEAR(B432)</f>
        <v>2024</v>
      </c>
      <c r="D432" s="57" t="n">
        <f aca="false">MONTH(B432)</f>
        <v>5</v>
      </c>
      <c r="E432" s="57" t="s">
        <v>229</v>
      </c>
      <c r="F432" s="57" t="s">
        <v>81</v>
      </c>
      <c r="G432" s="57" t="s">
        <v>45</v>
      </c>
      <c r="H432" s="57" t="s">
        <v>46</v>
      </c>
      <c r="I432" s="59" t="n">
        <v>1</v>
      </c>
      <c r="J432" s="60" t="n">
        <v>149</v>
      </c>
      <c r="K432" s="60" t="n">
        <v>71</v>
      </c>
      <c r="L432" s="61" t="n">
        <f aca="false">I432*J432</f>
        <v>149</v>
      </c>
      <c r="M432" s="61" t="n">
        <f aca="false">L432-I432*K432</f>
        <v>78</v>
      </c>
      <c r="N432" s="57" t="n">
        <f aca="false">IF(COUNTIFS(E$2:E432,E432,C$2:C432,C432)=1,1,0)</f>
        <v>0</v>
      </c>
      <c r="O432" s="57" t="n">
        <f aca="false">IF(COUNTIFS(E$2:E432,E432,C$2:C432,C432,D$2:D432,D432)=1,1,0)</f>
        <v>1</v>
      </c>
      <c r="P432" s="57" t="n">
        <f aca="false">IF(AND(C432=Calc!$C$3,OR(Calc!$C$4=0,D432=Calc!$C$4)),ROW(),0)</f>
        <v>0</v>
      </c>
    </row>
    <row r="433" customFormat="false" ht="15" hidden="false" customHeight="false" outlineLevel="0" collapsed="false">
      <c r="A433" s="57" t="s">
        <v>764</v>
      </c>
      <c r="B433" s="58" t="n">
        <v>45434</v>
      </c>
      <c r="C433" s="57" t="n">
        <f aca="false">YEAR(B433)</f>
        <v>2024</v>
      </c>
      <c r="D433" s="57" t="n">
        <f aca="false">MONTH(B433)</f>
        <v>5</v>
      </c>
      <c r="E433" s="57" t="s">
        <v>765</v>
      </c>
      <c r="F433" s="57" t="s">
        <v>72</v>
      </c>
      <c r="G433" s="57" t="s">
        <v>45</v>
      </c>
      <c r="H433" s="57" t="s">
        <v>48</v>
      </c>
      <c r="I433" s="59" t="n">
        <v>3</v>
      </c>
      <c r="J433" s="60" t="n">
        <v>99</v>
      </c>
      <c r="K433" s="60" t="n">
        <v>38</v>
      </c>
      <c r="L433" s="61" t="n">
        <f aca="false">I433*J433</f>
        <v>297</v>
      </c>
      <c r="M433" s="61" t="n">
        <f aca="false">L433-I433*K433</f>
        <v>183</v>
      </c>
      <c r="N433" s="57" t="n">
        <f aca="false">IF(COUNTIFS(E$2:E433,E433,C$2:C433,C433)=1,1,0)</f>
        <v>1</v>
      </c>
      <c r="O433" s="57" t="n">
        <f aca="false">IF(COUNTIFS(E$2:E433,E433,C$2:C433,C433,D$2:D433,D433)=1,1,0)</f>
        <v>1</v>
      </c>
      <c r="P433" s="57" t="n">
        <f aca="false">IF(AND(C433=Calc!$C$3,OR(Calc!$C$4=0,D433=Calc!$C$4)),ROW(),0)</f>
        <v>0</v>
      </c>
    </row>
    <row r="434" customFormat="false" ht="15" hidden="false" customHeight="false" outlineLevel="0" collapsed="false">
      <c r="A434" s="57" t="s">
        <v>766</v>
      </c>
      <c r="B434" s="58" t="n">
        <v>45435</v>
      </c>
      <c r="C434" s="57" t="n">
        <f aca="false">YEAR(B434)</f>
        <v>2024</v>
      </c>
      <c r="D434" s="57" t="n">
        <f aca="false">MONTH(B434)</f>
        <v>5</v>
      </c>
      <c r="E434" s="57" t="s">
        <v>231</v>
      </c>
      <c r="F434" s="57" t="s">
        <v>72</v>
      </c>
      <c r="G434" s="57" t="s">
        <v>50</v>
      </c>
      <c r="H434" s="57" t="s">
        <v>51</v>
      </c>
      <c r="I434" s="59" t="n">
        <v>1</v>
      </c>
      <c r="J434" s="60" t="n">
        <v>69</v>
      </c>
      <c r="K434" s="60" t="n">
        <v>29</v>
      </c>
      <c r="L434" s="61" t="n">
        <f aca="false">I434*J434</f>
        <v>69</v>
      </c>
      <c r="M434" s="61" t="n">
        <f aca="false">L434-I434*K434</f>
        <v>40</v>
      </c>
      <c r="N434" s="57" t="n">
        <f aca="false">IF(COUNTIFS(E$2:E434,E434,C$2:C434,C434)=1,1,0)</f>
        <v>0</v>
      </c>
      <c r="O434" s="57" t="n">
        <f aca="false">IF(COUNTIFS(E$2:E434,E434,C$2:C434,C434,D$2:D434,D434)=1,1,0)</f>
        <v>0</v>
      </c>
      <c r="P434" s="57" t="n">
        <f aca="false">IF(AND(C434=Calc!$C$3,OR(Calc!$C$4=0,D434=Calc!$C$4)),ROW(),0)</f>
        <v>0</v>
      </c>
    </row>
    <row r="435" customFormat="false" ht="15" hidden="false" customHeight="false" outlineLevel="0" collapsed="false">
      <c r="A435" s="57" t="s">
        <v>767</v>
      </c>
      <c r="B435" s="58" t="n">
        <v>45435</v>
      </c>
      <c r="C435" s="57" t="n">
        <f aca="false">YEAR(B435)</f>
        <v>2024</v>
      </c>
      <c r="D435" s="57" t="n">
        <f aca="false">MONTH(B435)</f>
        <v>5</v>
      </c>
      <c r="E435" s="57" t="s">
        <v>586</v>
      </c>
      <c r="F435" s="57" t="s">
        <v>75</v>
      </c>
      <c r="G435" s="57" t="s">
        <v>35</v>
      </c>
      <c r="H435" s="57" t="s">
        <v>34</v>
      </c>
      <c r="I435" s="59" t="n">
        <v>1</v>
      </c>
      <c r="J435" s="60" t="n">
        <v>89</v>
      </c>
      <c r="K435" s="60" t="n">
        <v>41</v>
      </c>
      <c r="L435" s="61" t="n">
        <f aca="false">I435*J435</f>
        <v>89</v>
      </c>
      <c r="M435" s="61" t="n">
        <f aca="false">L435-I435*K435</f>
        <v>48</v>
      </c>
      <c r="N435" s="57" t="n">
        <f aca="false">IF(COUNTIFS(E$2:E435,E435,C$2:C435,C435)=1,1,0)</f>
        <v>0</v>
      </c>
      <c r="O435" s="57" t="n">
        <f aca="false">IF(COUNTIFS(E$2:E435,E435,C$2:C435,C435,D$2:D435,D435)=1,1,0)</f>
        <v>1</v>
      </c>
      <c r="P435" s="57" t="n">
        <f aca="false">IF(AND(C435=Calc!$C$3,OR(Calc!$C$4=0,D435=Calc!$C$4)),ROW(),0)</f>
        <v>0</v>
      </c>
    </row>
    <row r="436" customFormat="false" ht="15" hidden="false" customHeight="false" outlineLevel="0" collapsed="false">
      <c r="A436" s="57" t="s">
        <v>768</v>
      </c>
      <c r="B436" s="58" t="n">
        <v>45436</v>
      </c>
      <c r="C436" s="57" t="n">
        <f aca="false">YEAR(B436)</f>
        <v>2024</v>
      </c>
      <c r="D436" s="57" t="n">
        <f aca="false">MONTH(B436)</f>
        <v>5</v>
      </c>
      <c r="E436" s="57" t="s">
        <v>89</v>
      </c>
      <c r="F436" s="57" t="s">
        <v>81</v>
      </c>
      <c r="G436" s="57" t="s">
        <v>45</v>
      </c>
      <c r="H436" s="57" t="s">
        <v>48</v>
      </c>
      <c r="I436" s="59" t="n">
        <v>1</v>
      </c>
      <c r="J436" s="60" t="n">
        <v>99</v>
      </c>
      <c r="K436" s="60" t="n">
        <v>38</v>
      </c>
      <c r="L436" s="61" t="n">
        <f aca="false">I436*J436</f>
        <v>99</v>
      </c>
      <c r="M436" s="61" t="n">
        <f aca="false">L436-I436*K436</f>
        <v>61</v>
      </c>
      <c r="N436" s="57" t="n">
        <f aca="false">IF(COUNTIFS(E$2:E436,E436,C$2:C436,C436)=1,1,0)</f>
        <v>0</v>
      </c>
      <c r="O436" s="57" t="n">
        <f aca="false">IF(COUNTIFS(E$2:E436,E436,C$2:C436,C436,D$2:D436,D436)=1,1,0)</f>
        <v>0</v>
      </c>
      <c r="P436" s="57" t="n">
        <f aca="false">IF(AND(C436=Calc!$C$3,OR(Calc!$C$4=0,D436=Calc!$C$4)),ROW(),0)</f>
        <v>0</v>
      </c>
    </row>
    <row r="437" customFormat="false" ht="15" hidden="false" customHeight="false" outlineLevel="0" collapsed="false">
      <c r="A437" s="57" t="s">
        <v>769</v>
      </c>
      <c r="B437" s="58" t="n">
        <v>45436</v>
      </c>
      <c r="C437" s="57" t="n">
        <f aca="false">YEAR(B437)</f>
        <v>2024</v>
      </c>
      <c r="D437" s="57" t="n">
        <f aca="false">MONTH(B437)</f>
        <v>5</v>
      </c>
      <c r="E437" s="57" t="s">
        <v>770</v>
      </c>
      <c r="F437" s="57" t="s">
        <v>78</v>
      </c>
      <c r="G437" s="57" t="s">
        <v>40</v>
      </c>
      <c r="H437" s="57" t="s">
        <v>41</v>
      </c>
      <c r="I437" s="59" t="n">
        <v>2</v>
      </c>
      <c r="J437" s="60" t="n">
        <v>46</v>
      </c>
      <c r="K437" s="60" t="n">
        <v>16</v>
      </c>
      <c r="L437" s="61" t="n">
        <f aca="false">I437*J437</f>
        <v>92</v>
      </c>
      <c r="M437" s="61" t="n">
        <f aca="false">L437-I437*K437</f>
        <v>60</v>
      </c>
      <c r="N437" s="57" t="n">
        <f aca="false">IF(COUNTIFS(E$2:E437,E437,C$2:C437,C437)=1,1,0)</f>
        <v>1</v>
      </c>
      <c r="O437" s="57" t="n">
        <f aca="false">IF(COUNTIFS(E$2:E437,E437,C$2:C437,C437,D$2:D437,D437)=1,1,0)</f>
        <v>1</v>
      </c>
      <c r="P437" s="57" t="n">
        <f aca="false">IF(AND(C437=Calc!$C$3,OR(Calc!$C$4=0,D437=Calc!$C$4)),ROW(),0)</f>
        <v>0</v>
      </c>
    </row>
    <row r="438" customFormat="false" ht="15" hidden="false" customHeight="false" outlineLevel="0" collapsed="false">
      <c r="A438" s="57" t="s">
        <v>771</v>
      </c>
      <c r="B438" s="58" t="n">
        <v>45436</v>
      </c>
      <c r="C438" s="57" t="n">
        <f aca="false">YEAR(B438)</f>
        <v>2024</v>
      </c>
      <c r="D438" s="57" t="n">
        <f aca="false">MONTH(B438)</f>
        <v>5</v>
      </c>
      <c r="E438" s="57" t="s">
        <v>466</v>
      </c>
      <c r="F438" s="57" t="s">
        <v>72</v>
      </c>
      <c r="G438" s="57" t="s">
        <v>40</v>
      </c>
      <c r="H438" s="57" t="s">
        <v>42</v>
      </c>
      <c r="I438" s="59" t="n">
        <v>1</v>
      </c>
      <c r="J438" s="60" t="n">
        <v>79</v>
      </c>
      <c r="K438" s="60" t="n">
        <v>31</v>
      </c>
      <c r="L438" s="61" t="n">
        <f aca="false">I438*J438</f>
        <v>79</v>
      </c>
      <c r="M438" s="61" t="n">
        <f aca="false">L438-I438*K438</f>
        <v>48</v>
      </c>
      <c r="N438" s="57" t="n">
        <f aca="false">IF(COUNTIFS(E$2:E438,E438,C$2:C438,C438)=1,1,0)</f>
        <v>0</v>
      </c>
      <c r="O438" s="57" t="n">
        <f aca="false">IF(COUNTIFS(E$2:E438,E438,C$2:C438,C438,D$2:D438,D438)=1,1,0)</f>
        <v>1</v>
      </c>
      <c r="P438" s="57" t="n">
        <f aca="false">IF(AND(C438=Calc!$C$3,OR(Calc!$C$4=0,D438=Calc!$C$4)),ROW(),0)</f>
        <v>0</v>
      </c>
    </row>
    <row r="439" customFormat="false" ht="15" hidden="false" customHeight="false" outlineLevel="0" collapsed="false">
      <c r="A439" s="57" t="s">
        <v>772</v>
      </c>
      <c r="B439" s="58" t="n">
        <v>45437</v>
      </c>
      <c r="C439" s="57" t="n">
        <f aca="false">YEAR(B439)</f>
        <v>2024</v>
      </c>
      <c r="D439" s="57" t="n">
        <f aca="false">MONTH(B439)</f>
        <v>5</v>
      </c>
      <c r="E439" s="57" t="s">
        <v>773</v>
      </c>
      <c r="F439" s="57" t="s">
        <v>69</v>
      </c>
      <c r="G439" s="57" t="s">
        <v>40</v>
      </c>
      <c r="H439" s="57" t="s">
        <v>41</v>
      </c>
      <c r="I439" s="59" t="n">
        <v>2</v>
      </c>
      <c r="J439" s="60" t="n">
        <v>46</v>
      </c>
      <c r="K439" s="60" t="n">
        <v>16</v>
      </c>
      <c r="L439" s="61" t="n">
        <f aca="false">I439*J439</f>
        <v>92</v>
      </c>
      <c r="M439" s="61" t="n">
        <f aca="false">L439-I439*K439</f>
        <v>60</v>
      </c>
      <c r="N439" s="57" t="n">
        <f aca="false">IF(COUNTIFS(E$2:E439,E439,C$2:C439,C439)=1,1,0)</f>
        <v>1</v>
      </c>
      <c r="O439" s="57" t="n">
        <f aca="false">IF(COUNTIFS(E$2:E439,E439,C$2:C439,C439,D$2:D439,D439)=1,1,0)</f>
        <v>1</v>
      </c>
      <c r="P439" s="57" t="n">
        <f aca="false">IF(AND(C439=Calc!$C$3,OR(Calc!$C$4=0,D439=Calc!$C$4)),ROW(),0)</f>
        <v>0</v>
      </c>
    </row>
    <row r="440" customFormat="false" ht="15" hidden="false" customHeight="false" outlineLevel="0" collapsed="false">
      <c r="A440" s="57" t="s">
        <v>774</v>
      </c>
      <c r="B440" s="58" t="n">
        <v>45437</v>
      </c>
      <c r="C440" s="57" t="n">
        <f aca="false">YEAR(B440)</f>
        <v>2024</v>
      </c>
      <c r="D440" s="57" t="n">
        <f aca="false">MONTH(B440)</f>
        <v>5</v>
      </c>
      <c r="E440" s="57" t="s">
        <v>170</v>
      </c>
      <c r="F440" s="57" t="s">
        <v>69</v>
      </c>
      <c r="G440" s="57" t="s">
        <v>40</v>
      </c>
      <c r="H440" s="57" t="s">
        <v>39</v>
      </c>
      <c r="I440" s="59" t="n">
        <v>1</v>
      </c>
      <c r="J440" s="60" t="n">
        <v>54</v>
      </c>
      <c r="K440" s="60" t="n">
        <v>19</v>
      </c>
      <c r="L440" s="61" t="n">
        <f aca="false">I440*J440</f>
        <v>54</v>
      </c>
      <c r="M440" s="61" t="n">
        <f aca="false">L440-I440*K440</f>
        <v>35</v>
      </c>
      <c r="N440" s="57" t="n">
        <f aca="false">IF(COUNTIFS(E$2:E440,E440,C$2:C440,C440)=1,1,0)</f>
        <v>0</v>
      </c>
      <c r="O440" s="57" t="n">
        <f aca="false">IF(COUNTIFS(E$2:E440,E440,C$2:C440,C440,D$2:D440,D440)=1,1,0)</f>
        <v>1</v>
      </c>
      <c r="P440" s="57" t="n">
        <f aca="false">IF(AND(C440=Calc!$C$3,OR(Calc!$C$4=0,D440=Calc!$C$4)),ROW(),0)</f>
        <v>0</v>
      </c>
    </row>
    <row r="441" customFormat="false" ht="15" hidden="false" customHeight="false" outlineLevel="0" collapsed="false">
      <c r="A441" s="57" t="s">
        <v>775</v>
      </c>
      <c r="B441" s="58" t="n">
        <v>45437</v>
      </c>
      <c r="C441" s="57" t="n">
        <f aca="false">YEAR(B441)</f>
        <v>2024</v>
      </c>
      <c r="D441" s="57" t="n">
        <f aca="false">MONTH(B441)</f>
        <v>5</v>
      </c>
      <c r="E441" s="57" t="s">
        <v>125</v>
      </c>
      <c r="F441" s="57" t="s">
        <v>69</v>
      </c>
      <c r="G441" s="57" t="s">
        <v>40</v>
      </c>
      <c r="H441" s="57" t="s">
        <v>42</v>
      </c>
      <c r="I441" s="59" t="n">
        <v>1</v>
      </c>
      <c r="J441" s="60" t="n">
        <v>79</v>
      </c>
      <c r="K441" s="60" t="n">
        <v>31</v>
      </c>
      <c r="L441" s="61" t="n">
        <f aca="false">I441*J441</f>
        <v>79</v>
      </c>
      <c r="M441" s="61" t="n">
        <f aca="false">L441-I441*K441</f>
        <v>48</v>
      </c>
      <c r="N441" s="57" t="n">
        <f aca="false">IF(COUNTIFS(E$2:E441,E441,C$2:C441,C441)=1,1,0)</f>
        <v>0</v>
      </c>
      <c r="O441" s="57" t="n">
        <f aca="false">IF(COUNTIFS(E$2:E441,E441,C$2:C441,C441,D$2:D441,D441)=1,1,0)</f>
        <v>1</v>
      </c>
      <c r="P441" s="57" t="n">
        <f aca="false">IF(AND(C441=Calc!$C$3,OR(Calc!$C$4=0,D441=Calc!$C$4)),ROW(),0)</f>
        <v>0</v>
      </c>
    </row>
    <row r="442" customFormat="false" ht="15" hidden="false" customHeight="false" outlineLevel="0" collapsed="false">
      <c r="A442" s="57" t="s">
        <v>776</v>
      </c>
      <c r="B442" s="58" t="n">
        <v>45438</v>
      </c>
      <c r="C442" s="57" t="n">
        <f aca="false">YEAR(B442)</f>
        <v>2024</v>
      </c>
      <c r="D442" s="57" t="n">
        <f aca="false">MONTH(B442)</f>
        <v>5</v>
      </c>
      <c r="E442" s="57" t="s">
        <v>461</v>
      </c>
      <c r="F442" s="57" t="s">
        <v>78</v>
      </c>
      <c r="G442" s="57" t="s">
        <v>35</v>
      </c>
      <c r="H442" s="57" t="s">
        <v>34</v>
      </c>
      <c r="I442" s="59" t="n">
        <v>2</v>
      </c>
      <c r="J442" s="60" t="n">
        <v>89</v>
      </c>
      <c r="K442" s="60" t="n">
        <v>41</v>
      </c>
      <c r="L442" s="61" t="n">
        <f aca="false">I442*J442</f>
        <v>178</v>
      </c>
      <c r="M442" s="61" t="n">
        <f aca="false">L442-I442*K442</f>
        <v>96</v>
      </c>
      <c r="N442" s="57" t="n">
        <f aca="false">IF(COUNTIFS(E$2:E442,E442,C$2:C442,C442)=1,1,0)</f>
        <v>0</v>
      </c>
      <c r="O442" s="57" t="n">
        <f aca="false">IF(COUNTIFS(E$2:E442,E442,C$2:C442,C442,D$2:D442,D442)=1,1,0)</f>
        <v>1</v>
      </c>
      <c r="P442" s="57" t="n">
        <f aca="false">IF(AND(C442=Calc!$C$3,OR(Calc!$C$4=0,D442=Calc!$C$4)),ROW(),0)</f>
        <v>0</v>
      </c>
    </row>
    <row r="443" customFormat="false" ht="15" hidden="false" customHeight="false" outlineLevel="0" collapsed="false">
      <c r="A443" s="57" t="s">
        <v>777</v>
      </c>
      <c r="B443" s="58" t="n">
        <v>45438</v>
      </c>
      <c r="C443" s="57" t="n">
        <f aca="false">YEAR(B443)</f>
        <v>2024</v>
      </c>
      <c r="D443" s="57" t="n">
        <f aca="false">MONTH(B443)</f>
        <v>5</v>
      </c>
      <c r="E443" s="57" t="s">
        <v>424</v>
      </c>
      <c r="F443" s="57" t="s">
        <v>78</v>
      </c>
      <c r="G443" s="57" t="s">
        <v>35</v>
      </c>
      <c r="H443" s="57" t="s">
        <v>34</v>
      </c>
      <c r="I443" s="59" t="n">
        <v>2</v>
      </c>
      <c r="J443" s="60" t="n">
        <v>89</v>
      </c>
      <c r="K443" s="60" t="n">
        <v>41</v>
      </c>
      <c r="L443" s="61" t="n">
        <f aca="false">I443*J443</f>
        <v>178</v>
      </c>
      <c r="M443" s="61" t="n">
        <f aca="false">L443-I443*K443</f>
        <v>96</v>
      </c>
      <c r="N443" s="57" t="n">
        <f aca="false">IF(COUNTIFS(E$2:E443,E443,C$2:C443,C443)=1,1,0)</f>
        <v>0</v>
      </c>
      <c r="O443" s="57" t="n">
        <f aca="false">IF(COUNTIFS(E$2:E443,E443,C$2:C443,C443,D$2:D443,D443)=1,1,0)</f>
        <v>1</v>
      </c>
      <c r="P443" s="57" t="n">
        <f aca="false">IF(AND(C443=Calc!$C$3,OR(Calc!$C$4=0,D443=Calc!$C$4)),ROW(),0)</f>
        <v>0</v>
      </c>
    </row>
    <row r="444" customFormat="false" ht="15" hidden="false" customHeight="false" outlineLevel="0" collapsed="false">
      <c r="A444" s="57" t="s">
        <v>778</v>
      </c>
      <c r="B444" s="58" t="n">
        <v>45438</v>
      </c>
      <c r="C444" s="57" t="n">
        <f aca="false">YEAR(B444)</f>
        <v>2024</v>
      </c>
      <c r="D444" s="57" t="n">
        <f aca="false">MONTH(B444)</f>
        <v>5</v>
      </c>
      <c r="E444" s="57" t="s">
        <v>779</v>
      </c>
      <c r="F444" s="57" t="s">
        <v>75</v>
      </c>
      <c r="G444" s="57" t="s">
        <v>35</v>
      </c>
      <c r="H444" s="57" t="s">
        <v>37</v>
      </c>
      <c r="I444" s="59" t="n">
        <v>1</v>
      </c>
      <c r="J444" s="60" t="n">
        <v>59</v>
      </c>
      <c r="K444" s="60" t="n">
        <v>27</v>
      </c>
      <c r="L444" s="61" t="n">
        <f aca="false">I444*J444</f>
        <v>59</v>
      </c>
      <c r="M444" s="61" t="n">
        <f aca="false">L444-I444*K444</f>
        <v>32</v>
      </c>
      <c r="N444" s="57" t="n">
        <f aca="false">IF(COUNTIFS(E$2:E444,E444,C$2:C444,C444)=1,1,0)</f>
        <v>1</v>
      </c>
      <c r="O444" s="57" t="n">
        <f aca="false">IF(COUNTIFS(E$2:E444,E444,C$2:C444,C444,D$2:D444,D444)=1,1,0)</f>
        <v>1</v>
      </c>
      <c r="P444" s="57" t="n">
        <f aca="false">IF(AND(C444=Calc!$C$3,OR(Calc!$C$4=0,D444=Calc!$C$4)),ROW(),0)</f>
        <v>0</v>
      </c>
    </row>
    <row r="445" customFormat="false" ht="15" hidden="false" customHeight="false" outlineLevel="0" collapsed="false">
      <c r="A445" s="57" t="s">
        <v>780</v>
      </c>
      <c r="B445" s="58" t="n">
        <v>45438</v>
      </c>
      <c r="C445" s="57" t="n">
        <f aca="false">YEAR(B445)</f>
        <v>2024</v>
      </c>
      <c r="D445" s="57" t="n">
        <f aca="false">MONTH(B445)</f>
        <v>5</v>
      </c>
      <c r="E445" s="57" t="s">
        <v>97</v>
      </c>
      <c r="F445" s="57" t="s">
        <v>78</v>
      </c>
      <c r="G445" s="57" t="s">
        <v>40</v>
      </c>
      <c r="H445" s="57" t="s">
        <v>41</v>
      </c>
      <c r="I445" s="59" t="n">
        <v>2</v>
      </c>
      <c r="J445" s="60" t="n">
        <v>46</v>
      </c>
      <c r="K445" s="60" t="n">
        <v>16</v>
      </c>
      <c r="L445" s="61" t="n">
        <f aca="false">I445*J445</f>
        <v>92</v>
      </c>
      <c r="M445" s="61" t="n">
        <f aca="false">L445-I445*K445</f>
        <v>60</v>
      </c>
      <c r="N445" s="57" t="n">
        <f aca="false">IF(COUNTIFS(E$2:E445,E445,C$2:C445,C445)=1,1,0)</f>
        <v>0</v>
      </c>
      <c r="O445" s="57" t="n">
        <f aca="false">IF(COUNTIFS(E$2:E445,E445,C$2:C445,C445,D$2:D445,D445)=1,1,0)</f>
        <v>0</v>
      </c>
      <c r="P445" s="57" t="n">
        <f aca="false">IF(AND(C445=Calc!$C$3,OR(Calc!$C$4=0,D445=Calc!$C$4)),ROW(),0)</f>
        <v>0</v>
      </c>
    </row>
    <row r="446" customFormat="false" ht="15" hidden="false" customHeight="false" outlineLevel="0" collapsed="false">
      <c r="A446" s="57" t="s">
        <v>781</v>
      </c>
      <c r="B446" s="58" t="n">
        <v>45439</v>
      </c>
      <c r="C446" s="57" t="n">
        <f aca="false">YEAR(B446)</f>
        <v>2024</v>
      </c>
      <c r="D446" s="57" t="n">
        <f aca="false">MONTH(B446)</f>
        <v>5</v>
      </c>
      <c r="E446" s="57" t="s">
        <v>152</v>
      </c>
      <c r="F446" s="57" t="s">
        <v>72</v>
      </c>
      <c r="G446" s="57" t="s">
        <v>35</v>
      </c>
      <c r="H446" s="57" t="s">
        <v>36</v>
      </c>
      <c r="I446" s="59" t="n">
        <v>1</v>
      </c>
      <c r="J446" s="60" t="n">
        <v>179</v>
      </c>
      <c r="K446" s="60" t="n">
        <v>92</v>
      </c>
      <c r="L446" s="61" t="n">
        <f aca="false">I446*J446</f>
        <v>179</v>
      </c>
      <c r="M446" s="61" t="n">
        <f aca="false">L446-I446*K446</f>
        <v>87</v>
      </c>
      <c r="N446" s="57" t="n">
        <f aca="false">IF(COUNTIFS(E$2:E446,E446,C$2:C446,C446)=1,1,0)</f>
        <v>0</v>
      </c>
      <c r="O446" s="57" t="n">
        <f aca="false">IF(COUNTIFS(E$2:E446,E446,C$2:C446,C446,D$2:D446,D446)=1,1,0)</f>
        <v>1</v>
      </c>
      <c r="P446" s="57" t="n">
        <f aca="false">IF(AND(C446=Calc!$C$3,OR(Calc!$C$4=0,D446=Calc!$C$4)),ROW(),0)</f>
        <v>0</v>
      </c>
    </row>
    <row r="447" customFormat="false" ht="15" hidden="false" customHeight="false" outlineLevel="0" collapsed="false">
      <c r="A447" s="57" t="s">
        <v>782</v>
      </c>
      <c r="B447" s="58" t="n">
        <v>45439</v>
      </c>
      <c r="C447" s="57" t="n">
        <f aca="false">YEAR(B447)</f>
        <v>2024</v>
      </c>
      <c r="D447" s="57" t="n">
        <f aca="false">MONTH(B447)</f>
        <v>5</v>
      </c>
      <c r="E447" s="57" t="s">
        <v>783</v>
      </c>
      <c r="F447" s="57" t="s">
        <v>69</v>
      </c>
      <c r="G447" s="57" t="s">
        <v>40</v>
      </c>
      <c r="H447" s="57" t="s">
        <v>42</v>
      </c>
      <c r="I447" s="59" t="n">
        <v>1</v>
      </c>
      <c r="J447" s="60" t="n">
        <v>79</v>
      </c>
      <c r="K447" s="60" t="n">
        <v>31</v>
      </c>
      <c r="L447" s="61" t="n">
        <f aca="false">I447*J447</f>
        <v>79</v>
      </c>
      <c r="M447" s="61" t="n">
        <f aca="false">L447-I447*K447</f>
        <v>48</v>
      </c>
      <c r="N447" s="57" t="n">
        <f aca="false">IF(COUNTIFS(E$2:E447,E447,C$2:C447,C447)=1,1,0)</f>
        <v>1</v>
      </c>
      <c r="O447" s="57" t="n">
        <f aca="false">IF(COUNTIFS(E$2:E447,E447,C$2:C447,C447,D$2:D447,D447)=1,1,0)</f>
        <v>1</v>
      </c>
      <c r="P447" s="57" t="n">
        <f aca="false">IF(AND(C447=Calc!$C$3,OR(Calc!$C$4=0,D447=Calc!$C$4)),ROW(),0)</f>
        <v>0</v>
      </c>
    </row>
    <row r="448" customFormat="false" ht="15" hidden="false" customHeight="false" outlineLevel="0" collapsed="false">
      <c r="A448" s="57" t="s">
        <v>784</v>
      </c>
      <c r="B448" s="58" t="n">
        <v>45439</v>
      </c>
      <c r="C448" s="57" t="n">
        <f aca="false">YEAR(B448)</f>
        <v>2024</v>
      </c>
      <c r="D448" s="57" t="n">
        <f aca="false">MONTH(B448)</f>
        <v>5</v>
      </c>
      <c r="E448" s="57" t="s">
        <v>122</v>
      </c>
      <c r="F448" s="57" t="s">
        <v>81</v>
      </c>
      <c r="G448" s="57" t="s">
        <v>40</v>
      </c>
      <c r="H448" s="57" t="s">
        <v>41</v>
      </c>
      <c r="I448" s="59" t="n">
        <v>1</v>
      </c>
      <c r="J448" s="60" t="n">
        <v>46</v>
      </c>
      <c r="K448" s="60" t="n">
        <v>16</v>
      </c>
      <c r="L448" s="61" t="n">
        <f aca="false">I448*J448</f>
        <v>46</v>
      </c>
      <c r="M448" s="61" t="n">
        <f aca="false">L448-I448*K448</f>
        <v>30</v>
      </c>
      <c r="N448" s="57" t="n">
        <f aca="false">IF(COUNTIFS(E$2:E448,E448,C$2:C448,C448)=1,1,0)</f>
        <v>0</v>
      </c>
      <c r="O448" s="57" t="n">
        <f aca="false">IF(COUNTIFS(E$2:E448,E448,C$2:C448,C448,D$2:D448,D448)=1,1,0)</f>
        <v>1</v>
      </c>
      <c r="P448" s="57" t="n">
        <f aca="false">IF(AND(C448=Calc!$C$3,OR(Calc!$C$4=0,D448=Calc!$C$4)),ROW(),0)</f>
        <v>0</v>
      </c>
    </row>
    <row r="449" customFormat="false" ht="15" hidden="false" customHeight="false" outlineLevel="0" collapsed="false">
      <c r="A449" s="57" t="s">
        <v>785</v>
      </c>
      <c r="B449" s="58" t="n">
        <v>45439</v>
      </c>
      <c r="C449" s="57" t="n">
        <f aca="false">YEAR(B449)</f>
        <v>2024</v>
      </c>
      <c r="D449" s="57" t="n">
        <f aca="false">MONTH(B449)</f>
        <v>5</v>
      </c>
      <c r="E449" s="57" t="s">
        <v>323</v>
      </c>
      <c r="F449" s="57" t="s">
        <v>75</v>
      </c>
      <c r="G449" s="57" t="s">
        <v>40</v>
      </c>
      <c r="H449" s="57" t="s">
        <v>39</v>
      </c>
      <c r="I449" s="59" t="n">
        <v>1</v>
      </c>
      <c r="J449" s="60" t="n">
        <v>54</v>
      </c>
      <c r="K449" s="60" t="n">
        <v>19</v>
      </c>
      <c r="L449" s="61" t="n">
        <f aca="false">I449*J449</f>
        <v>54</v>
      </c>
      <c r="M449" s="61" t="n">
        <f aca="false">L449-I449*K449</f>
        <v>35</v>
      </c>
      <c r="N449" s="57" t="n">
        <f aca="false">IF(COUNTIFS(E$2:E449,E449,C$2:C449,C449)=1,1,0)</f>
        <v>0</v>
      </c>
      <c r="O449" s="57" t="n">
        <f aca="false">IF(COUNTIFS(E$2:E449,E449,C$2:C449,C449,D$2:D449,D449)=1,1,0)</f>
        <v>1</v>
      </c>
      <c r="P449" s="57" t="n">
        <f aca="false">IF(AND(C449=Calc!$C$3,OR(Calc!$C$4=0,D449=Calc!$C$4)),ROW(),0)</f>
        <v>0</v>
      </c>
    </row>
    <row r="450" customFormat="false" ht="15" hidden="false" customHeight="false" outlineLevel="0" collapsed="false">
      <c r="A450" s="57" t="s">
        <v>786</v>
      </c>
      <c r="B450" s="58" t="n">
        <v>45440</v>
      </c>
      <c r="C450" s="57" t="n">
        <f aca="false">YEAR(B450)</f>
        <v>2024</v>
      </c>
      <c r="D450" s="57" t="n">
        <f aca="false">MONTH(B450)</f>
        <v>5</v>
      </c>
      <c r="E450" s="57" t="s">
        <v>317</v>
      </c>
      <c r="F450" s="57" t="s">
        <v>72</v>
      </c>
      <c r="G450" s="57" t="s">
        <v>40</v>
      </c>
      <c r="H450" s="57" t="s">
        <v>39</v>
      </c>
      <c r="I450" s="59" t="n">
        <v>2</v>
      </c>
      <c r="J450" s="60" t="n">
        <v>54</v>
      </c>
      <c r="K450" s="60" t="n">
        <v>19</v>
      </c>
      <c r="L450" s="61" t="n">
        <f aca="false">I450*J450</f>
        <v>108</v>
      </c>
      <c r="M450" s="61" t="n">
        <f aca="false">L450-I450*K450</f>
        <v>70</v>
      </c>
      <c r="N450" s="57" t="n">
        <f aca="false">IF(COUNTIFS(E$2:E450,E450,C$2:C450,C450)=1,1,0)</f>
        <v>0</v>
      </c>
      <c r="O450" s="57" t="n">
        <f aca="false">IF(COUNTIFS(E$2:E450,E450,C$2:C450,C450,D$2:D450,D450)=1,1,0)</f>
        <v>0</v>
      </c>
      <c r="P450" s="57" t="n">
        <f aca="false">IF(AND(C450=Calc!$C$3,OR(Calc!$C$4=0,D450=Calc!$C$4)),ROW(),0)</f>
        <v>0</v>
      </c>
    </row>
    <row r="451" customFormat="false" ht="15" hidden="false" customHeight="false" outlineLevel="0" collapsed="false">
      <c r="A451" s="57" t="s">
        <v>787</v>
      </c>
      <c r="B451" s="58" t="n">
        <v>45440</v>
      </c>
      <c r="C451" s="57" t="n">
        <f aca="false">YEAR(B451)</f>
        <v>2024</v>
      </c>
      <c r="D451" s="57" t="n">
        <f aca="false">MONTH(B451)</f>
        <v>5</v>
      </c>
      <c r="E451" s="57" t="s">
        <v>494</v>
      </c>
      <c r="F451" s="57" t="s">
        <v>78</v>
      </c>
      <c r="G451" s="57" t="s">
        <v>35</v>
      </c>
      <c r="H451" s="57" t="s">
        <v>38</v>
      </c>
      <c r="I451" s="59" t="n">
        <v>1</v>
      </c>
      <c r="J451" s="60" t="n">
        <v>49</v>
      </c>
      <c r="K451" s="60" t="n">
        <v>22</v>
      </c>
      <c r="L451" s="61" t="n">
        <f aca="false">I451*J451</f>
        <v>49</v>
      </c>
      <c r="M451" s="61" t="n">
        <f aca="false">L451-I451*K451</f>
        <v>27</v>
      </c>
      <c r="N451" s="57" t="n">
        <f aca="false">IF(COUNTIFS(E$2:E451,E451,C$2:C451,C451)=1,1,0)</f>
        <v>0</v>
      </c>
      <c r="O451" s="57" t="n">
        <f aca="false">IF(COUNTIFS(E$2:E451,E451,C$2:C451,C451,D$2:D451,D451)=1,1,0)</f>
        <v>1</v>
      </c>
      <c r="P451" s="57" t="n">
        <f aca="false">IF(AND(C451=Calc!$C$3,OR(Calc!$C$4=0,D451=Calc!$C$4)),ROW(),0)</f>
        <v>0</v>
      </c>
    </row>
    <row r="452" customFormat="false" ht="15" hidden="false" customHeight="false" outlineLevel="0" collapsed="false">
      <c r="A452" s="57" t="s">
        <v>788</v>
      </c>
      <c r="B452" s="58" t="n">
        <v>45440</v>
      </c>
      <c r="C452" s="57" t="n">
        <f aca="false">YEAR(B452)</f>
        <v>2024</v>
      </c>
      <c r="D452" s="57" t="n">
        <f aca="false">MONTH(B452)</f>
        <v>5</v>
      </c>
      <c r="E452" s="57" t="s">
        <v>395</v>
      </c>
      <c r="F452" s="57" t="s">
        <v>69</v>
      </c>
      <c r="G452" s="57" t="s">
        <v>40</v>
      </c>
      <c r="H452" s="57" t="s">
        <v>41</v>
      </c>
      <c r="I452" s="59" t="n">
        <v>1</v>
      </c>
      <c r="J452" s="60" t="n">
        <v>46</v>
      </c>
      <c r="K452" s="60" t="n">
        <v>16</v>
      </c>
      <c r="L452" s="61" t="n">
        <f aca="false">I452*J452</f>
        <v>46</v>
      </c>
      <c r="M452" s="61" t="n">
        <f aca="false">L452-I452*K452</f>
        <v>30</v>
      </c>
      <c r="N452" s="57" t="n">
        <f aca="false">IF(COUNTIFS(E$2:E452,E452,C$2:C452,C452)=1,1,0)</f>
        <v>0</v>
      </c>
      <c r="O452" s="57" t="n">
        <f aca="false">IF(COUNTIFS(E$2:E452,E452,C$2:C452,C452,D$2:D452,D452)=1,1,0)</f>
        <v>1</v>
      </c>
      <c r="P452" s="57" t="n">
        <f aca="false">IF(AND(C452=Calc!$C$3,OR(Calc!$C$4=0,D452=Calc!$C$4)),ROW(),0)</f>
        <v>0</v>
      </c>
    </row>
    <row r="453" customFormat="false" ht="15" hidden="false" customHeight="false" outlineLevel="0" collapsed="false">
      <c r="A453" s="57" t="s">
        <v>789</v>
      </c>
      <c r="B453" s="58" t="n">
        <v>45440</v>
      </c>
      <c r="C453" s="57" t="n">
        <f aca="false">YEAR(B453)</f>
        <v>2024</v>
      </c>
      <c r="D453" s="57" t="n">
        <f aca="false">MONTH(B453)</f>
        <v>5</v>
      </c>
      <c r="E453" s="57" t="s">
        <v>135</v>
      </c>
      <c r="F453" s="57" t="s">
        <v>69</v>
      </c>
      <c r="G453" s="57" t="s">
        <v>45</v>
      </c>
      <c r="H453" s="57" t="s">
        <v>46</v>
      </c>
      <c r="I453" s="59" t="n">
        <v>1</v>
      </c>
      <c r="J453" s="60" t="n">
        <v>149</v>
      </c>
      <c r="K453" s="60" t="n">
        <v>71</v>
      </c>
      <c r="L453" s="61" t="n">
        <f aca="false">I453*J453</f>
        <v>149</v>
      </c>
      <c r="M453" s="61" t="n">
        <f aca="false">L453-I453*K453</f>
        <v>78</v>
      </c>
      <c r="N453" s="57" t="n">
        <f aca="false">IF(COUNTIFS(E$2:E453,E453,C$2:C453,C453)=1,1,0)</f>
        <v>0</v>
      </c>
      <c r="O453" s="57" t="n">
        <f aca="false">IF(COUNTIFS(E$2:E453,E453,C$2:C453,C453,D$2:D453,D453)=1,1,0)</f>
        <v>1</v>
      </c>
      <c r="P453" s="57" t="n">
        <f aca="false">IF(AND(C453=Calc!$C$3,OR(Calc!$C$4=0,D453=Calc!$C$4)),ROW(),0)</f>
        <v>0</v>
      </c>
    </row>
    <row r="454" customFormat="false" ht="15" hidden="false" customHeight="false" outlineLevel="0" collapsed="false">
      <c r="A454" s="57" t="s">
        <v>790</v>
      </c>
      <c r="B454" s="58" t="n">
        <v>45440</v>
      </c>
      <c r="C454" s="57" t="n">
        <f aca="false">YEAR(B454)</f>
        <v>2024</v>
      </c>
      <c r="D454" s="57" t="n">
        <f aca="false">MONTH(B454)</f>
        <v>5</v>
      </c>
      <c r="E454" s="57" t="s">
        <v>770</v>
      </c>
      <c r="F454" s="57" t="s">
        <v>78</v>
      </c>
      <c r="G454" s="57" t="s">
        <v>40</v>
      </c>
      <c r="H454" s="57" t="s">
        <v>42</v>
      </c>
      <c r="I454" s="59" t="n">
        <v>1</v>
      </c>
      <c r="J454" s="60" t="n">
        <v>79</v>
      </c>
      <c r="K454" s="60" t="n">
        <v>31</v>
      </c>
      <c r="L454" s="61" t="n">
        <f aca="false">I454*J454</f>
        <v>79</v>
      </c>
      <c r="M454" s="61" t="n">
        <f aca="false">L454-I454*K454</f>
        <v>48</v>
      </c>
      <c r="N454" s="57" t="n">
        <f aca="false">IF(COUNTIFS(E$2:E454,E454,C$2:C454,C454)=1,1,0)</f>
        <v>0</v>
      </c>
      <c r="O454" s="57" t="n">
        <f aca="false">IF(COUNTIFS(E$2:E454,E454,C$2:C454,C454,D$2:D454,D454)=1,1,0)</f>
        <v>0</v>
      </c>
      <c r="P454" s="57" t="n">
        <f aca="false">IF(AND(C454=Calc!$C$3,OR(Calc!$C$4=0,D454=Calc!$C$4)),ROW(),0)</f>
        <v>0</v>
      </c>
    </row>
    <row r="455" customFormat="false" ht="15" hidden="false" customHeight="false" outlineLevel="0" collapsed="false">
      <c r="A455" s="57" t="s">
        <v>791</v>
      </c>
      <c r="B455" s="58" t="n">
        <v>45441</v>
      </c>
      <c r="C455" s="57" t="n">
        <f aca="false">YEAR(B455)</f>
        <v>2024</v>
      </c>
      <c r="D455" s="57" t="n">
        <f aca="false">MONTH(B455)</f>
        <v>5</v>
      </c>
      <c r="E455" s="57" t="s">
        <v>142</v>
      </c>
      <c r="F455" s="57" t="s">
        <v>78</v>
      </c>
      <c r="G455" s="57" t="s">
        <v>54</v>
      </c>
      <c r="H455" s="57" t="s">
        <v>56</v>
      </c>
      <c r="I455" s="59" t="n">
        <v>2</v>
      </c>
      <c r="J455" s="60" t="n">
        <v>42</v>
      </c>
      <c r="K455" s="60" t="n">
        <v>17</v>
      </c>
      <c r="L455" s="61" t="n">
        <f aca="false">I455*J455</f>
        <v>84</v>
      </c>
      <c r="M455" s="61" t="n">
        <f aca="false">L455-I455*K455</f>
        <v>50</v>
      </c>
      <c r="N455" s="57" t="n">
        <f aca="false">IF(COUNTIFS(E$2:E455,E455,C$2:C455,C455)=1,1,0)</f>
        <v>0</v>
      </c>
      <c r="O455" s="57" t="n">
        <f aca="false">IF(COUNTIFS(E$2:E455,E455,C$2:C455,C455,D$2:D455,D455)=1,1,0)</f>
        <v>0</v>
      </c>
      <c r="P455" s="57" t="n">
        <f aca="false">IF(AND(C455=Calc!$C$3,OR(Calc!$C$4=0,D455=Calc!$C$4)),ROW(),0)</f>
        <v>0</v>
      </c>
    </row>
    <row r="456" customFormat="false" ht="15" hidden="false" customHeight="false" outlineLevel="0" collapsed="false">
      <c r="A456" s="57" t="s">
        <v>792</v>
      </c>
      <c r="B456" s="58" t="n">
        <v>45441</v>
      </c>
      <c r="C456" s="57" t="n">
        <f aca="false">YEAR(B456)</f>
        <v>2024</v>
      </c>
      <c r="D456" s="57" t="n">
        <f aca="false">MONTH(B456)</f>
        <v>5</v>
      </c>
      <c r="E456" s="57" t="s">
        <v>486</v>
      </c>
      <c r="F456" s="57" t="s">
        <v>75</v>
      </c>
      <c r="G456" s="57" t="s">
        <v>50</v>
      </c>
      <c r="H456" s="57" t="s">
        <v>52</v>
      </c>
      <c r="I456" s="59" t="n">
        <v>3</v>
      </c>
      <c r="J456" s="60" t="n">
        <v>45</v>
      </c>
      <c r="K456" s="60" t="n">
        <v>14</v>
      </c>
      <c r="L456" s="61" t="n">
        <f aca="false">I456*J456</f>
        <v>135</v>
      </c>
      <c r="M456" s="61" t="n">
        <f aca="false">L456-I456*K456</f>
        <v>93</v>
      </c>
      <c r="N456" s="57" t="n">
        <f aca="false">IF(COUNTIFS(E$2:E456,E456,C$2:C456,C456)=1,1,0)</f>
        <v>0</v>
      </c>
      <c r="O456" s="57" t="n">
        <f aca="false">IF(COUNTIFS(E$2:E456,E456,C$2:C456,C456,D$2:D456,D456)=1,1,0)</f>
        <v>0</v>
      </c>
      <c r="P456" s="57" t="n">
        <f aca="false">IF(AND(C456=Calc!$C$3,OR(Calc!$C$4=0,D456=Calc!$C$4)),ROW(),0)</f>
        <v>0</v>
      </c>
    </row>
    <row r="457" customFormat="false" ht="15" hidden="false" customHeight="false" outlineLevel="0" collapsed="false">
      <c r="A457" s="57" t="s">
        <v>793</v>
      </c>
      <c r="B457" s="58" t="n">
        <v>45441</v>
      </c>
      <c r="C457" s="57" t="n">
        <f aca="false">YEAR(B457)</f>
        <v>2024</v>
      </c>
      <c r="D457" s="57" t="n">
        <f aca="false">MONTH(B457)</f>
        <v>5</v>
      </c>
      <c r="E457" s="57" t="s">
        <v>794</v>
      </c>
      <c r="F457" s="57" t="s">
        <v>69</v>
      </c>
      <c r="G457" s="57" t="s">
        <v>35</v>
      </c>
      <c r="H457" s="57" t="s">
        <v>37</v>
      </c>
      <c r="I457" s="59" t="n">
        <v>1</v>
      </c>
      <c r="J457" s="60" t="n">
        <v>59</v>
      </c>
      <c r="K457" s="60" t="n">
        <v>27</v>
      </c>
      <c r="L457" s="61" t="n">
        <f aca="false">I457*J457</f>
        <v>59</v>
      </c>
      <c r="M457" s="61" t="n">
        <f aca="false">L457-I457*K457</f>
        <v>32</v>
      </c>
      <c r="N457" s="57" t="n">
        <f aca="false">IF(COUNTIFS(E$2:E457,E457,C$2:C457,C457)=1,1,0)</f>
        <v>1</v>
      </c>
      <c r="O457" s="57" t="n">
        <f aca="false">IF(COUNTIFS(E$2:E457,E457,C$2:C457,C457,D$2:D457,D457)=1,1,0)</f>
        <v>1</v>
      </c>
      <c r="P457" s="57" t="n">
        <f aca="false">IF(AND(C457=Calc!$C$3,OR(Calc!$C$4=0,D457=Calc!$C$4)),ROW(),0)</f>
        <v>0</v>
      </c>
    </row>
    <row r="458" customFormat="false" ht="15" hidden="false" customHeight="false" outlineLevel="0" collapsed="false">
      <c r="A458" s="57" t="s">
        <v>795</v>
      </c>
      <c r="B458" s="58" t="n">
        <v>45442</v>
      </c>
      <c r="C458" s="57" t="n">
        <f aca="false">YEAR(B458)</f>
        <v>2024</v>
      </c>
      <c r="D458" s="57" t="n">
        <f aca="false">MONTH(B458)</f>
        <v>5</v>
      </c>
      <c r="E458" s="57" t="s">
        <v>796</v>
      </c>
      <c r="F458" s="57" t="s">
        <v>69</v>
      </c>
      <c r="G458" s="57" t="s">
        <v>45</v>
      </c>
      <c r="H458" s="57" t="s">
        <v>47</v>
      </c>
      <c r="I458" s="59" t="n">
        <v>1</v>
      </c>
      <c r="J458" s="60" t="n">
        <v>34</v>
      </c>
      <c r="K458" s="60" t="n">
        <v>12</v>
      </c>
      <c r="L458" s="61" t="n">
        <f aca="false">I458*J458</f>
        <v>34</v>
      </c>
      <c r="M458" s="61" t="n">
        <f aca="false">L458-I458*K458</f>
        <v>22</v>
      </c>
      <c r="N458" s="57" t="n">
        <f aca="false">IF(COUNTIFS(E$2:E458,E458,C$2:C458,C458)=1,1,0)</f>
        <v>1</v>
      </c>
      <c r="O458" s="57" t="n">
        <f aca="false">IF(COUNTIFS(E$2:E458,E458,C$2:C458,C458,D$2:D458,D458)=1,1,0)</f>
        <v>1</v>
      </c>
      <c r="P458" s="57" t="n">
        <f aca="false">IF(AND(C458=Calc!$C$3,OR(Calc!$C$4=0,D458=Calc!$C$4)),ROW(),0)</f>
        <v>0</v>
      </c>
    </row>
    <row r="459" customFormat="false" ht="15" hidden="false" customHeight="false" outlineLevel="0" collapsed="false">
      <c r="A459" s="57" t="s">
        <v>797</v>
      </c>
      <c r="B459" s="58" t="n">
        <v>45442</v>
      </c>
      <c r="C459" s="57" t="n">
        <f aca="false">YEAR(B459)</f>
        <v>2024</v>
      </c>
      <c r="D459" s="57" t="n">
        <f aca="false">MONTH(B459)</f>
        <v>5</v>
      </c>
      <c r="E459" s="57" t="s">
        <v>512</v>
      </c>
      <c r="F459" s="57" t="s">
        <v>75</v>
      </c>
      <c r="G459" s="57" t="s">
        <v>45</v>
      </c>
      <c r="H459" s="57" t="s">
        <v>46</v>
      </c>
      <c r="I459" s="59" t="n">
        <v>1</v>
      </c>
      <c r="J459" s="60" t="n">
        <v>149</v>
      </c>
      <c r="K459" s="60" t="n">
        <v>71</v>
      </c>
      <c r="L459" s="61" t="n">
        <f aca="false">I459*J459</f>
        <v>149</v>
      </c>
      <c r="M459" s="61" t="n">
        <f aca="false">L459-I459*K459</f>
        <v>78</v>
      </c>
      <c r="N459" s="57" t="n">
        <f aca="false">IF(COUNTIFS(E$2:E459,E459,C$2:C459,C459)=1,1,0)</f>
        <v>0</v>
      </c>
      <c r="O459" s="57" t="n">
        <f aca="false">IF(COUNTIFS(E$2:E459,E459,C$2:C459,C459,D$2:D459,D459)=1,1,0)</f>
        <v>0</v>
      </c>
      <c r="P459" s="57" t="n">
        <f aca="false">IF(AND(C459=Calc!$C$3,OR(Calc!$C$4=0,D459=Calc!$C$4)),ROW(),0)</f>
        <v>0</v>
      </c>
    </row>
    <row r="460" customFormat="false" ht="15" hidden="false" customHeight="false" outlineLevel="0" collapsed="false">
      <c r="A460" s="57" t="s">
        <v>798</v>
      </c>
      <c r="B460" s="58" t="n">
        <v>45442</v>
      </c>
      <c r="C460" s="57" t="n">
        <f aca="false">YEAR(B460)</f>
        <v>2024</v>
      </c>
      <c r="D460" s="57" t="n">
        <f aca="false">MONTH(B460)</f>
        <v>5</v>
      </c>
      <c r="E460" s="57" t="s">
        <v>328</v>
      </c>
      <c r="F460" s="57" t="s">
        <v>69</v>
      </c>
      <c r="G460" s="57" t="s">
        <v>45</v>
      </c>
      <c r="H460" s="57" t="s">
        <v>46</v>
      </c>
      <c r="I460" s="59" t="n">
        <v>1</v>
      </c>
      <c r="J460" s="60" t="n">
        <v>149</v>
      </c>
      <c r="K460" s="60" t="n">
        <v>71</v>
      </c>
      <c r="L460" s="61" t="n">
        <f aca="false">I460*J460</f>
        <v>149</v>
      </c>
      <c r="M460" s="61" t="n">
        <f aca="false">L460-I460*K460</f>
        <v>78</v>
      </c>
      <c r="N460" s="57" t="n">
        <f aca="false">IF(COUNTIFS(E$2:E460,E460,C$2:C460,C460)=1,1,0)</f>
        <v>0</v>
      </c>
      <c r="O460" s="57" t="n">
        <f aca="false">IF(COUNTIFS(E$2:E460,E460,C$2:C460,C460,D$2:D460,D460)=1,1,0)</f>
        <v>1</v>
      </c>
      <c r="P460" s="57" t="n">
        <f aca="false">IF(AND(C460=Calc!$C$3,OR(Calc!$C$4=0,D460=Calc!$C$4)),ROW(),0)</f>
        <v>0</v>
      </c>
    </row>
    <row r="461" customFormat="false" ht="15" hidden="false" customHeight="false" outlineLevel="0" collapsed="false">
      <c r="A461" s="57" t="s">
        <v>799</v>
      </c>
      <c r="B461" s="58" t="n">
        <v>45442</v>
      </c>
      <c r="C461" s="57" t="n">
        <f aca="false">YEAR(B461)</f>
        <v>2024</v>
      </c>
      <c r="D461" s="57" t="n">
        <f aca="false">MONTH(B461)</f>
        <v>5</v>
      </c>
      <c r="E461" s="57" t="s">
        <v>313</v>
      </c>
      <c r="F461" s="57" t="s">
        <v>75</v>
      </c>
      <c r="G461" s="57" t="s">
        <v>40</v>
      </c>
      <c r="H461" s="57" t="s">
        <v>39</v>
      </c>
      <c r="I461" s="59" t="n">
        <v>3</v>
      </c>
      <c r="J461" s="60" t="n">
        <v>54</v>
      </c>
      <c r="K461" s="60" t="n">
        <v>19</v>
      </c>
      <c r="L461" s="61" t="n">
        <f aca="false">I461*J461</f>
        <v>162</v>
      </c>
      <c r="M461" s="61" t="n">
        <f aca="false">L461-I461*K461</f>
        <v>105</v>
      </c>
      <c r="N461" s="57" t="n">
        <f aca="false">IF(COUNTIFS(E$2:E461,E461,C$2:C461,C461)=1,1,0)</f>
        <v>0</v>
      </c>
      <c r="O461" s="57" t="n">
        <f aca="false">IF(COUNTIFS(E$2:E461,E461,C$2:C461,C461,D$2:D461,D461)=1,1,0)</f>
        <v>1</v>
      </c>
      <c r="P461" s="57" t="n">
        <f aca="false">IF(AND(C461=Calc!$C$3,OR(Calc!$C$4=0,D461=Calc!$C$4)),ROW(),0)</f>
        <v>0</v>
      </c>
    </row>
    <row r="462" customFormat="false" ht="15" hidden="false" customHeight="false" outlineLevel="0" collapsed="false">
      <c r="A462" s="57" t="s">
        <v>800</v>
      </c>
      <c r="B462" s="58" t="n">
        <v>45442</v>
      </c>
      <c r="C462" s="57" t="n">
        <f aca="false">YEAR(B462)</f>
        <v>2024</v>
      </c>
      <c r="D462" s="57" t="n">
        <f aca="false">MONTH(B462)</f>
        <v>5</v>
      </c>
      <c r="E462" s="57" t="s">
        <v>277</v>
      </c>
      <c r="F462" s="57" t="s">
        <v>75</v>
      </c>
      <c r="G462" s="57" t="s">
        <v>45</v>
      </c>
      <c r="H462" s="57" t="s">
        <v>44</v>
      </c>
      <c r="I462" s="59" t="n">
        <v>1</v>
      </c>
      <c r="J462" s="60" t="n">
        <v>119</v>
      </c>
      <c r="K462" s="60" t="n">
        <v>63</v>
      </c>
      <c r="L462" s="61" t="n">
        <f aca="false">I462*J462</f>
        <v>119</v>
      </c>
      <c r="M462" s="61" t="n">
        <f aca="false">L462-I462*K462</f>
        <v>56</v>
      </c>
      <c r="N462" s="57" t="n">
        <f aca="false">IF(COUNTIFS(E$2:E462,E462,C$2:C462,C462)=1,1,0)</f>
        <v>0</v>
      </c>
      <c r="O462" s="57" t="n">
        <f aca="false">IF(COUNTIFS(E$2:E462,E462,C$2:C462,C462,D$2:D462,D462)=1,1,0)</f>
        <v>0</v>
      </c>
      <c r="P462" s="57" t="n">
        <f aca="false">IF(AND(C462=Calc!$C$3,OR(Calc!$C$4=0,D462=Calc!$C$4)),ROW(),0)</f>
        <v>0</v>
      </c>
    </row>
    <row r="463" customFormat="false" ht="15" hidden="false" customHeight="false" outlineLevel="0" collapsed="false">
      <c r="A463" s="57" t="s">
        <v>801</v>
      </c>
      <c r="B463" s="58" t="n">
        <v>45443</v>
      </c>
      <c r="C463" s="57" t="n">
        <f aca="false">YEAR(B463)</f>
        <v>2024</v>
      </c>
      <c r="D463" s="57" t="n">
        <f aca="false">MONTH(B463)</f>
        <v>5</v>
      </c>
      <c r="E463" s="57" t="s">
        <v>386</v>
      </c>
      <c r="F463" s="57" t="s">
        <v>78</v>
      </c>
      <c r="G463" s="57" t="s">
        <v>40</v>
      </c>
      <c r="H463" s="57" t="s">
        <v>42</v>
      </c>
      <c r="I463" s="59" t="n">
        <v>1</v>
      </c>
      <c r="J463" s="60" t="n">
        <v>79</v>
      </c>
      <c r="K463" s="60" t="n">
        <v>31</v>
      </c>
      <c r="L463" s="61" t="n">
        <f aca="false">I463*J463</f>
        <v>79</v>
      </c>
      <c r="M463" s="61" t="n">
        <f aca="false">L463-I463*K463</f>
        <v>48</v>
      </c>
      <c r="N463" s="57" t="n">
        <f aca="false">IF(COUNTIFS(E$2:E463,E463,C$2:C463,C463)=1,1,0)</f>
        <v>0</v>
      </c>
      <c r="O463" s="57" t="n">
        <f aca="false">IF(COUNTIFS(E$2:E463,E463,C$2:C463,C463,D$2:D463,D463)=1,1,0)</f>
        <v>1</v>
      </c>
      <c r="P463" s="57" t="n">
        <f aca="false">IF(AND(C463=Calc!$C$3,OR(Calc!$C$4=0,D463=Calc!$C$4)),ROW(),0)</f>
        <v>0</v>
      </c>
    </row>
    <row r="464" customFormat="false" ht="15" hidden="false" customHeight="false" outlineLevel="0" collapsed="false">
      <c r="A464" s="57" t="s">
        <v>802</v>
      </c>
      <c r="B464" s="58" t="n">
        <v>45443</v>
      </c>
      <c r="C464" s="57" t="n">
        <f aca="false">YEAR(B464)</f>
        <v>2024</v>
      </c>
      <c r="D464" s="57" t="n">
        <f aca="false">MONTH(B464)</f>
        <v>5</v>
      </c>
      <c r="E464" s="57" t="s">
        <v>300</v>
      </c>
      <c r="F464" s="57" t="s">
        <v>81</v>
      </c>
      <c r="G464" s="57" t="s">
        <v>35</v>
      </c>
      <c r="H464" s="57" t="s">
        <v>38</v>
      </c>
      <c r="I464" s="59" t="n">
        <v>2</v>
      </c>
      <c r="J464" s="60" t="n">
        <v>49</v>
      </c>
      <c r="K464" s="60" t="n">
        <v>22</v>
      </c>
      <c r="L464" s="61" t="n">
        <f aca="false">I464*J464</f>
        <v>98</v>
      </c>
      <c r="M464" s="61" t="n">
        <f aca="false">L464-I464*K464</f>
        <v>54</v>
      </c>
      <c r="N464" s="57" t="n">
        <f aca="false">IF(COUNTIFS(E$2:E464,E464,C$2:C464,C464)=1,1,0)</f>
        <v>0</v>
      </c>
      <c r="O464" s="57" t="n">
        <f aca="false">IF(COUNTIFS(E$2:E464,E464,C$2:C464,C464,D$2:D464,D464)=1,1,0)</f>
        <v>1</v>
      </c>
      <c r="P464" s="57" t="n">
        <f aca="false">IF(AND(C464=Calc!$C$3,OR(Calc!$C$4=0,D464=Calc!$C$4)),ROW(),0)</f>
        <v>0</v>
      </c>
    </row>
    <row r="465" customFormat="false" ht="15" hidden="false" customHeight="false" outlineLevel="0" collapsed="false">
      <c r="A465" s="57" t="s">
        <v>803</v>
      </c>
      <c r="B465" s="58" t="n">
        <v>45443</v>
      </c>
      <c r="C465" s="57" t="n">
        <f aca="false">YEAR(B465)</f>
        <v>2024</v>
      </c>
      <c r="D465" s="57" t="n">
        <f aca="false">MONTH(B465)</f>
        <v>5</v>
      </c>
      <c r="E465" s="57" t="s">
        <v>428</v>
      </c>
      <c r="F465" s="57" t="s">
        <v>78</v>
      </c>
      <c r="G465" s="57" t="s">
        <v>35</v>
      </c>
      <c r="H465" s="57" t="s">
        <v>34</v>
      </c>
      <c r="I465" s="59" t="n">
        <v>1</v>
      </c>
      <c r="J465" s="60" t="n">
        <v>89</v>
      </c>
      <c r="K465" s="60" t="n">
        <v>41</v>
      </c>
      <c r="L465" s="61" t="n">
        <f aca="false">I465*J465</f>
        <v>89</v>
      </c>
      <c r="M465" s="61" t="n">
        <f aca="false">L465-I465*K465</f>
        <v>48</v>
      </c>
      <c r="N465" s="57" t="n">
        <f aca="false">IF(COUNTIFS(E$2:E465,E465,C$2:C465,C465)=1,1,0)</f>
        <v>0</v>
      </c>
      <c r="O465" s="57" t="n">
        <f aca="false">IF(COUNTIFS(E$2:E465,E465,C$2:C465,C465,D$2:D465,D465)=1,1,0)</f>
        <v>1</v>
      </c>
      <c r="P465" s="57" t="n">
        <f aca="false">IF(AND(C465=Calc!$C$3,OR(Calc!$C$4=0,D465=Calc!$C$4)),ROW(),0)</f>
        <v>0</v>
      </c>
    </row>
    <row r="466" customFormat="false" ht="15" hidden="false" customHeight="false" outlineLevel="0" collapsed="false">
      <c r="A466" s="57" t="s">
        <v>804</v>
      </c>
      <c r="B466" s="58" t="n">
        <v>45444</v>
      </c>
      <c r="C466" s="57" t="n">
        <f aca="false">YEAR(B466)</f>
        <v>2024</v>
      </c>
      <c r="D466" s="57" t="n">
        <f aca="false">MONTH(B466)</f>
        <v>6</v>
      </c>
      <c r="E466" s="57" t="s">
        <v>660</v>
      </c>
      <c r="F466" s="57" t="s">
        <v>78</v>
      </c>
      <c r="G466" s="57" t="s">
        <v>35</v>
      </c>
      <c r="H466" s="57" t="s">
        <v>34</v>
      </c>
      <c r="I466" s="59" t="n">
        <v>1</v>
      </c>
      <c r="J466" s="60" t="n">
        <v>89</v>
      </c>
      <c r="K466" s="60" t="n">
        <v>41</v>
      </c>
      <c r="L466" s="61" t="n">
        <f aca="false">I466*J466</f>
        <v>89</v>
      </c>
      <c r="M466" s="61" t="n">
        <f aca="false">L466-I466*K466</f>
        <v>48</v>
      </c>
      <c r="N466" s="57" t="n">
        <f aca="false">IF(COUNTIFS(E$2:E466,E466,C$2:C466,C466)=1,1,0)</f>
        <v>0</v>
      </c>
      <c r="O466" s="57" t="n">
        <f aca="false">IF(COUNTIFS(E$2:E466,E466,C$2:C466,C466,D$2:D466,D466)=1,1,0)</f>
        <v>1</v>
      </c>
      <c r="P466" s="57" t="n">
        <f aca="false">IF(AND(C466=Calc!$C$3,OR(Calc!$C$4=0,D466=Calc!$C$4)),ROW(),0)</f>
        <v>0</v>
      </c>
    </row>
    <row r="467" customFormat="false" ht="15" hidden="false" customHeight="false" outlineLevel="0" collapsed="false">
      <c r="A467" s="57" t="s">
        <v>805</v>
      </c>
      <c r="B467" s="58" t="n">
        <v>45444</v>
      </c>
      <c r="C467" s="57" t="n">
        <f aca="false">YEAR(B467)</f>
        <v>2024</v>
      </c>
      <c r="D467" s="57" t="n">
        <f aca="false">MONTH(B467)</f>
        <v>6</v>
      </c>
      <c r="E467" s="57" t="s">
        <v>601</v>
      </c>
      <c r="F467" s="57" t="s">
        <v>78</v>
      </c>
      <c r="G467" s="57" t="s">
        <v>35</v>
      </c>
      <c r="H467" s="57" t="s">
        <v>38</v>
      </c>
      <c r="I467" s="59" t="n">
        <v>1</v>
      </c>
      <c r="J467" s="60" t="n">
        <v>49</v>
      </c>
      <c r="K467" s="60" t="n">
        <v>22</v>
      </c>
      <c r="L467" s="61" t="n">
        <f aca="false">I467*J467</f>
        <v>49</v>
      </c>
      <c r="M467" s="61" t="n">
        <f aca="false">L467-I467*K467</f>
        <v>27</v>
      </c>
      <c r="N467" s="57" t="n">
        <f aca="false">IF(COUNTIFS(E$2:E467,E467,C$2:C467,C467)=1,1,0)</f>
        <v>0</v>
      </c>
      <c r="O467" s="57" t="n">
        <f aca="false">IF(COUNTIFS(E$2:E467,E467,C$2:C467,C467,D$2:D467,D467)=1,1,0)</f>
        <v>1</v>
      </c>
      <c r="P467" s="57" t="n">
        <f aca="false">IF(AND(C467=Calc!$C$3,OR(Calc!$C$4=0,D467=Calc!$C$4)),ROW(),0)</f>
        <v>0</v>
      </c>
    </row>
    <row r="468" customFormat="false" ht="15" hidden="false" customHeight="false" outlineLevel="0" collapsed="false">
      <c r="A468" s="57" t="s">
        <v>806</v>
      </c>
      <c r="B468" s="58" t="n">
        <v>45444</v>
      </c>
      <c r="C468" s="57" t="n">
        <f aca="false">YEAR(B468)</f>
        <v>2024</v>
      </c>
      <c r="D468" s="57" t="n">
        <f aca="false">MONTH(B468)</f>
        <v>6</v>
      </c>
      <c r="E468" s="57" t="s">
        <v>569</v>
      </c>
      <c r="F468" s="57" t="s">
        <v>72</v>
      </c>
      <c r="G468" s="57" t="s">
        <v>45</v>
      </c>
      <c r="H468" s="57" t="s">
        <v>46</v>
      </c>
      <c r="I468" s="59" t="n">
        <v>1</v>
      </c>
      <c r="J468" s="60" t="n">
        <v>149</v>
      </c>
      <c r="K468" s="60" t="n">
        <v>71</v>
      </c>
      <c r="L468" s="61" t="n">
        <f aca="false">I468*J468</f>
        <v>149</v>
      </c>
      <c r="M468" s="61" t="n">
        <f aca="false">L468-I468*K468</f>
        <v>78</v>
      </c>
      <c r="N468" s="57" t="n">
        <f aca="false">IF(COUNTIFS(E$2:E468,E468,C$2:C468,C468)=1,1,0)</f>
        <v>0</v>
      </c>
      <c r="O468" s="57" t="n">
        <f aca="false">IF(COUNTIFS(E$2:E468,E468,C$2:C468,C468,D$2:D468,D468)=1,1,0)</f>
        <v>1</v>
      </c>
      <c r="P468" s="57" t="n">
        <f aca="false">IF(AND(C468=Calc!$C$3,OR(Calc!$C$4=0,D468=Calc!$C$4)),ROW(),0)</f>
        <v>0</v>
      </c>
    </row>
    <row r="469" customFormat="false" ht="15" hidden="false" customHeight="false" outlineLevel="0" collapsed="false">
      <c r="A469" s="57" t="s">
        <v>807</v>
      </c>
      <c r="B469" s="58" t="n">
        <v>45444</v>
      </c>
      <c r="C469" s="57" t="n">
        <f aca="false">YEAR(B469)</f>
        <v>2024</v>
      </c>
      <c r="D469" s="57" t="n">
        <f aca="false">MONTH(B469)</f>
        <v>6</v>
      </c>
      <c r="E469" s="57" t="s">
        <v>808</v>
      </c>
      <c r="F469" s="57" t="s">
        <v>69</v>
      </c>
      <c r="G469" s="57" t="s">
        <v>35</v>
      </c>
      <c r="H469" s="57" t="s">
        <v>37</v>
      </c>
      <c r="I469" s="59" t="n">
        <v>1</v>
      </c>
      <c r="J469" s="60" t="n">
        <v>59</v>
      </c>
      <c r="K469" s="60" t="n">
        <v>27</v>
      </c>
      <c r="L469" s="61" t="n">
        <f aca="false">I469*J469</f>
        <v>59</v>
      </c>
      <c r="M469" s="61" t="n">
        <f aca="false">L469-I469*K469</f>
        <v>32</v>
      </c>
      <c r="N469" s="57" t="n">
        <f aca="false">IF(COUNTIFS(E$2:E469,E469,C$2:C469,C469)=1,1,0)</f>
        <v>1</v>
      </c>
      <c r="O469" s="57" t="n">
        <f aca="false">IF(COUNTIFS(E$2:E469,E469,C$2:C469,C469,D$2:D469,D469)=1,1,0)</f>
        <v>1</v>
      </c>
      <c r="P469" s="57" t="n">
        <f aca="false">IF(AND(C469=Calc!$C$3,OR(Calc!$C$4=0,D469=Calc!$C$4)),ROW(),0)</f>
        <v>0</v>
      </c>
    </row>
    <row r="470" customFormat="false" ht="15" hidden="false" customHeight="false" outlineLevel="0" collapsed="false">
      <c r="A470" s="57" t="s">
        <v>809</v>
      </c>
      <c r="B470" s="58" t="n">
        <v>45445</v>
      </c>
      <c r="C470" s="57" t="n">
        <f aca="false">YEAR(B470)</f>
        <v>2024</v>
      </c>
      <c r="D470" s="57" t="n">
        <f aca="false">MONTH(B470)</f>
        <v>6</v>
      </c>
      <c r="E470" s="57" t="s">
        <v>122</v>
      </c>
      <c r="F470" s="57" t="s">
        <v>81</v>
      </c>
      <c r="G470" s="57" t="s">
        <v>45</v>
      </c>
      <c r="H470" s="57" t="s">
        <v>44</v>
      </c>
      <c r="I470" s="59" t="n">
        <v>1</v>
      </c>
      <c r="J470" s="60" t="n">
        <v>119</v>
      </c>
      <c r="K470" s="60" t="n">
        <v>63</v>
      </c>
      <c r="L470" s="61" t="n">
        <f aca="false">I470*J470</f>
        <v>119</v>
      </c>
      <c r="M470" s="61" t="n">
        <f aca="false">L470-I470*K470</f>
        <v>56</v>
      </c>
      <c r="N470" s="57" t="n">
        <f aca="false">IF(COUNTIFS(E$2:E470,E470,C$2:C470,C470)=1,1,0)</f>
        <v>0</v>
      </c>
      <c r="O470" s="57" t="n">
        <f aca="false">IF(COUNTIFS(E$2:E470,E470,C$2:C470,C470,D$2:D470,D470)=1,1,0)</f>
        <v>1</v>
      </c>
      <c r="P470" s="57" t="n">
        <f aca="false">IF(AND(C470=Calc!$C$3,OR(Calc!$C$4=0,D470=Calc!$C$4)),ROW(),0)</f>
        <v>0</v>
      </c>
    </row>
    <row r="471" customFormat="false" ht="15" hidden="false" customHeight="false" outlineLevel="0" collapsed="false">
      <c r="A471" s="57" t="s">
        <v>810</v>
      </c>
      <c r="B471" s="58" t="n">
        <v>45445</v>
      </c>
      <c r="C471" s="57" t="n">
        <f aca="false">YEAR(B471)</f>
        <v>2024</v>
      </c>
      <c r="D471" s="57" t="n">
        <f aca="false">MONTH(B471)</f>
        <v>6</v>
      </c>
      <c r="E471" s="57" t="s">
        <v>601</v>
      </c>
      <c r="F471" s="57" t="s">
        <v>78</v>
      </c>
      <c r="G471" s="57" t="s">
        <v>45</v>
      </c>
      <c r="H471" s="57" t="s">
        <v>48</v>
      </c>
      <c r="I471" s="59" t="n">
        <v>1</v>
      </c>
      <c r="J471" s="60" t="n">
        <v>99</v>
      </c>
      <c r="K471" s="60" t="n">
        <v>38</v>
      </c>
      <c r="L471" s="61" t="n">
        <f aca="false">I471*J471</f>
        <v>99</v>
      </c>
      <c r="M471" s="61" t="n">
        <f aca="false">L471-I471*K471</f>
        <v>61</v>
      </c>
      <c r="N471" s="57" t="n">
        <f aca="false">IF(COUNTIFS(E$2:E471,E471,C$2:C471,C471)=1,1,0)</f>
        <v>0</v>
      </c>
      <c r="O471" s="57" t="n">
        <f aca="false">IF(COUNTIFS(E$2:E471,E471,C$2:C471,C471,D$2:D471,D471)=1,1,0)</f>
        <v>0</v>
      </c>
      <c r="P471" s="57" t="n">
        <f aca="false">IF(AND(C471=Calc!$C$3,OR(Calc!$C$4=0,D471=Calc!$C$4)),ROW(),0)</f>
        <v>0</v>
      </c>
    </row>
    <row r="472" customFormat="false" ht="15" hidden="false" customHeight="false" outlineLevel="0" collapsed="false">
      <c r="A472" s="57" t="s">
        <v>811</v>
      </c>
      <c r="B472" s="58" t="n">
        <v>45445</v>
      </c>
      <c r="C472" s="57" t="n">
        <f aca="false">YEAR(B472)</f>
        <v>2024</v>
      </c>
      <c r="D472" s="57" t="n">
        <f aca="false">MONTH(B472)</f>
        <v>6</v>
      </c>
      <c r="E472" s="57" t="s">
        <v>304</v>
      </c>
      <c r="F472" s="57" t="s">
        <v>69</v>
      </c>
      <c r="G472" s="57" t="s">
        <v>35</v>
      </c>
      <c r="H472" s="57" t="s">
        <v>37</v>
      </c>
      <c r="I472" s="59" t="n">
        <v>1</v>
      </c>
      <c r="J472" s="60" t="n">
        <v>59</v>
      </c>
      <c r="K472" s="60" t="n">
        <v>27</v>
      </c>
      <c r="L472" s="61" t="n">
        <f aca="false">I472*J472</f>
        <v>59</v>
      </c>
      <c r="M472" s="61" t="n">
        <f aca="false">L472-I472*K472</f>
        <v>32</v>
      </c>
      <c r="N472" s="57" t="n">
        <f aca="false">IF(COUNTIFS(E$2:E472,E472,C$2:C472,C472)=1,1,0)</f>
        <v>0</v>
      </c>
      <c r="O472" s="57" t="n">
        <f aca="false">IF(COUNTIFS(E$2:E472,E472,C$2:C472,C472,D$2:D472,D472)=1,1,0)</f>
        <v>1</v>
      </c>
      <c r="P472" s="57" t="n">
        <f aca="false">IF(AND(C472=Calc!$C$3,OR(Calc!$C$4=0,D472=Calc!$C$4)),ROW(),0)</f>
        <v>0</v>
      </c>
    </row>
    <row r="473" customFormat="false" ht="15" hidden="false" customHeight="false" outlineLevel="0" collapsed="false">
      <c r="A473" s="57" t="s">
        <v>812</v>
      </c>
      <c r="B473" s="58" t="n">
        <v>45446</v>
      </c>
      <c r="C473" s="57" t="n">
        <f aca="false">YEAR(B473)</f>
        <v>2024</v>
      </c>
      <c r="D473" s="57" t="n">
        <f aca="false">MONTH(B473)</f>
        <v>6</v>
      </c>
      <c r="E473" s="57" t="s">
        <v>479</v>
      </c>
      <c r="F473" s="57" t="s">
        <v>72</v>
      </c>
      <c r="G473" s="57" t="s">
        <v>35</v>
      </c>
      <c r="H473" s="57" t="s">
        <v>34</v>
      </c>
      <c r="I473" s="59" t="n">
        <v>1</v>
      </c>
      <c r="J473" s="60" t="n">
        <v>89</v>
      </c>
      <c r="K473" s="60" t="n">
        <v>41</v>
      </c>
      <c r="L473" s="61" t="n">
        <f aca="false">I473*J473</f>
        <v>89</v>
      </c>
      <c r="M473" s="61" t="n">
        <f aca="false">L473-I473*K473</f>
        <v>48</v>
      </c>
      <c r="N473" s="57" t="n">
        <f aca="false">IF(COUNTIFS(E$2:E473,E473,C$2:C473,C473)=1,1,0)</f>
        <v>0</v>
      </c>
      <c r="O473" s="57" t="n">
        <f aca="false">IF(COUNTIFS(E$2:E473,E473,C$2:C473,C473,D$2:D473,D473)=1,1,0)</f>
        <v>1</v>
      </c>
      <c r="P473" s="57" t="n">
        <f aca="false">IF(AND(C473=Calc!$C$3,OR(Calc!$C$4=0,D473=Calc!$C$4)),ROW(),0)</f>
        <v>0</v>
      </c>
    </row>
    <row r="474" customFormat="false" ht="15" hidden="false" customHeight="false" outlineLevel="0" collapsed="false">
      <c r="A474" s="57" t="s">
        <v>813</v>
      </c>
      <c r="B474" s="58" t="n">
        <v>45446</v>
      </c>
      <c r="C474" s="57" t="n">
        <f aca="false">YEAR(B474)</f>
        <v>2024</v>
      </c>
      <c r="D474" s="57" t="n">
        <f aca="false">MONTH(B474)</f>
        <v>6</v>
      </c>
      <c r="E474" s="57" t="s">
        <v>586</v>
      </c>
      <c r="F474" s="57" t="s">
        <v>75</v>
      </c>
      <c r="G474" s="57" t="s">
        <v>45</v>
      </c>
      <c r="H474" s="57" t="s">
        <v>48</v>
      </c>
      <c r="I474" s="59" t="n">
        <v>1</v>
      </c>
      <c r="J474" s="60" t="n">
        <v>99</v>
      </c>
      <c r="K474" s="60" t="n">
        <v>38</v>
      </c>
      <c r="L474" s="61" t="n">
        <f aca="false">I474*J474</f>
        <v>99</v>
      </c>
      <c r="M474" s="61" t="n">
        <f aca="false">L474-I474*K474</f>
        <v>61</v>
      </c>
      <c r="N474" s="57" t="n">
        <f aca="false">IF(COUNTIFS(E$2:E474,E474,C$2:C474,C474)=1,1,0)</f>
        <v>0</v>
      </c>
      <c r="O474" s="57" t="n">
        <f aca="false">IF(COUNTIFS(E$2:E474,E474,C$2:C474,C474,D$2:D474,D474)=1,1,0)</f>
        <v>1</v>
      </c>
      <c r="P474" s="57" t="n">
        <f aca="false">IF(AND(C474=Calc!$C$3,OR(Calc!$C$4=0,D474=Calc!$C$4)),ROW(),0)</f>
        <v>0</v>
      </c>
    </row>
    <row r="475" customFormat="false" ht="15" hidden="false" customHeight="false" outlineLevel="0" collapsed="false">
      <c r="A475" s="57" t="s">
        <v>814</v>
      </c>
      <c r="B475" s="58" t="n">
        <v>45446</v>
      </c>
      <c r="C475" s="57" t="n">
        <f aca="false">YEAR(B475)</f>
        <v>2024</v>
      </c>
      <c r="D475" s="57" t="n">
        <f aca="false">MONTH(B475)</f>
        <v>6</v>
      </c>
      <c r="E475" s="57" t="s">
        <v>594</v>
      </c>
      <c r="F475" s="57" t="s">
        <v>81</v>
      </c>
      <c r="G475" s="57" t="s">
        <v>35</v>
      </c>
      <c r="H475" s="57" t="s">
        <v>36</v>
      </c>
      <c r="I475" s="59" t="n">
        <v>1</v>
      </c>
      <c r="J475" s="60" t="n">
        <v>179</v>
      </c>
      <c r="K475" s="60" t="n">
        <v>92</v>
      </c>
      <c r="L475" s="61" t="n">
        <f aca="false">I475*J475</f>
        <v>179</v>
      </c>
      <c r="M475" s="61" t="n">
        <f aca="false">L475-I475*K475</f>
        <v>87</v>
      </c>
      <c r="N475" s="57" t="n">
        <f aca="false">IF(COUNTIFS(E$2:E475,E475,C$2:C475,C475)=1,1,0)</f>
        <v>0</v>
      </c>
      <c r="O475" s="57" t="n">
        <f aca="false">IF(COUNTIFS(E$2:E475,E475,C$2:C475,C475,D$2:D475,D475)=1,1,0)</f>
        <v>1</v>
      </c>
      <c r="P475" s="57" t="n">
        <f aca="false">IF(AND(C475=Calc!$C$3,OR(Calc!$C$4=0,D475=Calc!$C$4)),ROW(),0)</f>
        <v>0</v>
      </c>
    </row>
    <row r="476" customFormat="false" ht="15" hidden="false" customHeight="false" outlineLevel="0" collapsed="false">
      <c r="A476" s="57" t="s">
        <v>815</v>
      </c>
      <c r="B476" s="58" t="n">
        <v>45447</v>
      </c>
      <c r="C476" s="57" t="n">
        <f aca="false">YEAR(B476)</f>
        <v>2024</v>
      </c>
      <c r="D476" s="57" t="n">
        <f aca="false">MONTH(B476)</f>
        <v>6</v>
      </c>
      <c r="E476" s="57" t="s">
        <v>231</v>
      </c>
      <c r="F476" s="57" t="s">
        <v>72</v>
      </c>
      <c r="G476" s="57" t="s">
        <v>45</v>
      </c>
      <c r="H476" s="57" t="s">
        <v>48</v>
      </c>
      <c r="I476" s="59" t="n">
        <v>1</v>
      </c>
      <c r="J476" s="60" t="n">
        <v>99</v>
      </c>
      <c r="K476" s="60" t="n">
        <v>38</v>
      </c>
      <c r="L476" s="61" t="n">
        <f aca="false">I476*J476</f>
        <v>99</v>
      </c>
      <c r="M476" s="61" t="n">
        <f aca="false">L476-I476*K476</f>
        <v>61</v>
      </c>
      <c r="N476" s="57" t="n">
        <f aca="false">IF(COUNTIFS(E$2:E476,E476,C$2:C476,C476)=1,1,0)</f>
        <v>0</v>
      </c>
      <c r="O476" s="57" t="n">
        <f aca="false">IF(COUNTIFS(E$2:E476,E476,C$2:C476,C476,D$2:D476,D476)=1,1,0)</f>
        <v>1</v>
      </c>
      <c r="P476" s="57" t="n">
        <f aca="false">IF(AND(C476=Calc!$C$3,OR(Calc!$C$4=0,D476=Calc!$C$4)),ROW(),0)</f>
        <v>0</v>
      </c>
    </row>
    <row r="477" customFormat="false" ht="15" hidden="false" customHeight="false" outlineLevel="0" collapsed="false">
      <c r="A477" s="57" t="s">
        <v>816</v>
      </c>
      <c r="B477" s="58" t="n">
        <v>45447</v>
      </c>
      <c r="C477" s="57" t="n">
        <f aca="false">YEAR(B477)</f>
        <v>2024</v>
      </c>
      <c r="D477" s="57" t="n">
        <f aca="false">MONTH(B477)</f>
        <v>6</v>
      </c>
      <c r="E477" s="57" t="s">
        <v>564</v>
      </c>
      <c r="F477" s="57" t="s">
        <v>78</v>
      </c>
      <c r="G477" s="57" t="s">
        <v>45</v>
      </c>
      <c r="H477" s="57" t="s">
        <v>44</v>
      </c>
      <c r="I477" s="59" t="n">
        <v>1</v>
      </c>
      <c r="J477" s="60" t="n">
        <v>119</v>
      </c>
      <c r="K477" s="60" t="n">
        <v>63</v>
      </c>
      <c r="L477" s="61" t="n">
        <f aca="false">I477*J477</f>
        <v>119</v>
      </c>
      <c r="M477" s="61" t="n">
        <f aca="false">L477-I477*K477</f>
        <v>56</v>
      </c>
      <c r="N477" s="57" t="n">
        <f aca="false">IF(COUNTIFS(E$2:E477,E477,C$2:C477,C477)=1,1,0)</f>
        <v>0</v>
      </c>
      <c r="O477" s="57" t="n">
        <f aca="false">IF(COUNTIFS(E$2:E477,E477,C$2:C477,C477,D$2:D477,D477)=1,1,0)</f>
        <v>1</v>
      </c>
      <c r="P477" s="57" t="n">
        <f aca="false">IF(AND(C477=Calc!$C$3,OR(Calc!$C$4=0,D477=Calc!$C$4)),ROW(),0)</f>
        <v>0</v>
      </c>
    </row>
    <row r="478" customFormat="false" ht="15" hidden="false" customHeight="false" outlineLevel="0" collapsed="false">
      <c r="A478" s="57" t="s">
        <v>817</v>
      </c>
      <c r="B478" s="58" t="n">
        <v>45447</v>
      </c>
      <c r="C478" s="57" t="n">
        <f aca="false">YEAR(B478)</f>
        <v>2024</v>
      </c>
      <c r="D478" s="57" t="n">
        <f aca="false">MONTH(B478)</f>
        <v>6</v>
      </c>
      <c r="E478" s="57" t="s">
        <v>818</v>
      </c>
      <c r="F478" s="57" t="s">
        <v>69</v>
      </c>
      <c r="G478" s="57" t="s">
        <v>35</v>
      </c>
      <c r="H478" s="57" t="s">
        <v>38</v>
      </c>
      <c r="I478" s="59" t="n">
        <v>1</v>
      </c>
      <c r="J478" s="60" t="n">
        <v>49</v>
      </c>
      <c r="K478" s="60" t="n">
        <v>22</v>
      </c>
      <c r="L478" s="61" t="n">
        <f aca="false">I478*J478</f>
        <v>49</v>
      </c>
      <c r="M478" s="61" t="n">
        <f aca="false">L478-I478*K478</f>
        <v>27</v>
      </c>
      <c r="N478" s="57" t="n">
        <f aca="false">IF(COUNTIFS(E$2:E478,E478,C$2:C478,C478)=1,1,0)</f>
        <v>1</v>
      </c>
      <c r="O478" s="57" t="n">
        <f aca="false">IF(COUNTIFS(E$2:E478,E478,C$2:C478,C478,D$2:D478,D478)=1,1,0)</f>
        <v>1</v>
      </c>
      <c r="P478" s="57" t="n">
        <f aca="false">IF(AND(C478=Calc!$C$3,OR(Calc!$C$4=0,D478=Calc!$C$4)),ROW(),0)</f>
        <v>0</v>
      </c>
    </row>
    <row r="479" customFormat="false" ht="15" hidden="false" customHeight="false" outlineLevel="0" collapsed="false">
      <c r="A479" s="57" t="s">
        <v>819</v>
      </c>
      <c r="B479" s="58" t="n">
        <v>45447</v>
      </c>
      <c r="C479" s="57" t="n">
        <f aca="false">YEAR(B479)</f>
        <v>2024</v>
      </c>
      <c r="D479" s="57" t="n">
        <f aca="false">MONTH(B479)</f>
        <v>6</v>
      </c>
      <c r="E479" s="57" t="s">
        <v>820</v>
      </c>
      <c r="F479" s="57" t="s">
        <v>78</v>
      </c>
      <c r="G479" s="57" t="s">
        <v>45</v>
      </c>
      <c r="H479" s="57" t="s">
        <v>48</v>
      </c>
      <c r="I479" s="59" t="n">
        <v>1</v>
      </c>
      <c r="J479" s="60" t="n">
        <v>99</v>
      </c>
      <c r="K479" s="60" t="n">
        <v>38</v>
      </c>
      <c r="L479" s="61" t="n">
        <f aca="false">I479*J479</f>
        <v>99</v>
      </c>
      <c r="M479" s="61" t="n">
        <f aca="false">L479-I479*K479</f>
        <v>61</v>
      </c>
      <c r="N479" s="57" t="n">
        <f aca="false">IF(COUNTIFS(E$2:E479,E479,C$2:C479,C479)=1,1,0)</f>
        <v>1</v>
      </c>
      <c r="O479" s="57" t="n">
        <f aca="false">IF(COUNTIFS(E$2:E479,E479,C$2:C479,C479,D$2:D479,D479)=1,1,0)</f>
        <v>1</v>
      </c>
      <c r="P479" s="57" t="n">
        <f aca="false">IF(AND(C479=Calc!$C$3,OR(Calc!$C$4=0,D479=Calc!$C$4)),ROW(),0)</f>
        <v>0</v>
      </c>
    </row>
    <row r="480" customFormat="false" ht="15" hidden="false" customHeight="false" outlineLevel="0" collapsed="false">
      <c r="A480" s="57" t="s">
        <v>821</v>
      </c>
      <c r="B480" s="58" t="n">
        <v>45448</v>
      </c>
      <c r="C480" s="57" t="n">
        <f aca="false">YEAR(B480)</f>
        <v>2024</v>
      </c>
      <c r="D480" s="57" t="n">
        <f aca="false">MONTH(B480)</f>
        <v>6</v>
      </c>
      <c r="E480" s="57" t="s">
        <v>547</v>
      </c>
      <c r="F480" s="57" t="s">
        <v>72</v>
      </c>
      <c r="G480" s="57" t="s">
        <v>35</v>
      </c>
      <c r="H480" s="57" t="s">
        <v>34</v>
      </c>
      <c r="I480" s="59" t="n">
        <v>1</v>
      </c>
      <c r="J480" s="60" t="n">
        <v>89</v>
      </c>
      <c r="K480" s="60" t="n">
        <v>41</v>
      </c>
      <c r="L480" s="61" t="n">
        <f aca="false">I480*J480</f>
        <v>89</v>
      </c>
      <c r="M480" s="61" t="n">
        <f aca="false">L480-I480*K480</f>
        <v>48</v>
      </c>
      <c r="N480" s="57" t="n">
        <f aca="false">IF(COUNTIFS(E$2:E480,E480,C$2:C480,C480)=1,1,0)</f>
        <v>0</v>
      </c>
      <c r="O480" s="57" t="n">
        <f aca="false">IF(COUNTIFS(E$2:E480,E480,C$2:C480,C480,D$2:D480,D480)=1,1,0)</f>
        <v>1</v>
      </c>
      <c r="P480" s="57" t="n">
        <f aca="false">IF(AND(C480=Calc!$C$3,OR(Calc!$C$4=0,D480=Calc!$C$4)),ROW(),0)</f>
        <v>0</v>
      </c>
    </row>
    <row r="481" customFormat="false" ht="15" hidden="false" customHeight="false" outlineLevel="0" collapsed="false">
      <c r="A481" s="57" t="s">
        <v>822</v>
      </c>
      <c r="B481" s="58" t="n">
        <v>45448</v>
      </c>
      <c r="C481" s="57" t="n">
        <f aca="false">YEAR(B481)</f>
        <v>2024</v>
      </c>
      <c r="D481" s="57" t="n">
        <f aca="false">MONTH(B481)</f>
        <v>6</v>
      </c>
      <c r="E481" s="57" t="s">
        <v>823</v>
      </c>
      <c r="F481" s="57" t="s">
        <v>81</v>
      </c>
      <c r="G481" s="57" t="s">
        <v>35</v>
      </c>
      <c r="H481" s="57" t="s">
        <v>34</v>
      </c>
      <c r="I481" s="59" t="n">
        <v>1</v>
      </c>
      <c r="J481" s="60" t="n">
        <v>89</v>
      </c>
      <c r="K481" s="60" t="n">
        <v>41</v>
      </c>
      <c r="L481" s="61" t="n">
        <f aca="false">I481*J481</f>
        <v>89</v>
      </c>
      <c r="M481" s="61" t="n">
        <f aca="false">L481-I481*K481</f>
        <v>48</v>
      </c>
      <c r="N481" s="57" t="n">
        <f aca="false">IF(COUNTIFS(E$2:E481,E481,C$2:C481,C481)=1,1,0)</f>
        <v>1</v>
      </c>
      <c r="O481" s="57" t="n">
        <f aca="false">IF(COUNTIFS(E$2:E481,E481,C$2:C481,C481,D$2:D481,D481)=1,1,0)</f>
        <v>1</v>
      </c>
      <c r="P481" s="57" t="n">
        <f aca="false">IF(AND(C481=Calc!$C$3,OR(Calc!$C$4=0,D481=Calc!$C$4)),ROW(),0)</f>
        <v>0</v>
      </c>
    </row>
    <row r="482" customFormat="false" ht="15" hidden="false" customHeight="false" outlineLevel="0" collapsed="false">
      <c r="A482" s="57" t="s">
        <v>824</v>
      </c>
      <c r="B482" s="58" t="n">
        <v>45448</v>
      </c>
      <c r="C482" s="57" t="n">
        <f aca="false">YEAR(B482)</f>
        <v>2024</v>
      </c>
      <c r="D482" s="57" t="n">
        <f aca="false">MONTH(B482)</f>
        <v>6</v>
      </c>
      <c r="E482" s="57" t="s">
        <v>825</v>
      </c>
      <c r="F482" s="57" t="s">
        <v>81</v>
      </c>
      <c r="G482" s="57" t="s">
        <v>45</v>
      </c>
      <c r="H482" s="57" t="s">
        <v>48</v>
      </c>
      <c r="I482" s="59" t="n">
        <v>1</v>
      </c>
      <c r="J482" s="60" t="n">
        <v>99</v>
      </c>
      <c r="K482" s="60" t="n">
        <v>38</v>
      </c>
      <c r="L482" s="61" t="n">
        <f aca="false">I482*J482</f>
        <v>99</v>
      </c>
      <c r="M482" s="61" t="n">
        <f aca="false">L482-I482*K482</f>
        <v>61</v>
      </c>
      <c r="N482" s="57" t="n">
        <f aca="false">IF(COUNTIFS(E$2:E482,E482,C$2:C482,C482)=1,1,0)</f>
        <v>1</v>
      </c>
      <c r="O482" s="57" t="n">
        <f aca="false">IF(COUNTIFS(E$2:E482,E482,C$2:C482,C482,D$2:D482,D482)=1,1,0)</f>
        <v>1</v>
      </c>
      <c r="P482" s="57" t="n">
        <f aca="false">IF(AND(C482=Calc!$C$3,OR(Calc!$C$4=0,D482=Calc!$C$4)),ROW(),0)</f>
        <v>0</v>
      </c>
    </row>
    <row r="483" customFormat="false" ht="15" hidden="false" customHeight="false" outlineLevel="0" collapsed="false">
      <c r="A483" s="57" t="s">
        <v>826</v>
      </c>
      <c r="B483" s="58" t="n">
        <v>45448</v>
      </c>
      <c r="C483" s="57" t="n">
        <f aca="false">YEAR(B483)</f>
        <v>2024</v>
      </c>
      <c r="D483" s="57" t="n">
        <f aca="false">MONTH(B483)</f>
        <v>6</v>
      </c>
      <c r="E483" s="57" t="s">
        <v>827</v>
      </c>
      <c r="F483" s="57" t="s">
        <v>69</v>
      </c>
      <c r="G483" s="57" t="s">
        <v>45</v>
      </c>
      <c r="H483" s="57" t="s">
        <v>48</v>
      </c>
      <c r="I483" s="59" t="n">
        <v>2</v>
      </c>
      <c r="J483" s="60" t="n">
        <v>99</v>
      </c>
      <c r="K483" s="60" t="n">
        <v>38</v>
      </c>
      <c r="L483" s="61" t="n">
        <f aca="false">I483*J483</f>
        <v>198</v>
      </c>
      <c r="M483" s="61" t="n">
        <f aca="false">L483-I483*K483</f>
        <v>122</v>
      </c>
      <c r="N483" s="57" t="n">
        <f aca="false">IF(COUNTIFS(E$2:E483,E483,C$2:C483,C483)=1,1,0)</f>
        <v>1</v>
      </c>
      <c r="O483" s="57" t="n">
        <f aca="false">IF(COUNTIFS(E$2:E483,E483,C$2:C483,C483,D$2:D483,D483)=1,1,0)</f>
        <v>1</v>
      </c>
      <c r="P483" s="57" t="n">
        <f aca="false">IF(AND(C483=Calc!$C$3,OR(Calc!$C$4=0,D483=Calc!$C$4)),ROW(),0)</f>
        <v>0</v>
      </c>
    </row>
    <row r="484" customFormat="false" ht="15" hidden="false" customHeight="false" outlineLevel="0" collapsed="false">
      <c r="A484" s="57" t="s">
        <v>828</v>
      </c>
      <c r="B484" s="58" t="n">
        <v>45448</v>
      </c>
      <c r="C484" s="57" t="n">
        <f aca="false">YEAR(B484)</f>
        <v>2024</v>
      </c>
      <c r="D484" s="57" t="n">
        <f aca="false">MONTH(B484)</f>
        <v>6</v>
      </c>
      <c r="E484" s="57" t="s">
        <v>829</v>
      </c>
      <c r="F484" s="57" t="s">
        <v>81</v>
      </c>
      <c r="G484" s="57" t="s">
        <v>45</v>
      </c>
      <c r="H484" s="57" t="s">
        <v>48</v>
      </c>
      <c r="I484" s="59" t="n">
        <v>1</v>
      </c>
      <c r="J484" s="60" t="n">
        <v>99</v>
      </c>
      <c r="K484" s="60" t="n">
        <v>38</v>
      </c>
      <c r="L484" s="61" t="n">
        <f aca="false">I484*J484</f>
        <v>99</v>
      </c>
      <c r="M484" s="61" t="n">
        <f aca="false">L484-I484*K484</f>
        <v>61</v>
      </c>
      <c r="N484" s="57" t="n">
        <f aca="false">IF(COUNTIFS(E$2:E484,E484,C$2:C484,C484)=1,1,0)</f>
        <v>1</v>
      </c>
      <c r="O484" s="57" t="n">
        <f aca="false">IF(COUNTIFS(E$2:E484,E484,C$2:C484,C484,D$2:D484,D484)=1,1,0)</f>
        <v>1</v>
      </c>
      <c r="P484" s="57" t="n">
        <f aca="false">IF(AND(C484=Calc!$C$3,OR(Calc!$C$4=0,D484=Calc!$C$4)),ROW(),0)</f>
        <v>0</v>
      </c>
    </row>
    <row r="485" customFormat="false" ht="15" hidden="false" customHeight="false" outlineLevel="0" collapsed="false">
      <c r="A485" s="57" t="s">
        <v>830</v>
      </c>
      <c r="B485" s="58" t="n">
        <v>45449</v>
      </c>
      <c r="C485" s="57" t="n">
        <f aca="false">YEAR(B485)</f>
        <v>2024</v>
      </c>
      <c r="D485" s="57" t="n">
        <f aca="false">MONTH(B485)</f>
        <v>6</v>
      </c>
      <c r="E485" s="57" t="s">
        <v>399</v>
      </c>
      <c r="F485" s="57" t="s">
        <v>69</v>
      </c>
      <c r="G485" s="57" t="s">
        <v>40</v>
      </c>
      <c r="H485" s="57" t="s">
        <v>42</v>
      </c>
      <c r="I485" s="59" t="n">
        <v>1</v>
      </c>
      <c r="J485" s="60" t="n">
        <v>79</v>
      </c>
      <c r="K485" s="60" t="n">
        <v>31</v>
      </c>
      <c r="L485" s="61" t="n">
        <f aca="false">I485*J485</f>
        <v>79</v>
      </c>
      <c r="M485" s="61" t="n">
        <f aca="false">L485-I485*K485</f>
        <v>48</v>
      </c>
      <c r="N485" s="57" t="n">
        <f aca="false">IF(COUNTIFS(E$2:E485,E485,C$2:C485,C485)=1,1,0)</f>
        <v>0</v>
      </c>
      <c r="O485" s="57" t="n">
        <f aca="false">IF(COUNTIFS(E$2:E485,E485,C$2:C485,C485,D$2:D485,D485)=1,1,0)</f>
        <v>1</v>
      </c>
      <c r="P485" s="57" t="n">
        <f aca="false">IF(AND(C485=Calc!$C$3,OR(Calc!$C$4=0,D485=Calc!$C$4)),ROW(),0)</f>
        <v>0</v>
      </c>
    </row>
    <row r="486" customFormat="false" ht="15" hidden="false" customHeight="false" outlineLevel="0" collapsed="false">
      <c r="A486" s="57" t="s">
        <v>831</v>
      </c>
      <c r="B486" s="58" t="n">
        <v>45449</v>
      </c>
      <c r="C486" s="57" t="n">
        <f aca="false">YEAR(B486)</f>
        <v>2024</v>
      </c>
      <c r="D486" s="57" t="n">
        <f aca="false">MONTH(B486)</f>
        <v>6</v>
      </c>
      <c r="E486" s="57" t="s">
        <v>80</v>
      </c>
      <c r="F486" s="57" t="s">
        <v>81</v>
      </c>
      <c r="G486" s="57" t="s">
        <v>45</v>
      </c>
      <c r="H486" s="57" t="s">
        <v>44</v>
      </c>
      <c r="I486" s="59" t="n">
        <v>2</v>
      </c>
      <c r="J486" s="60" t="n">
        <v>119</v>
      </c>
      <c r="K486" s="60" t="n">
        <v>63</v>
      </c>
      <c r="L486" s="61" t="n">
        <f aca="false">I486*J486</f>
        <v>238</v>
      </c>
      <c r="M486" s="61" t="n">
        <f aca="false">L486-I486*K486</f>
        <v>112</v>
      </c>
      <c r="N486" s="57" t="n">
        <f aca="false">IF(COUNTIFS(E$2:E486,E486,C$2:C486,C486)=1,1,0)</f>
        <v>0</v>
      </c>
      <c r="O486" s="57" t="n">
        <f aca="false">IF(COUNTIFS(E$2:E486,E486,C$2:C486,C486,D$2:D486,D486)=1,1,0)</f>
        <v>1</v>
      </c>
      <c r="P486" s="57" t="n">
        <f aca="false">IF(AND(C486=Calc!$C$3,OR(Calc!$C$4=0,D486=Calc!$C$4)),ROW(),0)</f>
        <v>0</v>
      </c>
    </row>
    <row r="487" customFormat="false" ht="15" hidden="false" customHeight="false" outlineLevel="0" collapsed="false">
      <c r="A487" s="57" t="s">
        <v>832</v>
      </c>
      <c r="B487" s="58" t="n">
        <v>45449</v>
      </c>
      <c r="C487" s="57" t="n">
        <f aca="false">YEAR(B487)</f>
        <v>2024</v>
      </c>
      <c r="D487" s="57" t="n">
        <f aca="false">MONTH(B487)</f>
        <v>6</v>
      </c>
      <c r="E487" s="57" t="s">
        <v>833</v>
      </c>
      <c r="F487" s="57" t="s">
        <v>72</v>
      </c>
      <c r="G487" s="57" t="s">
        <v>45</v>
      </c>
      <c r="H487" s="57" t="s">
        <v>46</v>
      </c>
      <c r="I487" s="59" t="n">
        <v>1</v>
      </c>
      <c r="J487" s="60" t="n">
        <v>149</v>
      </c>
      <c r="K487" s="60" t="n">
        <v>71</v>
      </c>
      <c r="L487" s="61" t="n">
        <f aca="false">I487*J487</f>
        <v>149</v>
      </c>
      <c r="M487" s="61" t="n">
        <f aca="false">L487-I487*K487</f>
        <v>78</v>
      </c>
      <c r="N487" s="57" t="n">
        <f aca="false">IF(COUNTIFS(E$2:E487,E487,C$2:C487,C487)=1,1,0)</f>
        <v>1</v>
      </c>
      <c r="O487" s="57" t="n">
        <f aca="false">IF(COUNTIFS(E$2:E487,E487,C$2:C487,C487,D$2:D487,D487)=1,1,0)</f>
        <v>1</v>
      </c>
      <c r="P487" s="57" t="n">
        <f aca="false">IF(AND(C487=Calc!$C$3,OR(Calc!$C$4=0,D487=Calc!$C$4)),ROW(),0)</f>
        <v>0</v>
      </c>
    </row>
    <row r="488" customFormat="false" ht="15" hidden="false" customHeight="false" outlineLevel="0" collapsed="false">
      <c r="A488" s="57" t="s">
        <v>834</v>
      </c>
      <c r="B488" s="58" t="n">
        <v>45449</v>
      </c>
      <c r="C488" s="57" t="n">
        <f aca="false">YEAR(B488)</f>
        <v>2024</v>
      </c>
      <c r="D488" s="57" t="n">
        <f aca="false">MONTH(B488)</f>
        <v>6</v>
      </c>
      <c r="E488" s="57" t="s">
        <v>106</v>
      </c>
      <c r="F488" s="57" t="s">
        <v>72</v>
      </c>
      <c r="G488" s="57" t="s">
        <v>40</v>
      </c>
      <c r="H488" s="57" t="s">
        <v>42</v>
      </c>
      <c r="I488" s="59" t="n">
        <v>1</v>
      </c>
      <c r="J488" s="60" t="n">
        <v>79</v>
      </c>
      <c r="K488" s="60" t="n">
        <v>31</v>
      </c>
      <c r="L488" s="61" t="n">
        <f aca="false">I488*J488</f>
        <v>79</v>
      </c>
      <c r="M488" s="61" t="n">
        <f aca="false">L488-I488*K488</f>
        <v>48</v>
      </c>
      <c r="N488" s="57" t="n">
        <f aca="false">IF(COUNTIFS(E$2:E488,E488,C$2:C488,C488)=1,1,0)</f>
        <v>0</v>
      </c>
      <c r="O488" s="57" t="n">
        <f aca="false">IF(COUNTIFS(E$2:E488,E488,C$2:C488,C488,D$2:D488,D488)=1,1,0)</f>
        <v>1</v>
      </c>
      <c r="P488" s="57" t="n">
        <f aca="false">IF(AND(C488=Calc!$C$3,OR(Calc!$C$4=0,D488=Calc!$C$4)),ROW(),0)</f>
        <v>0</v>
      </c>
    </row>
    <row r="489" customFormat="false" ht="15" hidden="false" customHeight="false" outlineLevel="0" collapsed="false">
      <c r="A489" s="57" t="s">
        <v>835</v>
      </c>
      <c r="B489" s="58" t="n">
        <v>45449</v>
      </c>
      <c r="C489" s="57" t="n">
        <f aca="false">YEAR(B489)</f>
        <v>2024</v>
      </c>
      <c r="D489" s="57" t="n">
        <f aca="false">MONTH(B489)</f>
        <v>6</v>
      </c>
      <c r="E489" s="57" t="s">
        <v>836</v>
      </c>
      <c r="F489" s="57" t="s">
        <v>69</v>
      </c>
      <c r="G489" s="57" t="s">
        <v>45</v>
      </c>
      <c r="H489" s="57" t="s">
        <v>46</v>
      </c>
      <c r="I489" s="59" t="n">
        <v>2</v>
      </c>
      <c r="J489" s="60" t="n">
        <v>149</v>
      </c>
      <c r="K489" s="60" t="n">
        <v>71</v>
      </c>
      <c r="L489" s="61" t="n">
        <f aca="false">I489*J489</f>
        <v>298</v>
      </c>
      <c r="M489" s="61" t="n">
        <f aca="false">L489-I489*K489</f>
        <v>156</v>
      </c>
      <c r="N489" s="57" t="n">
        <f aca="false">IF(COUNTIFS(E$2:E489,E489,C$2:C489,C489)=1,1,0)</f>
        <v>1</v>
      </c>
      <c r="O489" s="57" t="n">
        <f aca="false">IF(COUNTIFS(E$2:E489,E489,C$2:C489,C489,D$2:D489,D489)=1,1,0)</f>
        <v>1</v>
      </c>
      <c r="P489" s="57" t="n">
        <f aca="false">IF(AND(C489=Calc!$C$3,OR(Calc!$C$4=0,D489=Calc!$C$4)),ROW(),0)</f>
        <v>0</v>
      </c>
    </row>
    <row r="490" customFormat="false" ht="15" hidden="false" customHeight="false" outlineLevel="0" collapsed="false">
      <c r="A490" s="57" t="s">
        <v>837</v>
      </c>
      <c r="B490" s="58" t="n">
        <v>45450</v>
      </c>
      <c r="C490" s="57" t="n">
        <f aca="false">YEAR(B490)</f>
        <v>2024</v>
      </c>
      <c r="D490" s="57" t="n">
        <f aca="false">MONTH(B490)</f>
        <v>6</v>
      </c>
      <c r="E490" s="57" t="s">
        <v>838</v>
      </c>
      <c r="F490" s="57" t="s">
        <v>69</v>
      </c>
      <c r="G490" s="57" t="s">
        <v>50</v>
      </c>
      <c r="H490" s="57" t="s">
        <v>51</v>
      </c>
      <c r="I490" s="59" t="n">
        <v>1</v>
      </c>
      <c r="J490" s="60" t="n">
        <v>69</v>
      </c>
      <c r="K490" s="60" t="n">
        <v>29</v>
      </c>
      <c r="L490" s="61" t="n">
        <f aca="false">I490*J490</f>
        <v>69</v>
      </c>
      <c r="M490" s="61" t="n">
        <f aca="false">L490-I490*K490</f>
        <v>40</v>
      </c>
      <c r="N490" s="57" t="n">
        <f aca="false">IF(COUNTIFS(E$2:E490,E490,C$2:C490,C490)=1,1,0)</f>
        <v>1</v>
      </c>
      <c r="O490" s="57" t="n">
        <f aca="false">IF(COUNTIFS(E$2:E490,E490,C$2:C490,C490,D$2:D490,D490)=1,1,0)</f>
        <v>1</v>
      </c>
      <c r="P490" s="57" t="n">
        <f aca="false">IF(AND(C490=Calc!$C$3,OR(Calc!$C$4=0,D490=Calc!$C$4)),ROW(),0)</f>
        <v>0</v>
      </c>
    </row>
    <row r="491" customFormat="false" ht="15" hidden="false" customHeight="false" outlineLevel="0" collapsed="false">
      <c r="A491" s="57" t="s">
        <v>839</v>
      </c>
      <c r="B491" s="58" t="n">
        <v>45450</v>
      </c>
      <c r="C491" s="57" t="n">
        <f aca="false">YEAR(B491)</f>
        <v>2024</v>
      </c>
      <c r="D491" s="57" t="n">
        <f aca="false">MONTH(B491)</f>
        <v>6</v>
      </c>
      <c r="E491" s="57" t="s">
        <v>267</v>
      </c>
      <c r="F491" s="57" t="s">
        <v>69</v>
      </c>
      <c r="G491" s="57" t="s">
        <v>40</v>
      </c>
      <c r="H491" s="57" t="s">
        <v>42</v>
      </c>
      <c r="I491" s="59" t="n">
        <v>1</v>
      </c>
      <c r="J491" s="60" t="n">
        <v>79</v>
      </c>
      <c r="K491" s="60" t="n">
        <v>31</v>
      </c>
      <c r="L491" s="61" t="n">
        <f aca="false">I491*J491</f>
        <v>79</v>
      </c>
      <c r="M491" s="61" t="n">
        <f aca="false">L491-I491*K491</f>
        <v>48</v>
      </c>
      <c r="N491" s="57" t="n">
        <f aca="false">IF(COUNTIFS(E$2:E491,E491,C$2:C491,C491)=1,1,0)</f>
        <v>0</v>
      </c>
      <c r="O491" s="57" t="n">
        <f aca="false">IF(COUNTIFS(E$2:E491,E491,C$2:C491,C491,D$2:D491,D491)=1,1,0)</f>
        <v>1</v>
      </c>
      <c r="P491" s="57" t="n">
        <f aca="false">IF(AND(C491=Calc!$C$3,OR(Calc!$C$4=0,D491=Calc!$C$4)),ROW(),0)</f>
        <v>0</v>
      </c>
    </row>
    <row r="492" customFormat="false" ht="15" hidden="false" customHeight="false" outlineLevel="0" collapsed="false">
      <c r="A492" s="57" t="s">
        <v>840</v>
      </c>
      <c r="B492" s="58" t="n">
        <v>45450</v>
      </c>
      <c r="C492" s="57" t="n">
        <f aca="false">YEAR(B492)</f>
        <v>2024</v>
      </c>
      <c r="D492" s="57" t="n">
        <f aca="false">MONTH(B492)</f>
        <v>6</v>
      </c>
      <c r="E492" s="57" t="s">
        <v>841</v>
      </c>
      <c r="F492" s="57" t="s">
        <v>75</v>
      </c>
      <c r="G492" s="57" t="s">
        <v>50</v>
      </c>
      <c r="H492" s="57" t="s">
        <v>49</v>
      </c>
      <c r="I492" s="59" t="n">
        <v>1</v>
      </c>
      <c r="J492" s="60" t="n">
        <v>32</v>
      </c>
      <c r="K492" s="60" t="n">
        <v>7</v>
      </c>
      <c r="L492" s="61" t="n">
        <f aca="false">I492*J492</f>
        <v>32</v>
      </c>
      <c r="M492" s="61" t="n">
        <f aca="false">L492-I492*K492</f>
        <v>25</v>
      </c>
      <c r="N492" s="57" t="n">
        <f aca="false">IF(COUNTIFS(E$2:E492,E492,C$2:C492,C492)=1,1,0)</f>
        <v>1</v>
      </c>
      <c r="O492" s="57" t="n">
        <f aca="false">IF(COUNTIFS(E$2:E492,E492,C$2:C492,C492,D$2:D492,D492)=1,1,0)</f>
        <v>1</v>
      </c>
      <c r="P492" s="57" t="n">
        <f aca="false">IF(AND(C492=Calc!$C$3,OR(Calc!$C$4=0,D492=Calc!$C$4)),ROW(),0)</f>
        <v>0</v>
      </c>
    </row>
    <row r="493" customFormat="false" ht="15" hidden="false" customHeight="false" outlineLevel="0" collapsed="false">
      <c r="A493" s="57" t="s">
        <v>842</v>
      </c>
      <c r="B493" s="58" t="n">
        <v>45450</v>
      </c>
      <c r="C493" s="57" t="n">
        <f aca="false">YEAR(B493)</f>
        <v>2024</v>
      </c>
      <c r="D493" s="57" t="n">
        <f aca="false">MONTH(B493)</f>
        <v>6</v>
      </c>
      <c r="E493" s="57" t="s">
        <v>843</v>
      </c>
      <c r="F493" s="57" t="s">
        <v>75</v>
      </c>
      <c r="G493" s="57" t="s">
        <v>40</v>
      </c>
      <c r="H493" s="57" t="s">
        <v>39</v>
      </c>
      <c r="I493" s="59" t="n">
        <v>1</v>
      </c>
      <c r="J493" s="60" t="n">
        <v>54</v>
      </c>
      <c r="K493" s="60" t="n">
        <v>19</v>
      </c>
      <c r="L493" s="61" t="n">
        <f aca="false">I493*J493</f>
        <v>54</v>
      </c>
      <c r="M493" s="61" t="n">
        <f aca="false">L493-I493*K493</f>
        <v>35</v>
      </c>
      <c r="N493" s="57" t="n">
        <f aca="false">IF(COUNTIFS(E$2:E493,E493,C$2:C493,C493)=1,1,0)</f>
        <v>1</v>
      </c>
      <c r="O493" s="57" t="n">
        <f aca="false">IF(COUNTIFS(E$2:E493,E493,C$2:C493,C493,D$2:D493,D493)=1,1,0)</f>
        <v>1</v>
      </c>
      <c r="P493" s="57" t="n">
        <f aca="false">IF(AND(C493=Calc!$C$3,OR(Calc!$C$4=0,D493=Calc!$C$4)),ROW(),0)</f>
        <v>0</v>
      </c>
    </row>
    <row r="494" customFormat="false" ht="15" hidden="false" customHeight="false" outlineLevel="0" collapsed="false">
      <c r="A494" s="57" t="s">
        <v>844</v>
      </c>
      <c r="B494" s="58" t="n">
        <v>45450</v>
      </c>
      <c r="C494" s="57" t="n">
        <f aca="false">YEAR(B494)</f>
        <v>2024</v>
      </c>
      <c r="D494" s="57" t="n">
        <f aca="false">MONTH(B494)</f>
        <v>6</v>
      </c>
      <c r="E494" s="57" t="s">
        <v>443</v>
      </c>
      <c r="F494" s="57" t="s">
        <v>75</v>
      </c>
      <c r="G494" s="57" t="s">
        <v>50</v>
      </c>
      <c r="H494" s="57" t="s">
        <v>51</v>
      </c>
      <c r="I494" s="59" t="n">
        <v>1</v>
      </c>
      <c r="J494" s="60" t="n">
        <v>69</v>
      </c>
      <c r="K494" s="60" t="n">
        <v>29</v>
      </c>
      <c r="L494" s="61" t="n">
        <f aca="false">I494*J494</f>
        <v>69</v>
      </c>
      <c r="M494" s="61" t="n">
        <f aca="false">L494-I494*K494</f>
        <v>40</v>
      </c>
      <c r="N494" s="57" t="n">
        <f aca="false">IF(COUNTIFS(E$2:E494,E494,C$2:C494,C494)=1,1,0)</f>
        <v>0</v>
      </c>
      <c r="O494" s="57" t="n">
        <f aca="false">IF(COUNTIFS(E$2:E494,E494,C$2:C494,C494,D$2:D494,D494)=1,1,0)</f>
        <v>1</v>
      </c>
      <c r="P494" s="57" t="n">
        <f aca="false">IF(AND(C494=Calc!$C$3,OR(Calc!$C$4=0,D494=Calc!$C$4)),ROW(),0)</f>
        <v>0</v>
      </c>
    </row>
    <row r="495" customFormat="false" ht="15" hidden="false" customHeight="false" outlineLevel="0" collapsed="false">
      <c r="A495" s="57" t="s">
        <v>845</v>
      </c>
      <c r="B495" s="58" t="n">
        <v>45450</v>
      </c>
      <c r="C495" s="57" t="n">
        <f aca="false">YEAR(B495)</f>
        <v>2024</v>
      </c>
      <c r="D495" s="57" t="n">
        <f aca="false">MONTH(B495)</f>
        <v>6</v>
      </c>
      <c r="E495" s="57" t="s">
        <v>525</v>
      </c>
      <c r="F495" s="57" t="s">
        <v>78</v>
      </c>
      <c r="G495" s="57" t="s">
        <v>40</v>
      </c>
      <c r="H495" s="57" t="s">
        <v>41</v>
      </c>
      <c r="I495" s="59" t="n">
        <v>3</v>
      </c>
      <c r="J495" s="60" t="n">
        <v>46</v>
      </c>
      <c r="K495" s="60" t="n">
        <v>16</v>
      </c>
      <c r="L495" s="61" t="n">
        <f aca="false">I495*J495</f>
        <v>138</v>
      </c>
      <c r="M495" s="61" t="n">
        <f aca="false">L495-I495*K495</f>
        <v>90</v>
      </c>
      <c r="N495" s="57" t="n">
        <f aca="false">IF(COUNTIFS(E$2:E495,E495,C$2:C495,C495)=1,1,0)</f>
        <v>0</v>
      </c>
      <c r="O495" s="57" t="n">
        <f aca="false">IF(COUNTIFS(E$2:E495,E495,C$2:C495,C495,D$2:D495,D495)=1,1,0)</f>
        <v>1</v>
      </c>
      <c r="P495" s="57" t="n">
        <f aca="false">IF(AND(C495=Calc!$C$3,OR(Calc!$C$4=0,D495=Calc!$C$4)),ROW(),0)</f>
        <v>0</v>
      </c>
    </row>
    <row r="496" customFormat="false" ht="15" hidden="false" customHeight="false" outlineLevel="0" collapsed="false">
      <c r="A496" s="57" t="s">
        <v>846</v>
      </c>
      <c r="B496" s="58" t="n">
        <v>45450</v>
      </c>
      <c r="C496" s="57" t="n">
        <f aca="false">YEAR(B496)</f>
        <v>2024</v>
      </c>
      <c r="D496" s="57" t="n">
        <f aca="false">MONTH(B496)</f>
        <v>6</v>
      </c>
      <c r="E496" s="57" t="s">
        <v>847</v>
      </c>
      <c r="F496" s="57" t="s">
        <v>75</v>
      </c>
      <c r="G496" s="57" t="s">
        <v>40</v>
      </c>
      <c r="H496" s="57" t="s">
        <v>43</v>
      </c>
      <c r="I496" s="59" t="n">
        <v>1</v>
      </c>
      <c r="J496" s="60" t="n">
        <v>29</v>
      </c>
      <c r="K496" s="60" t="n">
        <v>9</v>
      </c>
      <c r="L496" s="61" t="n">
        <f aca="false">I496*J496</f>
        <v>29</v>
      </c>
      <c r="M496" s="61" t="n">
        <f aca="false">L496-I496*K496</f>
        <v>20</v>
      </c>
      <c r="N496" s="57" t="n">
        <f aca="false">IF(COUNTIFS(E$2:E496,E496,C$2:C496,C496)=1,1,0)</f>
        <v>1</v>
      </c>
      <c r="O496" s="57" t="n">
        <f aca="false">IF(COUNTIFS(E$2:E496,E496,C$2:C496,C496,D$2:D496,D496)=1,1,0)</f>
        <v>1</v>
      </c>
      <c r="P496" s="57" t="n">
        <f aca="false">IF(AND(C496=Calc!$C$3,OR(Calc!$C$4=0,D496=Calc!$C$4)),ROW(),0)</f>
        <v>0</v>
      </c>
    </row>
    <row r="497" customFormat="false" ht="15" hidden="false" customHeight="false" outlineLevel="0" collapsed="false">
      <c r="A497" s="57" t="s">
        <v>848</v>
      </c>
      <c r="B497" s="58" t="n">
        <v>45451</v>
      </c>
      <c r="C497" s="57" t="n">
        <f aca="false">YEAR(B497)</f>
        <v>2024</v>
      </c>
      <c r="D497" s="57" t="n">
        <f aca="false">MONTH(B497)</f>
        <v>6</v>
      </c>
      <c r="E497" s="57" t="s">
        <v>578</v>
      </c>
      <c r="F497" s="57" t="s">
        <v>75</v>
      </c>
      <c r="G497" s="57" t="s">
        <v>50</v>
      </c>
      <c r="H497" s="57" t="s">
        <v>52</v>
      </c>
      <c r="I497" s="59" t="n">
        <v>1</v>
      </c>
      <c r="J497" s="60" t="n">
        <v>45</v>
      </c>
      <c r="K497" s="60" t="n">
        <v>14</v>
      </c>
      <c r="L497" s="61" t="n">
        <f aca="false">I497*J497</f>
        <v>45</v>
      </c>
      <c r="M497" s="61" t="n">
        <f aca="false">L497-I497*K497</f>
        <v>31</v>
      </c>
      <c r="N497" s="57" t="n">
        <f aca="false">IF(COUNTIFS(E$2:E497,E497,C$2:C497,C497)=1,1,0)</f>
        <v>0</v>
      </c>
      <c r="O497" s="57" t="n">
        <f aca="false">IF(COUNTIFS(E$2:E497,E497,C$2:C497,C497,D$2:D497,D497)=1,1,0)</f>
        <v>1</v>
      </c>
      <c r="P497" s="57" t="n">
        <f aca="false">IF(AND(C497=Calc!$C$3,OR(Calc!$C$4=0,D497=Calc!$C$4)),ROW(),0)</f>
        <v>0</v>
      </c>
    </row>
    <row r="498" customFormat="false" ht="15" hidden="false" customHeight="false" outlineLevel="0" collapsed="false">
      <c r="A498" s="57" t="s">
        <v>849</v>
      </c>
      <c r="B498" s="58" t="n">
        <v>45451</v>
      </c>
      <c r="C498" s="57" t="n">
        <f aca="false">YEAR(B498)</f>
        <v>2024</v>
      </c>
      <c r="D498" s="57" t="n">
        <f aca="false">MONTH(B498)</f>
        <v>6</v>
      </c>
      <c r="E498" s="57" t="s">
        <v>850</v>
      </c>
      <c r="F498" s="57" t="s">
        <v>78</v>
      </c>
      <c r="G498" s="57" t="s">
        <v>40</v>
      </c>
      <c r="H498" s="57" t="s">
        <v>41</v>
      </c>
      <c r="I498" s="59" t="n">
        <v>1</v>
      </c>
      <c r="J498" s="60" t="n">
        <v>46</v>
      </c>
      <c r="K498" s="60" t="n">
        <v>16</v>
      </c>
      <c r="L498" s="61" t="n">
        <f aca="false">I498*J498</f>
        <v>46</v>
      </c>
      <c r="M498" s="61" t="n">
        <f aca="false">L498-I498*K498</f>
        <v>30</v>
      </c>
      <c r="N498" s="57" t="n">
        <f aca="false">IF(COUNTIFS(E$2:E498,E498,C$2:C498,C498)=1,1,0)</f>
        <v>1</v>
      </c>
      <c r="O498" s="57" t="n">
        <f aca="false">IF(COUNTIFS(E$2:E498,E498,C$2:C498,C498,D$2:D498,D498)=1,1,0)</f>
        <v>1</v>
      </c>
      <c r="P498" s="57" t="n">
        <f aca="false">IF(AND(C498=Calc!$C$3,OR(Calc!$C$4=0,D498=Calc!$C$4)),ROW(),0)</f>
        <v>0</v>
      </c>
    </row>
    <row r="499" customFormat="false" ht="15" hidden="false" customHeight="false" outlineLevel="0" collapsed="false">
      <c r="A499" s="57" t="s">
        <v>851</v>
      </c>
      <c r="B499" s="58" t="n">
        <v>45451</v>
      </c>
      <c r="C499" s="57" t="n">
        <f aca="false">YEAR(B499)</f>
        <v>2024</v>
      </c>
      <c r="D499" s="57" t="n">
        <f aca="false">MONTH(B499)</f>
        <v>6</v>
      </c>
      <c r="E499" s="57" t="s">
        <v>852</v>
      </c>
      <c r="F499" s="57" t="s">
        <v>81</v>
      </c>
      <c r="G499" s="57" t="s">
        <v>40</v>
      </c>
      <c r="H499" s="57" t="s">
        <v>41</v>
      </c>
      <c r="I499" s="59" t="n">
        <v>1</v>
      </c>
      <c r="J499" s="60" t="n">
        <v>46</v>
      </c>
      <c r="K499" s="60" t="n">
        <v>16</v>
      </c>
      <c r="L499" s="61" t="n">
        <f aca="false">I499*J499</f>
        <v>46</v>
      </c>
      <c r="M499" s="61" t="n">
        <f aca="false">L499-I499*K499</f>
        <v>30</v>
      </c>
      <c r="N499" s="57" t="n">
        <f aca="false">IF(COUNTIFS(E$2:E499,E499,C$2:C499,C499)=1,1,0)</f>
        <v>1</v>
      </c>
      <c r="O499" s="57" t="n">
        <f aca="false">IF(COUNTIFS(E$2:E499,E499,C$2:C499,C499,D$2:D499,D499)=1,1,0)</f>
        <v>1</v>
      </c>
      <c r="P499" s="57" t="n">
        <f aca="false">IF(AND(C499=Calc!$C$3,OR(Calc!$C$4=0,D499=Calc!$C$4)),ROW(),0)</f>
        <v>0</v>
      </c>
    </row>
    <row r="500" customFormat="false" ht="15" hidden="false" customHeight="false" outlineLevel="0" collapsed="false">
      <c r="A500" s="57" t="s">
        <v>853</v>
      </c>
      <c r="B500" s="58" t="n">
        <v>45452</v>
      </c>
      <c r="C500" s="57" t="n">
        <f aca="false">YEAR(B500)</f>
        <v>2024</v>
      </c>
      <c r="D500" s="57" t="n">
        <f aca="false">MONTH(B500)</f>
        <v>6</v>
      </c>
      <c r="E500" s="57" t="s">
        <v>854</v>
      </c>
      <c r="F500" s="57" t="s">
        <v>78</v>
      </c>
      <c r="G500" s="57" t="s">
        <v>45</v>
      </c>
      <c r="H500" s="57" t="s">
        <v>47</v>
      </c>
      <c r="I500" s="59" t="n">
        <v>2</v>
      </c>
      <c r="J500" s="60" t="n">
        <v>34</v>
      </c>
      <c r="K500" s="60" t="n">
        <v>12</v>
      </c>
      <c r="L500" s="61" t="n">
        <f aca="false">I500*J500</f>
        <v>68</v>
      </c>
      <c r="M500" s="61" t="n">
        <f aca="false">L500-I500*K500</f>
        <v>44</v>
      </c>
      <c r="N500" s="57" t="n">
        <f aca="false">IF(COUNTIFS(E$2:E500,E500,C$2:C500,C500)=1,1,0)</f>
        <v>1</v>
      </c>
      <c r="O500" s="57" t="n">
        <f aca="false">IF(COUNTIFS(E$2:E500,E500,C$2:C500,C500,D$2:D500,D500)=1,1,0)</f>
        <v>1</v>
      </c>
      <c r="P500" s="57" t="n">
        <f aca="false">IF(AND(C500=Calc!$C$3,OR(Calc!$C$4=0,D500=Calc!$C$4)),ROW(),0)</f>
        <v>0</v>
      </c>
    </row>
    <row r="501" customFormat="false" ht="15" hidden="false" customHeight="false" outlineLevel="0" collapsed="false">
      <c r="A501" s="57" t="s">
        <v>855</v>
      </c>
      <c r="B501" s="58" t="n">
        <v>45452</v>
      </c>
      <c r="C501" s="57" t="n">
        <f aca="false">YEAR(B501)</f>
        <v>2024</v>
      </c>
      <c r="D501" s="57" t="n">
        <f aca="false">MONTH(B501)</f>
        <v>6</v>
      </c>
      <c r="E501" s="57" t="s">
        <v>856</v>
      </c>
      <c r="F501" s="57" t="s">
        <v>75</v>
      </c>
      <c r="G501" s="57" t="s">
        <v>35</v>
      </c>
      <c r="H501" s="57" t="s">
        <v>34</v>
      </c>
      <c r="I501" s="59" t="n">
        <v>1</v>
      </c>
      <c r="J501" s="60" t="n">
        <v>89</v>
      </c>
      <c r="K501" s="60" t="n">
        <v>41</v>
      </c>
      <c r="L501" s="61" t="n">
        <f aca="false">I501*J501</f>
        <v>89</v>
      </c>
      <c r="M501" s="61" t="n">
        <f aca="false">L501-I501*K501</f>
        <v>48</v>
      </c>
      <c r="N501" s="57" t="n">
        <f aca="false">IF(COUNTIFS(E$2:E501,E501,C$2:C501,C501)=1,1,0)</f>
        <v>1</v>
      </c>
      <c r="O501" s="57" t="n">
        <f aca="false">IF(COUNTIFS(E$2:E501,E501,C$2:C501,C501,D$2:D501,D501)=1,1,0)</f>
        <v>1</v>
      </c>
      <c r="P501" s="57" t="n">
        <f aca="false">IF(AND(C501=Calc!$C$3,OR(Calc!$C$4=0,D501=Calc!$C$4)),ROW(),0)</f>
        <v>0</v>
      </c>
    </row>
    <row r="502" customFormat="false" ht="15" hidden="false" customHeight="false" outlineLevel="0" collapsed="false">
      <c r="A502" s="57" t="s">
        <v>857</v>
      </c>
      <c r="B502" s="58" t="n">
        <v>45452</v>
      </c>
      <c r="C502" s="57" t="n">
        <f aca="false">YEAR(B502)</f>
        <v>2024</v>
      </c>
      <c r="D502" s="57" t="n">
        <f aca="false">MONTH(B502)</f>
        <v>6</v>
      </c>
      <c r="E502" s="57" t="s">
        <v>108</v>
      </c>
      <c r="F502" s="57" t="s">
        <v>75</v>
      </c>
      <c r="G502" s="57" t="s">
        <v>35</v>
      </c>
      <c r="H502" s="57" t="s">
        <v>34</v>
      </c>
      <c r="I502" s="59" t="n">
        <v>1</v>
      </c>
      <c r="J502" s="60" t="n">
        <v>89</v>
      </c>
      <c r="K502" s="60" t="n">
        <v>41</v>
      </c>
      <c r="L502" s="61" t="n">
        <f aca="false">I502*J502</f>
        <v>89</v>
      </c>
      <c r="M502" s="61" t="n">
        <f aca="false">L502-I502*K502</f>
        <v>48</v>
      </c>
      <c r="N502" s="57" t="n">
        <f aca="false">IF(COUNTIFS(E$2:E502,E502,C$2:C502,C502)=1,1,0)</f>
        <v>0</v>
      </c>
      <c r="O502" s="57" t="n">
        <f aca="false">IF(COUNTIFS(E$2:E502,E502,C$2:C502,C502,D$2:D502,D502)=1,1,0)</f>
        <v>1</v>
      </c>
      <c r="P502" s="57" t="n">
        <f aca="false">IF(AND(C502=Calc!$C$3,OR(Calc!$C$4=0,D502=Calc!$C$4)),ROW(),0)</f>
        <v>0</v>
      </c>
    </row>
    <row r="503" customFormat="false" ht="15" hidden="false" customHeight="false" outlineLevel="0" collapsed="false">
      <c r="A503" s="57" t="s">
        <v>858</v>
      </c>
      <c r="B503" s="58" t="n">
        <v>45453</v>
      </c>
      <c r="C503" s="57" t="n">
        <f aca="false">YEAR(B503)</f>
        <v>2024</v>
      </c>
      <c r="D503" s="57" t="n">
        <f aca="false">MONTH(B503)</f>
        <v>6</v>
      </c>
      <c r="E503" s="57" t="s">
        <v>168</v>
      </c>
      <c r="F503" s="57" t="s">
        <v>81</v>
      </c>
      <c r="G503" s="57" t="s">
        <v>54</v>
      </c>
      <c r="H503" s="57" t="s">
        <v>56</v>
      </c>
      <c r="I503" s="59" t="n">
        <v>3</v>
      </c>
      <c r="J503" s="60" t="n">
        <v>42</v>
      </c>
      <c r="K503" s="60" t="n">
        <v>17</v>
      </c>
      <c r="L503" s="61" t="n">
        <f aca="false">I503*J503</f>
        <v>126</v>
      </c>
      <c r="M503" s="61" t="n">
        <f aca="false">L503-I503*K503</f>
        <v>75</v>
      </c>
      <c r="N503" s="57" t="n">
        <f aca="false">IF(COUNTIFS(E$2:E503,E503,C$2:C503,C503)=1,1,0)</f>
        <v>0</v>
      </c>
      <c r="O503" s="57" t="n">
        <f aca="false">IF(COUNTIFS(E$2:E503,E503,C$2:C503,C503,D$2:D503,D503)=1,1,0)</f>
        <v>1</v>
      </c>
      <c r="P503" s="57" t="n">
        <f aca="false">IF(AND(C503=Calc!$C$3,OR(Calc!$C$4=0,D503=Calc!$C$4)),ROW(),0)</f>
        <v>0</v>
      </c>
    </row>
    <row r="504" customFormat="false" ht="15" hidden="false" customHeight="false" outlineLevel="0" collapsed="false">
      <c r="A504" s="57" t="s">
        <v>859</v>
      </c>
      <c r="B504" s="58" t="n">
        <v>45453</v>
      </c>
      <c r="C504" s="57" t="n">
        <f aca="false">YEAR(B504)</f>
        <v>2024</v>
      </c>
      <c r="D504" s="57" t="n">
        <f aca="false">MONTH(B504)</f>
        <v>6</v>
      </c>
      <c r="E504" s="57" t="s">
        <v>796</v>
      </c>
      <c r="F504" s="57" t="s">
        <v>69</v>
      </c>
      <c r="G504" s="57" t="s">
        <v>35</v>
      </c>
      <c r="H504" s="57" t="s">
        <v>38</v>
      </c>
      <c r="I504" s="59" t="n">
        <v>1</v>
      </c>
      <c r="J504" s="60" t="n">
        <v>49</v>
      </c>
      <c r="K504" s="60" t="n">
        <v>22</v>
      </c>
      <c r="L504" s="61" t="n">
        <f aca="false">I504*J504</f>
        <v>49</v>
      </c>
      <c r="M504" s="61" t="n">
        <f aca="false">L504-I504*K504</f>
        <v>27</v>
      </c>
      <c r="N504" s="57" t="n">
        <f aca="false">IF(COUNTIFS(E$2:E504,E504,C$2:C504,C504)=1,1,0)</f>
        <v>0</v>
      </c>
      <c r="O504" s="57" t="n">
        <f aca="false">IF(COUNTIFS(E$2:E504,E504,C$2:C504,C504,D$2:D504,D504)=1,1,0)</f>
        <v>1</v>
      </c>
      <c r="P504" s="57" t="n">
        <f aca="false">IF(AND(C504=Calc!$C$3,OR(Calc!$C$4=0,D504=Calc!$C$4)),ROW(),0)</f>
        <v>0</v>
      </c>
    </row>
    <row r="505" customFormat="false" ht="15" hidden="false" customHeight="false" outlineLevel="0" collapsed="false">
      <c r="A505" s="57" t="s">
        <v>860</v>
      </c>
      <c r="B505" s="58" t="n">
        <v>45453</v>
      </c>
      <c r="C505" s="57" t="n">
        <f aca="false">YEAR(B505)</f>
        <v>2024</v>
      </c>
      <c r="D505" s="57" t="n">
        <f aca="false">MONTH(B505)</f>
        <v>6</v>
      </c>
      <c r="E505" s="57" t="s">
        <v>89</v>
      </c>
      <c r="F505" s="57" t="s">
        <v>81</v>
      </c>
      <c r="G505" s="57" t="s">
        <v>35</v>
      </c>
      <c r="H505" s="57" t="s">
        <v>34</v>
      </c>
      <c r="I505" s="59" t="n">
        <v>1</v>
      </c>
      <c r="J505" s="60" t="n">
        <v>89</v>
      </c>
      <c r="K505" s="60" t="n">
        <v>41</v>
      </c>
      <c r="L505" s="61" t="n">
        <f aca="false">I505*J505</f>
        <v>89</v>
      </c>
      <c r="M505" s="61" t="n">
        <f aca="false">L505-I505*K505</f>
        <v>48</v>
      </c>
      <c r="N505" s="57" t="n">
        <f aca="false">IF(COUNTIFS(E$2:E505,E505,C$2:C505,C505)=1,1,0)</f>
        <v>0</v>
      </c>
      <c r="O505" s="57" t="n">
        <f aca="false">IF(COUNTIFS(E$2:E505,E505,C$2:C505,C505,D$2:D505,D505)=1,1,0)</f>
        <v>1</v>
      </c>
      <c r="P505" s="57" t="n">
        <f aca="false">IF(AND(C505=Calc!$C$3,OR(Calc!$C$4=0,D505=Calc!$C$4)),ROW(),0)</f>
        <v>0</v>
      </c>
    </row>
    <row r="506" customFormat="false" ht="15" hidden="false" customHeight="false" outlineLevel="0" collapsed="false">
      <c r="A506" s="57" t="s">
        <v>861</v>
      </c>
      <c r="B506" s="58" t="n">
        <v>45453</v>
      </c>
      <c r="C506" s="57" t="n">
        <f aca="false">YEAR(B506)</f>
        <v>2024</v>
      </c>
      <c r="D506" s="57" t="n">
        <f aca="false">MONTH(B506)</f>
        <v>6</v>
      </c>
      <c r="E506" s="57" t="s">
        <v>862</v>
      </c>
      <c r="F506" s="57" t="s">
        <v>81</v>
      </c>
      <c r="G506" s="57" t="s">
        <v>45</v>
      </c>
      <c r="H506" s="57" t="s">
        <v>47</v>
      </c>
      <c r="I506" s="59" t="n">
        <v>2</v>
      </c>
      <c r="J506" s="60" t="n">
        <v>34</v>
      </c>
      <c r="K506" s="60" t="n">
        <v>12</v>
      </c>
      <c r="L506" s="61" t="n">
        <f aca="false">I506*J506</f>
        <v>68</v>
      </c>
      <c r="M506" s="61" t="n">
        <f aca="false">L506-I506*K506</f>
        <v>44</v>
      </c>
      <c r="N506" s="57" t="n">
        <f aca="false">IF(COUNTIFS(E$2:E506,E506,C$2:C506,C506)=1,1,0)</f>
        <v>1</v>
      </c>
      <c r="O506" s="57" t="n">
        <f aca="false">IF(COUNTIFS(E$2:E506,E506,C$2:C506,C506,D$2:D506,D506)=1,1,0)</f>
        <v>1</v>
      </c>
      <c r="P506" s="57" t="n">
        <f aca="false">IF(AND(C506=Calc!$C$3,OR(Calc!$C$4=0,D506=Calc!$C$4)),ROW(),0)</f>
        <v>0</v>
      </c>
    </row>
    <row r="507" customFormat="false" ht="15" hidden="false" customHeight="false" outlineLevel="0" collapsed="false">
      <c r="A507" s="57" t="s">
        <v>863</v>
      </c>
      <c r="B507" s="58" t="n">
        <v>45454</v>
      </c>
      <c r="C507" s="57" t="n">
        <f aca="false">YEAR(B507)</f>
        <v>2024</v>
      </c>
      <c r="D507" s="57" t="n">
        <f aca="false">MONTH(B507)</f>
        <v>6</v>
      </c>
      <c r="E507" s="57" t="s">
        <v>761</v>
      </c>
      <c r="F507" s="57" t="s">
        <v>75</v>
      </c>
      <c r="G507" s="57" t="s">
        <v>54</v>
      </c>
      <c r="H507" s="57" t="s">
        <v>55</v>
      </c>
      <c r="I507" s="59" t="n">
        <v>1</v>
      </c>
      <c r="J507" s="60" t="n">
        <v>64</v>
      </c>
      <c r="K507" s="60" t="n">
        <v>25</v>
      </c>
      <c r="L507" s="61" t="n">
        <f aca="false">I507*J507</f>
        <v>64</v>
      </c>
      <c r="M507" s="61" t="n">
        <f aca="false">L507-I507*K507</f>
        <v>39</v>
      </c>
      <c r="N507" s="57" t="n">
        <f aca="false">IF(COUNTIFS(E$2:E507,E507,C$2:C507,C507)=1,1,0)</f>
        <v>0</v>
      </c>
      <c r="O507" s="57" t="n">
        <f aca="false">IF(COUNTIFS(E$2:E507,E507,C$2:C507,C507,D$2:D507,D507)=1,1,0)</f>
        <v>1</v>
      </c>
      <c r="P507" s="57" t="n">
        <f aca="false">IF(AND(C507=Calc!$C$3,OR(Calc!$C$4=0,D507=Calc!$C$4)),ROW(),0)</f>
        <v>0</v>
      </c>
    </row>
    <row r="508" customFormat="false" ht="15" hidden="false" customHeight="false" outlineLevel="0" collapsed="false">
      <c r="A508" s="57" t="s">
        <v>864</v>
      </c>
      <c r="B508" s="58" t="n">
        <v>45454</v>
      </c>
      <c r="C508" s="57" t="n">
        <f aca="false">YEAR(B508)</f>
        <v>2024</v>
      </c>
      <c r="D508" s="57" t="n">
        <f aca="false">MONTH(B508)</f>
        <v>6</v>
      </c>
      <c r="E508" s="57" t="s">
        <v>140</v>
      </c>
      <c r="F508" s="57" t="s">
        <v>75</v>
      </c>
      <c r="G508" s="57" t="s">
        <v>45</v>
      </c>
      <c r="H508" s="57" t="s">
        <v>44</v>
      </c>
      <c r="I508" s="59" t="n">
        <v>1</v>
      </c>
      <c r="J508" s="60" t="n">
        <v>119</v>
      </c>
      <c r="K508" s="60" t="n">
        <v>63</v>
      </c>
      <c r="L508" s="61" t="n">
        <f aca="false">I508*J508</f>
        <v>119</v>
      </c>
      <c r="M508" s="61" t="n">
        <f aca="false">L508-I508*K508</f>
        <v>56</v>
      </c>
      <c r="N508" s="57" t="n">
        <f aca="false">IF(COUNTIFS(E$2:E508,E508,C$2:C508,C508)=1,1,0)</f>
        <v>0</v>
      </c>
      <c r="O508" s="57" t="n">
        <f aca="false">IF(COUNTIFS(E$2:E508,E508,C$2:C508,C508,D$2:D508,D508)=1,1,0)</f>
        <v>1</v>
      </c>
      <c r="P508" s="57" t="n">
        <f aca="false">IF(AND(C508=Calc!$C$3,OR(Calc!$C$4=0,D508=Calc!$C$4)),ROW(),0)</f>
        <v>0</v>
      </c>
    </row>
    <row r="509" customFormat="false" ht="15" hidden="false" customHeight="false" outlineLevel="0" collapsed="false">
      <c r="A509" s="57" t="s">
        <v>865</v>
      </c>
      <c r="B509" s="58" t="n">
        <v>45454</v>
      </c>
      <c r="C509" s="57" t="n">
        <f aca="false">YEAR(B509)</f>
        <v>2024</v>
      </c>
      <c r="D509" s="57" t="n">
        <f aca="false">MONTH(B509)</f>
        <v>6</v>
      </c>
      <c r="E509" s="57" t="s">
        <v>698</v>
      </c>
      <c r="F509" s="57" t="s">
        <v>75</v>
      </c>
      <c r="G509" s="57" t="s">
        <v>40</v>
      </c>
      <c r="H509" s="57" t="s">
        <v>43</v>
      </c>
      <c r="I509" s="59" t="n">
        <v>1</v>
      </c>
      <c r="J509" s="60" t="n">
        <v>29</v>
      </c>
      <c r="K509" s="60" t="n">
        <v>9</v>
      </c>
      <c r="L509" s="61" t="n">
        <f aca="false">I509*J509</f>
        <v>29</v>
      </c>
      <c r="M509" s="61" t="n">
        <f aca="false">L509-I509*K509</f>
        <v>20</v>
      </c>
      <c r="N509" s="57" t="n">
        <f aca="false">IF(COUNTIFS(E$2:E509,E509,C$2:C509,C509)=1,1,0)</f>
        <v>0</v>
      </c>
      <c r="O509" s="57" t="n">
        <f aca="false">IF(COUNTIFS(E$2:E509,E509,C$2:C509,C509,D$2:D509,D509)=1,1,0)</f>
        <v>1</v>
      </c>
      <c r="P509" s="57" t="n">
        <f aca="false">IF(AND(C509=Calc!$C$3,OR(Calc!$C$4=0,D509=Calc!$C$4)),ROW(),0)</f>
        <v>0</v>
      </c>
    </row>
    <row r="510" customFormat="false" ht="15" hidden="false" customHeight="false" outlineLevel="0" collapsed="false">
      <c r="A510" s="57" t="s">
        <v>866</v>
      </c>
      <c r="B510" s="58" t="n">
        <v>45454</v>
      </c>
      <c r="C510" s="57" t="n">
        <f aca="false">YEAR(B510)</f>
        <v>2024</v>
      </c>
      <c r="D510" s="57" t="n">
        <f aca="false">MONTH(B510)</f>
        <v>6</v>
      </c>
      <c r="E510" s="57" t="s">
        <v>434</v>
      </c>
      <c r="F510" s="57" t="s">
        <v>78</v>
      </c>
      <c r="G510" s="57" t="s">
        <v>40</v>
      </c>
      <c r="H510" s="57" t="s">
        <v>39</v>
      </c>
      <c r="I510" s="59" t="n">
        <v>2</v>
      </c>
      <c r="J510" s="60" t="n">
        <v>54</v>
      </c>
      <c r="K510" s="60" t="n">
        <v>19</v>
      </c>
      <c r="L510" s="61" t="n">
        <f aca="false">I510*J510</f>
        <v>108</v>
      </c>
      <c r="M510" s="61" t="n">
        <f aca="false">L510-I510*K510</f>
        <v>70</v>
      </c>
      <c r="N510" s="57" t="n">
        <f aca="false">IF(COUNTIFS(E$2:E510,E510,C$2:C510,C510)=1,1,0)</f>
        <v>0</v>
      </c>
      <c r="O510" s="57" t="n">
        <f aca="false">IF(COUNTIFS(E$2:E510,E510,C$2:C510,C510,D$2:D510,D510)=1,1,0)</f>
        <v>1</v>
      </c>
      <c r="P510" s="57" t="n">
        <f aca="false">IF(AND(C510=Calc!$C$3,OR(Calc!$C$4=0,D510=Calc!$C$4)),ROW(),0)</f>
        <v>0</v>
      </c>
    </row>
    <row r="511" customFormat="false" ht="15" hidden="false" customHeight="false" outlineLevel="0" collapsed="false">
      <c r="A511" s="57" t="s">
        <v>867</v>
      </c>
      <c r="B511" s="58" t="n">
        <v>45454</v>
      </c>
      <c r="C511" s="57" t="n">
        <f aca="false">YEAR(B511)</f>
        <v>2024</v>
      </c>
      <c r="D511" s="57" t="n">
        <f aca="false">MONTH(B511)</f>
        <v>6</v>
      </c>
      <c r="E511" s="57" t="s">
        <v>156</v>
      </c>
      <c r="F511" s="57" t="s">
        <v>75</v>
      </c>
      <c r="G511" s="57" t="s">
        <v>40</v>
      </c>
      <c r="H511" s="57" t="s">
        <v>41</v>
      </c>
      <c r="I511" s="59" t="n">
        <v>1</v>
      </c>
      <c r="J511" s="60" t="n">
        <v>46</v>
      </c>
      <c r="K511" s="60" t="n">
        <v>16</v>
      </c>
      <c r="L511" s="61" t="n">
        <f aca="false">I511*J511</f>
        <v>46</v>
      </c>
      <c r="M511" s="61" t="n">
        <f aca="false">L511-I511*K511</f>
        <v>30</v>
      </c>
      <c r="N511" s="57" t="n">
        <f aca="false">IF(COUNTIFS(E$2:E511,E511,C$2:C511,C511)=1,1,0)</f>
        <v>0</v>
      </c>
      <c r="O511" s="57" t="n">
        <f aca="false">IF(COUNTIFS(E$2:E511,E511,C$2:C511,C511,D$2:D511,D511)=1,1,0)</f>
        <v>1</v>
      </c>
      <c r="P511" s="57" t="n">
        <f aca="false">IF(AND(C511=Calc!$C$3,OR(Calc!$C$4=0,D511=Calc!$C$4)),ROW(),0)</f>
        <v>0</v>
      </c>
    </row>
    <row r="512" customFormat="false" ht="15" hidden="false" customHeight="false" outlineLevel="0" collapsed="false">
      <c r="A512" s="57" t="s">
        <v>868</v>
      </c>
      <c r="B512" s="58" t="n">
        <v>45454</v>
      </c>
      <c r="C512" s="57" t="n">
        <f aca="false">YEAR(B512)</f>
        <v>2024</v>
      </c>
      <c r="D512" s="57" t="n">
        <f aca="false">MONTH(B512)</f>
        <v>6</v>
      </c>
      <c r="E512" s="57" t="s">
        <v>466</v>
      </c>
      <c r="F512" s="57" t="s">
        <v>72</v>
      </c>
      <c r="G512" s="57" t="s">
        <v>35</v>
      </c>
      <c r="H512" s="57" t="s">
        <v>38</v>
      </c>
      <c r="I512" s="59" t="n">
        <v>1</v>
      </c>
      <c r="J512" s="60" t="n">
        <v>49</v>
      </c>
      <c r="K512" s="60" t="n">
        <v>22</v>
      </c>
      <c r="L512" s="61" t="n">
        <f aca="false">I512*J512</f>
        <v>49</v>
      </c>
      <c r="M512" s="61" t="n">
        <f aca="false">L512-I512*K512</f>
        <v>27</v>
      </c>
      <c r="N512" s="57" t="n">
        <f aca="false">IF(COUNTIFS(E$2:E512,E512,C$2:C512,C512)=1,1,0)</f>
        <v>0</v>
      </c>
      <c r="O512" s="57" t="n">
        <f aca="false">IF(COUNTIFS(E$2:E512,E512,C$2:C512,C512,D$2:D512,D512)=1,1,0)</f>
        <v>1</v>
      </c>
      <c r="P512" s="57" t="n">
        <f aca="false">IF(AND(C512=Calc!$C$3,OR(Calc!$C$4=0,D512=Calc!$C$4)),ROW(),0)</f>
        <v>0</v>
      </c>
    </row>
    <row r="513" customFormat="false" ht="15" hidden="false" customHeight="false" outlineLevel="0" collapsed="false">
      <c r="A513" s="57" t="s">
        <v>869</v>
      </c>
      <c r="B513" s="58" t="n">
        <v>45454</v>
      </c>
      <c r="C513" s="57" t="n">
        <f aca="false">YEAR(B513)</f>
        <v>2024</v>
      </c>
      <c r="D513" s="57" t="n">
        <f aca="false">MONTH(B513)</f>
        <v>6</v>
      </c>
      <c r="E513" s="57" t="s">
        <v>547</v>
      </c>
      <c r="F513" s="57" t="s">
        <v>72</v>
      </c>
      <c r="G513" s="57" t="s">
        <v>35</v>
      </c>
      <c r="H513" s="57" t="s">
        <v>36</v>
      </c>
      <c r="I513" s="59" t="n">
        <v>1</v>
      </c>
      <c r="J513" s="60" t="n">
        <v>179</v>
      </c>
      <c r="K513" s="60" t="n">
        <v>92</v>
      </c>
      <c r="L513" s="61" t="n">
        <f aca="false">I513*J513</f>
        <v>179</v>
      </c>
      <c r="M513" s="61" t="n">
        <f aca="false">L513-I513*K513</f>
        <v>87</v>
      </c>
      <c r="N513" s="57" t="n">
        <f aca="false">IF(COUNTIFS(E$2:E513,E513,C$2:C513,C513)=1,1,0)</f>
        <v>0</v>
      </c>
      <c r="O513" s="57" t="n">
        <f aca="false">IF(COUNTIFS(E$2:E513,E513,C$2:C513,C513,D$2:D513,D513)=1,1,0)</f>
        <v>0</v>
      </c>
      <c r="P513" s="57" t="n">
        <f aca="false">IF(AND(C513=Calc!$C$3,OR(Calc!$C$4=0,D513=Calc!$C$4)),ROW(),0)</f>
        <v>0</v>
      </c>
    </row>
    <row r="514" customFormat="false" ht="15" hidden="false" customHeight="false" outlineLevel="0" collapsed="false">
      <c r="A514" s="57" t="s">
        <v>870</v>
      </c>
      <c r="B514" s="58" t="n">
        <v>45454</v>
      </c>
      <c r="C514" s="57" t="n">
        <f aca="false">YEAR(B514)</f>
        <v>2024</v>
      </c>
      <c r="D514" s="57" t="n">
        <f aca="false">MONTH(B514)</f>
        <v>6</v>
      </c>
      <c r="E514" s="57" t="s">
        <v>871</v>
      </c>
      <c r="F514" s="57" t="s">
        <v>72</v>
      </c>
      <c r="G514" s="57" t="s">
        <v>35</v>
      </c>
      <c r="H514" s="57" t="s">
        <v>37</v>
      </c>
      <c r="I514" s="59" t="n">
        <v>1</v>
      </c>
      <c r="J514" s="60" t="n">
        <v>59</v>
      </c>
      <c r="K514" s="60" t="n">
        <v>27</v>
      </c>
      <c r="L514" s="61" t="n">
        <f aca="false">I514*J514</f>
        <v>59</v>
      </c>
      <c r="M514" s="61" t="n">
        <f aca="false">L514-I514*K514</f>
        <v>32</v>
      </c>
      <c r="N514" s="57" t="n">
        <f aca="false">IF(COUNTIFS(E$2:E514,E514,C$2:C514,C514)=1,1,0)</f>
        <v>1</v>
      </c>
      <c r="O514" s="57" t="n">
        <f aca="false">IF(COUNTIFS(E$2:E514,E514,C$2:C514,C514,D$2:D514,D514)=1,1,0)</f>
        <v>1</v>
      </c>
      <c r="P514" s="57" t="n">
        <f aca="false">IF(AND(C514=Calc!$C$3,OR(Calc!$C$4=0,D514=Calc!$C$4)),ROW(),0)</f>
        <v>0</v>
      </c>
    </row>
    <row r="515" customFormat="false" ht="15" hidden="false" customHeight="false" outlineLevel="0" collapsed="false">
      <c r="A515" s="57" t="s">
        <v>872</v>
      </c>
      <c r="B515" s="58" t="n">
        <v>45455</v>
      </c>
      <c r="C515" s="57" t="n">
        <f aca="false">YEAR(B515)</f>
        <v>2024</v>
      </c>
      <c r="D515" s="57" t="n">
        <f aca="false">MONTH(B515)</f>
        <v>6</v>
      </c>
      <c r="E515" s="57" t="s">
        <v>818</v>
      </c>
      <c r="F515" s="57" t="s">
        <v>69</v>
      </c>
      <c r="G515" s="57" t="s">
        <v>35</v>
      </c>
      <c r="H515" s="57" t="s">
        <v>37</v>
      </c>
      <c r="I515" s="59" t="n">
        <v>2</v>
      </c>
      <c r="J515" s="60" t="n">
        <v>59</v>
      </c>
      <c r="K515" s="60" t="n">
        <v>27</v>
      </c>
      <c r="L515" s="61" t="n">
        <f aca="false">I515*J515</f>
        <v>118</v>
      </c>
      <c r="M515" s="61" t="n">
        <f aca="false">L515-I515*K515</f>
        <v>64</v>
      </c>
      <c r="N515" s="57" t="n">
        <f aca="false">IF(COUNTIFS(E$2:E515,E515,C$2:C515,C515)=1,1,0)</f>
        <v>0</v>
      </c>
      <c r="O515" s="57" t="n">
        <f aca="false">IF(COUNTIFS(E$2:E515,E515,C$2:C515,C515,D$2:D515,D515)=1,1,0)</f>
        <v>0</v>
      </c>
      <c r="P515" s="57" t="n">
        <f aca="false">IF(AND(C515=Calc!$C$3,OR(Calc!$C$4=0,D515=Calc!$C$4)),ROW(),0)</f>
        <v>0</v>
      </c>
    </row>
    <row r="516" customFormat="false" ht="15" hidden="false" customHeight="false" outlineLevel="0" collapsed="false">
      <c r="A516" s="57" t="s">
        <v>873</v>
      </c>
      <c r="B516" s="58" t="n">
        <v>45455</v>
      </c>
      <c r="C516" s="57" t="n">
        <f aca="false">YEAR(B516)</f>
        <v>2024</v>
      </c>
      <c r="D516" s="57" t="n">
        <f aca="false">MONTH(B516)</f>
        <v>6</v>
      </c>
      <c r="E516" s="57" t="s">
        <v>187</v>
      </c>
      <c r="F516" s="57" t="s">
        <v>78</v>
      </c>
      <c r="G516" s="57" t="s">
        <v>54</v>
      </c>
      <c r="H516" s="57" t="s">
        <v>55</v>
      </c>
      <c r="I516" s="59" t="n">
        <v>2</v>
      </c>
      <c r="J516" s="60" t="n">
        <v>64</v>
      </c>
      <c r="K516" s="60" t="n">
        <v>25</v>
      </c>
      <c r="L516" s="61" t="n">
        <f aca="false">I516*J516</f>
        <v>128</v>
      </c>
      <c r="M516" s="61" t="n">
        <f aca="false">L516-I516*K516</f>
        <v>78</v>
      </c>
      <c r="N516" s="57" t="n">
        <f aca="false">IF(COUNTIFS(E$2:E516,E516,C$2:C516,C516)=1,1,0)</f>
        <v>0</v>
      </c>
      <c r="O516" s="57" t="n">
        <f aca="false">IF(COUNTIFS(E$2:E516,E516,C$2:C516,C516,D$2:D516,D516)=1,1,0)</f>
        <v>1</v>
      </c>
      <c r="P516" s="57" t="n">
        <f aca="false">IF(AND(C516=Calc!$C$3,OR(Calc!$C$4=0,D516=Calc!$C$4)),ROW(),0)</f>
        <v>0</v>
      </c>
    </row>
    <row r="517" customFormat="false" ht="15" hidden="false" customHeight="false" outlineLevel="0" collapsed="false">
      <c r="A517" s="57" t="s">
        <v>874</v>
      </c>
      <c r="B517" s="58" t="n">
        <v>45455</v>
      </c>
      <c r="C517" s="57" t="n">
        <f aca="false">YEAR(B517)</f>
        <v>2024</v>
      </c>
      <c r="D517" s="57" t="n">
        <f aca="false">MONTH(B517)</f>
        <v>6</v>
      </c>
      <c r="E517" s="57" t="s">
        <v>148</v>
      </c>
      <c r="F517" s="57" t="s">
        <v>78</v>
      </c>
      <c r="G517" s="57" t="s">
        <v>35</v>
      </c>
      <c r="H517" s="57" t="s">
        <v>37</v>
      </c>
      <c r="I517" s="59" t="n">
        <v>1</v>
      </c>
      <c r="J517" s="60" t="n">
        <v>59</v>
      </c>
      <c r="K517" s="60" t="n">
        <v>27</v>
      </c>
      <c r="L517" s="61" t="n">
        <f aca="false">I517*J517</f>
        <v>59</v>
      </c>
      <c r="M517" s="61" t="n">
        <f aca="false">L517-I517*K517</f>
        <v>32</v>
      </c>
      <c r="N517" s="57" t="n">
        <f aca="false">IF(COUNTIFS(E$2:E517,E517,C$2:C517,C517)=1,1,0)</f>
        <v>0</v>
      </c>
      <c r="O517" s="57" t="n">
        <f aca="false">IF(COUNTIFS(E$2:E517,E517,C$2:C517,C517,D$2:D517,D517)=1,1,0)</f>
        <v>1</v>
      </c>
      <c r="P517" s="57" t="n">
        <f aca="false">IF(AND(C517=Calc!$C$3,OR(Calc!$C$4=0,D517=Calc!$C$4)),ROW(),0)</f>
        <v>0</v>
      </c>
    </row>
    <row r="518" customFormat="false" ht="15" hidden="false" customHeight="false" outlineLevel="0" collapsed="false">
      <c r="A518" s="57" t="s">
        <v>875</v>
      </c>
      <c r="B518" s="58" t="n">
        <v>45456</v>
      </c>
      <c r="C518" s="57" t="n">
        <f aca="false">YEAR(B518)</f>
        <v>2024</v>
      </c>
      <c r="D518" s="57" t="n">
        <f aca="false">MONTH(B518)</f>
        <v>6</v>
      </c>
      <c r="E518" s="57" t="s">
        <v>461</v>
      </c>
      <c r="F518" s="57" t="s">
        <v>78</v>
      </c>
      <c r="G518" s="57" t="s">
        <v>35</v>
      </c>
      <c r="H518" s="57" t="s">
        <v>38</v>
      </c>
      <c r="I518" s="59" t="n">
        <v>2</v>
      </c>
      <c r="J518" s="60" t="n">
        <v>49</v>
      </c>
      <c r="K518" s="60" t="n">
        <v>22</v>
      </c>
      <c r="L518" s="61" t="n">
        <f aca="false">I518*J518</f>
        <v>98</v>
      </c>
      <c r="M518" s="61" t="n">
        <f aca="false">L518-I518*K518</f>
        <v>54</v>
      </c>
      <c r="N518" s="57" t="n">
        <f aca="false">IF(COUNTIFS(E$2:E518,E518,C$2:C518,C518)=1,1,0)</f>
        <v>0</v>
      </c>
      <c r="O518" s="57" t="n">
        <f aca="false">IF(COUNTIFS(E$2:E518,E518,C$2:C518,C518,D$2:D518,D518)=1,1,0)</f>
        <v>1</v>
      </c>
      <c r="P518" s="57" t="n">
        <f aca="false">IF(AND(C518=Calc!$C$3,OR(Calc!$C$4=0,D518=Calc!$C$4)),ROW(),0)</f>
        <v>0</v>
      </c>
    </row>
    <row r="519" customFormat="false" ht="15" hidden="false" customHeight="false" outlineLevel="0" collapsed="false">
      <c r="A519" s="57" t="s">
        <v>876</v>
      </c>
      <c r="B519" s="58" t="n">
        <v>45456</v>
      </c>
      <c r="C519" s="57" t="n">
        <f aca="false">YEAR(B519)</f>
        <v>2024</v>
      </c>
      <c r="D519" s="57" t="n">
        <f aca="false">MONTH(B519)</f>
        <v>6</v>
      </c>
      <c r="E519" s="57" t="s">
        <v>877</v>
      </c>
      <c r="F519" s="57" t="s">
        <v>69</v>
      </c>
      <c r="G519" s="57" t="s">
        <v>40</v>
      </c>
      <c r="H519" s="57" t="s">
        <v>43</v>
      </c>
      <c r="I519" s="59" t="n">
        <v>1</v>
      </c>
      <c r="J519" s="60" t="n">
        <v>29</v>
      </c>
      <c r="K519" s="60" t="n">
        <v>9</v>
      </c>
      <c r="L519" s="61" t="n">
        <f aca="false">I519*J519</f>
        <v>29</v>
      </c>
      <c r="M519" s="61" t="n">
        <f aca="false">L519-I519*K519</f>
        <v>20</v>
      </c>
      <c r="N519" s="57" t="n">
        <f aca="false">IF(COUNTIFS(E$2:E519,E519,C$2:C519,C519)=1,1,0)</f>
        <v>1</v>
      </c>
      <c r="O519" s="57" t="n">
        <f aca="false">IF(COUNTIFS(E$2:E519,E519,C$2:C519,C519,D$2:D519,D519)=1,1,0)</f>
        <v>1</v>
      </c>
      <c r="P519" s="57" t="n">
        <f aca="false">IF(AND(C519=Calc!$C$3,OR(Calc!$C$4=0,D519=Calc!$C$4)),ROW(),0)</f>
        <v>0</v>
      </c>
    </row>
    <row r="520" customFormat="false" ht="15" hidden="false" customHeight="false" outlineLevel="0" collapsed="false">
      <c r="A520" s="57" t="s">
        <v>878</v>
      </c>
      <c r="B520" s="58" t="n">
        <v>45456</v>
      </c>
      <c r="C520" s="57" t="n">
        <f aca="false">YEAR(B520)</f>
        <v>2024</v>
      </c>
      <c r="D520" s="57" t="n">
        <f aca="false">MONTH(B520)</f>
        <v>6</v>
      </c>
      <c r="E520" s="57" t="s">
        <v>344</v>
      </c>
      <c r="F520" s="57" t="s">
        <v>81</v>
      </c>
      <c r="G520" s="57" t="s">
        <v>40</v>
      </c>
      <c r="H520" s="57" t="s">
        <v>43</v>
      </c>
      <c r="I520" s="59" t="n">
        <v>1</v>
      </c>
      <c r="J520" s="60" t="n">
        <v>29</v>
      </c>
      <c r="K520" s="60" t="n">
        <v>9</v>
      </c>
      <c r="L520" s="61" t="n">
        <f aca="false">I520*J520</f>
        <v>29</v>
      </c>
      <c r="M520" s="61" t="n">
        <f aca="false">L520-I520*K520</f>
        <v>20</v>
      </c>
      <c r="N520" s="57" t="n">
        <f aca="false">IF(COUNTIFS(E$2:E520,E520,C$2:C520,C520)=1,1,0)</f>
        <v>0</v>
      </c>
      <c r="O520" s="57" t="n">
        <f aca="false">IF(COUNTIFS(E$2:E520,E520,C$2:C520,C520,D$2:D520,D520)=1,1,0)</f>
        <v>1</v>
      </c>
      <c r="P520" s="57" t="n">
        <f aca="false">IF(AND(C520=Calc!$C$3,OR(Calc!$C$4=0,D520=Calc!$C$4)),ROW(),0)</f>
        <v>0</v>
      </c>
    </row>
    <row r="521" customFormat="false" ht="15" hidden="false" customHeight="false" outlineLevel="0" collapsed="false">
      <c r="A521" s="57" t="s">
        <v>879</v>
      </c>
      <c r="B521" s="58" t="n">
        <v>45457</v>
      </c>
      <c r="C521" s="57" t="n">
        <f aca="false">YEAR(B521)</f>
        <v>2024</v>
      </c>
      <c r="D521" s="57" t="n">
        <f aca="false">MONTH(B521)</f>
        <v>6</v>
      </c>
      <c r="E521" s="57" t="s">
        <v>850</v>
      </c>
      <c r="F521" s="57" t="s">
        <v>78</v>
      </c>
      <c r="G521" s="57" t="s">
        <v>40</v>
      </c>
      <c r="H521" s="57" t="s">
        <v>39</v>
      </c>
      <c r="I521" s="59" t="n">
        <v>1</v>
      </c>
      <c r="J521" s="60" t="n">
        <v>54</v>
      </c>
      <c r="K521" s="60" t="n">
        <v>19</v>
      </c>
      <c r="L521" s="61" t="n">
        <f aca="false">I521*J521</f>
        <v>54</v>
      </c>
      <c r="M521" s="61" t="n">
        <f aca="false">L521-I521*K521</f>
        <v>35</v>
      </c>
      <c r="N521" s="57" t="n">
        <f aca="false">IF(COUNTIFS(E$2:E521,E521,C$2:C521,C521)=1,1,0)</f>
        <v>0</v>
      </c>
      <c r="O521" s="57" t="n">
        <f aca="false">IF(COUNTIFS(E$2:E521,E521,C$2:C521,C521,D$2:D521,D521)=1,1,0)</f>
        <v>0</v>
      </c>
      <c r="P521" s="57" t="n">
        <f aca="false">IF(AND(C521=Calc!$C$3,OR(Calc!$C$4=0,D521=Calc!$C$4)),ROW(),0)</f>
        <v>0</v>
      </c>
    </row>
    <row r="522" customFormat="false" ht="15" hidden="false" customHeight="false" outlineLevel="0" collapsed="false">
      <c r="A522" s="57" t="s">
        <v>880</v>
      </c>
      <c r="B522" s="58" t="n">
        <v>45457</v>
      </c>
      <c r="C522" s="57" t="n">
        <f aca="false">YEAR(B522)</f>
        <v>2024</v>
      </c>
      <c r="D522" s="57" t="n">
        <f aca="false">MONTH(B522)</f>
        <v>6</v>
      </c>
      <c r="E522" s="57" t="s">
        <v>100</v>
      </c>
      <c r="F522" s="57" t="s">
        <v>81</v>
      </c>
      <c r="G522" s="57" t="s">
        <v>35</v>
      </c>
      <c r="H522" s="57" t="s">
        <v>36</v>
      </c>
      <c r="I522" s="59" t="n">
        <v>1</v>
      </c>
      <c r="J522" s="60" t="n">
        <v>179</v>
      </c>
      <c r="K522" s="60" t="n">
        <v>92</v>
      </c>
      <c r="L522" s="61" t="n">
        <f aca="false">I522*J522</f>
        <v>179</v>
      </c>
      <c r="M522" s="61" t="n">
        <f aca="false">L522-I522*K522</f>
        <v>87</v>
      </c>
      <c r="N522" s="57" t="n">
        <f aca="false">IF(COUNTIFS(E$2:E522,E522,C$2:C522,C522)=1,1,0)</f>
        <v>0</v>
      </c>
      <c r="O522" s="57" t="n">
        <f aca="false">IF(COUNTIFS(E$2:E522,E522,C$2:C522,C522,D$2:D522,D522)=1,1,0)</f>
        <v>1</v>
      </c>
      <c r="P522" s="57" t="n">
        <f aca="false">IF(AND(C522=Calc!$C$3,OR(Calc!$C$4=0,D522=Calc!$C$4)),ROW(),0)</f>
        <v>0</v>
      </c>
    </row>
    <row r="523" customFormat="false" ht="15" hidden="false" customHeight="false" outlineLevel="0" collapsed="false">
      <c r="A523" s="57" t="s">
        <v>881</v>
      </c>
      <c r="B523" s="58" t="n">
        <v>45457</v>
      </c>
      <c r="C523" s="57" t="n">
        <f aca="false">YEAR(B523)</f>
        <v>2024</v>
      </c>
      <c r="D523" s="57" t="n">
        <f aca="false">MONTH(B523)</f>
        <v>6</v>
      </c>
      <c r="E523" s="57" t="s">
        <v>510</v>
      </c>
      <c r="F523" s="57" t="s">
        <v>78</v>
      </c>
      <c r="G523" s="57" t="s">
        <v>54</v>
      </c>
      <c r="H523" s="57" t="s">
        <v>56</v>
      </c>
      <c r="I523" s="59" t="n">
        <v>1</v>
      </c>
      <c r="J523" s="60" t="n">
        <v>42</v>
      </c>
      <c r="K523" s="60" t="n">
        <v>17</v>
      </c>
      <c r="L523" s="61" t="n">
        <f aca="false">I523*J523</f>
        <v>42</v>
      </c>
      <c r="M523" s="61" t="n">
        <f aca="false">L523-I523*K523</f>
        <v>25</v>
      </c>
      <c r="N523" s="57" t="n">
        <f aca="false">IF(COUNTIFS(E$2:E523,E523,C$2:C523,C523)=1,1,0)</f>
        <v>0</v>
      </c>
      <c r="O523" s="57" t="n">
        <f aca="false">IF(COUNTIFS(E$2:E523,E523,C$2:C523,C523,D$2:D523,D523)=1,1,0)</f>
        <v>1</v>
      </c>
      <c r="P523" s="57" t="n">
        <f aca="false">IF(AND(C523=Calc!$C$3,OR(Calc!$C$4=0,D523=Calc!$C$4)),ROW(),0)</f>
        <v>0</v>
      </c>
    </row>
    <row r="524" customFormat="false" ht="15" hidden="false" customHeight="false" outlineLevel="0" collapsed="false">
      <c r="A524" s="57" t="s">
        <v>882</v>
      </c>
      <c r="B524" s="58" t="n">
        <v>45458</v>
      </c>
      <c r="C524" s="57" t="n">
        <f aca="false">YEAR(B524)</f>
        <v>2024</v>
      </c>
      <c r="D524" s="57" t="n">
        <f aca="false">MONTH(B524)</f>
        <v>6</v>
      </c>
      <c r="E524" s="57" t="s">
        <v>479</v>
      </c>
      <c r="F524" s="57" t="s">
        <v>72</v>
      </c>
      <c r="G524" s="57" t="s">
        <v>50</v>
      </c>
      <c r="H524" s="57" t="s">
        <v>52</v>
      </c>
      <c r="I524" s="59" t="n">
        <v>1</v>
      </c>
      <c r="J524" s="60" t="n">
        <v>45</v>
      </c>
      <c r="K524" s="60" t="n">
        <v>14</v>
      </c>
      <c r="L524" s="61" t="n">
        <f aca="false">I524*J524</f>
        <v>45</v>
      </c>
      <c r="M524" s="61" t="n">
        <f aca="false">L524-I524*K524</f>
        <v>31</v>
      </c>
      <c r="N524" s="57" t="n">
        <f aca="false">IF(COUNTIFS(E$2:E524,E524,C$2:C524,C524)=1,1,0)</f>
        <v>0</v>
      </c>
      <c r="O524" s="57" t="n">
        <f aca="false">IF(COUNTIFS(E$2:E524,E524,C$2:C524,C524,D$2:D524,D524)=1,1,0)</f>
        <v>0</v>
      </c>
      <c r="P524" s="57" t="n">
        <f aca="false">IF(AND(C524=Calc!$C$3,OR(Calc!$C$4=0,D524=Calc!$C$4)),ROW(),0)</f>
        <v>0</v>
      </c>
    </row>
    <row r="525" customFormat="false" ht="15" hidden="false" customHeight="false" outlineLevel="0" collapsed="false">
      <c r="A525" s="57" t="s">
        <v>883</v>
      </c>
      <c r="B525" s="58" t="n">
        <v>45458</v>
      </c>
      <c r="C525" s="57" t="n">
        <f aca="false">YEAR(B525)</f>
        <v>2024</v>
      </c>
      <c r="D525" s="57" t="n">
        <f aca="false">MONTH(B525)</f>
        <v>6</v>
      </c>
      <c r="E525" s="57" t="s">
        <v>884</v>
      </c>
      <c r="F525" s="57" t="s">
        <v>72</v>
      </c>
      <c r="G525" s="57" t="s">
        <v>45</v>
      </c>
      <c r="H525" s="57" t="s">
        <v>46</v>
      </c>
      <c r="I525" s="59" t="n">
        <v>1</v>
      </c>
      <c r="J525" s="60" t="n">
        <v>149</v>
      </c>
      <c r="K525" s="60" t="n">
        <v>71</v>
      </c>
      <c r="L525" s="61" t="n">
        <f aca="false">I525*J525</f>
        <v>149</v>
      </c>
      <c r="M525" s="61" t="n">
        <f aca="false">L525-I525*K525</f>
        <v>78</v>
      </c>
      <c r="N525" s="57" t="n">
        <f aca="false">IF(COUNTIFS(E$2:E525,E525,C$2:C525,C525)=1,1,0)</f>
        <v>1</v>
      </c>
      <c r="O525" s="57" t="n">
        <f aca="false">IF(COUNTIFS(E$2:E525,E525,C$2:C525,C525,D$2:D525,D525)=1,1,0)</f>
        <v>1</v>
      </c>
      <c r="P525" s="57" t="n">
        <f aca="false">IF(AND(C525=Calc!$C$3,OR(Calc!$C$4=0,D525=Calc!$C$4)),ROW(),0)</f>
        <v>0</v>
      </c>
    </row>
    <row r="526" customFormat="false" ht="15" hidden="false" customHeight="false" outlineLevel="0" collapsed="false">
      <c r="A526" s="57" t="s">
        <v>885</v>
      </c>
      <c r="B526" s="58" t="n">
        <v>45458</v>
      </c>
      <c r="C526" s="57" t="n">
        <f aca="false">YEAR(B526)</f>
        <v>2024</v>
      </c>
      <c r="D526" s="57" t="n">
        <f aca="false">MONTH(B526)</f>
        <v>6</v>
      </c>
      <c r="E526" s="57" t="s">
        <v>558</v>
      </c>
      <c r="F526" s="57" t="s">
        <v>81</v>
      </c>
      <c r="G526" s="57" t="s">
        <v>50</v>
      </c>
      <c r="H526" s="57" t="s">
        <v>52</v>
      </c>
      <c r="I526" s="59" t="n">
        <v>1</v>
      </c>
      <c r="J526" s="60" t="n">
        <v>45</v>
      </c>
      <c r="K526" s="60" t="n">
        <v>14</v>
      </c>
      <c r="L526" s="61" t="n">
        <f aca="false">I526*J526</f>
        <v>45</v>
      </c>
      <c r="M526" s="61" t="n">
        <f aca="false">L526-I526*K526</f>
        <v>31</v>
      </c>
      <c r="N526" s="57" t="n">
        <f aca="false">IF(COUNTIFS(E$2:E526,E526,C$2:C526,C526)=1,1,0)</f>
        <v>0</v>
      </c>
      <c r="O526" s="57" t="n">
        <f aca="false">IF(COUNTIFS(E$2:E526,E526,C$2:C526,C526,D$2:D526,D526)=1,1,0)</f>
        <v>1</v>
      </c>
      <c r="P526" s="57" t="n">
        <f aca="false">IF(AND(C526=Calc!$C$3,OR(Calc!$C$4=0,D526=Calc!$C$4)),ROW(),0)</f>
        <v>0</v>
      </c>
    </row>
    <row r="527" customFormat="false" ht="15" hidden="false" customHeight="false" outlineLevel="0" collapsed="false">
      <c r="A527" s="57" t="s">
        <v>886</v>
      </c>
      <c r="B527" s="58" t="n">
        <v>45458</v>
      </c>
      <c r="C527" s="57" t="n">
        <f aca="false">YEAR(B527)</f>
        <v>2024</v>
      </c>
      <c r="D527" s="57" t="n">
        <f aca="false">MONTH(B527)</f>
        <v>6</v>
      </c>
      <c r="E527" s="57" t="s">
        <v>887</v>
      </c>
      <c r="F527" s="57" t="s">
        <v>81</v>
      </c>
      <c r="G527" s="57" t="s">
        <v>45</v>
      </c>
      <c r="H527" s="57" t="s">
        <v>46</v>
      </c>
      <c r="I527" s="59" t="n">
        <v>1</v>
      </c>
      <c r="J527" s="60" t="n">
        <v>149</v>
      </c>
      <c r="K527" s="60" t="n">
        <v>71</v>
      </c>
      <c r="L527" s="61" t="n">
        <f aca="false">I527*J527</f>
        <v>149</v>
      </c>
      <c r="M527" s="61" t="n">
        <f aca="false">L527-I527*K527</f>
        <v>78</v>
      </c>
      <c r="N527" s="57" t="n">
        <f aca="false">IF(COUNTIFS(E$2:E527,E527,C$2:C527,C527)=1,1,0)</f>
        <v>1</v>
      </c>
      <c r="O527" s="57" t="n">
        <f aca="false">IF(COUNTIFS(E$2:E527,E527,C$2:C527,C527,D$2:D527,D527)=1,1,0)</f>
        <v>1</v>
      </c>
      <c r="P527" s="57" t="n">
        <f aca="false">IF(AND(C527=Calc!$C$3,OR(Calc!$C$4=0,D527=Calc!$C$4)),ROW(),0)</f>
        <v>0</v>
      </c>
    </row>
    <row r="528" customFormat="false" ht="15" hidden="false" customHeight="false" outlineLevel="0" collapsed="false">
      <c r="A528" s="57" t="s">
        <v>888</v>
      </c>
      <c r="B528" s="58" t="n">
        <v>45458</v>
      </c>
      <c r="C528" s="57" t="n">
        <f aca="false">YEAR(B528)</f>
        <v>2024</v>
      </c>
      <c r="D528" s="57" t="n">
        <f aca="false">MONTH(B528)</f>
        <v>6</v>
      </c>
      <c r="E528" s="57" t="s">
        <v>116</v>
      </c>
      <c r="F528" s="57" t="s">
        <v>75</v>
      </c>
      <c r="G528" s="57" t="s">
        <v>35</v>
      </c>
      <c r="H528" s="57" t="s">
        <v>36</v>
      </c>
      <c r="I528" s="59" t="n">
        <v>1</v>
      </c>
      <c r="J528" s="60" t="n">
        <v>179</v>
      </c>
      <c r="K528" s="60" t="n">
        <v>92</v>
      </c>
      <c r="L528" s="61" t="n">
        <f aca="false">I528*J528</f>
        <v>179</v>
      </c>
      <c r="M528" s="61" t="n">
        <f aca="false">L528-I528*K528</f>
        <v>87</v>
      </c>
      <c r="N528" s="57" t="n">
        <f aca="false">IF(COUNTIFS(E$2:E528,E528,C$2:C528,C528)=1,1,0)</f>
        <v>0</v>
      </c>
      <c r="O528" s="57" t="n">
        <f aca="false">IF(COUNTIFS(E$2:E528,E528,C$2:C528,C528,D$2:D528,D528)=1,1,0)</f>
        <v>1</v>
      </c>
      <c r="P528" s="57" t="n">
        <f aca="false">IF(AND(C528=Calc!$C$3,OR(Calc!$C$4=0,D528=Calc!$C$4)),ROW(),0)</f>
        <v>0</v>
      </c>
    </row>
    <row r="529" customFormat="false" ht="15" hidden="false" customHeight="false" outlineLevel="0" collapsed="false">
      <c r="A529" s="57" t="s">
        <v>889</v>
      </c>
      <c r="B529" s="58" t="n">
        <v>45458</v>
      </c>
      <c r="C529" s="57" t="n">
        <f aca="false">YEAR(B529)</f>
        <v>2024</v>
      </c>
      <c r="D529" s="57" t="n">
        <f aca="false">MONTH(B529)</f>
        <v>6</v>
      </c>
      <c r="E529" s="57" t="s">
        <v>743</v>
      </c>
      <c r="F529" s="57" t="s">
        <v>69</v>
      </c>
      <c r="G529" s="57" t="s">
        <v>54</v>
      </c>
      <c r="H529" s="57" t="s">
        <v>56</v>
      </c>
      <c r="I529" s="59" t="n">
        <v>1</v>
      </c>
      <c r="J529" s="60" t="n">
        <v>42</v>
      </c>
      <c r="K529" s="60" t="n">
        <v>17</v>
      </c>
      <c r="L529" s="61" t="n">
        <f aca="false">I529*J529</f>
        <v>42</v>
      </c>
      <c r="M529" s="61" t="n">
        <f aca="false">L529-I529*K529</f>
        <v>25</v>
      </c>
      <c r="N529" s="57" t="n">
        <f aca="false">IF(COUNTIFS(E$2:E529,E529,C$2:C529,C529)=1,1,0)</f>
        <v>0</v>
      </c>
      <c r="O529" s="57" t="n">
        <f aca="false">IF(COUNTIFS(E$2:E529,E529,C$2:C529,C529,D$2:D529,D529)=1,1,0)</f>
        <v>1</v>
      </c>
      <c r="P529" s="57" t="n">
        <f aca="false">IF(AND(C529=Calc!$C$3,OR(Calc!$C$4=0,D529=Calc!$C$4)),ROW(),0)</f>
        <v>0</v>
      </c>
    </row>
    <row r="530" customFormat="false" ht="15" hidden="false" customHeight="false" outlineLevel="0" collapsed="false">
      <c r="A530" s="57" t="s">
        <v>890</v>
      </c>
      <c r="B530" s="58" t="n">
        <v>45459</v>
      </c>
      <c r="C530" s="57" t="n">
        <f aca="false">YEAR(B530)</f>
        <v>2024</v>
      </c>
      <c r="D530" s="57" t="n">
        <f aca="false">MONTH(B530)</f>
        <v>6</v>
      </c>
      <c r="E530" s="57" t="s">
        <v>539</v>
      </c>
      <c r="F530" s="57" t="s">
        <v>81</v>
      </c>
      <c r="G530" s="57" t="s">
        <v>50</v>
      </c>
      <c r="H530" s="57" t="s">
        <v>51</v>
      </c>
      <c r="I530" s="59" t="n">
        <v>1</v>
      </c>
      <c r="J530" s="60" t="n">
        <v>69</v>
      </c>
      <c r="K530" s="60" t="n">
        <v>29</v>
      </c>
      <c r="L530" s="61" t="n">
        <f aca="false">I530*J530</f>
        <v>69</v>
      </c>
      <c r="M530" s="61" t="n">
        <f aca="false">L530-I530*K530</f>
        <v>40</v>
      </c>
      <c r="N530" s="57" t="n">
        <f aca="false">IF(COUNTIFS(E$2:E530,E530,C$2:C530,C530)=1,1,0)</f>
        <v>0</v>
      </c>
      <c r="O530" s="57" t="n">
        <f aca="false">IF(COUNTIFS(E$2:E530,E530,C$2:C530,C530,D$2:D530,D530)=1,1,0)</f>
        <v>1</v>
      </c>
      <c r="P530" s="57" t="n">
        <f aca="false">IF(AND(C530=Calc!$C$3,OR(Calc!$C$4=0,D530=Calc!$C$4)),ROW(),0)</f>
        <v>0</v>
      </c>
    </row>
    <row r="531" customFormat="false" ht="15" hidden="false" customHeight="false" outlineLevel="0" collapsed="false">
      <c r="A531" s="57" t="s">
        <v>891</v>
      </c>
      <c r="B531" s="58" t="n">
        <v>45459</v>
      </c>
      <c r="C531" s="57" t="n">
        <f aca="false">YEAR(B531)</f>
        <v>2024</v>
      </c>
      <c r="D531" s="57" t="n">
        <f aca="false">MONTH(B531)</f>
        <v>6</v>
      </c>
      <c r="E531" s="57" t="s">
        <v>338</v>
      </c>
      <c r="F531" s="57" t="s">
        <v>78</v>
      </c>
      <c r="G531" s="57" t="s">
        <v>40</v>
      </c>
      <c r="H531" s="57" t="s">
        <v>43</v>
      </c>
      <c r="I531" s="59" t="n">
        <v>2</v>
      </c>
      <c r="J531" s="60" t="n">
        <v>29</v>
      </c>
      <c r="K531" s="60" t="n">
        <v>9</v>
      </c>
      <c r="L531" s="61" t="n">
        <f aca="false">I531*J531</f>
        <v>58</v>
      </c>
      <c r="M531" s="61" t="n">
        <f aca="false">L531-I531*K531</f>
        <v>40</v>
      </c>
      <c r="N531" s="57" t="n">
        <f aca="false">IF(COUNTIFS(E$2:E531,E531,C$2:C531,C531)=1,1,0)</f>
        <v>0</v>
      </c>
      <c r="O531" s="57" t="n">
        <f aca="false">IF(COUNTIFS(E$2:E531,E531,C$2:C531,C531,D$2:D531,D531)=1,1,0)</f>
        <v>1</v>
      </c>
      <c r="P531" s="57" t="n">
        <f aca="false">IF(AND(C531=Calc!$C$3,OR(Calc!$C$4=0,D531=Calc!$C$4)),ROW(),0)</f>
        <v>0</v>
      </c>
    </row>
    <row r="532" customFormat="false" ht="15" hidden="false" customHeight="false" outlineLevel="0" collapsed="false">
      <c r="A532" s="57" t="s">
        <v>892</v>
      </c>
      <c r="B532" s="58" t="n">
        <v>45459</v>
      </c>
      <c r="C532" s="57" t="n">
        <f aca="false">YEAR(B532)</f>
        <v>2024</v>
      </c>
      <c r="D532" s="57" t="n">
        <f aca="false">MONTH(B532)</f>
        <v>6</v>
      </c>
      <c r="E532" s="57" t="s">
        <v>486</v>
      </c>
      <c r="F532" s="57" t="s">
        <v>75</v>
      </c>
      <c r="G532" s="57" t="s">
        <v>54</v>
      </c>
      <c r="H532" s="57" t="s">
        <v>53</v>
      </c>
      <c r="I532" s="59" t="n">
        <v>1</v>
      </c>
      <c r="J532" s="60" t="n">
        <v>39</v>
      </c>
      <c r="K532" s="60" t="n">
        <v>13</v>
      </c>
      <c r="L532" s="61" t="n">
        <f aca="false">I532*J532</f>
        <v>39</v>
      </c>
      <c r="M532" s="61" t="n">
        <f aca="false">L532-I532*K532</f>
        <v>26</v>
      </c>
      <c r="N532" s="57" t="n">
        <f aca="false">IF(COUNTIFS(E$2:E532,E532,C$2:C532,C532)=1,1,0)</f>
        <v>0</v>
      </c>
      <c r="O532" s="57" t="n">
        <f aca="false">IF(COUNTIFS(E$2:E532,E532,C$2:C532,C532,D$2:D532,D532)=1,1,0)</f>
        <v>1</v>
      </c>
      <c r="P532" s="57" t="n">
        <f aca="false">IF(AND(C532=Calc!$C$3,OR(Calc!$C$4=0,D532=Calc!$C$4)),ROW(),0)</f>
        <v>0</v>
      </c>
    </row>
    <row r="533" customFormat="false" ht="15" hidden="false" customHeight="false" outlineLevel="0" collapsed="false">
      <c r="A533" s="57" t="s">
        <v>893</v>
      </c>
      <c r="B533" s="58" t="n">
        <v>45459</v>
      </c>
      <c r="C533" s="57" t="n">
        <f aca="false">YEAR(B533)</f>
        <v>2024</v>
      </c>
      <c r="D533" s="57" t="n">
        <f aca="false">MONTH(B533)</f>
        <v>6</v>
      </c>
      <c r="E533" s="57" t="s">
        <v>477</v>
      </c>
      <c r="F533" s="57" t="s">
        <v>78</v>
      </c>
      <c r="G533" s="57" t="s">
        <v>40</v>
      </c>
      <c r="H533" s="57" t="s">
        <v>43</v>
      </c>
      <c r="I533" s="59" t="n">
        <v>1</v>
      </c>
      <c r="J533" s="60" t="n">
        <v>29</v>
      </c>
      <c r="K533" s="60" t="n">
        <v>9</v>
      </c>
      <c r="L533" s="61" t="n">
        <f aca="false">I533*J533</f>
        <v>29</v>
      </c>
      <c r="M533" s="61" t="n">
        <f aca="false">L533-I533*K533</f>
        <v>20</v>
      </c>
      <c r="N533" s="57" t="n">
        <f aca="false">IF(COUNTIFS(E$2:E533,E533,C$2:C533,C533)=1,1,0)</f>
        <v>0</v>
      </c>
      <c r="O533" s="57" t="n">
        <f aca="false">IF(COUNTIFS(E$2:E533,E533,C$2:C533,C533,D$2:D533,D533)=1,1,0)</f>
        <v>1</v>
      </c>
      <c r="P533" s="57" t="n">
        <f aca="false">IF(AND(C533=Calc!$C$3,OR(Calc!$C$4=0,D533=Calc!$C$4)),ROW(),0)</f>
        <v>0</v>
      </c>
    </row>
    <row r="534" customFormat="false" ht="15" hidden="false" customHeight="false" outlineLevel="0" collapsed="false">
      <c r="A534" s="57" t="s">
        <v>894</v>
      </c>
      <c r="B534" s="58" t="n">
        <v>45459</v>
      </c>
      <c r="C534" s="57" t="n">
        <f aca="false">YEAR(B534)</f>
        <v>2024</v>
      </c>
      <c r="D534" s="57" t="n">
        <f aca="false">MONTH(B534)</f>
        <v>6</v>
      </c>
      <c r="E534" s="57" t="s">
        <v>179</v>
      </c>
      <c r="F534" s="57" t="s">
        <v>78</v>
      </c>
      <c r="G534" s="57" t="s">
        <v>40</v>
      </c>
      <c r="H534" s="57" t="s">
        <v>39</v>
      </c>
      <c r="I534" s="59" t="n">
        <v>1</v>
      </c>
      <c r="J534" s="60" t="n">
        <v>54</v>
      </c>
      <c r="K534" s="60" t="n">
        <v>19</v>
      </c>
      <c r="L534" s="61" t="n">
        <f aca="false">I534*J534</f>
        <v>54</v>
      </c>
      <c r="M534" s="61" t="n">
        <f aca="false">L534-I534*K534</f>
        <v>35</v>
      </c>
      <c r="N534" s="57" t="n">
        <f aca="false">IF(COUNTIFS(E$2:E534,E534,C$2:C534,C534)=1,1,0)</f>
        <v>0</v>
      </c>
      <c r="O534" s="57" t="n">
        <f aca="false">IF(COUNTIFS(E$2:E534,E534,C$2:C534,C534,D$2:D534,D534)=1,1,0)</f>
        <v>1</v>
      </c>
      <c r="P534" s="57" t="n">
        <f aca="false">IF(AND(C534=Calc!$C$3,OR(Calc!$C$4=0,D534=Calc!$C$4)),ROW(),0)</f>
        <v>0</v>
      </c>
    </row>
    <row r="535" customFormat="false" ht="15" hidden="false" customHeight="false" outlineLevel="0" collapsed="false">
      <c r="A535" s="57" t="s">
        <v>895</v>
      </c>
      <c r="B535" s="58" t="n">
        <v>45460</v>
      </c>
      <c r="C535" s="57" t="n">
        <f aca="false">YEAR(B535)</f>
        <v>2024</v>
      </c>
      <c r="D535" s="57" t="n">
        <f aca="false">MONTH(B535)</f>
        <v>6</v>
      </c>
      <c r="E535" s="57" t="s">
        <v>395</v>
      </c>
      <c r="F535" s="57" t="s">
        <v>69</v>
      </c>
      <c r="G535" s="57" t="s">
        <v>40</v>
      </c>
      <c r="H535" s="57" t="s">
        <v>39</v>
      </c>
      <c r="I535" s="59" t="n">
        <v>1</v>
      </c>
      <c r="J535" s="60" t="n">
        <v>54</v>
      </c>
      <c r="K535" s="60" t="n">
        <v>19</v>
      </c>
      <c r="L535" s="61" t="n">
        <f aca="false">I535*J535</f>
        <v>54</v>
      </c>
      <c r="M535" s="61" t="n">
        <f aca="false">L535-I535*K535</f>
        <v>35</v>
      </c>
      <c r="N535" s="57" t="n">
        <f aca="false">IF(COUNTIFS(E$2:E535,E535,C$2:C535,C535)=1,1,0)</f>
        <v>0</v>
      </c>
      <c r="O535" s="57" t="n">
        <f aca="false">IF(COUNTIFS(E$2:E535,E535,C$2:C535,C535,D$2:D535,D535)=1,1,0)</f>
        <v>1</v>
      </c>
      <c r="P535" s="57" t="n">
        <f aca="false">IF(AND(C535=Calc!$C$3,OR(Calc!$C$4=0,D535=Calc!$C$4)),ROW(),0)</f>
        <v>0</v>
      </c>
    </row>
    <row r="536" customFormat="false" ht="15" hidden="false" customHeight="false" outlineLevel="0" collapsed="false">
      <c r="A536" s="57" t="s">
        <v>896</v>
      </c>
      <c r="B536" s="58" t="n">
        <v>45460</v>
      </c>
      <c r="C536" s="57" t="n">
        <f aca="false">YEAR(B536)</f>
        <v>2024</v>
      </c>
      <c r="D536" s="57" t="n">
        <f aca="false">MONTH(B536)</f>
        <v>6</v>
      </c>
      <c r="E536" s="57" t="s">
        <v>897</v>
      </c>
      <c r="F536" s="57" t="s">
        <v>69</v>
      </c>
      <c r="G536" s="57" t="s">
        <v>45</v>
      </c>
      <c r="H536" s="57" t="s">
        <v>47</v>
      </c>
      <c r="I536" s="59" t="n">
        <v>1</v>
      </c>
      <c r="J536" s="60" t="n">
        <v>34</v>
      </c>
      <c r="K536" s="60" t="n">
        <v>12</v>
      </c>
      <c r="L536" s="61" t="n">
        <f aca="false">I536*J536</f>
        <v>34</v>
      </c>
      <c r="M536" s="61" t="n">
        <f aca="false">L536-I536*K536</f>
        <v>22</v>
      </c>
      <c r="N536" s="57" t="n">
        <f aca="false">IF(COUNTIFS(E$2:E536,E536,C$2:C536,C536)=1,1,0)</f>
        <v>1</v>
      </c>
      <c r="O536" s="57" t="n">
        <f aca="false">IF(COUNTIFS(E$2:E536,E536,C$2:C536,C536,D$2:D536,D536)=1,1,0)</f>
        <v>1</v>
      </c>
      <c r="P536" s="57" t="n">
        <f aca="false">IF(AND(C536=Calc!$C$3,OR(Calc!$C$4=0,D536=Calc!$C$4)),ROW(),0)</f>
        <v>0</v>
      </c>
    </row>
    <row r="537" customFormat="false" ht="15" hidden="false" customHeight="false" outlineLevel="0" collapsed="false">
      <c r="A537" s="57" t="s">
        <v>898</v>
      </c>
      <c r="B537" s="58" t="n">
        <v>45460</v>
      </c>
      <c r="C537" s="57" t="n">
        <f aca="false">YEAR(B537)</f>
        <v>2024</v>
      </c>
      <c r="D537" s="57" t="n">
        <f aca="false">MONTH(B537)</f>
        <v>6</v>
      </c>
      <c r="E537" s="57" t="s">
        <v>899</v>
      </c>
      <c r="F537" s="57" t="s">
        <v>75</v>
      </c>
      <c r="G537" s="57" t="s">
        <v>35</v>
      </c>
      <c r="H537" s="57" t="s">
        <v>37</v>
      </c>
      <c r="I537" s="59" t="n">
        <v>1</v>
      </c>
      <c r="J537" s="60" t="n">
        <v>59</v>
      </c>
      <c r="K537" s="60" t="n">
        <v>27</v>
      </c>
      <c r="L537" s="61" t="n">
        <f aca="false">I537*J537</f>
        <v>59</v>
      </c>
      <c r="M537" s="61" t="n">
        <f aca="false">L537-I537*K537</f>
        <v>32</v>
      </c>
      <c r="N537" s="57" t="n">
        <f aca="false">IF(COUNTIFS(E$2:E537,E537,C$2:C537,C537)=1,1,0)</f>
        <v>1</v>
      </c>
      <c r="O537" s="57" t="n">
        <f aca="false">IF(COUNTIFS(E$2:E537,E537,C$2:C537,C537,D$2:D537,D537)=1,1,0)</f>
        <v>1</v>
      </c>
      <c r="P537" s="57" t="n">
        <f aca="false">IF(AND(C537=Calc!$C$3,OR(Calc!$C$4=0,D537=Calc!$C$4)),ROW(),0)</f>
        <v>0</v>
      </c>
    </row>
    <row r="538" customFormat="false" ht="15" hidden="false" customHeight="false" outlineLevel="0" collapsed="false">
      <c r="A538" s="57" t="s">
        <v>900</v>
      </c>
      <c r="B538" s="58" t="n">
        <v>45460</v>
      </c>
      <c r="C538" s="57" t="n">
        <f aca="false">YEAR(B538)</f>
        <v>2024</v>
      </c>
      <c r="D538" s="57" t="n">
        <f aca="false">MONTH(B538)</f>
        <v>6</v>
      </c>
      <c r="E538" s="57" t="s">
        <v>277</v>
      </c>
      <c r="F538" s="57" t="s">
        <v>75</v>
      </c>
      <c r="G538" s="57" t="s">
        <v>54</v>
      </c>
      <c r="H538" s="57" t="s">
        <v>53</v>
      </c>
      <c r="I538" s="59" t="n">
        <v>1</v>
      </c>
      <c r="J538" s="60" t="n">
        <v>39</v>
      </c>
      <c r="K538" s="60" t="n">
        <v>13</v>
      </c>
      <c r="L538" s="61" t="n">
        <f aca="false">I538*J538</f>
        <v>39</v>
      </c>
      <c r="M538" s="61" t="n">
        <f aca="false">L538-I538*K538</f>
        <v>26</v>
      </c>
      <c r="N538" s="57" t="n">
        <f aca="false">IF(COUNTIFS(E$2:E538,E538,C$2:C538,C538)=1,1,0)</f>
        <v>0</v>
      </c>
      <c r="O538" s="57" t="n">
        <f aca="false">IF(COUNTIFS(E$2:E538,E538,C$2:C538,C538,D$2:D538,D538)=1,1,0)</f>
        <v>1</v>
      </c>
      <c r="P538" s="57" t="n">
        <f aca="false">IF(AND(C538=Calc!$C$3,OR(Calc!$C$4=0,D538=Calc!$C$4)),ROW(),0)</f>
        <v>0</v>
      </c>
    </row>
    <row r="539" customFormat="false" ht="15" hidden="false" customHeight="false" outlineLevel="0" collapsed="false">
      <c r="A539" s="57" t="s">
        <v>901</v>
      </c>
      <c r="B539" s="58" t="n">
        <v>45461</v>
      </c>
      <c r="C539" s="57" t="n">
        <f aca="false">YEAR(B539)</f>
        <v>2024</v>
      </c>
      <c r="D539" s="57" t="n">
        <f aca="false">MONTH(B539)</f>
        <v>6</v>
      </c>
      <c r="E539" s="57" t="s">
        <v>594</v>
      </c>
      <c r="F539" s="57" t="s">
        <v>81</v>
      </c>
      <c r="G539" s="57" t="s">
        <v>35</v>
      </c>
      <c r="H539" s="57" t="s">
        <v>38</v>
      </c>
      <c r="I539" s="59" t="n">
        <v>1</v>
      </c>
      <c r="J539" s="60" t="n">
        <v>49</v>
      </c>
      <c r="K539" s="60" t="n">
        <v>22</v>
      </c>
      <c r="L539" s="61" t="n">
        <f aca="false">I539*J539</f>
        <v>49</v>
      </c>
      <c r="M539" s="61" t="n">
        <f aca="false">L539-I539*K539</f>
        <v>27</v>
      </c>
      <c r="N539" s="57" t="n">
        <f aca="false">IF(COUNTIFS(E$2:E539,E539,C$2:C539,C539)=1,1,0)</f>
        <v>0</v>
      </c>
      <c r="O539" s="57" t="n">
        <f aca="false">IF(COUNTIFS(E$2:E539,E539,C$2:C539,C539,D$2:D539,D539)=1,1,0)</f>
        <v>0</v>
      </c>
      <c r="P539" s="57" t="n">
        <f aca="false">IF(AND(C539=Calc!$C$3,OR(Calc!$C$4=0,D539=Calc!$C$4)),ROW(),0)</f>
        <v>0</v>
      </c>
    </row>
    <row r="540" customFormat="false" ht="15" hidden="false" customHeight="false" outlineLevel="0" collapsed="false">
      <c r="A540" s="57" t="s">
        <v>902</v>
      </c>
      <c r="B540" s="58" t="n">
        <v>45461</v>
      </c>
      <c r="C540" s="57" t="n">
        <f aca="false">YEAR(B540)</f>
        <v>2024</v>
      </c>
      <c r="D540" s="57" t="n">
        <f aca="false">MONTH(B540)</f>
        <v>6</v>
      </c>
      <c r="E540" s="57" t="s">
        <v>903</v>
      </c>
      <c r="F540" s="57" t="s">
        <v>69</v>
      </c>
      <c r="G540" s="57" t="s">
        <v>45</v>
      </c>
      <c r="H540" s="57" t="s">
        <v>47</v>
      </c>
      <c r="I540" s="59" t="n">
        <v>1</v>
      </c>
      <c r="J540" s="60" t="n">
        <v>34</v>
      </c>
      <c r="K540" s="60" t="n">
        <v>12</v>
      </c>
      <c r="L540" s="61" t="n">
        <f aca="false">I540*J540</f>
        <v>34</v>
      </c>
      <c r="M540" s="61" t="n">
        <f aca="false">L540-I540*K540</f>
        <v>22</v>
      </c>
      <c r="N540" s="57" t="n">
        <f aca="false">IF(COUNTIFS(E$2:E540,E540,C$2:C540,C540)=1,1,0)</f>
        <v>1</v>
      </c>
      <c r="O540" s="57" t="n">
        <f aca="false">IF(COUNTIFS(E$2:E540,E540,C$2:C540,C540,D$2:D540,D540)=1,1,0)</f>
        <v>1</v>
      </c>
      <c r="P540" s="57" t="n">
        <f aca="false">IF(AND(C540=Calc!$C$3,OR(Calc!$C$4=0,D540=Calc!$C$4)),ROW(),0)</f>
        <v>0</v>
      </c>
    </row>
    <row r="541" customFormat="false" ht="15" hidden="false" customHeight="false" outlineLevel="0" collapsed="false">
      <c r="A541" s="57" t="s">
        <v>904</v>
      </c>
      <c r="B541" s="58" t="n">
        <v>45461</v>
      </c>
      <c r="C541" s="57" t="n">
        <f aca="false">YEAR(B541)</f>
        <v>2024</v>
      </c>
      <c r="D541" s="57" t="n">
        <f aca="false">MONTH(B541)</f>
        <v>6</v>
      </c>
      <c r="E541" s="57" t="s">
        <v>108</v>
      </c>
      <c r="F541" s="57" t="s">
        <v>75</v>
      </c>
      <c r="G541" s="57" t="s">
        <v>45</v>
      </c>
      <c r="H541" s="57" t="s">
        <v>47</v>
      </c>
      <c r="I541" s="59" t="n">
        <v>1</v>
      </c>
      <c r="J541" s="60" t="n">
        <v>34</v>
      </c>
      <c r="K541" s="60" t="n">
        <v>12</v>
      </c>
      <c r="L541" s="61" t="n">
        <f aca="false">I541*J541</f>
        <v>34</v>
      </c>
      <c r="M541" s="61" t="n">
        <f aca="false">L541-I541*K541</f>
        <v>22</v>
      </c>
      <c r="N541" s="57" t="n">
        <f aca="false">IF(COUNTIFS(E$2:E541,E541,C$2:C541,C541)=1,1,0)</f>
        <v>0</v>
      </c>
      <c r="O541" s="57" t="n">
        <f aca="false">IF(COUNTIFS(E$2:E541,E541,C$2:C541,C541,D$2:D541,D541)=1,1,0)</f>
        <v>0</v>
      </c>
      <c r="P541" s="57" t="n">
        <f aca="false">IF(AND(C541=Calc!$C$3,OR(Calc!$C$4=0,D541=Calc!$C$4)),ROW(),0)</f>
        <v>0</v>
      </c>
    </row>
    <row r="542" customFormat="false" ht="15" hidden="false" customHeight="false" outlineLevel="0" collapsed="false">
      <c r="A542" s="57" t="s">
        <v>905</v>
      </c>
      <c r="B542" s="58" t="n">
        <v>45461</v>
      </c>
      <c r="C542" s="57" t="n">
        <f aca="false">YEAR(B542)</f>
        <v>2024</v>
      </c>
      <c r="D542" s="57" t="n">
        <f aca="false">MONTH(B542)</f>
        <v>6</v>
      </c>
      <c r="E542" s="57" t="s">
        <v>906</v>
      </c>
      <c r="F542" s="57" t="s">
        <v>78</v>
      </c>
      <c r="G542" s="57" t="s">
        <v>40</v>
      </c>
      <c r="H542" s="57" t="s">
        <v>41</v>
      </c>
      <c r="I542" s="59" t="n">
        <v>1</v>
      </c>
      <c r="J542" s="60" t="n">
        <v>46</v>
      </c>
      <c r="K542" s="60" t="n">
        <v>16</v>
      </c>
      <c r="L542" s="61" t="n">
        <f aca="false">I542*J542</f>
        <v>46</v>
      </c>
      <c r="M542" s="61" t="n">
        <f aca="false">L542-I542*K542</f>
        <v>30</v>
      </c>
      <c r="N542" s="57" t="n">
        <f aca="false">IF(COUNTIFS(E$2:E542,E542,C$2:C542,C542)=1,1,0)</f>
        <v>1</v>
      </c>
      <c r="O542" s="57" t="n">
        <f aca="false">IF(COUNTIFS(E$2:E542,E542,C$2:C542,C542,D$2:D542,D542)=1,1,0)</f>
        <v>1</v>
      </c>
      <c r="P542" s="57" t="n">
        <f aca="false">IF(AND(C542=Calc!$C$3,OR(Calc!$C$4=0,D542=Calc!$C$4)),ROW(),0)</f>
        <v>0</v>
      </c>
    </row>
    <row r="543" customFormat="false" ht="15" hidden="false" customHeight="false" outlineLevel="0" collapsed="false">
      <c r="A543" s="57" t="s">
        <v>907</v>
      </c>
      <c r="B543" s="58" t="n">
        <v>45462</v>
      </c>
      <c r="C543" s="57" t="n">
        <f aca="false">YEAR(B543)</f>
        <v>2024</v>
      </c>
      <c r="D543" s="57" t="n">
        <f aca="false">MONTH(B543)</f>
        <v>6</v>
      </c>
      <c r="E543" s="57" t="s">
        <v>908</v>
      </c>
      <c r="F543" s="57" t="s">
        <v>72</v>
      </c>
      <c r="G543" s="57" t="s">
        <v>35</v>
      </c>
      <c r="H543" s="57" t="s">
        <v>37</v>
      </c>
      <c r="I543" s="59" t="n">
        <v>1</v>
      </c>
      <c r="J543" s="60" t="n">
        <v>59</v>
      </c>
      <c r="K543" s="60" t="n">
        <v>27</v>
      </c>
      <c r="L543" s="61" t="n">
        <f aca="false">I543*J543</f>
        <v>59</v>
      </c>
      <c r="M543" s="61" t="n">
        <f aca="false">L543-I543*K543</f>
        <v>32</v>
      </c>
      <c r="N543" s="57" t="n">
        <f aca="false">IF(COUNTIFS(E$2:E543,E543,C$2:C543,C543)=1,1,0)</f>
        <v>1</v>
      </c>
      <c r="O543" s="57" t="n">
        <f aca="false">IF(COUNTIFS(E$2:E543,E543,C$2:C543,C543,D$2:D543,D543)=1,1,0)</f>
        <v>1</v>
      </c>
      <c r="P543" s="57" t="n">
        <f aca="false">IF(AND(C543=Calc!$C$3,OR(Calc!$C$4=0,D543=Calc!$C$4)),ROW(),0)</f>
        <v>0</v>
      </c>
    </row>
    <row r="544" customFormat="false" ht="15" hidden="false" customHeight="false" outlineLevel="0" collapsed="false">
      <c r="A544" s="57" t="s">
        <v>909</v>
      </c>
      <c r="B544" s="58" t="n">
        <v>45462</v>
      </c>
      <c r="C544" s="57" t="n">
        <f aca="false">YEAR(B544)</f>
        <v>2024</v>
      </c>
      <c r="D544" s="57" t="n">
        <f aca="false">MONTH(B544)</f>
        <v>6</v>
      </c>
      <c r="E544" s="57" t="s">
        <v>87</v>
      </c>
      <c r="F544" s="57" t="s">
        <v>72</v>
      </c>
      <c r="G544" s="57" t="s">
        <v>54</v>
      </c>
      <c r="H544" s="57" t="s">
        <v>53</v>
      </c>
      <c r="I544" s="59" t="n">
        <v>1</v>
      </c>
      <c r="J544" s="60" t="n">
        <v>39</v>
      </c>
      <c r="K544" s="60" t="n">
        <v>13</v>
      </c>
      <c r="L544" s="61" t="n">
        <f aca="false">I544*J544</f>
        <v>39</v>
      </c>
      <c r="M544" s="61" t="n">
        <f aca="false">L544-I544*K544</f>
        <v>26</v>
      </c>
      <c r="N544" s="57" t="n">
        <f aca="false">IF(COUNTIFS(E$2:E544,E544,C$2:C544,C544)=1,1,0)</f>
        <v>0</v>
      </c>
      <c r="O544" s="57" t="n">
        <f aca="false">IF(COUNTIFS(E$2:E544,E544,C$2:C544,C544,D$2:D544,D544)=1,1,0)</f>
        <v>1</v>
      </c>
      <c r="P544" s="57" t="n">
        <f aca="false">IF(AND(C544=Calc!$C$3,OR(Calc!$C$4=0,D544=Calc!$C$4)),ROW(),0)</f>
        <v>0</v>
      </c>
    </row>
    <row r="545" customFormat="false" ht="15" hidden="false" customHeight="false" outlineLevel="0" collapsed="false">
      <c r="A545" s="57" t="s">
        <v>910</v>
      </c>
      <c r="B545" s="58" t="n">
        <v>45462</v>
      </c>
      <c r="C545" s="57" t="n">
        <f aca="false">YEAR(B545)</f>
        <v>2024</v>
      </c>
      <c r="D545" s="57" t="n">
        <f aca="false">MONTH(B545)</f>
        <v>6</v>
      </c>
      <c r="E545" s="57" t="s">
        <v>488</v>
      </c>
      <c r="F545" s="57" t="s">
        <v>69</v>
      </c>
      <c r="G545" s="57" t="s">
        <v>50</v>
      </c>
      <c r="H545" s="57" t="s">
        <v>49</v>
      </c>
      <c r="I545" s="59" t="n">
        <v>1</v>
      </c>
      <c r="J545" s="60" t="n">
        <v>32</v>
      </c>
      <c r="K545" s="60" t="n">
        <v>7</v>
      </c>
      <c r="L545" s="61" t="n">
        <f aca="false">I545*J545</f>
        <v>32</v>
      </c>
      <c r="M545" s="61" t="n">
        <f aca="false">L545-I545*K545</f>
        <v>25</v>
      </c>
      <c r="N545" s="57" t="n">
        <f aca="false">IF(COUNTIFS(E$2:E545,E545,C$2:C545,C545)=1,1,0)</f>
        <v>0</v>
      </c>
      <c r="O545" s="57" t="n">
        <f aca="false">IF(COUNTIFS(E$2:E545,E545,C$2:C545,C545,D$2:D545,D545)=1,1,0)</f>
        <v>1</v>
      </c>
      <c r="P545" s="57" t="n">
        <f aca="false">IF(AND(C545=Calc!$C$3,OR(Calc!$C$4=0,D545=Calc!$C$4)),ROW(),0)</f>
        <v>0</v>
      </c>
    </row>
    <row r="546" customFormat="false" ht="15" hidden="false" customHeight="false" outlineLevel="0" collapsed="false">
      <c r="A546" s="57" t="s">
        <v>911</v>
      </c>
      <c r="B546" s="58" t="n">
        <v>45462</v>
      </c>
      <c r="C546" s="57" t="n">
        <f aca="false">YEAR(B546)</f>
        <v>2024</v>
      </c>
      <c r="D546" s="57" t="n">
        <f aca="false">MONTH(B546)</f>
        <v>6</v>
      </c>
      <c r="E546" s="57" t="s">
        <v>662</v>
      </c>
      <c r="F546" s="57" t="s">
        <v>69</v>
      </c>
      <c r="G546" s="57" t="s">
        <v>45</v>
      </c>
      <c r="H546" s="57" t="s">
        <v>48</v>
      </c>
      <c r="I546" s="59" t="n">
        <v>1</v>
      </c>
      <c r="J546" s="60" t="n">
        <v>99</v>
      </c>
      <c r="K546" s="60" t="n">
        <v>38</v>
      </c>
      <c r="L546" s="61" t="n">
        <f aca="false">I546*J546</f>
        <v>99</v>
      </c>
      <c r="M546" s="61" t="n">
        <f aca="false">L546-I546*K546</f>
        <v>61</v>
      </c>
      <c r="N546" s="57" t="n">
        <f aca="false">IF(COUNTIFS(E$2:E546,E546,C$2:C546,C546)=1,1,0)</f>
        <v>0</v>
      </c>
      <c r="O546" s="57" t="n">
        <f aca="false">IF(COUNTIFS(E$2:E546,E546,C$2:C546,C546,D$2:D546,D546)=1,1,0)</f>
        <v>1</v>
      </c>
      <c r="P546" s="57" t="n">
        <f aca="false">IF(AND(C546=Calc!$C$3,OR(Calc!$C$4=0,D546=Calc!$C$4)),ROW(),0)</f>
        <v>0</v>
      </c>
    </row>
    <row r="547" customFormat="false" ht="15" hidden="false" customHeight="false" outlineLevel="0" collapsed="false">
      <c r="A547" s="57" t="s">
        <v>912</v>
      </c>
      <c r="B547" s="58" t="n">
        <v>45463</v>
      </c>
      <c r="C547" s="57" t="n">
        <f aca="false">YEAR(B547)</f>
        <v>2024</v>
      </c>
      <c r="D547" s="57" t="n">
        <f aca="false">MONTH(B547)</f>
        <v>6</v>
      </c>
      <c r="E547" s="57" t="s">
        <v>277</v>
      </c>
      <c r="F547" s="57" t="s">
        <v>75</v>
      </c>
      <c r="G547" s="57" t="s">
        <v>45</v>
      </c>
      <c r="H547" s="57" t="s">
        <v>48</v>
      </c>
      <c r="I547" s="59" t="n">
        <v>1</v>
      </c>
      <c r="J547" s="60" t="n">
        <v>99</v>
      </c>
      <c r="K547" s="60" t="n">
        <v>38</v>
      </c>
      <c r="L547" s="61" t="n">
        <f aca="false">I547*J547</f>
        <v>99</v>
      </c>
      <c r="M547" s="61" t="n">
        <f aca="false">L547-I547*K547</f>
        <v>61</v>
      </c>
      <c r="N547" s="57" t="n">
        <f aca="false">IF(COUNTIFS(E$2:E547,E547,C$2:C547,C547)=1,1,0)</f>
        <v>0</v>
      </c>
      <c r="O547" s="57" t="n">
        <f aca="false">IF(COUNTIFS(E$2:E547,E547,C$2:C547,C547,D$2:D547,D547)=1,1,0)</f>
        <v>0</v>
      </c>
      <c r="P547" s="57" t="n">
        <f aca="false">IF(AND(C547=Calc!$C$3,OR(Calc!$C$4=0,D547=Calc!$C$4)),ROW(),0)</f>
        <v>0</v>
      </c>
    </row>
    <row r="548" customFormat="false" ht="15" hidden="false" customHeight="false" outlineLevel="0" collapsed="false">
      <c r="A548" s="57" t="s">
        <v>913</v>
      </c>
      <c r="B548" s="58" t="n">
        <v>45463</v>
      </c>
      <c r="C548" s="57" t="n">
        <f aca="false">YEAR(B548)</f>
        <v>2024</v>
      </c>
      <c r="D548" s="57" t="n">
        <f aca="false">MONTH(B548)</f>
        <v>6</v>
      </c>
      <c r="E548" s="57" t="s">
        <v>914</v>
      </c>
      <c r="F548" s="57" t="s">
        <v>75</v>
      </c>
      <c r="G548" s="57" t="s">
        <v>50</v>
      </c>
      <c r="H548" s="57" t="s">
        <v>51</v>
      </c>
      <c r="I548" s="59" t="n">
        <v>1</v>
      </c>
      <c r="J548" s="60" t="n">
        <v>69</v>
      </c>
      <c r="K548" s="60" t="n">
        <v>29</v>
      </c>
      <c r="L548" s="61" t="n">
        <f aca="false">I548*J548</f>
        <v>69</v>
      </c>
      <c r="M548" s="61" t="n">
        <f aca="false">L548-I548*K548</f>
        <v>40</v>
      </c>
      <c r="N548" s="57" t="n">
        <f aca="false">IF(COUNTIFS(E$2:E548,E548,C$2:C548,C548)=1,1,0)</f>
        <v>1</v>
      </c>
      <c r="O548" s="57" t="n">
        <f aca="false">IF(COUNTIFS(E$2:E548,E548,C$2:C548,C548,D$2:D548,D548)=1,1,0)</f>
        <v>1</v>
      </c>
      <c r="P548" s="57" t="n">
        <f aca="false">IF(AND(C548=Calc!$C$3,OR(Calc!$C$4=0,D548=Calc!$C$4)),ROW(),0)</f>
        <v>0</v>
      </c>
    </row>
    <row r="549" customFormat="false" ht="15" hidden="false" customHeight="false" outlineLevel="0" collapsed="false">
      <c r="A549" s="57" t="s">
        <v>915</v>
      </c>
      <c r="B549" s="58" t="n">
        <v>45463</v>
      </c>
      <c r="C549" s="57" t="n">
        <f aca="false">YEAR(B549)</f>
        <v>2024</v>
      </c>
      <c r="D549" s="57" t="n">
        <f aca="false">MONTH(B549)</f>
        <v>6</v>
      </c>
      <c r="E549" s="57" t="s">
        <v>384</v>
      </c>
      <c r="F549" s="57" t="s">
        <v>72</v>
      </c>
      <c r="G549" s="57" t="s">
        <v>54</v>
      </c>
      <c r="H549" s="57" t="s">
        <v>53</v>
      </c>
      <c r="I549" s="59" t="n">
        <v>1</v>
      </c>
      <c r="J549" s="60" t="n">
        <v>39</v>
      </c>
      <c r="K549" s="60" t="n">
        <v>13</v>
      </c>
      <c r="L549" s="61" t="n">
        <f aca="false">I549*J549</f>
        <v>39</v>
      </c>
      <c r="M549" s="61" t="n">
        <f aca="false">L549-I549*K549</f>
        <v>26</v>
      </c>
      <c r="N549" s="57" t="n">
        <f aca="false">IF(COUNTIFS(E$2:E549,E549,C$2:C549,C549)=1,1,0)</f>
        <v>0</v>
      </c>
      <c r="O549" s="57" t="n">
        <f aca="false">IF(COUNTIFS(E$2:E549,E549,C$2:C549,C549,D$2:D549,D549)=1,1,0)</f>
        <v>1</v>
      </c>
      <c r="P549" s="57" t="n">
        <f aca="false">IF(AND(C549=Calc!$C$3,OR(Calc!$C$4=0,D549=Calc!$C$4)),ROW(),0)</f>
        <v>0</v>
      </c>
    </row>
    <row r="550" customFormat="false" ht="15" hidden="false" customHeight="false" outlineLevel="0" collapsed="false">
      <c r="A550" s="57" t="s">
        <v>916</v>
      </c>
      <c r="B550" s="58" t="n">
        <v>45463</v>
      </c>
      <c r="C550" s="57" t="n">
        <f aca="false">YEAR(B550)</f>
        <v>2024</v>
      </c>
      <c r="D550" s="57" t="n">
        <f aca="false">MONTH(B550)</f>
        <v>6</v>
      </c>
      <c r="E550" s="57" t="s">
        <v>399</v>
      </c>
      <c r="F550" s="57" t="s">
        <v>69</v>
      </c>
      <c r="G550" s="57" t="s">
        <v>45</v>
      </c>
      <c r="H550" s="57" t="s">
        <v>47</v>
      </c>
      <c r="I550" s="59" t="n">
        <v>1</v>
      </c>
      <c r="J550" s="60" t="n">
        <v>34</v>
      </c>
      <c r="K550" s="60" t="n">
        <v>12</v>
      </c>
      <c r="L550" s="61" t="n">
        <f aca="false">I550*J550</f>
        <v>34</v>
      </c>
      <c r="M550" s="61" t="n">
        <f aca="false">L550-I550*K550</f>
        <v>22</v>
      </c>
      <c r="N550" s="57" t="n">
        <f aca="false">IF(COUNTIFS(E$2:E550,E550,C$2:C550,C550)=1,1,0)</f>
        <v>0</v>
      </c>
      <c r="O550" s="57" t="n">
        <f aca="false">IF(COUNTIFS(E$2:E550,E550,C$2:C550,C550,D$2:D550,D550)=1,1,0)</f>
        <v>0</v>
      </c>
      <c r="P550" s="57" t="n">
        <f aca="false">IF(AND(C550=Calc!$C$3,OR(Calc!$C$4=0,D550=Calc!$C$4)),ROW(),0)</f>
        <v>0</v>
      </c>
    </row>
    <row r="551" customFormat="false" ht="15" hidden="false" customHeight="false" outlineLevel="0" collapsed="false">
      <c r="A551" s="57" t="s">
        <v>917</v>
      </c>
      <c r="B551" s="58" t="n">
        <v>45464</v>
      </c>
      <c r="C551" s="57" t="n">
        <f aca="false">YEAR(B551)</f>
        <v>2024</v>
      </c>
      <c r="D551" s="57" t="n">
        <f aca="false">MONTH(B551)</f>
        <v>6</v>
      </c>
      <c r="E551" s="57" t="s">
        <v>918</v>
      </c>
      <c r="F551" s="57" t="s">
        <v>78</v>
      </c>
      <c r="G551" s="57" t="s">
        <v>45</v>
      </c>
      <c r="H551" s="57" t="s">
        <v>46</v>
      </c>
      <c r="I551" s="59" t="n">
        <v>1</v>
      </c>
      <c r="J551" s="60" t="n">
        <v>149</v>
      </c>
      <c r="K551" s="60" t="n">
        <v>71</v>
      </c>
      <c r="L551" s="61" t="n">
        <f aca="false">I551*J551</f>
        <v>149</v>
      </c>
      <c r="M551" s="61" t="n">
        <f aca="false">L551-I551*K551</f>
        <v>78</v>
      </c>
      <c r="N551" s="57" t="n">
        <f aca="false">IF(COUNTIFS(E$2:E551,E551,C$2:C551,C551)=1,1,0)</f>
        <v>1</v>
      </c>
      <c r="O551" s="57" t="n">
        <f aca="false">IF(COUNTIFS(E$2:E551,E551,C$2:C551,C551,D$2:D551,D551)=1,1,0)</f>
        <v>1</v>
      </c>
      <c r="P551" s="57" t="n">
        <f aca="false">IF(AND(C551=Calc!$C$3,OR(Calc!$C$4=0,D551=Calc!$C$4)),ROW(),0)</f>
        <v>0</v>
      </c>
    </row>
    <row r="552" customFormat="false" ht="15" hidden="false" customHeight="false" outlineLevel="0" collapsed="false">
      <c r="A552" s="57" t="s">
        <v>919</v>
      </c>
      <c r="B552" s="58" t="n">
        <v>45464</v>
      </c>
      <c r="C552" s="57" t="n">
        <f aca="false">YEAR(B552)</f>
        <v>2024</v>
      </c>
      <c r="D552" s="57" t="n">
        <f aca="false">MONTH(B552)</f>
        <v>6</v>
      </c>
      <c r="E552" s="57" t="s">
        <v>564</v>
      </c>
      <c r="F552" s="57" t="s">
        <v>78</v>
      </c>
      <c r="G552" s="57" t="s">
        <v>50</v>
      </c>
      <c r="H552" s="57" t="s">
        <v>49</v>
      </c>
      <c r="I552" s="59" t="n">
        <v>1</v>
      </c>
      <c r="J552" s="60" t="n">
        <v>32</v>
      </c>
      <c r="K552" s="60" t="n">
        <v>7</v>
      </c>
      <c r="L552" s="61" t="n">
        <f aca="false">I552*J552</f>
        <v>32</v>
      </c>
      <c r="M552" s="61" t="n">
        <f aca="false">L552-I552*K552</f>
        <v>25</v>
      </c>
      <c r="N552" s="57" t="n">
        <f aca="false">IF(COUNTIFS(E$2:E552,E552,C$2:C552,C552)=1,1,0)</f>
        <v>0</v>
      </c>
      <c r="O552" s="57" t="n">
        <f aca="false">IF(COUNTIFS(E$2:E552,E552,C$2:C552,C552,D$2:D552,D552)=1,1,0)</f>
        <v>0</v>
      </c>
      <c r="P552" s="57" t="n">
        <f aca="false">IF(AND(C552=Calc!$C$3,OR(Calc!$C$4=0,D552=Calc!$C$4)),ROW(),0)</f>
        <v>0</v>
      </c>
    </row>
    <row r="553" customFormat="false" ht="15" hidden="false" customHeight="false" outlineLevel="0" collapsed="false">
      <c r="A553" s="57" t="s">
        <v>920</v>
      </c>
      <c r="B553" s="58" t="n">
        <v>45465</v>
      </c>
      <c r="C553" s="57" t="n">
        <f aca="false">YEAR(B553)</f>
        <v>2024</v>
      </c>
      <c r="D553" s="57" t="n">
        <f aca="false">MONTH(B553)</f>
        <v>6</v>
      </c>
      <c r="E553" s="57" t="s">
        <v>277</v>
      </c>
      <c r="F553" s="57" t="s">
        <v>75</v>
      </c>
      <c r="G553" s="57" t="s">
        <v>40</v>
      </c>
      <c r="H553" s="57" t="s">
        <v>41</v>
      </c>
      <c r="I553" s="59" t="n">
        <v>1</v>
      </c>
      <c r="J553" s="60" t="n">
        <v>46</v>
      </c>
      <c r="K553" s="60" t="n">
        <v>16</v>
      </c>
      <c r="L553" s="61" t="n">
        <f aca="false">I553*J553</f>
        <v>46</v>
      </c>
      <c r="M553" s="61" t="n">
        <f aca="false">L553-I553*K553</f>
        <v>30</v>
      </c>
      <c r="N553" s="57" t="n">
        <f aca="false">IF(COUNTIFS(E$2:E553,E553,C$2:C553,C553)=1,1,0)</f>
        <v>0</v>
      </c>
      <c r="O553" s="57" t="n">
        <f aca="false">IF(COUNTIFS(E$2:E553,E553,C$2:C553,C553,D$2:D553,D553)=1,1,0)</f>
        <v>0</v>
      </c>
      <c r="P553" s="57" t="n">
        <f aca="false">IF(AND(C553=Calc!$C$3,OR(Calc!$C$4=0,D553=Calc!$C$4)),ROW(),0)</f>
        <v>0</v>
      </c>
    </row>
    <row r="554" customFormat="false" ht="15" hidden="false" customHeight="false" outlineLevel="0" collapsed="false">
      <c r="A554" s="57" t="s">
        <v>921</v>
      </c>
      <c r="B554" s="58" t="n">
        <v>45465</v>
      </c>
      <c r="C554" s="57" t="n">
        <f aca="false">YEAR(B554)</f>
        <v>2024</v>
      </c>
      <c r="D554" s="57" t="n">
        <f aca="false">MONTH(B554)</f>
        <v>6</v>
      </c>
      <c r="E554" s="57" t="s">
        <v>164</v>
      </c>
      <c r="F554" s="57" t="s">
        <v>69</v>
      </c>
      <c r="G554" s="57" t="s">
        <v>40</v>
      </c>
      <c r="H554" s="57" t="s">
        <v>39</v>
      </c>
      <c r="I554" s="59" t="n">
        <v>1</v>
      </c>
      <c r="J554" s="60" t="n">
        <v>54</v>
      </c>
      <c r="K554" s="60" t="n">
        <v>19</v>
      </c>
      <c r="L554" s="61" t="n">
        <f aca="false">I554*J554</f>
        <v>54</v>
      </c>
      <c r="M554" s="61" t="n">
        <f aca="false">L554-I554*K554</f>
        <v>35</v>
      </c>
      <c r="N554" s="57" t="n">
        <f aca="false">IF(COUNTIFS(E$2:E554,E554,C$2:C554,C554)=1,1,0)</f>
        <v>0</v>
      </c>
      <c r="O554" s="57" t="n">
        <f aca="false">IF(COUNTIFS(E$2:E554,E554,C$2:C554,C554,D$2:D554,D554)=1,1,0)</f>
        <v>1</v>
      </c>
      <c r="P554" s="57" t="n">
        <f aca="false">IF(AND(C554=Calc!$C$3,OR(Calc!$C$4=0,D554=Calc!$C$4)),ROW(),0)</f>
        <v>0</v>
      </c>
    </row>
    <row r="555" customFormat="false" ht="15" hidden="false" customHeight="false" outlineLevel="0" collapsed="false">
      <c r="A555" s="57" t="s">
        <v>922</v>
      </c>
      <c r="B555" s="58" t="n">
        <v>45465</v>
      </c>
      <c r="C555" s="57" t="n">
        <f aca="false">YEAR(B555)</f>
        <v>2024</v>
      </c>
      <c r="D555" s="57" t="n">
        <f aca="false">MONTH(B555)</f>
        <v>6</v>
      </c>
      <c r="E555" s="57" t="s">
        <v>235</v>
      </c>
      <c r="F555" s="57" t="s">
        <v>69</v>
      </c>
      <c r="G555" s="57" t="s">
        <v>45</v>
      </c>
      <c r="H555" s="57" t="s">
        <v>48</v>
      </c>
      <c r="I555" s="59" t="n">
        <v>1</v>
      </c>
      <c r="J555" s="60" t="n">
        <v>99</v>
      </c>
      <c r="K555" s="60" t="n">
        <v>38</v>
      </c>
      <c r="L555" s="61" t="n">
        <f aca="false">I555*J555</f>
        <v>99</v>
      </c>
      <c r="M555" s="61" t="n">
        <f aca="false">L555-I555*K555</f>
        <v>61</v>
      </c>
      <c r="N555" s="57" t="n">
        <f aca="false">IF(COUNTIFS(E$2:E555,E555,C$2:C555,C555)=1,1,0)</f>
        <v>0</v>
      </c>
      <c r="O555" s="57" t="n">
        <f aca="false">IF(COUNTIFS(E$2:E555,E555,C$2:C555,C555,D$2:D555,D555)=1,1,0)</f>
        <v>1</v>
      </c>
      <c r="P555" s="57" t="n">
        <f aca="false">IF(AND(C555=Calc!$C$3,OR(Calc!$C$4=0,D555=Calc!$C$4)),ROW(),0)</f>
        <v>0</v>
      </c>
    </row>
    <row r="556" customFormat="false" ht="15" hidden="false" customHeight="false" outlineLevel="0" collapsed="false">
      <c r="A556" s="57" t="s">
        <v>923</v>
      </c>
      <c r="B556" s="58" t="n">
        <v>45465</v>
      </c>
      <c r="C556" s="57" t="n">
        <f aca="false">YEAR(B556)</f>
        <v>2024</v>
      </c>
      <c r="D556" s="57" t="n">
        <f aca="false">MONTH(B556)</f>
        <v>6</v>
      </c>
      <c r="E556" s="57" t="s">
        <v>924</v>
      </c>
      <c r="F556" s="57" t="s">
        <v>72</v>
      </c>
      <c r="G556" s="57" t="s">
        <v>40</v>
      </c>
      <c r="H556" s="57" t="s">
        <v>43</v>
      </c>
      <c r="I556" s="59" t="n">
        <v>2</v>
      </c>
      <c r="J556" s="60" t="n">
        <v>29</v>
      </c>
      <c r="K556" s="60" t="n">
        <v>9</v>
      </c>
      <c r="L556" s="61" t="n">
        <f aca="false">I556*J556</f>
        <v>58</v>
      </c>
      <c r="M556" s="61" t="n">
        <f aca="false">L556-I556*K556</f>
        <v>40</v>
      </c>
      <c r="N556" s="57" t="n">
        <f aca="false">IF(COUNTIFS(E$2:E556,E556,C$2:C556,C556)=1,1,0)</f>
        <v>1</v>
      </c>
      <c r="O556" s="57" t="n">
        <f aca="false">IF(COUNTIFS(E$2:E556,E556,C$2:C556,C556,D$2:D556,D556)=1,1,0)</f>
        <v>1</v>
      </c>
      <c r="P556" s="57" t="n">
        <f aca="false">IF(AND(C556=Calc!$C$3,OR(Calc!$C$4=0,D556=Calc!$C$4)),ROW(),0)</f>
        <v>0</v>
      </c>
    </row>
    <row r="557" customFormat="false" ht="15" hidden="false" customHeight="false" outlineLevel="0" collapsed="false">
      <c r="A557" s="57" t="s">
        <v>925</v>
      </c>
      <c r="B557" s="58" t="n">
        <v>45465</v>
      </c>
      <c r="C557" s="57" t="n">
        <f aca="false">YEAR(B557)</f>
        <v>2024</v>
      </c>
      <c r="D557" s="57" t="n">
        <f aca="false">MONTH(B557)</f>
        <v>6</v>
      </c>
      <c r="E557" s="57" t="s">
        <v>285</v>
      </c>
      <c r="F557" s="57" t="s">
        <v>75</v>
      </c>
      <c r="G557" s="57" t="s">
        <v>40</v>
      </c>
      <c r="H557" s="57" t="s">
        <v>41</v>
      </c>
      <c r="I557" s="59" t="n">
        <v>2</v>
      </c>
      <c r="J557" s="60" t="n">
        <v>46</v>
      </c>
      <c r="K557" s="60" t="n">
        <v>16</v>
      </c>
      <c r="L557" s="61" t="n">
        <f aca="false">I557*J557</f>
        <v>92</v>
      </c>
      <c r="M557" s="61" t="n">
        <f aca="false">L557-I557*K557</f>
        <v>60</v>
      </c>
      <c r="N557" s="57" t="n">
        <f aca="false">IF(COUNTIFS(E$2:E557,E557,C$2:C557,C557)=1,1,0)</f>
        <v>0</v>
      </c>
      <c r="O557" s="57" t="n">
        <f aca="false">IF(COUNTIFS(E$2:E557,E557,C$2:C557,C557,D$2:D557,D557)=1,1,0)</f>
        <v>1</v>
      </c>
      <c r="P557" s="57" t="n">
        <f aca="false">IF(AND(C557=Calc!$C$3,OR(Calc!$C$4=0,D557=Calc!$C$4)),ROW(),0)</f>
        <v>0</v>
      </c>
    </row>
    <row r="558" customFormat="false" ht="15" hidden="false" customHeight="false" outlineLevel="0" collapsed="false">
      <c r="A558" s="57" t="s">
        <v>926</v>
      </c>
      <c r="B558" s="58" t="n">
        <v>45465</v>
      </c>
      <c r="C558" s="57" t="n">
        <f aca="false">YEAR(B558)</f>
        <v>2024</v>
      </c>
      <c r="D558" s="57" t="n">
        <f aca="false">MONTH(B558)</f>
        <v>6</v>
      </c>
      <c r="E558" s="57" t="s">
        <v>323</v>
      </c>
      <c r="F558" s="57" t="s">
        <v>75</v>
      </c>
      <c r="G558" s="57" t="s">
        <v>40</v>
      </c>
      <c r="H558" s="57" t="s">
        <v>39</v>
      </c>
      <c r="I558" s="59" t="n">
        <v>1</v>
      </c>
      <c r="J558" s="60" t="n">
        <v>54</v>
      </c>
      <c r="K558" s="60" t="n">
        <v>19</v>
      </c>
      <c r="L558" s="61" t="n">
        <f aca="false">I558*J558</f>
        <v>54</v>
      </c>
      <c r="M558" s="61" t="n">
        <f aca="false">L558-I558*K558</f>
        <v>35</v>
      </c>
      <c r="N558" s="57" t="n">
        <f aca="false">IF(COUNTIFS(E$2:E558,E558,C$2:C558,C558)=1,1,0)</f>
        <v>0</v>
      </c>
      <c r="O558" s="57" t="n">
        <f aca="false">IF(COUNTIFS(E$2:E558,E558,C$2:C558,C558,D$2:D558,D558)=1,1,0)</f>
        <v>1</v>
      </c>
      <c r="P558" s="57" t="n">
        <f aca="false">IF(AND(C558=Calc!$C$3,OR(Calc!$C$4=0,D558=Calc!$C$4)),ROW(),0)</f>
        <v>0</v>
      </c>
    </row>
    <row r="559" customFormat="false" ht="15" hidden="false" customHeight="false" outlineLevel="0" collapsed="false">
      <c r="A559" s="57" t="s">
        <v>927</v>
      </c>
      <c r="B559" s="58" t="n">
        <v>45466</v>
      </c>
      <c r="C559" s="57" t="n">
        <f aca="false">YEAR(B559)</f>
        <v>2024</v>
      </c>
      <c r="D559" s="57" t="n">
        <f aca="false">MONTH(B559)</f>
        <v>6</v>
      </c>
      <c r="E559" s="57" t="s">
        <v>148</v>
      </c>
      <c r="F559" s="57" t="s">
        <v>78</v>
      </c>
      <c r="G559" s="57" t="s">
        <v>35</v>
      </c>
      <c r="H559" s="57" t="s">
        <v>38</v>
      </c>
      <c r="I559" s="59" t="n">
        <v>1</v>
      </c>
      <c r="J559" s="60" t="n">
        <v>49</v>
      </c>
      <c r="K559" s="60" t="n">
        <v>22</v>
      </c>
      <c r="L559" s="61" t="n">
        <f aca="false">I559*J559</f>
        <v>49</v>
      </c>
      <c r="M559" s="61" t="n">
        <f aca="false">L559-I559*K559</f>
        <v>27</v>
      </c>
      <c r="N559" s="57" t="n">
        <f aca="false">IF(COUNTIFS(E$2:E559,E559,C$2:C559,C559)=1,1,0)</f>
        <v>0</v>
      </c>
      <c r="O559" s="57" t="n">
        <f aca="false">IF(COUNTIFS(E$2:E559,E559,C$2:C559,C559,D$2:D559,D559)=1,1,0)</f>
        <v>0</v>
      </c>
      <c r="P559" s="57" t="n">
        <f aca="false">IF(AND(C559=Calc!$C$3,OR(Calc!$C$4=0,D559=Calc!$C$4)),ROW(),0)</f>
        <v>0</v>
      </c>
    </row>
    <row r="560" customFormat="false" ht="15" hidden="false" customHeight="false" outlineLevel="0" collapsed="false">
      <c r="A560" s="57" t="s">
        <v>928</v>
      </c>
      <c r="B560" s="58" t="n">
        <v>45466</v>
      </c>
      <c r="C560" s="57" t="n">
        <f aca="false">YEAR(B560)</f>
        <v>2024</v>
      </c>
      <c r="D560" s="57" t="n">
        <f aca="false">MONTH(B560)</f>
        <v>6</v>
      </c>
      <c r="E560" s="57" t="s">
        <v>929</v>
      </c>
      <c r="F560" s="57" t="s">
        <v>72</v>
      </c>
      <c r="G560" s="57" t="s">
        <v>35</v>
      </c>
      <c r="H560" s="57" t="s">
        <v>38</v>
      </c>
      <c r="I560" s="59" t="n">
        <v>1</v>
      </c>
      <c r="J560" s="60" t="n">
        <v>49</v>
      </c>
      <c r="K560" s="60" t="n">
        <v>22</v>
      </c>
      <c r="L560" s="61" t="n">
        <f aca="false">I560*J560</f>
        <v>49</v>
      </c>
      <c r="M560" s="61" t="n">
        <f aca="false">L560-I560*K560</f>
        <v>27</v>
      </c>
      <c r="N560" s="57" t="n">
        <f aca="false">IF(COUNTIFS(E$2:E560,E560,C$2:C560,C560)=1,1,0)</f>
        <v>1</v>
      </c>
      <c r="O560" s="57" t="n">
        <f aca="false">IF(COUNTIFS(E$2:E560,E560,C$2:C560,C560,D$2:D560,D560)=1,1,0)</f>
        <v>1</v>
      </c>
      <c r="P560" s="57" t="n">
        <f aca="false">IF(AND(C560=Calc!$C$3,OR(Calc!$C$4=0,D560=Calc!$C$4)),ROW(),0)</f>
        <v>0</v>
      </c>
    </row>
    <row r="561" customFormat="false" ht="15" hidden="false" customHeight="false" outlineLevel="0" collapsed="false">
      <c r="A561" s="57" t="s">
        <v>930</v>
      </c>
      <c r="B561" s="58" t="n">
        <v>45466</v>
      </c>
      <c r="C561" s="57" t="n">
        <f aca="false">YEAR(B561)</f>
        <v>2024</v>
      </c>
      <c r="D561" s="57" t="n">
        <f aca="false">MONTH(B561)</f>
        <v>6</v>
      </c>
      <c r="E561" s="57" t="s">
        <v>309</v>
      </c>
      <c r="F561" s="57" t="s">
        <v>81</v>
      </c>
      <c r="G561" s="57" t="s">
        <v>50</v>
      </c>
      <c r="H561" s="57" t="s">
        <v>52</v>
      </c>
      <c r="I561" s="59" t="n">
        <v>1</v>
      </c>
      <c r="J561" s="60" t="n">
        <v>45</v>
      </c>
      <c r="K561" s="60" t="n">
        <v>14</v>
      </c>
      <c r="L561" s="61" t="n">
        <f aca="false">I561*J561</f>
        <v>45</v>
      </c>
      <c r="M561" s="61" t="n">
        <f aca="false">L561-I561*K561</f>
        <v>31</v>
      </c>
      <c r="N561" s="57" t="n">
        <f aca="false">IF(COUNTIFS(E$2:E561,E561,C$2:C561,C561)=1,1,0)</f>
        <v>0</v>
      </c>
      <c r="O561" s="57" t="n">
        <f aca="false">IF(COUNTIFS(E$2:E561,E561,C$2:C561,C561,D$2:D561,D561)=1,1,0)</f>
        <v>1</v>
      </c>
      <c r="P561" s="57" t="n">
        <f aca="false">IF(AND(C561=Calc!$C$3,OR(Calc!$C$4=0,D561=Calc!$C$4)),ROW(),0)</f>
        <v>0</v>
      </c>
    </row>
    <row r="562" customFormat="false" ht="15" hidden="false" customHeight="false" outlineLevel="0" collapsed="false">
      <c r="A562" s="57" t="s">
        <v>931</v>
      </c>
      <c r="B562" s="58" t="n">
        <v>45466</v>
      </c>
      <c r="C562" s="57" t="n">
        <f aca="false">YEAR(B562)</f>
        <v>2024</v>
      </c>
      <c r="D562" s="57" t="n">
        <f aca="false">MONTH(B562)</f>
        <v>6</v>
      </c>
      <c r="E562" s="57" t="s">
        <v>275</v>
      </c>
      <c r="F562" s="57" t="s">
        <v>75</v>
      </c>
      <c r="G562" s="57" t="s">
        <v>40</v>
      </c>
      <c r="H562" s="57" t="s">
        <v>41</v>
      </c>
      <c r="I562" s="59" t="n">
        <v>1</v>
      </c>
      <c r="J562" s="60" t="n">
        <v>46</v>
      </c>
      <c r="K562" s="60" t="n">
        <v>16</v>
      </c>
      <c r="L562" s="61" t="n">
        <f aca="false">I562*J562</f>
        <v>46</v>
      </c>
      <c r="M562" s="61" t="n">
        <f aca="false">L562-I562*K562</f>
        <v>30</v>
      </c>
      <c r="N562" s="57" t="n">
        <f aca="false">IF(COUNTIFS(E$2:E562,E562,C$2:C562,C562)=1,1,0)</f>
        <v>0</v>
      </c>
      <c r="O562" s="57" t="n">
        <f aca="false">IF(COUNTIFS(E$2:E562,E562,C$2:C562,C562,D$2:D562,D562)=1,1,0)</f>
        <v>1</v>
      </c>
      <c r="P562" s="57" t="n">
        <f aca="false">IF(AND(C562=Calc!$C$3,OR(Calc!$C$4=0,D562=Calc!$C$4)),ROW(),0)</f>
        <v>0</v>
      </c>
    </row>
    <row r="563" customFormat="false" ht="15" hidden="false" customHeight="false" outlineLevel="0" collapsed="false">
      <c r="A563" s="57" t="s">
        <v>932</v>
      </c>
      <c r="B563" s="58" t="n">
        <v>45467</v>
      </c>
      <c r="C563" s="57" t="n">
        <f aca="false">YEAR(B563)</f>
        <v>2024</v>
      </c>
      <c r="D563" s="57" t="n">
        <f aca="false">MONTH(B563)</f>
        <v>6</v>
      </c>
      <c r="E563" s="57" t="s">
        <v>382</v>
      </c>
      <c r="F563" s="57" t="s">
        <v>69</v>
      </c>
      <c r="G563" s="57" t="s">
        <v>40</v>
      </c>
      <c r="H563" s="57" t="s">
        <v>42</v>
      </c>
      <c r="I563" s="59" t="n">
        <v>1</v>
      </c>
      <c r="J563" s="60" t="n">
        <v>79</v>
      </c>
      <c r="K563" s="60" t="n">
        <v>31</v>
      </c>
      <c r="L563" s="61" t="n">
        <f aca="false">I563*J563</f>
        <v>79</v>
      </c>
      <c r="M563" s="61" t="n">
        <f aca="false">L563-I563*K563</f>
        <v>48</v>
      </c>
      <c r="N563" s="57" t="n">
        <f aca="false">IF(COUNTIFS(E$2:E563,E563,C$2:C563,C563)=1,1,0)</f>
        <v>0</v>
      </c>
      <c r="O563" s="57" t="n">
        <f aca="false">IF(COUNTIFS(E$2:E563,E563,C$2:C563,C563,D$2:D563,D563)=1,1,0)</f>
        <v>1</v>
      </c>
      <c r="P563" s="57" t="n">
        <f aca="false">IF(AND(C563=Calc!$C$3,OR(Calc!$C$4=0,D563=Calc!$C$4)),ROW(),0)</f>
        <v>0</v>
      </c>
    </row>
    <row r="564" customFormat="false" ht="15" hidden="false" customHeight="false" outlineLevel="0" collapsed="false">
      <c r="A564" s="57" t="s">
        <v>933</v>
      </c>
      <c r="B564" s="58" t="n">
        <v>45467</v>
      </c>
      <c r="C564" s="57" t="n">
        <f aca="false">YEAR(B564)</f>
        <v>2024</v>
      </c>
      <c r="D564" s="57" t="n">
        <f aca="false">MONTH(B564)</f>
        <v>6</v>
      </c>
      <c r="E564" s="57" t="s">
        <v>275</v>
      </c>
      <c r="F564" s="57" t="s">
        <v>75</v>
      </c>
      <c r="G564" s="57" t="s">
        <v>40</v>
      </c>
      <c r="H564" s="57" t="s">
        <v>41</v>
      </c>
      <c r="I564" s="59" t="n">
        <v>1</v>
      </c>
      <c r="J564" s="60" t="n">
        <v>46</v>
      </c>
      <c r="K564" s="60" t="n">
        <v>16</v>
      </c>
      <c r="L564" s="61" t="n">
        <f aca="false">I564*J564</f>
        <v>46</v>
      </c>
      <c r="M564" s="61" t="n">
        <f aca="false">L564-I564*K564</f>
        <v>30</v>
      </c>
      <c r="N564" s="57" t="n">
        <f aca="false">IF(COUNTIFS(E$2:E564,E564,C$2:C564,C564)=1,1,0)</f>
        <v>0</v>
      </c>
      <c r="O564" s="57" t="n">
        <f aca="false">IF(COUNTIFS(E$2:E564,E564,C$2:C564,C564,D$2:D564,D564)=1,1,0)</f>
        <v>0</v>
      </c>
      <c r="P564" s="57" t="n">
        <f aca="false">IF(AND(C564=Calc!$C$3,OR(Calc!$C$4=0,D564=Calc!$C$4)),ROW(),0)</f>
        <v>0</v>
      </c>
    </row>
    <row r="565" customFormat="false" ht="15" hidden="false" customHeight="false" outlineLevel="0" collapsed="false">
      <c r="A565" s="57" t="s">
        <v>934</v>
      </c>
      <c r="B565" s="58" t="n">
        <v>45467</v>
      </c>
      <c r="C565" s="57" t="n">
        <f aca="false">YEAR(B565)</f>
        <v>2024</v>
      </c>
      <c r="D565" s="57" t="n">
        <f aca="false">MONTH(B565)</f>
        <v>6</v>
      </c>
      <c r="E565" s="57" t="s">
        <v>935</v>
      </c>
      <c r="F565" s="57" t="s">
        <v>72</v>
      </c>
      <c r="G565" s="57" t="s">
        <v>35</v>
      </c>
      <c r="H565" s="57" t="s">
        <v>37</v>
      </c>
      <c r="I565" s="59" t="n">
        <v>1</v>
      </c>
      <c r="J565" s="60" t="n">
        <v>59</v>
      </c>
      <c r="K565" s="60" t="n">
        <v>27</v>
      </c>
      <c r="L565" s="61" t="n">
        <f aca="false">I565*J565</f>
        <v>59</v>
      </c>
      <c r="M565" s="61" t="n">
        <f aca="false">L565-I565*K565</f>
        <v>32</v>
      </c>
      <c r="N565" s="57" t="n">
        <f aca="false">IF(COUNTIFS(E$2:E565,E565,C$2:C565,C565)=1,1,0)</f>
        <v>1</v>
      </c>
      <c r="O565" s="57" t="n">
        <f aca="false">IF(COUNTIFS(E$2:E565,E565,C$2:C565,C565,D$2:D565,D565)=1,1,0)</f>
        <v>1</v>
      </c>
      <c r="P565" s="57" t="n">
        <f aca="false">IF(AND(C565=Calc!$C$3,OR(Calc!$C$4=0,D565=Calc!$C$4)),ROW(),0)</f>
        <v>0</v>
      </c>
    </row>
    <row r="566" customFormat="false" ht="15" hidden="false" customHeight="false" outlineLevel="0" collapsed="false">
      <c r="A566" s="57" t="s">
        <v>936</v>
      </c>
      <c r="B566" s="58" t="n">
        <v>45467</v>
      </c>
      <c r="C566" s="57" t="n">
        <f aca="false">YEAR(B566)</f>
        <v>2024</v>
      </c>
      <c r="D566" s="57" t="n">
        <f aca="false">MONTH(B566)</f>
        <v>6</v>
      </c>
      <c r="E566" s="57" t="s">
        <v>937</v>
      </c>
      <c r="F566" s="57" t="s">
        <v>81</v>
      </c>
      <c r="G566" s="57" t="s">
        <v>35</v>
      </c>
      <c r="H566" s="57" t="s">
        <v>36</v>
      </c>
      <c r="I566" s="59" t="n">
        <v>2</v>
      </c>
      <c r="J566" s="60" t="n">
        <v>179</v>
      </c>
      <c r="K566" s="60" t="n">
        <v>92</v>
      </c>
      <c r="L566" s="61" t="n">
        <f aca="false">I566*J566</f>
        <v>358</v>
      </c>
      <c r="M566" s="61" t="n">
        <f aca="false">L566-I566*K566</f>
        <v>174</v>
      </c>
      <c r="N566" s="57" t="n">
        <f aca="false">IF(COUNTIFS(E$2:E566,E566,C$2:C566,C566)=1,1,0)</f>
        <v>1</v>
      </c>
      <c r="O566" s="57" t="n">
        <f aca="false">IF(COUNTIFS(E$2:E566,E566,C$2:C566,C566,D$2:D566,D566)=1,1,0)</f>
        <v>1</v>
      </c>
      <c r="P566" s="57" t="n">
        <f aca="false">IF(AND(C566=Calc!$C$3,OR(Calc!$C$4=0,D566=Calc!$C$4)),ROW(),0)</f>
        <v>0</v>
      </c>
    </row>
    <row r="567" customFormat="false" ht="15" hidden="false" customHeight="false" outlineLevel="0" collapsed="false">
      <c r="A567" s="57" t="s">
        <v>938</v>
      </c>
      <c r="B567" s="58" t="n">
        <v>45468</v>
      </c>
      <c r="C567" s="57" t="n">
        <f aca="false">YEAR(B567)</f>
        <v>2024</v>
      </c>
      <c r="D567" s="57" t="n">
        <f aca="false">MONTH(B567)</f>
        <v>6</v>
      </c>
      <c r="E567" s="57" t="s">
        <v>376</v>
      </c>
      <c r="F567" s="57" t="s">
        <v>78</v>
      </c>
      <c r="G567" s="57" t="s">
        <v>45</v>
      </c>
      <c r="H567" s="57" t="s">
        <v>44</v>
      </c>
      <c r="I567" s="59" t="n">
        <v>1</v>
      </c>
      <c r="J567" s="60" t="n">
        <v>119</v>
      </c>
      <c r="K567" s="60" t="n">
        <v>63</v>
      </c>
      <c r="L567" s="61" t="n">
        <f aca="false">I567*J567</f>
        <v>119</v>
      </c>
      <c r="M567" s="61" t="n">
        <f aca="false">L567-I567*K567</f>
        <v>56</v>
      </c>
      <c r="N567" s="57" t="n">
        <f aca="false">IF(COUNTIFS(E$2:E567,E567,C$2:C567,C567)=1,1,0)</f>
        <v>0</v>
      </c>
      <c r="O567" s="57" t="n">
        <f aca="false">IF(COUNTIFS(E$2:E567,E567,C$2:C567,C567,D$2:D567,D567)=1,1,0)</f>
        <v>1</v>
      </c>
      <c r="P567" s="57" t="n">
        <f aca="false">IF(AND(C567=Calc!$C$3,OR(Calc!$C$4=0,D567=Calc!$C$4)),ROW(),0)</f>
        <v>0</v>
      </c>
    </row>
    <row r="568" customFormat="false" ht="15" hidden="false" customHeight="false" outlineLevel="0" collapsed="false">
      <c r="A568" s="57" t="s">
        <v>939</v>
      </c>
      <c r="B568" s="58" t="n">
        <v>45468</v>
      </c>
      <c r="C568" s="57" t="n">
        <f aca="false">YEAR(B568)</f>
        <v>2024</v>
      </c>
      <c r="D568" s="57" t="n">
        <f aca="false">MONTH(B568)</f>
        <v>6</v>
      </c>
      <c r="E568" s="57" t="s">
        <v>285</v>
      </c>
      <c r="F568" s="57" t="s">
        <v>75</v>
      </c>
      <c r="G568" s="57" t="s">
        <v>40</v>
      </c>
      <c r="H568" s="57" t="s">
        <v>41</v>
      </c>
      <c r="I568" s="59" t="n">
        <v>1</v>
      </c>
      <c r="J568" s="60" t="n">
        <v>46</v>
      </c>
      <c r="K568" s="60" t="n">
        <v>16</v>
      </c>
      <c r="L568" s="61" t="n">
        <f aca="false">I568*J568</f>
        <v>46</v>
      </c>
      <c r="M568" s="61" t="n">
        <f aca="false">L568-I568*K568</f>
        <v>30</v>
      </c>
      <c r="N568" s="57" t="n">
        <f aca="false">IF(COUNTIFS(E$2:E568,E568,C$2:C568,C568)=1,1,0)</f>
        <v>0</v>
      </c>
      <c r="O568" s="57" t="n">
        <f aca="false">IF(COUNTIFS(E$2:E568,E568,C$2:C568,C568,D$2:D568,D568)=1,1,0)</f>
        <v>0</v>
      </c>
      <c r="P568" s="57" t="n">
        <f aca="false">IF(AND(C568=Calc!$C$3,OR(Calc!$C$4=0,D568=Calc!$C$4)),ROW(),0)</f>
        <v>0</v>
      </c>
    </row>
    <row r="569" customFormat="false" ht="15" hidden="false" customHeight="false" outlineLevel="0" collapsed="false">
      <c r="A569" s="57" t="s">
        <v>940</v>
      </c>
      <c r="B569" s="58" t="n">
        <v>45468</v>
      </c>
      <c r="C569" s="57" t="n">
        <f aca="false">YEAR(B569)</f>
        <v>2024</v>
      </c>
      <c r="D569" s="57" t="n">
        <f aca="false">MONTH(B569)</f>
        <v>6</v>
      </c>
      <c r="E569" s="57" t="s">
        <v>277</v>
      </c>
      <c r="F569" s="57" t="s">
        <v>75</v>
      </c>
      <c r="G569" s="57" t="s">
        <v>35</v>
      </c>
      <c r="H569" s="57" t="s">
        <v>34</v>
      </c>
      <c r="I569" s="59" t="n">
        <v>1</v>
      </c>
      <c r="J569" s="60" t="n">
        <v>89</v>
      </c>
      <c r="K569" s="60" t="n">
        <v>41</v>
      </c>
      <c r="L569" s="61" t="n">
        <f aca="false">I569*J569</f>
        <v>89</v>
      </c>
      <c r="M569" s="61" t="n">
        <f aca="false">L569-I569*K569</f>
        <v>48</v>
      </c>
      <c r="N569" s="57" t="n">
        <f aca="false">IF(COUNTIFS(E$2:E569,E569,C$2:C569,C569)=1,1,0)</f>
        <v>0</v>
      </c>
      <c r="O569" s="57" t="n">
        <f aca="false">IF(COUNTIFS(E$2:E569,E569,C$2:C569,C569,D$2:D569,D569)=1,1,0)</f>
        <v>0</v>
      </c>
      <c r="P569" s="57" t="n">
        <f aca="false">IF(AND(C569=Calc!$C$3,OR(Calc!$C$4=0,D569=Calc!$C$4)),ROW(),0)</f>
        <v>0</v>
      </c>
    </row>
    <row r="570" customFormat="false" ht="15" hidden="false" customHeight="false" outlineLevel="0" collapsed="false">
      <c r="A570" s="57" t="s">
        <v>941</v>
      </c>
      <c r="B570" s="58" t="n">
        <v>45468</v>
      </c>
      <c r="C570" s="57" t="n">
        <f aca="false">YEAR(B570)</f>
        <v>2024</v>
      </c>
      <c r="D570" s="57" t="n">
        <f aca="false">MONTH(B570)</f>
        <v>6</v>
      </c>
      <c r="E570" s="57" t="s">
        <v>942</v>
      </c>
      <c r="F570" s="57" t="s">
        <v>75</v>
      </c>
      <c r="G570" s="57" t="s">
        <v>40</v>
      </c>
      <c r="H570" s="57" t="s">
        <v>43</v>
      </c>
      <c r="I570" s="59" t="n">
        <v>1</v>
      </c>
      <c r="J570" s="60" t="n">
        <v>29</v>
      </c>
      <c r="K570" s="60" t="n">
        <v>9</v>
      </c>
      <c r="L570" s="61" t="n">
        <f aca="false">I570*J570</f>
        <v>29</v>
      </c>
      <c r="M570" s="61" t="n">
        <f aca="false">L570-I570*K570</f>
        <v>20</v>
      </c>
      <c r="N570" s="57" t="n">
        <f aca="false">IF(COUNTIFS(E$2:E570,E570,C$2:C570,C570)=1,1,0)</f>
        <v>1</v>
      </c>
      <c r="O570" s="57" t="n">
        <f aca="false">IF(COUNTIFS(E$2:E570,E570,C$2:C570,C570,D$2:D570,D570)=1,1,0)</f>
        <v>1</v>
      </c>
      <c r="P570" s="57" t="n">
        <f aca="false">IF(AND(C570=Calc!$C$3,OR(Calc!$C$4=0,D570=Calc!$C$4)),ROW(),0)</f>
        <v>0</v>
      </c>
    </row>
    <row r="571" customFormat="false" ht="15" hidden="false" customHeight="false" outlineLevel="0" collapsed="false">
      <c r="A571" s="57" t="s">
        <v>943</v>
      </c>
      <c r="B571" s="58" t="n">
        <v>45469</v>
      </c>
      <c r="C571" s="57" t="n">
        <f aca="false">YEAR(B571)</f>
        <v>2024</v>
      </c>
      <c r="D571" s="57" t="n">
        <f aca="false">MONTH(B571)</f>
        <v>6</v>
      </c>
      <c r="E571" s="57" t="s">
        <v>843</v>
      </c>
      <c r="F571" s="57" t="s">
        <v>75</v>
      </c>
      <c r="G571" s="57" t="s">
        <v>35</v>
      </c>
      <c r="H571" s="57" t="s">
        <v>37</v>
      </c>
      <c r="I571" s="59" t="n">
        <v>2</v>
      </c>
      <c r="J571" s="60" t="n">
        <v>59</v>
      </c>
      <c r="K571" s="60" t="n">
        <v>27</v>
      </c>
      <c r="L571" s="61" t="n">
        <f aca="false">I571*J571</f>
        <v>118</v>
      </c>
      <c r="M571" s="61" t="n">
        <f aca="false">L571-I571*K571</f>
        <v>64</v>
      </c>
      <c r="N571" s="57" t="n">
        <f aca="false">IF(COUNTIFS(E$2:E571,E571,C$2:C571,C571)=1,1,0)</f>
        <v>0</v>
      </c>
      <c r="O571" s="57" t="n">
        <f aca="false">IF(COUNTIFS(E$2:E571,E571,C$2:C571,C571,D$2:D571,D571)=1,1,0)</f>
        <v>0</v>
      </c>
      <c r="P571" s="57" t="n">
        <f aca="false">IF(AND(C571=Calc!$C$3,OR(Calc!$C$4=0,D571=Calc!$C$4)),ROW(),0)</f>
        <v>0</v>
      </c>
    </row>
    <row r="572" customFormat="false" ht="15" hidden="false" customHeight="false" outlineLevel="0" collapsed="false">
      <c r="A572" s="57" t="s">
        <v>944</v>
      </c>
      <c r="B572" s="58" t="n">
        <v>45469</v>
      </c>
      <c r="C572" s="57" t="n">
        <f aca="false">YEAR(B572)</f>
        <v>2024</v>
      </c>
      <c r="D572" s="57" t="n">
        <f aca="false">MONTH(B572)</f>
        <v>6</v>
      </c>
      <c r="E572" s="57" t="s">
        <v>712</v>
      </c>
      <c r="F572" s="57" t="s">
        <v>78</v>
      </c>
      <c r="G572" s="57" t="s">
        <v>40</v>
      </c>
      <c r="H572" s="57" t="s">
        <v>42</v>
      </c>
      <c r="I572" s="59" t="n">
        <v>1</v>
      </c>
      <c r="J572" s="60" t="n">
        <v>79</v>
      </c>
      <c r="K572" s="60" t="n">
        <v>31</v>
      </c>
      <c r="L572" s="61" t="n">
        <f aca="false">I572*J572</f>
        <v>79</v>
      </c>
      <c r="M572" s="61" t="n">
        <f aca="false">L572-I572*K572</f>
        <v>48</v>
      </c>
      <c r="N572" s="57" t="n">
        <f aca="false">IF(COUNTIFS(E$2:E572,E572,C$2:C572,C572)=1,1,0)</f>
        <v>0</v>
      </c>
      <c r="O572" s="57" t="n">
        <f aca="false">IF(COUNTIFS(E$2:E572,E572,C$2:C572,C572,D$2:D572,D572)=1,1,0)</f>
        <v>1</v>
      </c>
      <c r="P572" s="57" t="n">
        <f aca="false">IF(AND(C572=Calc!$C$3,OR(Calc!$C$4=0,D572=Calc!$C$4)),ROW(),0)</f>
        <v>0</v>
      </c>
    </row>
    <row r="573" customFormat="false" ht="15" hidden="false" customHeight="false" outlineLevel="0" collapsed="false">
      <c r="A573" s="57" t="s">
        <v>945</v>
      </c>
      <c r="B573" s="58" t="n">
        <v>45469</v>
      </c>
      <c r="C573" s="57" t="n">
        <f aca="false">YEAR(B573)</f>
        <v>2024</v>
      </c>
      <c r="D573" s="57" t="n">
        <f aca="false">MONTH(B573)</f>
        <v>6</v>
      </c>
      <c r="E573" s="57" t="s">
        <v>363</v>
      </c>
      <c r="F573" s="57" t="s">
        <v>81</v>
      </c>
      <c r="G573" s="57" t="s">
        <v>40</v>
      </c>
      <c r="H573" s="57" t="s">
        <v>41</v>
      </c>
      <c r="I573" s="59" t="n">
        <v>1</v>
      </c>
      <c r="J573" s="60" t="n">
        <v>46</v>
      </c>
      <c r="K573" s="60" t="n">
        <v>16</v>
      </c>
      <c r="L573" s="61" t="n">
        <f aca="false">I573*J573</f>
        <v>46</v>
      </c>
      <c r="M573" s="61" t="n">
        <f aca="false">L573-I573*K573</f>
        <v>30</v>
      </c>
      <c r="N573" s="57" t="n">
        <f aca="false">IF(COUNTIFS(E$2:E573,E573,C$2:C573,C573)=1,1,0)</f>
        <v>0</v>
      </c>
      <c r="O573" s="57" t="n">
        <f aca="false">IF(COUNTIFS(E$2:E573,E573,C$2:C573,C573,D$2:D573,D573)=1,1,0)</f>
        <v>1</v>
      </c>
      <c r="P573" s="57" t="n">
        <f aca="false">IF(AND(C573=Calc!$C$3,OR(Calc!$C$4=0,D573=Calc!$C$4)),ROW(),0)</f>
        <v>0</v>
      </c>
    </row>
    <row r="574" customFormat="false" ht="15" hidden="false" customHeight="false" outlineLevel="0" collapsed="false">
      <c r="A574" s="57" t="s">
        <v>946</v>
      </c>
      <c r="B574" s="58" t="n">
        <v>45469</v>
      </c>
      <c r="C574" s="57" t="n">
        <f aca="false">YEAR(B574)</f>
        <v>2024</v>
      </c>
      <c r="D574" s="57" t="n">
        <f aca="false">MONTH(B574)</f>
        <v>6</v>
      </c>
      <c r="E574" s="57" t="s">
        <v>721</v>
      </c>
      <c r="F574" s="57" t="s">
        <v>69</v>
      </c>
      <c r="G574" s="57" t="s">
        <v>35</v>
      </c>
      <c r="H574" s="57" t="s">
        <v>34</v>
      </c>
      <c r="I574" s="59" t="n">
        <v>1</v>
      </c>
      <c r="J574" s="60" t="n">
        <v>89</v>
      </c>
      <c r="K574" s="60" t="n">
        <v>41</v>
      </c>
      <c r="L574" s="61" t="n">
        <f aca="false">I574*J574</f>
        <v>89</v>
      </c>
      <c r="M574" s="61" t="n">
        <f aca="false">L574-I574*K574</f>
        <v>48</v>
      </c>
      <c r="N574" s="57" t="n">
        <f aca="false">IF(COUNTIFS(E$2:E574,E574,C$2:C574,C574)=1,1,0)</f>
        <v>0</v>
      </c>
      <c r="O574" s="57" t="n">
        <f aca="false">IF(COUNTIFS(E$2:E574,E574,C$2:C574,C574,D$2:D574,D574)=1,1,0)</f>
        <v>1</v>
      </c>
      <c r="P574" s="57" t="n">
        <f aca="false">IF(AND(C574=Calc!$C$3,OR(Calc!$C$4=0,D574=Calc!$C$4)),ROW(),0)</f>
        <v>0</v>
      </c>
    </row>
    <row r="575" customFormat="false" ht="15" hidden="false" customHeight="false" outlineLevel="0" collapsed="false">
      <c r="A575" s="57" t="s">
        <v>947</v>
      </c>
      <c r="B575" s="58" t="n">
        <v>45469</v>
      </c>
      <c r="C575" s="57" t="n">
        <f aca="false">YEAR(B575)</f>
        <v>2024</v>
      </c>
      <c r="D575" s="57" t="n">
        <f aca="false">MONTH(B575)</f>
        <v>6</v>
      </c>
      <c r="E575" s="57" t="s">
        <v>948</v>
      </c>
      <c r="F575" s="57" t="s">
        <v>81</v>
      </c>
      <c r="G575" s="57" t="s">
        <v>45</v>
      </c>
      <c r="H575" s="57" t="s">
        <v>44</v>
      </c>
      <c r="I575" s="59" t="n">
        <v>1</v>
      </c>
      <c r="J575" s="60" t="n">
        <v>119</v>
      </c>
      <c r="K575" s="60" t="n">
        <v>63</v>
      </c>
      <c r="L575" s="61" t="n">
        <f aca="false">I575*J575</f>
        <v>119</v>
      </c>
      <c r="M575" s="61" t="n">
        <f aca="false">L575-I575*K575</f>
        <v>56</v>
      </c>
      <c r="N575" s="57" t="n">
        <f aca="false">IF(COUNTIFS(E$2:E575,E575,C$2:C575,C575)=1,1,0)</f>
        <v>1</v>
      </c>
      <c r="O575" s="57" t="n">
        <f aca="false">IF(COUNTIFS(E$2:E575,E575,C$2:C575,C575,D$2:D575,D575)=1,1,0)</f>
        <v>1</v>
      </c>
      <c r="P575" s="57" t="n">
        <f aca="false">IF(AND(C575=Calc!$C$3,OR(Calc!$C$4=0,D575=Calc!$C$4)),ROW(),0)</f>
        <v>0</v>
      </c>
    </row>
    <row r="576" customFormat="false" ht="15" hidden="false" customHeight="false" outlineLevel="0" collapsed="false">
      <c r="A576" s="57" t="s">
        <v>949</v>
      </c>
      <c r="B576" s="58" t="n">
        <v>45470</v>
      </c>
      <c r="C576" s="57" t="n">
        <f aca="false">YEAR(B576)</f>
        <v>2024</v>
      </c>
      <c r="D576" s="57" t="n">
        <f aca="false">MONTH(B576)</f>
        <v>6</v>
      </c>
      <c r="E576" s="57" t="s">
        <v>836</v>
      </c>
      <c r="F576" s="57" t="s">
        <v>69</v>
      </c>
      <c r="G576" s="57" t="s">
        <v>50</v>
      </c>
      <c r="H576" s="57" t="s">
        <v>51</v>
      </c>
      <c r="I576" s="59" t="n">
        <v>1</v>
      </c>
      <c r="J576" s="60" t="n">
        <v>69</v>
      </c>
      <c r="K576" s="60" t="n">
        <v>29</v>
      </c>
      <c r="L576" s="61" t="n">
        <f aca="false">I576*J576</f>
        <v>69</v>
      </c>
      <c r="M576" s="61" t="n">
        <f aca="false">L576-I576*K576</f>
        <v>40</v>
      </c>
      <c r="N576" s="57" t="n">
        <f aca="false">IF(COUNTIFS(E$2:E576,E576,C$2:C576,C576)=1,1,0)</f>
        <v>0</v>
      </c>
      <c r="O576" s="57" t="n">
        <f aca="false">IF(COUNTIFS(E$2:E576,E576,C$2:C576,C576,D$2:D576,D576)=1,1,0)</f>
        <v>0</v>
      </c>
      <c r="P576" s="57" t="n">
        <f aca="false">IF(AND(C576=Calc!$C$3,OR(Calc!$C$4=0,D576=Calc!$C$4)),ROW(),0)</f>
        <v>0</v>
      </c>
    </row>
    <row r="577" customFormat="false" ht="15" hidden="false" customHeight="false" outlineLevel="0" collapsed="false">
      <c r="A577" s="57" t="s">
        <v>950</v>
      </c>
      <c r="B577" s="58" t="n">
        <v>45470</v>
      </c>
      <c r="C577" s="57" t="n">
        <f aca="false">YEAR(B577)</f>
        <v>2024</v>
      </c>
      <c r="D577" s="57" t="n">
        <f aca="false">MONTH(B577)</f>
        <v>6</v>
      </c>
      <c r="E577" s="57" t="s">
        <v>951</v>
      </c>
      <c r="F577" s="57" t="s">
        <v>78</v>
      </c>
      <c r="G577" s="57" t="s">
        <v>50</v>
      </c>
      <c r="H577" s="57" t="s">
        <v>52</v>
      </c>
      <c r="I577" s="59" t="n">
        <v>1</v>
      </c>
      <c r="J577" s="60" t="n">
        <v>45</v>
      </c>
      <c r="K577" s="60" t="n">
        <v>14</v>
      </c>
      <c r="L577" s="61" t="n">
        <f aca="false">I577*J577</f>
        <v>45</v>
      </c>
      <c r="M577" s="61" t="n">
        <f aca="false">L577-I577*K577</f>
        <v>31</v>
      </c>
      <c r="N577" s="57" t="n">
        <f aca="false">IF(COUNTIFS(E$2:E577,E577,C$2:C577,C577)=1,1,0)</f>
        <v>1</v>
      </c>
      <c r="O577" s="57" t="n">
        <f aca="false">IF(COUNTIFS(E$2:E577,E577,C$2:C577,C577,D$2:D577,D577)=1,1,0)</f>
        <v>1</v>
      </c>
      <c r="P577" s="57" t="n">
        <f aca="false">IF(AND(C577=Calc!$C$3,OR(Calc!$C$4=0,D577=Calc!$C$4)),ROW(),0)</f>
        <v>0</v>
      </c>
    </row>
    <row r="578" customFormat="false" ht="15" hidden="false" customHeight="false" outlineLevel="0" collapsed="false">
      <c r="A578" s="57" t="s">
        <v>952</v>
      </c>
      <c r="B578" s="58" t="n">
        <v>45470</v>
      </c>
      <c r="C578" s="57" t="n">
        <f aca="false">YEAR(B578)</f>
        <v>2024</v>
      </c>
      <c r="D578" s="57" t="n">
        <f aca="false">MONTH(B578)</f>
        <v>6</v>
      </c>
      <c r="E578" s="57" t="s">
        <v>390</v>
      </c>
      <c r="F578" s="57" t="s">
        <v>72</v>
      </c>
      <c r="G578" s="57" t="s">
        <v>45</v>
      </c>
      <c r="H578" s="57" t="s">
        <v>46</v>
      </c>
      <c r="I578" s="59" t="n">
        <v>1</v>
      </c>
      <c r="J578" s="60" t="n">
        <v>149</v>
      </c>
      <c r="K578" s="60" t="n">
        <v>71</v>
      </c>
      <c r="L578" s="61" t="n">
        <f aca="false">I578*J578</f>
        <v>149</v>
      </c>
      <c r="M578" s="61" t="n">
        <f aca="false">L578-I578*K578</f>
        <v>78</v>
      </c>
      <c r="N578" s="57" t="n">
        <f aca="false">IF(COUNTIFS(E$2:E578,E578,C$2:C578,C578)=1,1,0)</f>
        <v>0</v>
      </c>
      <c r="O578" s="57" t="n">
        <f aca="false">IF(COUNTIFS(E$2:E578,E578,C$2:C578,C578,D$2:D578,D578)=1,1,0)</f>
        <v>1</v>
      </c>
      <c r="P578" s="57" t="n">
        <f aca="false">IF(AND(C578=Calc!$C$3,OR(Calc!$C$4=0,D578=Calc!$C$4)),ROW(),0)</f>
        <v>0</v>
      </c>
    </row>
    <row r="579" customFormat="false" ht="15" hidden="false" customHeight="false" outlineLevel="0" collapsed="false">
      <c r="A579" s="57" t="s">
        <v>953</v>
      </c>
      <c r="B579" s="58" t="n">
        <v>45470</v>
      </c>
      <c r="C579" s="57" t="n">
        <f aca="false">YEAR(B579)</f>
        <v>2024</v>
      </c>
      <c r="D579" s="57" t="n">
        <f aca="false">MONTH(B579)</f>
        <v>6</v>
      </c>
      <c r="E579" s="57" t="s">
        <v>411</v>
      </c>
      <c r="F579" s="57" t="s">
        <v>72</v>
      </c>
      <c r="G579" s="57" t="s">
        <v>45</v>
      </c>
      <c r="H579" s="57" t="s">
        <v>47</v>
      </c>
      <c r="I579" s="59" t="n">
        <v>1</v>
      </c>
      <c r="J579" s="60" t="n">
        <v>34</v>
      </c>
      <c r="K579" s="60" t="n">
        <v>12</v>
      </c>
      <c r="L579" s="61" t="n">
        <f aca="false">I579*J579</f>
        <v>34</v>
      </c>
      <c r="M579" s="61" t="n">
        <f aca="false">L579-I579*K579</f>
        <v>22</v>
      </c>
      <c r="N579" s="57" t="n">
        <f aca="false">IF(COUNTIFS(E$2:E579,E579,C$2:C579,C579)=1,1,0)</f>
        <v>0</v>
      </c>
      <c r="O579" s="57" t="n">
        <f aca="false">IF(COUNTIFS(E$2:E579,E579,C$2:C579,C579,D$2:D579,D579)=1,1,0)</f>
        <v>1</v>
      </c>
      <c r="P579" s="57" t="n">
        <f aca="false">IF(AND(C579=Calc!$C$3,OR(Calc!$C$4=0,D579=Calc!$C$4)),ROW(),0)</f>
        <v>0</v>
      </c>
    </row>
    <row r="580" customFormat="false" ht="15" hidden="false" customHeight="false" outlineLevel="0" collapsed="false">
      <c r="A580" s="57" t="s">
        <v>954</v>
      </c>
      <c r="B580" s="58" t="n">
        <v>45471</v>
      </c>
      <c r="C580" s="57" t="n">
        <f aca="false">YEAR(B580)</f>
        <v>2024</v>
      </c>
      <c r="D580" s="57" t="n">
        <f aca="false">MONTH(B580)</f>
        <v>6</v>
      </c>
      <c r="E580" s="57" t="s">
        <v>156</v>
      </c>
      <c r="F580" s="57" t="s">
        <v>75</v>
      </c>
      <c r="G580" s="57" t="s">
        <v>45</v>
      </c>
      <c r="H580" s="57" t="s">
        <v>47</v>
      </c>
      <c r="I580" s="59" t="n">
        <v>1</v>
      </c>
      <c r="J580" s="60" t="n">
        <v>34</v>
      </c>
      <c r="K580" s="60" t="n">
        <v>12</v>
      </c>
      <c r="L580" s="61" t="n">
        <f aca="false">I580*J580</f>
        <v>34</v>
      </c>
      <c r="M580" s="61" t="n">
        <f aca="false">L580-I580*K580</f>
        <v>22</v>
      </c>
      <c r="N580" s="57" t="n">
        <f aca="false">IF(COUNTIFS(E$2:E580,E580,C$2:C580,C580)=1,1,0)</f>
        <v>0</v>
      </c>
      <c r="O580" s="57" t="n">
        <f aca="false">IF(COUNTIFS(E$2:E580,E580,C$2:C580,C580,D$2:D580,D580)=1,1,0)</f>
        <v>0</v>
      </c>
      <c r="P580" s="57" t="n">
        <f aca="false">IF(AND(C580=Calc!$C$3,OR(Calc!$C$4=0,D580=Calc!$C$4)),ROW(),0)</f>
        <v>0</v>
      </c>
    </row>
    <row r="581" customFormat="false" ht="15" hidden="false" customHeight="false" outlineLevel="0" collapsed="false">
      <c r="A581" s="57" t="s">
        <v>955</v>
      </c>
      <c r="B581" s="58" t="n">
        <v>45472</v>
      </c>
      <c r="C581" s="57" t="n">
        <f aca="false">YEAR(B581)</f>
        <v>2024</v>
      </c>
      <c r="D581" s="57" t="n">
        <f aca="false">MONTH(B581)</f>
        <v>6</v>
      </c>
      <c r="E581" s="57" t="s">
        <v>120</v>
      </c>
      <c r="F581" s="57" t="s">
        <v>78</v>
      </c>
      <c r="G581" s="57" t="s">
        <v>45</v>
      </c>
      <c r="H581" s="57" t="s">
        <v>44</v>
      </c>
      <c r="I581" s="59" t="n">
        <v>1</v>
      </c>
      <c r="J581" s="60" t="n">
        <v>119</v>
      </c>
      <c r="K581" s="60" t="n">
        <v>63</v>
      </c>
      <c r="L581" s="61" t="n">
        <f aca="false">I581*J581</f>
        <v>119</v>
      </c>
      <c r="M581" s="61" t="n">
        <f aca="false">L581-I581*K581</f>
        <v>56</v>
      </c>
      <c r="N581" s="57" t="n">
        <f aca="false">IF(COUNTIFS(E$2:E581,E581,C$2:C581,C581)=1,1,0)</f>
        <v>0</v>
      </c>
      <c r="O581" s="57" t="n">
        <f aca="false">IF(COUNTIFS(E$2:E581,E581,C$2:C581,C581,D$2:D581,D581)=1,1,0)</f>
        <v>1</v>
      </c>
      <c r="P581" s="57" t="n">
        <f aca="false">IF(AND(C581=Calc!$C$3,OR(Calc!$C$4=0,D581=Calc!$C$4)),ROW(),0)</f>
        <v>0</v>
      </c>
    </row>
    <row r="582" customFormat="false" ht="15" hidden="false" customHeight="false" outlineLevel="0" collapsed="false">
      <c r="A582" s="57" t="s">
        <v>956</v>
      </c>
      <c r="B582" s="58" t="n">
        <v>45473</v>
      </c>
      <c r="C582" s="57" t="n">
        <f aca="false">YEAR(B582)</f>
        <v>2024</v>
      </c>
      <c r="D582" s="57" t="n">
        <f aca="false">MONTH(B582)</f>
        <v>6</v>
      </c>
      <c r="E582" s="57" t="s">
        <v>957</v>
      </c>
      <c r="F582" s="57" t="s">
        <v>69</v>
      </c>
      <c r="G582" s="57" t="s">
        <v>40</v>
      </c>
      <c r="H582" s="57" t="s">
        <v>41</v>
      </c>
      <c r="I582" s="59" t="n">
        <v>1</v>
      </c>
      <c r="J582" s="60" t="n">
        <v>46</v>
      </c>
      <c r="K582" s="60" t="n">
        <v>16</v>
      </c>
      <c r="L582" s="61" t="n">
        <f aca="false">I582*J582</f>
        <v>46</v>
      </c>
      <c r="M582" s="61" t="n">
        <f aca="false">L582-I582*K582</f>
        <v>30</v>
      </c>
      <c r="N582" s="57" t="n">
        <f aca="false">IF(COUNTIFS(E$2:E582,E582,C$2:C582,C582)=1,1,0)</f>
        <v>1</v>
      </c>
      <c r="O582" s="57" t="n">
        <f aca="false">IF(COUNTIFS(E$2:E582,E582,C$2:C582,C582,D$2:D582,D582)=1,1,0)</f>
        <v>1</v>
      </c>
      <c r="P582" s="57" t="n">
        <f aca="false">IF(AND(C582=Calc!$C$3,OR(Calc!$C$4=0,D582=Calc!$C$4)),ROW(),0)</f>
        <v>0</v>
      </c>
    </row>
    <row r="583" customFormat="false" ht="15" hidden="false" customHeight="false" outlineLevel="0" collapsed="false">
      <c r="A583" s="57" t="s">
        <v>958</v>
      </c>
      <c r="B583" s="58" t="n">
        <v>45473</v>
      </c>
      <c r="C583" s="57" t="n">
        <f aca="false">YEAR(B583)</f>
        <v>2024</v>
      </c>
      <c r="D583" s="57" t="n">
        <f aca="false">MONTH(B583)</f>
        <v>6</v>
      </c>
      <c r="E583" s="57" t="s">
        <v>508</v>
      </c>
      <c r="F583" s="57" t="s">
        <v>81</v>
      </c>
      <c r="G583" s="57" t="s">
        <v>45</v>
      </c>
      <c r="H583" s="57" t="s">
        <v>48</v>
      </c>
      <c r="I583" s="59" t="n">
        <v>1</v>
      </c>
      <c r="J583" s="60" t="n">
        <v>99</v>
      </c>
      <c r="K583" s="60" t="n">
        <v>38</v>
      </c>
      <c r="L583" s="61" t="n">
        <f aca="false">I583*J583</f>
        <v>99</v>
      </c>
      <c r="M583" s="61" t="n">
        <f aca="false">L583-I583*K583</f>
        <v>61</v>
      </c>
      <c r="N583" s="57" t="n">
        <f aca="false">IF(COUNTIFS(E$2:E583,E583,C$2:C583,C583)=1,1,0)</f>
        <v>0</v>
      </c>
      <c r="O583" s="57" t="n">
        <f aca="false">IF(COUNTIFS(E$2:E583,E583,C$2:C583,C583,D$2:D583,D583)=1,1,0)</f>
        <v>1</v>
      </c>
      <c r="P583" s="57" t="n">
        <f aca="false">IF(AND(C583=Calc!$C$3,OR(Calc!$C$4=0,D583=Calc!$C$4)),ROW(),0)</f>
        <v>0</v>
      </c>
    </row>
    <row r="584" customFormat="false" ht="15" hidden="false" customHeight="false" outlineLevel="0" collapsed="false">
      <c r="A584" s="57" t="s">
        <v>959</v>
      </c>
      <c r="B584" s="58" t="n">
        <v>45474</v>
      </c>
      <c r="C584" s="57" t="n">
        <f aca="false">YEAR(B584)</f>
        <v>2024</v>
      </c>
      <c r="D584" s="57" t="n">
        <f aca="false">MONTH(B584)</f>
        <v>7</v>
      </c>
      <c r="E584" s="57" t="s">
        <v>960</v>
      </c>
      <c r="F584" s="57" t="s">
        <v>75</v>
      </c>
      <c r="G584" s="57" t="s">
        <v>35</v>
      </c>
      <c r="H584" s="57" t="s">
        <v>37</v>
      </c>
      <c r="I584" s="59" t="n">
        <v>1</v>
      </c>
      <c r="J584" s="60" t="n">
        <v>59</v>
      </c>
      <c r="K584" s="60" t="n">
        <v>27</v>
      </c>
      <c r="L584" s="61" t="n">
        <f aca="false">I584*J584</f>
        <v>59</v>
      </c>
      <c r="M584" s="61" t="n">
        <f aca="false">L584-I584*K584</f>
        <v>32</v>
      </c>
      <c r="N584" s="57" t="n">
        <f aca="false">IF(COUNTIFS(E$2:E584,E584,C$2:C584,C584)=1,1,0)</f>
        <v>1</v>
      </c>
      <c r="O584" s="57" t="n">
        <f aca="false">IF(COUNTIFS(E$2:E584,E584,C$2:C584,C584,D$2:D584,D584)=1,1,0)</f>
        <v>1</v>
      </c>
      <c r="P584" s="57" t="n">
        <f aca="false">IF(AND(C584=Calc!$C$3,OR(Calc!$C$4=0,D584=Calc!$C$4)),ROW(),0)</f>
        <v>0</v>
      </c>
    </row>
    <row r="585" customFormat="false" ht="15" hidden="false" customHeight="false" outlineLevel="0" collapsed="false">
      <c r="A585" s="57" t="s">
        <v>961</v>
      </c>
      <c r="B585" s="58" t="n">
        <v>45474</v>
      </c>
      <c r="C585" s="57" t="n">
        <f aca="false">YEAR(B585)</f>
        <v>2024</v>
      </c>
      <c r="D585" s="57" t="n">
        <f aca="false">MONTH(B585)</f>
        <v>7</v>
      </c>
      <c r="E585" s="57" t="s">
        <v>217</v>
      </c>
      <c r="F585" s="57" t="s">
        <v>75</v>
      </c>
      <c r="G585" s="57" t="s">
        <v>45</v>
      </c>
      <c r="H585" s="57" t="s">
        <v>46</v>
      </c>
      <c r="I585" s="59" t="n">
        <v>2</v>
      </c>
      <c r="J585" s="60" t="n">
        <v>149</v>
      </c>
      <c r="K585" s="60" t="n">
        <v>71</v>
      </c>
      <c r="L585" s="61" t="n">
        <f aca="false">I585*J585</f>
        <v>298</v>
      </c>
      <c r="M585" s="61" t="n">
        <f aca="false">L585-I585*K585</f>
        <v>156</v>
      </c>
      <c r="N585" s="57" t="n">
        <f aca="false">IF(COUNTIFS(E$2:E585,E585,C$2:C585,C585)=1,1,0)</f>
        <v>0</v>
      </c>
      <c r="O585" s="57" t="n">
        <f aca="false">IF(COUNTIFS(E$2:E585,E585,C$2:C585,C585,D$2:D585,D585)=1,1,0)</f>
        <v>1</v>
      </c>
      <c r="P585" s="57" t="n">
        <f aca="false">IF(AND(C585=Calc!$C$3,OR(Calc!$C$4=0,D585=Calc!$C$4)),ROW(),0)</f>
        <v>0</v>
      </c>
    </row>
    <row r="586" customFormat="false" ht="15" hidden="false" customHeight="false" outlineLevel="0" collapsed="false">
      <c r="A586" s="57" t="s">
        <v>962</v>
      </c>
      <c r="B586" s="58" t="n">
        <v>45474</v>
      </c>
      <c r="C586" s="57" t="n">
        <f aca="false">YEAR(B586)</f>
        <v>2024</v>
      </c>
      <c r="D586" s="57" t="n">
        <f aca="false">MONTH(B586)</f>
        <v>7</v>
      </c>
      <c r="E586" s="57" t="s">
        <v>963</v>
      </c>
      <c r="F586" s="57" t="s">
        <v>78</v>
      </c>
      <c r="G586" s="57" t="s">
        <v>40</v>
      </c>
      <c r="H586" s="57" t="s">
        <v>41</v>
      </c>
      <c r="I586" s="59" t="n">
        <v>1</v>
      </c>
      <c r="J586" s="60" t="n">
        <v>46</v>
      </c>
      <c r="K586" s="60" t="n">
        <v>16</v>
      </c>
      <c r="L586" s="61" t="n">
        <f aca="false">I586*J586</f>
        <v>46</v>
      </c>
      <c r="M586" s="61" t="n">
        <f aca="false">L586-I586*K586</f>
        <v>30</v>
      </c>
      <c r="N586" s="57" t="n">
        <f aca="false">IF(COUNTIFS(E$2:E586,E586,C$2:C586,C586)=1,1,0)</f>
        <v>1</v>
      </c>
      <c r="O586" s="57" t="n">
        <f aca="false">IF(COUNTIFS(E$2:E586,E586,C$2:C586,C586,D$2:D586,D586)=1,1,0)</f>
        <v>1</v>
      </c>
      <c r="P586" s="57" t="n">
        <f aca="false">IF(AND(C586=Calc!$C$3,OR(Calc!$C$4=0,D586=Calc!$C$4)),ROW(),0)</f>
        <v>0</v>
      </c>
    </row>
    <row r="587" customFormat="false" ht="15" hidden="false" customHeight="false" outlineLevel="0" collapsed="false">
      <c r="A587" s="57" t="s">
        <v>964</v>
      </c>
      <c r="B587" s="58" t="n">
        <v>45475</v>
      </c>
      <c r="C587" s="57" t="n">
        <f aca="false">YEAR(B587)</f>
        <v>2024</v>
      </c>
      <c r="D587" s="57" t="n">
        <f aca="false">MONTH(B587)</f>
        <v>7</v>
      </c>
      <c r="E587" s="57" t="s">
        <v>965</v>
      </c>
      <c r="F587" s="57" t="s">
        <v>72</v>
      </c>
      <c r="G587" s="57" t="s">
        <v>40</v>
      </c>
      <c r="H587" s="57" t="s">
        <v>43</v>
      </c>
      <c r="I587" s="59" t="n">
        <v>1</v>
      </c>
      <c r="J587" s="60" t="n">
        <v>29</v>
      </c>
      <c r="K587" s="60" t="n">
        <v>9</v>
      </c>
      <c r="L587" s="61" t="n">
        <f aca="false">I587*J587</f>
        <v>29</v>
      </c>
      <c r="M587" s="61" t="n">
        <f aca="false">L587-I587*K587</f>
        <v>20</v>
      </c>
      <c r="N587" s="57" t="n">
        <f aca="false">IF(COUNTIFS(E$2:E587,E587,C$2:C587,C587)=1,1,0)</f>
        <v>1</v>
      </c>
      <c r="O587" s="57" t="n">
        <f aca="false">IF(COUNTIFS(E$2:E587,E587,C$2:C587,C587,D$2:D587,D587)=1,1,0)</f>
        <v>1</v>
      </c>
      <c r="P587" s="57" t="n">
        <f aca="false">IF(AND(C587=Calc!$C$3,OR(Calc!$C$4=0,D587=Calc!$C$4)),ROW(),0)</f>
        <v>0</v>
      </c>
    </row>
    <row r="588" customFormat="false" ht="15" hidden="false" customHeight="false" outlineLevel="0" collapsed="false">
      <c r="A588" s="57" t="s">
        <v>966</v>
      </c>
      <c r="B588" s="58" t="n">
        <v>45475</v>
      </c>
      <c r="C588" s="57" t="n">
        <f aca="false">YEAR(B588)</f>
        <v>2024</v>
      </c>
      <c r="D588" s="57" t="n">
        <f aca="false">MONTH(B588)</f>
        <v>7</v>
      </c>
      <c r="E588" s="57" t="s">
        <v>261</v>
      </c>
      <c r="F588" s="57" t="s">
        <v>75</v>
      </c>
      <c r="G588" s="57" t="s">
        <v>40</v>
      </c>
      <c r="H588" s="57" t="s">
        <v>39</v>
      </c>
      <c r="I588" s="59" t="n">
        <v>1</v>
      </c>
      <c r="J588" s="60" t="n">
        <v>54</v>
      </c>
      <c r="K588" s="60" t="n">
        <v>19</v>
      </c>
      <c r="L588" s="61" t="n">
        <f aca="false">I588*J588</f>
        <v>54</v>
      </c>
      <c r="M588" s="61" t="n">
        <f aca="false">L588-I588*K588</f>
        <v>35</v>
      </c>
      <c r="N588" s="57" t="n">
        <f aca="false">IF(COUNTIFS(E$2:E588,E588,C$2:C588,C588)=1,1,0)</f>
        <v>0</v>
      </c>
      <c r="O588" s="57" t="n">
        <f aca="false">IF(COUNTIFS(E$2:E588,E588,C$2:C588,C588,D$2:D588,D588)=1,1,0)</f>
        <v>1</v>
      </c>
      <c r="P588" s="57" t="n">
        <f aca="false">IF(AND(C588=Calc!$C$3,OR(Calc!$C$4=0,D588=Calc!$C$4)),ROW(),0)</f>
        <v>0</v>
      </c>
    </row>
    <row r="589" customFormat="false" ht="15" hidden="false" customHeight="false" outlineLevel="0" collapsed="false">
      <c r="A589" s="57" t="s">
        <v>967</v>
      </c>
      <c r="B589" s="58" t="n">
        <v>45475</v>
      </c>
      <c r="C589" s="57" t="n">
        <f aca="false">YEAR(B589)</f>
        <v>2024</v>
      </c>
      <c r="D589" s="57" t="n">
        <f aca="false">MONTH(B589)</f>
        <v>7</v>
      </c>
      <c r="E589" s="57" t="s">
        <v>235</v>
      </c>
      <c r="F589" s="57" t="s">
        <v>69</v>
      </c>
      <c r="G589" s="57" t="s">
        <v>40</v>
      </c>
      <c r="H589" s="57" t="s">
        <v>39</v>
      </c>
      <c r="I589" s="59" t="n">
        <v>2</v>
      </c>
      <c r="J589" s="60" t="n">
        <v>54</v>
      </c>
      <c r="K589" s="60" t="n">
        <v>19</v>
      </c>
      <c r="L589" s="61" t="n">
        <f aca="false">I589*J589</f>
        <v>108</v>
      </c>
      <c r="M589" s="61" t="n">
        <f aca="false">L589-I589*K589</f>
        <v>70</v>
      </c>
      <c r="N589" s="57" t="n">
        <f aca="false">IF(COUNTIFS(E$2:E589,E589,C$2:C589,C589)=1,1,0)</f>
        <v>0</v>
      </c>
      <c r="O589" s="57" t="n">
        <f aca="false">IF(COUNTIFS(E$2:E589,E589,C$2:C589,C589,D$2:D589,D589)=1,1,0)</f>
        <v>1</v>
      </c>
      <c r="P589" s="57" t="n">
        <f aca="false">IF(AND(C589=Calc!$C$3,OR(Calc!$C$4=0,D589=Calc!$C$4)),ROW(),0)</f>
        <v>0</v>
      </c>
    </row>
    <row r="590" customFormat="false" ht="15" hidden="false" customHeight="false" outlineLevel="0" collapsed="false">
      <c r="A590" s="57" t="s">
        <v>968</v>
      </c>
      <c r="B590" s="58" t="n">
        <v>45475</v>
      </c>
      <c r="C590" s="57" t="n">
        <f aca="false">YEAR(B590)</f>
        <v>2024</v>
      </c>
      <c r="D590" s="57" t="n">
        <f aca="false">MONTH(B590)</f>
        <v>7</v>
      </c>
      <c r="E590" s="57" t="s">
        <v>773</v>
      </c>
      <c r="F590" s="57" t="s">
        <v>69</v>
      </c>
      <c r="G590" s="57" t="s">
        <v>35</v>
      </c>
      <c r="H590" s="57" t="s">
        <v>36</v>
      </c>
      <c r="I590" s="59" t="n">
        <v>2</v>
      </c>
      <c r="J590" s="60" t="n">
        <v>179</v>
      </c>
      <c r="K590" s="60" t="n">
        <v>92</v>
      </c>
      <c r="L590" s="61" t="n">
        <f aca="false">I590*J590</f>
        <v>358</v>
      </c>
      <c r="M590" s="61" t="n">
        <f aca="false">L590-I590*K590</f>
        <v>174</v>
      </c>
      <c r="N590" s="57" t="n">
        <f aca="false">IF(COUNTIFS(E$2:E590,E590,C$2:C590,C590)=1,1,0)</f>
        <v>0</v>
      </c>
      <c r="O590" s="57" t="n">
        <f aca="false">IF(COUNTIFS(E$2:E590,E590,C$2:C590,C590,D$2:D590,D590)=1,1,0)</f>
        <v>1</v>
      </c>
      <c r="P590" s="57" t="n">
        <f aca="false">IF(AND(C590=Calc!$C$3,OR(Calc!$C$4=0,D590=Calc!$C$4)),ROW(),0)</f>
        <v>0</v>
      </c>
    </row>
    <row r="591" customFormat="false" ht="15" hidden="false" customHeight="false" outlineLevel="0" collapsed="false">
      <c r="A591" s="57" t="s">
        <v>969</v>
      </c>
      <c r="B591" s="58" t="n">
        <v>45476</v>
      </c>
      <c r="C591" s="57" t="n">
        <f aca="false">YEAR(B591)</f>
        <v>2024</v>
      </c>
      <c r="D591" s="57" t="n">
        <f aca="false">MONTH(B591)</f>
        <v>7</v>
      </c>
      <c r="E591" s="57" t="s">
        <v>970</v>
      </c>
      <c r="F591" s="57" t="s">
        <v>75</v>
      </c>
      <c r="G591" s="57" t="s">
        <v>35</v>
      </c>
      <c r="H591" s="57" t="s">
        <v>38</v>
      </c>
      <c r="I591" s="59" t="n">
        <v>1</v>
      </c>
      <c r="J591" s="60" t="n">
        <v>49</v>
      </c>
      <c r="K591" s="60" t="n">
        <v>22</v>
      </c>
      <c r="L591" s="61" t="n">
        <f aca="false">I591*J591</f>
        <v>49</v>
      </c>
      <c r="M591" s="61" t="n">
        <f aca="false">L591-I591*K591</f>
        <v>27</v>
      </c>
      <c r="N591" s="57" t="n">
        <f aca="false">IF(COUNTIFS(E$2:E591,E591,C$2:C591,C591)=1,1,0)</f>
        <v>1</v>
      </c>
      <c r="O591" s="57" t="n">
        <f aca="false">IF(COUNTIFS(E$2:E591,E591,C$2:C591,C591,D$2:D591,D591)=1,1,0)</f>
        <v>1</v>
      </c>
      <c r="P591" s="57" t="n">
        <f aca="false">IF(AND(C591=Calc!$C$3,OR(Calc!$C$4=0,D591=Calc!$C$4)),ROW(),0)</f>
        <v>0</v>
      </c>
    </row>
    <row r="592" customFormat="false" ht="15" hidden="false" customHeight="false" outlineLevel="0" collapsed="false">
      <c r="A592" s="57" t="s">
        <v>971</v>
      </c>
      <c r="B592" s="58" t="n">
        <v>45476</v>
      </c>
      <c r="C592" s="57" t="n">
        <f aca="false">YEAR(B592)</f>
        <v>2024</v>
      </c>
      <c r="D592" s="57" t="n">
        <f aca="false">MONTH(B592)</f>
        <v>7</v>
      </c>
      <c r="E592" s="57" t="s">
        <v>843</v>
      </c>
      <c r="F592" s="57" t="s">
        <v>75</v>
      </c>
      <c r="G592" s="57" t="s">
        <v>35</v>
      </c>
      <c r="H592" s="57" t="s">
        <v>36</v>
      </c>
      <c r="I592" s="59" t="n">
        <v>2</v>
      </c>
      <c r="J592" s="60" t="n">
        <v>179</v>
      </c>
      <c r="K592" s="60" t="n">
        <v>92</v>
      </c>
      <c r="L592" s="61" t="n">
        <f aca="false">I592*J592</f>
        <v>358</v>
      </c>
      <c r="M592" s="61" t="n">
        <f aca="false">L592-I592*K592</f>
        <v>174</v>
      </c>
      <c r="N592" s="57" t="n">
        <f aca="false">IF(COUNTIFS(E$2:E592,E592,C$2:C592,C592)=1,1,0)</f>
        <v>0</v>
      </c>
      <c r="O592" s="57" t="n">
        <f aca="false">IF(COUNTIFS(E$2:E592,E592,C$2:C592,C592,D$2:D592,D592)=1,1,0)</f>
        <v>1</v>
      </c>
      <c r="P592" s="57" t="n">
        <f aca="false">IF(AND(C592=Calc!$C$3,OR(Calc!$C$4=0,D592=Calc!$C$4)),ROW(),0)</f>
        <v>0</v>
      </c>
    </row>
    <row r="593" customFormat="false" ht="15" hidden="false" customHeight="false" outlineLevel="0" collapsed="false">
      <c r="A593" s="57" t="s">
        <v>972</v>
      </c>
      <c r="B593" s="58" t="n">
        <v>45476</v>
      </c>
      <c r="C593" s="57" t="n">
        <f aca="false">YEAR(B593)</f>
        <v>2024</v>
      </c>
      <c r="D593" s="57" t="n">
        <f aca="false">MONTH(B593)</f>
        <v>7</v>
      </c>
      <c r="E593" s="57" t="s">
        <v>973</v>
      </c>
      <c r="F593" s="57" t="s">
        <v>78</v>
      </c>
      <c r="G593" s="57" t="s">
        <v>50</v>
      </c>
      <c r="H593" s="57" t="s">
        <v>49</v>
      </c>
      <c r="I593" s="59" t="n">
        <v>2</v>
      </c>
      <c r="J593" s="60" t="n">
        <v>32</v>
      </c>
      <c r="K593" s="60" t="n">
        <v>7</v>
      </c>
      <c r="L593" s="61" t="n">
        <f aca="false">I593*J593</f>
        <v>64</v>
      </c>
      <c r="M593" s="61" t="n">
        <f aca="false">L593-I593*K593</f>
        <v>50</v>
      </c>
      <c r="N593" s="57" t="n">
        <f aca="false">IF(COUNTIFS(E$2:E593,E593,C$2:C593,C593)=1,1,0)</f>
        <v>1</v>
      </c>
      <c r="O593" s="57" t="n">
        <f aca="false">IF(COUNTIFS(E$2:E593,E593,C$2:C593,C593,D$2:D593,D593)=1,1,0)</f>
        <v>1</v>
      </c>
      <c r="P593" s="57" t="n">
        <f aca="false">IF(AND(C593=Calc!$C$3,OR(Calc!$C$4=0,D593=Calc!$C$4)),ROW(),0)</f>
        <v>0</v>
      </c>
    </row>
    <row r="594" customFormat="false" ht="15" hidden="false" customHeight="false" outlineLevel="0" collapsed="false">
      <c r="A594" s="57" t="s">
        <v>974</v>
      </c>
      <c r="B594" s="58" t="n">
        <v>45477</v>
      </c>
      <c r="C594" s="57" t="n">
        <f aca="false">YEAR(B594)</f>
        <v>2024</v>
      </c>
      <c r="D594" s="57" t="n">
        <f aca="false">MONTH(B594)</f>
        <v>7</v>
      </c>
      <c r="E594" s="57" t="s">
        <v>170</v>
      </c>
      <c r="F594" s="57" t="s">
        <v>69</v>
      </c>
      <c r="G594" s="57" t="s">
        <v>54</v>
      </c>
      <c r="H594" s="57" t="s">
        <v>56</v>
      </c>
      <c r="I594" s="59" t="n">
        <v>1</v>
      </c>
      <c r="J594" s="60" t="n">
        <v>42</v>
      </c>
      <c r="K594" s="60" t="n">
        <v>17</v>
      </c>
      <c r="L594" s="61" t="n">
        <f aca="false">I594*J594</f>
        <v>42</v>
      </c>
      <c r="M594" s="61" t="n">
        <f aca="false">L594-I594*K594</f>
        <v>25</v>
      </c>
      <c r="N594" s="57" t="n">
        <f aca="false">IF(COUNTIFS(E$2:E594,E594,C$2:C594,C594)=1,1,0)</f>
        <v>0</v>
      </c>
      <c r="O594" s="57" t="n">
        <f aca="false">IF(COUNTIFS(E$2:E594,E594,C$2:C594,C594,D$2:D594,D594)=1,1,0)</f>
        <v>1</v>
      </c>
      <c r="P594" s="57" t="n">
        <f aca="false">IF(AND(C594=Calc!$C$3,OR(Calc!$C$4=0,D594=Calc!$C$4)),ROW(),0)</f>
        <v>0</v>
      </c>
    </row>
    <row r="595" customFormat="false" ht="15" hidden="false" customHeight="false" outlineLevel="0" collapsed="false">
      <c r="A595" s="57" t="s">
        <v>975</v>
      </c>
      <c r="B595" s="58" t="n">
        <v>45477</v>
      </c>
      <c r="C595" s="57" t="n">
        <f aca="false">YEAR(B595)</f>
        <v>2024</v>
      </c>
      <c r="D595" s="57" t="n">
        <f aca="false">MONTH(B595)</f>
        <v>7</v>
      </c>
      <c r="E595" s="57" t="s">
        <v>976</v>
      </c>
      <c r="F595" s="57" t="s">
        <v>75</v>
      </c>
      <c r="G595" s="57" t="s">
        <v>35</v>
      </c>
      <c r="H595" s="57" t="s">
        <v>38</v>
      </c>
      <c r="I595" s="59" t="n">
        <v>2</v>
      </c>
      <c r="J595" s="60" t="n">
        <v>49</v>
      </c>
      <c r="K595" s="60" t="n">
        <v>22</v>
      </c>
      <c r="L595" s="61" t="n">
        <f aca="false">I595*J595</f>
        <v>98</v>
      </c>
      <c r="M595" s="61" t="n">
        <f aca="false">L595-I595*K595</f>
        <v>54</v>
      </c>
      <c r="N595" s="57" t="n">
        <f aca="false">IF(COUNTIFS(E$2:E595,E595,C$2:C595,C595)=1,1,0)</f>
        <v>1</v>
      </c>
      <c r="O595" s="57" t="n">
        <f aca="false">IF(COUNTIFS(E$2:E595,E595,C$2:C595,C595,D$2:D595,D595)=1,1,0)</f>
        <v>1</v>
      </c>
      <c r="P595" s="57" t="n">
        <f aca="false">IF(AND(C595=Calc!$C$3,OR(Calc!$C$4=0,D595=Calc!$C$4)),ROW(),0)</f>
        <v>0</v>
      </c>
    </row>
    <row r="596" customFormat="false" ht="15" hidden="false" customHeight="false" outlineLevel="0" collapsed="false">
      <c r="A596" s="57" t="s">
        <v>977</v>
      </c>
      <c r="B596" s="58" t="n">
        <v>45477</v>
      </c>
      <c r="C596" s="57" t="n">
        <f aca="false">YEAR(B596)</f>
        <v>2024</v>
      </c>
      <c r="D596" s="57" t="n">
        <f aca="false">MONTH(B596)</f>
        <v>7</v>
      </c>
      <c r="E596" s="57" t="s">
        <v>978</v>
      </c>
      <c r="F596" s="57" t="s">
        <v>75</v>
      </c>
      <c r="G596" s="57" t="s">
        <v>50</v>
      </c>
      <c r="H596" s="57" t="s">
        <v>51</v>
      </c>
      <c r="I596" s="59" t="n">
        <v>1</v>
      </c>
      <c r="J596" s="60" t="n">
        <v>69</v>
      </c>
      <c r="K596" s="60" t="n">
        <v>29</v>
      </c>
      <c r="L596" s="61" t="n">
        <f aca="false">I596*J596</f>
        <v>69</v>
      </c>
      <c r="M596" s="61" t="n">
        <f aca="false">L596-I596*K596</f>
        <v>40</v>
      </c>
      <c r="N596" s="57" t="n">
        <f aca="false">IF(COUNTIFS(E$2:E596,E596,C$2:C596,C596)=1,1,0)</f>
        <v>1</v>
      </c>
      <c r="O596" s="57" t="n">
        <f aca="false">IF(COUNTIFS(E$2:E596,E596,C$2:C596,C596,D$2:D596,D596)=1,1,0)</f>
        <v>1</v>
      </c>
      <c r="P596" s="57" t="n">
        <f aca="false">IF(AND(C596=Calc!$C$3,OR(Calc!$C$4=0,D596=Calc!$C$4)),ROW(),0)</f>
        <v>0</v>
      </c>
    </row>
    <row r="597" customFormat="false" ht="15" hidden="false" customHeight="false" outlineLevel="0" collapsed="false">
      <c r="A597" s="57" t="s">
        <v>979</v>
      </c>
      <c r="B597" s="58" t="n">
        <v>45478</v>
      </c>
      <c r="C597" s="57" t="n">
        <f aca="false">YEAR(B597)</f>
        <v>2024</v>
      </c>
      <c r="D597" s="57" t="n">
        <f aca="false">MONTH(B597)</f>
        <v>7</v>
      </c>
      <c r="E597" s="57" t="s">
        <v>580</v>
      </c>
      <c r="F597" s="57" t="s">
        <v>75</v>
      </c>
      <c r="G597" s="57" t="s">
        <v>45</v>
      </c>
      <c r="H597" s="57" t="s">
        <v>48</v>
      </c>
      <c r="I597" s="59" t="n">
        <v>1</v>
      </c>
      <c r="J597" s="60" t="n">
        <v>99</v>
      </c>
      <c r="K597" s="60" t="n">
        <v>38</v>
      </c>
      <c r="L597" s="61" t="n">
        <f aca="false">I597*J597</f>
        <v>99</v>
      </c>
      <c r="M597" s="61" t="n">
        <f aca="false">L597-I597*K597</f>
        <v>61</v>
      </c>
      <c r="N597" s="57" t="n">
        <f aca="false">IF(COUNTIFS(E$2:E597,E597,C$2:C597,C597)=1,1,0)</f>
        <v>0</v>
      </c>
      <c r="O597" s="57" t="n">
        <f aca="false">IF(COUNTIFS(E$2:E597,E597,C$2:C597,C597,D$2:D597,D597)=1,1,0)</f>
        <v>1</v>
      </c>
      <c r="P597" s="57" t="n">
        <f aca="false">IF(AND(C597=Calc!$C$3,OR(Calc!$C$4=0,D597=Calc!$C$4)),ROW(),0)</f>
        <v>0</v>
      </c>
    </row>
    <row r="598" customFormat="false" ht="15" hidden="false" customHeight="false" outlineLevel="0" collapsed="false">
      <c r="A598" s="57" t="s">
        <v>980</v>
      </c>
      <c r="B598" s="58" t="n">
        <v>45478</v>
      </c>
      <c r="C598" s="57" t="n">
        <f aca="false">YEAR(B598)</f>
        <v>2024</v>
      </c>
      <c r="D598" s="57" t="n">
        <f aca="false">MONTH(B598)</f>
        <v>7</v>
      </c>
      <c r="E598" s="57" t="s">
        <v>315</v>
      </c>
      <c r="F598" s="57" t="s">
        <v>69</v>
      </c>
      <c r="G598" s="57" t="s">
        <v>45</v>
      </c>
      <c r="H598" s="57" t="s">
        <v>48</v>
      </c>
      <c r="I598" s="59" t="n">
        <v>1</v>
      </c>
      <c r="J598" s="60" t="n">
        <v>99</v>
      </c>
      <c r="K598" s="60" t="n">
        <v>38</v>
      </c>
      <c r="L598" s="61" t="n">
        <f aca="false">I598*J598</f>
        <v>99</v>
      </c>
      <c r="M598" s="61" t="n">
        <f aca="false">L598-I598*K598</f>
        <v>61</v>
      </c>
      <c r="N598" s="57" t="n">
        <f aca="false">IF(COUNTIFS(E$2:E598,E598,C$2:C598,C598)=1,1,0)</f>
        <v>0</v>
      </c>
      <c r="O598" s="57" t="n">
        <f aca="false">IF(COUNTIFS(E$2:E598,E598,C$2:C598,C598,D$2:D598,D598)=1,1,0)</f>
        <v>1</v>
      </c>
      <c r="P598" s="57" t="n">
        <f aca="false">IF(AND(C598=Calc!$C$3,OR(Calc!$C$4=0,D598=Calc!$C$4)),ROW(),0)</f>
        <v>0</v>
      </c>
    </row>
    <row r="599" customFormat="false" ht="15" hidden="false" customHeight="false" outlineLevel="0" collapsed="false">
      <c r="A599" s="57" t="s">
        <v>981</v>
      </c>
      <c r="B599" s="58" t="n">
        <v>45478</v>
      </c>
      <c r="C599" s="57" t="n">
        <f aca="false">YEAR(B599)</f>
        <v>2024</v>
      </c>
      <c r="D599" s="57" t="n">
        <f aca="false">MONTH(B599)</f>
        <v>7</v>
      </c>
      <c r="E599" s="57" t="s">
        <v>142</v>
      </c>
      <c r="F599" s="57" t="s">
        <v>78</v>
      </c>
      <c r="G599" s="57" t="s">
        <v>45</v>
      </c>
      <c r="H599" s="57" t="s">
        <v>46</v>
      </c>
      <c r="I599" s="59" t="n">
        <v>1</v>
      </c>
      <c r="J599" s="60" t="n">
        <v>149</v>
      </c>
      <c r="K599" s="60" t="n">
        <v>71</v>
      </c>
      <c r="L599" s="61" t="n">
        <f aca="false">I599*J599</f>
        <v>149</v>
      </c>
      <c r="M599" s="61" t="n">
        <f aca="false">L599-I599*K599</f>
        <v>78</v>
      </c>
      <c r="N599" s="57" t="n">
        <f aca="false">IF(COUNTIFS(E$2:E599,E599,C$2:C599,C599)=1,1,0)</f>
        <v>0</v>
      </c>
      <c r="O599" s="57" t="n">
        <f aca="false">IF(COUNTIFS(E$2:E599,E599,C$2:C599,C599,D$2:D599,D599)=1,1,0)</f>
        <v>1</v>
      </c>
      <c r="P599" s="57" t="n">
        <f aca="false">IF(AND(C599=Calc!$C$3,OR(Calc!$C$4=0,D599=Calc!$C$4)),ROW(),0)</f>
        <v>0</v>
      </c>
    </row>
    <row r="600" customFormat="false" ht="15" hidden="false" customHeight="false" outlineLevel="0" collapsed="false">
      <c r="A600" s="57" t="s">
        <v>982</v>
      </c>
      <c r="B600" s="58" t="n">
        <v>45479</v>
      </c>
      <c r="C600" s="57" t="n">
        <f aca="false">YEAR(B600)</f>
        <v>2024</v>
      </c>
      <c r="D600" s="57" t="n">
        <f aca="false">MONTH(B600)</f>
        <v>7</v>
      </c>
      <c r="E600" s="57" t="s">
        <v>983</v>
      </c>
      <c r="F600" s="57" t="s">
        <v>72</v>
      </c>
      <c r="G600" s="57" t="s">
        <v>35</v>
      </c>
      <c r="H600" s="57" t="s">
        <v>36</v>
      </c>
      <c r="I600" s="59" t="n">
        <v>1</v>
      </c>
      <c r="J600" s="60" t="n">
        <v>179</v>
      </c>
      <c r="K600" s="60" t="n">
        <v>92</v>
      </c>
      <c r="L600" s="61" t="n">
        <f aca="false">I600*J600</f>
        <v>179</v>
      </c>
      <c r="M600" s="61" t="n">
        <f aca="false">L600-I600*K600</f>
        <v>87</v>
      </c>
      <c r="N600" s="57" t="n">
        <f aca="false">IF(COUNTIFS(E$2:E600,E600,C$2:C600,C600)=1,1,0)</f>
        <v>1</v>
      </c>
      <c r="O600" s="57" t="n">
        <f aca="false">IF(COUNTIFS(E$2:E600,E600,C$2:C600,C600,D$2:D600,D600)=1,1,0)</f>
        <v>1</v>
      </c>
      <c r="P600" s="57" t="n">
        <f aca="false">IF(AND(C600=Calc!$C$3,OR(Calc!$C$4=0,D600=Calc!$C$4)),ROW(),0)</f>
        <v>0</v>
      </c>
    </row>
    <row r="601" customFormat="false" ht="15" hidden="false" customHeight="false" outlineLevel="0" collapsed="false">
      <c r="A601" s="57" t="s">
        <v>984</v>
      </c>
      <c r="B601" s="58" t="n">
        <v>45479</v>
      </c>
      <c r="C601" s="57" t="n">
        <f aca="false">YEAR(B601)</f>
        <v>2024</v>
      </c>
      <c r="D601" s="57" t="n">
        <f aca="false">MONTH(B601)</f>
        <v>7</v>
      </c>
      <c r="E601" s="57" t="s">
        <v>269</v>
      </c>
      <c r="F601" s="57" t="s">
        <v>81</v>
      </c>
      <c r="G601" s="57" t="s">
        <v>40</v>
      </c>
      <c r="H601" s="57" t="s">
        <v>39</v>
      </c>
      <c r="I601" s="59" t="n">
        <v>1</v>
      </c>
      <c r="J601" s="60" t="n">
        <v>54</v>
      </c>
      <c r="K601" s="60" t="n">
        <v>19</v>
      </c>
      <c r="L601" s="61" t="n">
        <f aca="false">I601*J601</f>
        <v>54</v>
      </c>
      <c r="M601" s="61" t="n">
        <f aca="false">L601-I601*K601</f>
        <v>35</v>
      </c>
      <c r="N601" s="57" t="n">
        <f aca="false">IF(COUNTIFS(E$2:E601,E601,C$2:C601,C601)=1,1,0)</f>
        <v>0</v>
      </c>
      <c r="O601" s="57" t="n">
        <f aca="false">IF(COUNTIFS(E$2:E601,E601,C$2:C601,C601,D$2:D601,D601)=1,1,0)</f>
        <v>1</v>
      </c>
      <c r="P601" s="57" t="n">
        <f aca="false">IF(AND(C601=Calc!$C$3,OR(Calc!$C$4=0,D601=Calc!$C$4)),ROW(),0)</f>
        <v>0</v>
      </c>
    </row>
    <row r="602" customFormat="false" ht="15" hidden="false" customHeight="false" outlineLevel="0" collapsed="false">
      <c r="A602" s="57" t="s">
        <v>985</v>
      </c>
      <c r="B602" s="58" t="n">
        <v>45479</v>
      </c>
      <c r="C602" s="57" t="n">
        <f aca="false">YEAR(B602)</f>
        <v>2024</v>
      </c>
      <c r="D602" s="57" t="n">
        <f aca="false">MONTH(B602)</f>
        <v>7</v>
      </c>
      <c r="E602" s="57" t="s">
        <v>986</v>
      </c>
      <c r="F602" s="57" t="s">
        <v>75</v>
      </c>
      <c r="G602" s="57" t="s">
        <v>50</v>
      </c>
      <c r="H602" s="57" t="s">
        <v>52</v>
      </c>
      <c r="I602" s="59" t="n">
        <v>1</v>
      </c>
      <c r="J602" s="60" t="n">
        <v>45</v>
      </c>
      <c r="K602" s="60" t="n">
        <v>14</v>
      </c>
      <c r="L602" s="61" t="n">
        <f aca="false">I602*J602</f>
        <v>45</v>
      </c>
      <c r="M602" s="61" t="n">
        <f aca="false">L602-I602*K602</f>
        <v>31</v>
      </c>
      <c r="N602" s="57" t="n">
        <f aca="false">IF(COUNTIFS(E$2:E602,E602,C$2:C602,C602)=1,1,0)</f>
        <v>1</v>
      </c>
      <c r="O602" s="57" t="n">
        <f aca="false">IF(COUNTIFS(E$2:E602,E602,C$2:C602,C602,D$2:D602,D602)=1,1,0)</f>
        <v>1</v>
      </c>
      <c r="P602" s="57" t="n">
        <f aca="false">IF(AND(C602=Calc!$C$3,OR(Calc!$C$4=0,D602=Calc!$C$4)),ROW(),0)</f>
        <v>0</v>
      </c>
    </row>
    <row r="603" customFormat="false" ht="15" hidden="false" customHeight="false" outlineLevel="0" collapsed="false">
      <c r="A603" s="57" t="s">
        <v>987</v>
      </c>
      <c r="B603" s="58" t="n">
        <v>45479</v>
      </c>
      <c r="C603" s="57" t="n">
        <f aca="false">YEAR(B603)</f>
        <v>2024</v>
      </c>
      <c r="D603" s="57" t="n">
        <f aca="false">MONTH(B603)</f>
        <v>7</v>
      </c>
      <c r="E603" s="57" t="s">
        <v>622</v>
      </c>
      <c r="F603" s="57" t="s">
        <v>69</v>
      </c>
      <c r="G603" s="57" t="s">
        <v>35</v>
      </c>
      <c r="H603" s="57" t="s">
        <v>34</v>
      </c>
      <c r="I603" s="59" t="n">
        <v>3</v>
      </c>
      <c r="J603" s="60" t="n">
        <v>89</v>
      </c>
      <c r="K603" s="60" t="n">
        <v>41</v>
      </c>
      <c r="L603" s="61" t="n">
        <f aca="false">I603*J603</f>
        <v>267</v>
      </c>
      <c r="M603" s="61" t="n">
        <f aca="false">L603-I603*K603</f>
        <v>144</v>
      </c>
      <c r="N603" s="57" t="n">
        <f aca="false">IF(COUNTIFS(E$2:E603,E603,C$2:C603,C603)=1,1,0)</f>
        <v>0</v>
      </c>
      <c r="O603" s="57" t="n">
        <f aca="false">IF(COUNTIFS(E$2:E603,E603,C$2:C603,C603,D$2:D603,D603)=1,1,0)</f>
        <v>1</v>
      </c>
      <c r="P603" s="57" t="n">
        <f aca="false">IF(AND(C603=Calc!$C$3,OR(Calc!$C$4=0,D603=Calc!$C$4)),ROW(),0)</f>
        <v>0</v>
      </c>
    </row>
    <row r="604" customFormat="false" ht="15" hidden="false" customHeight="false" outlineLevel="0" collapsed="false">
      <c r="A604" s="57" t="s">
        <v>988</v>
      </c>
      <c r="B604" s="58" t="n">
        <v>45479</v>
      </c>
      <c r="C604" s="57" t="n">
        <f aca="false">YEAR(B604)</f>
        <v>2024</v>
      </c>
      <c r="D604" s="57" t="n">
        <f aca="false">MONTH(B604)</f>
        <v>7</v>
      </c>
      <c r="E604" s="57" t="s">
        <v>384</v>
      </c>
      <c r="F604" s="57" t="s">
        <v>72</v>
      </c>
      <c r="G604" s="57" t="s">
        <v>35</v>
      </c>
      <c r="H604" s="57" t="s">
        <v>34</v>
      </c>
      <c r="I604" s="59" t="n">
        <v>1</v>
      </c>
      <c r="J604" s="60" t="n">
        <v>89</v>
      </c>
      <c r="K604" s="60" t="n">
        <v>41</v>
      </c>
      <c r="L604" s="61" t="n">
        <f aca="false">I604*J604</f>
        <v>89</v>
      </c>
      <c r="M604" s="61" t="n">
        <f aca="false">L604-I604*K604</f>
        <v>48</v>
      </c>
      <c r="N604" s="57" t="n">
        <f aca="false">IF(COUNTIFS(E$2:E604,E604,C$2:C604,C604)=1,1,0)</f>
        <v>0</v>
      </c>
      <c r="O604" s="57" t="n">
        <f aca="false">IF(COUNTIFS(E$2:E604,E604,C$2:C604,C604,D$2:D604,D604)=1,1,0)</f>
        <v>1</v>
      </c>
      <c r="P604" s="57" t="n">
        <f aca="false">IF(AND(C604=Calc!$C$3,OR(Calc!$C$4=0,D604=Calc!$C$4)),ROW(),0)</f>
        <v>0</v>
      </c>
    </row>
    <row r="605" customFormat="false" ht="15" hidden="false" customHeight="false" outlineLevel="0" collapsed="false">
      <c r="A605" s="57" t="s">
        <v>989</v>
      </c>
      <c r="B605" s="58" t="n">
        <v>45480</v>
      </c>
      <c r="C605" s="57" t="n">
        <f aca="false">YEAR(B605)</f>
        <v>2024</v>
      </c>
      <c r="D605" s="57" t="n">
        <f aca="false">MONTH(B605)</f>
        <v>7</v>
      </c>
      <c r="E605" s="57" t="s">
        <v>213</v>
      </c>
      <c r="F605" s="57" t="s">
        <v>78</v>
      </c>
      <c r="G605" s="57" t="s">
        <v>45</v>
      </c>
      <c r="H605" s="57" t="s">
        <v>46</v>
      </c>
      <c r="I605" s="59" t="n">
        <v>2</v>
      </c>
      <c r="J605" s="60" t="n">
        <v>149</v>
      </c>
      <c r="K605" s="60" t="n">
        <v>71</v>
      </c>
      <c r="L605" s="61" t="n">
        <f aca="false">I605*J605</f>
        <v>298</v>
      </c>
      <c r="M605" s="61" t="n">
        <f aca="false">L605-I605*K605</f>
        <v>156</v>
      </c>
      <c r="N605" s="57" t="n">
        <f aca="false">IF(COUNTIFS(E$2:E605,E605,C$2:C605,C605)=1,1,0)</f>
        <v>0</v>
      </c>
      <c r="O605" s="57" t="n">
        <f aca="false">IF(COUNTIFS(E$2:E605,E605,C$2:C605,C605,D$2:D605,D605)=1,1,0)</f>
        <v>1</v>
      </c>
      <c r="P605" s="57" t="n">
        <f aca="false">IF(AND(C605=Calc!$C$3,OR(Calc!$C$4=0,D605=Calc!$C$4)),ROW(),0)</f>
        <v>0</v>
      </c>
    </row>
    <row r="606" customFormat="false" ht="15" hidden="false" customHeight="false" outlineLevel="0" collapsed="false">
      <c r="A606" s="57" t="s">
        <v>990</v>
      </c>
      <c r="B606" s="58" t="n">
        <v>45480</v>
      </c>
      <c r="C606" s="57" t="n">
        <f aca="false">YEAR(B606)</f>
        <v>2024</v>
      </c>
      <c r="D606" s="57" t="n">
        <f aca="false">MONTH(B606)</f>
        <v>7</v>
      </c>
      <c r="E606" s="57" t="s">
        <v>256</v>
      </c>
      <c r="F606" s="57" t="s">
        <v>69</v>
      </c>
      <c r="G606" s="57" t="s">
        <v>45</v>
      </c>
      <c r="H606" s="57" t="s">
        <v>46</v>
      </c>
      <c r="I606" s="59" t="n">
        <v>3</v>
      </c>
      <c r="J606" s="60" t="n">
        <v>149</v>
      </c>
      <c r="K606" s="60" t="n">
        <v>71</v>
      </c>
      <c r="L606" s="61" t="n">
        <f aca="false">I606*J606</f>
        <v>447</v>
      </c>
      <c r="M606" s="61" t="n">
        <f aca="false">L606-I606*K606</f>
        <v>234</v>
      </c>
      <c r="N606" s="57" t="n">
        <f aca="false">IF(COUNTIFS(E$2:E606,E606,C$2:C606,C606)=1,1,0)</f>
        <v>0</v>
      </c>
      <c r="O606" s="57" t="n">
        <f aca="false">IF(COUNTIFS(E$2:E606,E606,C$2:C606,C606,D$2:D606,D606)=1,1,0)</f>
        <v>1</v>
      </c>
      <c r="P606" s="57" t="n">
        <f aca="false">IF(AND(C606=Calc!$C$3,OR(Calc!$C$4=0,D606=Calc!$C$4)),ROW(),0)</f>
        <v>0</v>
      </c>
    </row>
    <row r="607" customFormat="false" ht="15" hidden="false" customHeight="false" outlineLevel="0" collapsed="false">
      <c r="A607" s="57" t="s">
        <v>991</v>
      </c>
      <c r="B607" s="58" t="n">
        <v>45480</v>
      </c>
      <c r="C607" s="57" t="n">
        <f aca="false">YEAR(B607)</f>
        <v>2024</v>
      </c>
      <c r="D607" s="57" t="n">
        <f aca="false">MONTH(B607)</f>
        <v>7</v>
      </c>
      <c r="E607" s="57" t="s">
        <v>317</v>
      </c>
      <c r="F607" s="57" t="s">
        <v>72</v>
      </c>
      <c r="G607" s="57" t="s">
        <v>35</v>
      </c>
      <c r="H607" s="57" t="s">
        <v>34</v>
      </c>
      <c r="I607" s="59" t="n">
        <v>2</v>
      </c>
      <c r="J607" s="60" t="n">
        <v>89</v>
      </c>
      <c r="K607" s="60" t="n">
        <v>41</v>
      </c>
      <c r="L607" s="61" t="n">
        <f aca="false">I607*J607</f>
        <v>178</v>
      </c>
      <c r="M607" s="61" t="n">
        <f aca="false">L607-I607*K607</f>
        <v>96</v>
      </c>
      <c r="N607" s="57" t="n">
        <f aca="false">IF(COUNTIFS(E$2:E607,E607,C$2:C607,C607)=1,1,0)</f>
        <v>0</v>
      </c>
      <c r="O607" s="57" t="n">
        <f aca="false">IF(COUNTIFS(E$2:E607,E607,C$2:C607,C607,D$2:D607,D607)=1,1,0)</f>
        <v>1</v>
      </c>
      <c r="P607" s="57" t="n">
        <f aca="false">IF(AND(C607=Calc!$C$3,OR(Calc!$C$4=0,D607=Calc!$C$4)),ROW(),0)</f>
        <v>0</v>
      </c>
    </row>
    <row r="608" customFormat="false" ht="15" hidden="false" customHeight="false" outlineLevel="0" collapsed="false">
      <c r="A608" s="57" t="s">
        <v>992</v>
      </c>
      <c r="B608" s="58" t="n">
        <v>45481</v>
      </c>
      <c r="C608" s="57" t="n">
        <f aca="false">YEAR(B608)</f>
        <v>2024</v>
      </c>
      <c r="D608" s="57" t="n">
        <f aca="false">MONTH(B608)</f>
        <v>7</v>
      </c>
      <c r="E608" s="57" t="s">
        <v>424</v>
      </c>
      <c r="F608" s="57" t="s">
        <v>78</v>
      </c>
      <c r="G608" s="57" t="s">
        <v>45</v>
      </c>
      <c r="H608" s="57" t="s">
        <v>44</v>
      </c>
      <c r="I608" s="59" t="n">
        <v>1</v>
      </c>
      <c r="J608" s="60" t="n">
        <v>119</v>
      </c>
      <c r="K608" s="60" t="n">
        <v>63</v>
      </c>
      <c r="L608" s="61" t="n">
        <f aca="false">I608*J608</f>
        <v>119</v>
      </c>
      <c r="M608" s="61" t="n">
        <f aca="false">L608-I608*K608</f>
        <v>56</v>
      </c>
      <c r="N608" s="57" t="n">
        <f aca="false">IF(COUNTIFS(E$2:E608,E608,C$2:C608,C608)=1,1,0)</f>
        <v>0</v>
      </c>
      <c r="O608" s="57" t="n">
        <f aca="false">IF(COUNTIFS(E$2:E608,E608,C$2:C608,C608,D$2:D608,D608)=1,1,0)</f>
        <v>1</v>
      </c>
      <c r="P608" s="57" t="n">
        <f aca="false">IF(AND(C608=Calc!$C$3,OR(Calc!$C$4=0,D608=Calc!$C$4)),ROW(),0)</f>
        <v>0</v>
      </c>
    </row>
    <row r="609" customFormat="false" ht="15" hidden="false" customHeight="false" outlineLevel="0" collapsed="false">
      <c r="A609" s="57" t="s">
        <v>993</v>
      </c>
      <c r="B609" s="58" t="n">
        <v>45481</v>
      </c>
      <c r="C609" s="57" t="n">
        <f aca="false">YEAR(B609)</f>
        <v>2024</v>
      </c>
      <c r="D609" s="57" t="n">
        <f aca="false">MONTH(B609)</f>
        <v>7</v>
      </c>
      <c r="E609" s="57" t="s">
        <v>494</v>
      </c>
      <c r="F609" s="57" t="s">
        <v>78</v>
      </c>
      <c r="G609" s="57" t="s">
        <v>35</v>
      </c>
      <c r="H609" s="57" t="s">
        <v>37</v>
      </c>
      <c r="I609" s="59" t="n">
        <v>2</v>
      </c>
      <c r="J609" s="60" t="n">
        <v>59</v>
      </c>
      <c r="K609" s="60" t="n">
        <v>27</v>
      </c>
      <c r="L609" s="61" t="n">
        <f aca="false">I609*J609</f>
        <v>118</v>
      </c>
      <c r="M609" s="61" t="n">
        <f aca="false">L609-I609*K609</f>
        <v>64</v>
      </c>
      <c r="N609" s="57" t="n">
        <f aca="false">IF(COUNTIFS(E$2:E609,E609,C$2:C609,C609)=1,1,0)</f>
        <v>0</v>
      </c>
      <c r="O609" s="57" t="n">
        <f aca="false">IF(COUNTIFS(E$2:E609,E609,C$2:C609,C609,D$2:D609,D609)=1,1,0)</f>
        <v>1</v>
      </c>
      <c r="P609" s="57" t="n">
        <f aca="false">IF(AND(C609=Calc!$C$3,OR(Calc!$C$4=0,D609=Calc!$C$4)),ROW(),0)</f>
        <v>0</v>
      </c>
    </row>
    <row r="610" customFormat="false" ht="15" hidden="false" customHeight="false" outlineLevel="0" collapsed="false">
      <c r="A610" s="57" t="s">
        <v>994</v>
      </c>
      <c r="B610" s="58" t="n">
        <v>45481</v>
      </c>
      <c r="C610" s="57" t="n">
        <f aca="false">YEAR(B610)</f>
        <v>2024</v>
      </c>
      <c r="D610" s="57" t="n">
        <f aca="false">MONTH(B610)</f>
        <v>7</v>
      </c>
      <c r="E610" s="57" t="s">
        <v>584</v>
      </c>
      <c r="F610" s="57" t="s">
        <v>75</v>
      </c>
      <c r="G610" s="57" t="s">
        <v>35</v>
      </c>
      <c r="H610" s="57" t="s">
        <v>37</v>
      </c>
      <c r="I610" s="59" t="n">
        <v>1</v>
      </c>
      <c r="J610" s="60" t="n">
        <v>59</v>
      </c>
      <c r="K610" s="60" t="n">
        <v>27</v>
      </c>
      <c r="L610" s="61" t="n">
        <f aca="false">I610*J610</f>
        <v>59</v>
      </c>
      <c r="M610" s="61" t="n">
        <f aca="false">L610-I610*K610</f>
        <v>32</v>
      </c>
      <c r="N610" s="57" t="n">
        <f aca="false">IF(COUNTIFS(E$2:E610,E610,C$2:C610,C610)=1,1,0)</f>
        <v>0</v>
      </c>
      <c r="O610" s="57" t="n">
        <f aca="false">IF(COUNTIFS(E$2:E610,E610,C$2:C610,C610,D$2:D610,D610)=1,1,0)</f>
        <v>1</v>
      </c>
      <c r="P610" s="57" t="n">
        <f aca="false">IF(AND(C610=Calc!$C$3,OR(Calc!$C$4=0,D610=Calc!$C$4)),ROW(),0)</f>
        <v>0</v>
      </c>
    </row>
    <row r="611" customFormat="false" ht="15" hidden="false" customHeight="false" outlineLevel="0" collapsed="false">
      <c r="A611" s="57" t="s">
        <v>995</v>
      </c>
      <c r="B611" s="58" t="n">
        <v>45482</v>
      </c>
      <c r="C611" s="57" t="n">
        <f aca="false">YEAR(B611)</f>
        <v>2024</v>
      </c>
      <c r="D611" s="57" t="n">
        <f aca="false">MONTH(B611)</f>
        <v>7</v>
      </c>
      <c r="E611" s="57" t="s">
        <v>996</v>
      </c>
      <c r="F611" s="57" t="s">
        <v>75</v>
      </c>
      <c r="G611" s="57" t="s">
        <v>40</v>
      </c>
      <c r="H611" s="57" t="s">
        <v>41</v>
      </c>
      <c r="I611" s="59" t="n">
        <v>1</v>
      </c>
      <c r="J611" s="60" t="n">
        <v>46</v>
      </c>
      <c r="K611" s="60" t="n">
        <v>16</v>
      </c>
      <c r="L611" s="61" t="n">
        <f aca="false">I611*J611</f>
        <v>46</v>
      </c>
      <c r="M611" s="61" t="n">
        <f aca="false">L611-I611*K611</f>
        <v>30</v>
      </c>
      <c r="N611" s="57" t="n">
        <f aca="false">IF(COUNTIFS(E$2:E611,E611,C$2:C611,C611)=1,1,0)</f>
        <v>1</v>
      </c>
      <c r="O611" s="57" t="n">
        <f aca="false">IF(COUNTIFS(E$2:E611,E611,C$2:C611,C611,D$2:D611,D611)=1,1,0)</f>
        <v>1</v>
      </c>
      <c r="P611" s="57" t="n">
        <f aca="false">IF(AND(C611=Calc!$C$3,OR(Calc!$C$4=0,D611=Calc!$C$4)),ROW(),0)</f>
        <v>0</v>
      </c>
    </row>
    <row r="612" customFormat="false" ht="15" hidden="false" customHeight="false" outlineLevel="0" collapsed="false">
      <c r="A612" s="57" t="s">
        <v>997</v>
      </c>
      <c r="B612" s="58" t="n">
        <v>45482</v>
      </c>
      <c r="C612" s="57" t="n">
        <f aca="false">YEAR(B612)</f>
        <v>2024</v>
      </c>
      <c r="D612" s="57" t="n">
        <f aca="false">MONTH(B612)</f>
        <v>7</v>
      </c>
      <c r="E612" s="57" t="s">
        <v>998</v>
      </c>
      <c r="F612" s="57" t="s">
        <v>81</v>
      </c>
      <c r="G612" s="57" t="s">
        <v>35</v>
      </c>
      <c r="H612" s="57" t="s">
        <v>37</v>
      </c>
      <c r="I612" s="59" t="n">
        <v>3</v>
      </c>
      <c r="J612" s="60" t="n">
        <v>59</v>
      </c>
      <c r="K612" s="60" t="n">
        <v>27</v>
      </c>
      <c r="L612" s="61" t="n">
        <f aca="false">I612*J612</f>
        <v>177</v>
      </c>
      <c r="M612" s="61" t="n">
        <f aca="false">L612-I612*K612</f>
        <v>96</v>
      </c>
      <c r="N612" s="57" t="n">
        <f aca="false">IF(COUNTIFS(E$2:E612,E612,C$2:C612,C612)=1,1,0)</f>
        <v>1</v>
      </c>
      <c r="O612" s="57" t="n">
        <f aca="false">IF(COUNTIFS(E$2:E612,E612,C$2:C612,C612,D$2:D612,D612)=1,1,0)</f>
        <v>1</v>
      </c>
      <c r="P612" s="57" t="n">
        <f aca="false">IF(AND(C612=Calc!$C$3,OR(Calc!$C$4=0,D612=Calc!$C$4)),ROW(),0)</f>
        <v>0</v>
      </c>
    </row>
    <row r="613" customFormat="false" ht="15" hidden="false" customHeight="false" outlineLevel="0" collapsed="false">
      <c r="A613" s="57" t="s">
        <v>999</v>
      </c>
      <c r="B613" s="58" t="n">
        <v>45482</v>
      </c>
      <c r="C613" s="57" t="n">
        <f aca="false">YEAR(B613)</f>
        <v>2024</v>
      </c>
      <c r="D613" s="57" t="n">
        <f aca="false">MONTH(B613)</f>
        <v>7</v>
      </c>
      <c r="E613" s="57" t="s">
        <v>203</v>
      </c>
      <c r="F613" s="57" t="s">
        <v>78</v>
      </c>
      <c r="G613" s="57" t="s">
        <v>40</v>
      </c>
      <c r="H613" s="57" t="s">
        <v>43</v>
      </c>
      <c r="I613" s="59" t="n">
        <v>1</v>
      </c>
      <c r="J613" s="60" t="n">
        <v>29</v>
      </c>
      <c r="K613" s="60" t="n">
        <v>9</v>
      </c>
      <c r="L613" s="61" t="n">
        <f aca="false">I613*J613</f>
        <v>29</v>
      </c>
      <c r="M613" s="61" t="n">
        <f aca="false">L613-I613*K613</f>
        <v>20</v>
      </c>
      <c r="N613" s="57" t="n">
        <f aca="false">IF(COUNTIFS(E$2:E613,E613,C$2:C613,C613)=1,1,0)</f>
        <v>0</v>
      </c>
      <c r="O613" s="57" t="n">
        <f aca="false">IF(COUNTIFS(E$2:E613,E613,C$2:C613,C613,D$2:D613,D613)=1,1,0)</f>
        <v>1</v>
      </c>
      <c r="P613" s="57" t="n">
        <f aca="false">IF(AND(C613=Calc!$C$3,OR(Calc!$C$4=0,D613=Calc!$C$4)),ROW(),0)</f>
        <v>0</v>
      </c>
    </row>
    <row r="614" customFormat="false" ht="15" hidden="false" customHeight="false" outlineLevel="0" collapsed="false">
      <c r="A614" s="57" t="s">
        <v>1000</v>
      </c>
      <c r="B614" s="58" t="n">
        <v>45482</v>
      </c>
      <c r="C614" s="57" t="n">
        <f aca="false">YEAR(B614)</f>
        <v>2024</v>
      </c>
      <c r="D614" s="57" t="n">
        <f aca="false">MONTH(B614)</f>
        <v>7</v>
      </c>
      <c r="E614" s="57" t="s">
        <v>256</v>
      </c>
      <c r="F614" s="57" t="s">
        <v>69</v>
      </c>
      <c r="G614" s="57" t="s">
        <v>40</v>
      </c>
      <c r="H614" s="57" t="s">
        <v>39</v>
      </c>
      <c r="I614" s="59" t="n">
        <v>1</v>
      </c>
      <c r="J614" s="60" t="n">
        <v>54</v>
      </c>
      <c r="K614" s="60" t="n">
        <v>19</v>
      </c>
      <c r="L614" s="61" t="n">
        <f aca="false">I614*J614</f>
        <v>54</v>
      </c>
      <c r="M614" s="61" t="n">
        <f aca="false">L614-I614*K614</f>
        <v>35</v>
      </c>
      <c r="N614" s="57" t="n">
        <f aca="false">IF(COUNTIFS(E$2:E614,E614,C$2:C614,C614)=1,1,0)</f>
        <v>0</v>
      </c>
      <c r="O614" s="57" t="n">
        <f aca="false">IF(COUNTIFS(E$2:E614,E614,C$2:C614,C614,D$2:D614,D614)=1,1,0)</f>
        <v>0</v>
      </c>
      <c r="P614" s="57" t="n">
        <f aca="false">IF(AND(C614=Calc!$C$3,OR(Calc!$C$4=0,D614=Calc!$C$4)),ROW(),0)</f>
        <v>0</v>
      </c>
    </row>
    <row r="615" customFormat="false" ht="15" hidden="false" customHeight="false" outlineLevel="0" collapsed="false">
      <c r="A615" s="57" t="s">
        <v>1001</v>
      </c>
      <c r="B615" s="58" t="n">
        <v>45483</v>
      </c>
      <c r="C615" s="57" t="n">
        <f aca="false">YEAR(B615)</f>
        <v>2024</v>
      </c>
      <c r="D615" s="57" t="n">
        <f aca="false">MONTH(B615)</f>
        <v>7</v>
      </c>
      <c r="E615" s="57" t="s">
        <v>91</v>
      </c>
      <c r="F615" s="57" t="s">
        <v>69</v>
      </c>
      <c r="G615" s="57" t="s">
        <v>40</v>
      </c>
      <c r="H615" s="57" t="s">
        <v>41</v>
      </c>
      <c r="I615" s="59" t="n">
        <v>1</v>
      </c>
      <c r="J615" s="60" t="n">
        <v>46</v>
      </c>
      <c r="K615" s="60" t="n">
        <v>16</v>
      </c>
      <c r="L615" s="61" t="n">
        <f aca="false">I615*J615</f>
        <v>46</v>
      </c>
      <c r="M615" s="61" t="n">
        <f aca="false">L615-I615*K615</f>
        <v>30</v>
      </c>
      <c r="N615" s="57" t="n">
        <f aca="false">IF(COUNTIFS(E$2:E615,E615,C$2:C615,C615)=1,1,0)</f>
        <v>0</v>
      </c>
      <c r="O615" s="57" t="n">
        <f aca="false">IF(COUNTIFS(E$2:E615,E615,C$2:C615,C615,D$2:D615,D615)=1,1,0)</f>
        <v>1</v>
      </c>
      <c r="P615" s="57" t="n">
        <f aca="false">IF(AND(C615=Calc!$C$3,OR(Calc!$C$4=0,D615=Calc!$C$4)),ROW(),0)</f>
        <v>0</v>
      </c>
    </row>
    <row r="616" customFormat="false" ht="15" hidden="false" customHeight="false" outlineLevel="0" collapsed="false">
      <c r="A616" s="57" t="s">
        <v>1002</v>
      </c>
      <c r="B616" s="58" t="n">
        <v>45483</v>
      </c>
      <c r="C616" s="57" t="n">
        <f aca="false">YEAR(B616)</f>
        <v>2024</v>
      </c>
      <c r="D616" s="57" t="n">
        <f aca="false">MONTH(B616)</f>
        <v>7</v>
      </c>
      <c r="E616" s="57" t="s">
        <v>137</v>
      </c>
      <c r="F616" s="57" t="s">
        <v>75</v>
      </c>
      <c r="G616" s="57" t="s">
        <v>45</v>
      </c>
      <c r="H616" s="57" t="s">
        <v>47</v>
      </c>
      <c r="I616" s="59" t="n">
        <v>1</v>
      </c>
      <c r="J616" s="60" t="n">
        <v>34</v>
      </c>
      <c r="K616" s="60" t="n">
        <v>12</v>
      </c>
      <c r="L616" s="61" t="n">
        <f aca="false">I616*J616</f>
        <v>34</v>
      </c>
      <c r="M616" s="61" t="n">
        <f aca="false">L616-I616*K616</f>
        <v>22</v>
      </c>
      <c r="N616" s="57" t="n">
        <f aca="false">IF(COUNTIFS(E$2:E616,E616,C$2:C616,C616)=1,1,0)</f>
        <v>0</v>
      </c>
      <c r="O616" s="57" t="n">
        <f aca="false">IF(COUNTIFS(E$2:E616,E616,C$2:C616,C616,D$2:D616,D616)=1,1,0)</f>
        <v>1</v>
      </c>
      <c r="P616" s="57" t="n">
        <f aca="false">IF(AND(C616=Calc!$C$3,OR(Calc!$C$4=0,D616=Calc!$C$4)),ROW(),0)</f>
        <v>0</v>
      </c>
    </row>
    <row r="617" customFormat="false" ht="15" hidden="false" customHeight="false" outlineLevel="0" collapsed="false">
      <c r="A617" s="57" t="s">
        <v>1003</v>
      </c>
      <c r="B617" s="58" t="n">
        <v>45483</v>
      </c>
      <c r="C617" s="57" t="n">
        <f aca="false">YEAR(B617)</f>
        <v>2024</v>
      </c>
      <c r="D617" s="57" t="n">
        <f aca="false">MONTH(B617)</f>
        <v>7</v>
      </c>
      <c r="E617" s="57" t="s">
        <v>323</v>
      </c>
      <c r="F617" s="57" t="s">
        <v>75</v>
      </c>
      <c r="G617" s="57" t="s">
        <v>40</v>
      </c>
      <c r="H617" s="57" t="s">
        <v>39</v>
      </c>
      <c r="I617" s="59" t="n">
        <v>3</v>
      </c>
      <c r="J617" s="60" t="n">
        <v>54</v>
      </c>
      <c r="K617" s="60" t="n">
        <v>19</v>
      </c>
      <c r="L617" s="61" t="n">
        <f aca="false">I617*J617</f>
        <v>162</v>
      </c>
      <c r="M617" s="61" t="n">
        <f aca="false">L617-I617*K617</f>
        <v>105</v>
      </c>
      <c r="N617" s="57" t="n">
        <f aca="false">IF(COUNTIFS(E$2:E617,E617,C$2:C617,C617)=1,1,0)</f>
        <v>0</v>
      </c>
      <c r="O617" s="57" t="n">
        <f aca="false">IF(COUNTIFS(E$2:E617,E617,C$2:C617,C617,D$2:D617,D617)=1,1,0)</f>
        <v>1</v>
      </c>
      <c r="P617" s="57" t="n">
        <f aca="false">IF(AND(C617=Calc!$C$3,OR(Calc!$C$4=0,D617=Calc!$C$4)),ROW(),0)</f>
        <v>0</v>
      </c>
    </row>
    <row r="618" customFormat="false" ht="15" hidden="false" customHeight="false" outlineLevel="0" collapsed="false">
      <c r="A618" s="57" t="s">
        <v>1004</v>
      </c>
      <c r="B618" s="58" t="n">
        <v>45483</v>
      </c>
      <c r="C618" s="57" t="n">
        <f aca="false">YEAR(B618)</f>
        <v>2024</v>
      </c>
      <c r="D618" s="57" t="n">
        <f aca="false">MONTH(B618)</f>
        <v>7</v>
      </c>
      <c r="E618" s="57" t="s">
        <v>494</v>
      </c>
      <c r="F618" s="57" t="s">
        <v>78</v>
      </c>
      <c r="G618" s="57" t="s">
        <v>45</v>
      </c>
      <c r="H618" s="57" t="s">
        <v>47</v>
      </c>
      <c r="I618" s="59" t="n">
        <v>1</v>
      </c>
      <c r="J618" s="60" t="n">
        <v>34</v>
      </c>
      <c r="K618" s="60" t="n">
        <v>12</v>
      </c>
      <c r="L618" s="61" t="n">
        <f aca="false">I618*J618</f>
        <v>34</v>
      </c>
      <c r="M618" s="61" t="n">
        <f aca="false">L618-I618*K618</f>
        <v>22</v>
      </c>
      <c r="N618" s="57" t="n">
        <f aca="false">IF(COUNTIFS(E$2:E618,E618,C$2:C618,C618)=1,1,0)</f>
        <v>0</v>
      </c>
      <c r="O618" s="57" t="n">
        <f aca="false">IF(COUNTIFS(E$2:E618,E618,C$2:C618,C618,D$2:D618,D618)=1,1,0)</f>
        <v>0</v>
      </c>
      <c r="P618" s="57" t="n">
        <f aca="false">IF(AND(C618=Calc!$C$3,OR(Calc!$C$4=0,D618=Calc!$C$4)),ROW(),0)</f>
        <v>0</v>
      </c>
    </row>
    <row r="619" customFormat="false" ht="15" hidden="false" customHeight="false" outlineLevel="0" collapsed="false">
      <c r="A619" s="57" t="s">
        <v>1005</v>
      </c>
      <c r="B619" s="58" t="n">
        <v>45484</v>
      </c>
      <c r="C619" s="57" t="n">
        <f aca="false">YEAR(B619)</f>
        <v>2024</v>
      </c>
      <c r="D619" s="57" t="n">
        <f aca="false">MONTH(B619)</f>
        <v>7</v>
      </c>
      <c r="E619" s="57" t="s">
        <v>613</v>
      </c>
      <c r="F619" s="57" t="s">
        <v>72</v>
      </c>
      <c r="G619" s="57" t="s">
        <v>35</v>
      </c>
      <c r="H619" s="57" t="s">
        <v>37</v>
      </c>
      <c r="I619" s="59" t="n">
        <v>1</v>
      </c>
      <c r="J619" s="60" t="n">
        <v>59</v>
      </c>
      <c r="K619" s="60" t="n">
        <v>27</v>
      </c>
      <c r="L619" s="61" t="n">
        <f aca="false">I619*J619</f>
        <v>59</v>
      </c>
      <c r="M619" s="61" t="n">
        <f aca="false">L619-I619*K619</f>
        <v>32</v>
      </c>
      <c r="N619" s="57" t="n">
        <f aca="false">IF(COUNTIFS(E$2:E619,E619,C$2:C619,C619)=1,1,0)</f>
        <v>0</v>
      </c>
      <c r="O619" s="57" t="n">
        <f aca="false">IF(COUNTIFS(E$2:E619,E619,C$2:C619,C619,D$2:D619,D619)=1,1,0)</f>
        <v>1</v>
      </c>
      <c r="P619" s="57" t="n">
        <f aca="false">IF(AND(C619=Calc!$C$3,OR(Calc!$C$4=0,D619=Calc!$C$4)),ROW(),0)</f>
        <v>0</v>
      </c>
    </row>
    <row r="620" customFormat="false" ht="15" hidden="false" customHeight="false" outlineLevel="0" collapsed="false">
      <c r="A620" s="57" t="s">
        <v>1006</v>
      </c>
      <c r="B620" s="58" t="n">
        <v>45484</v>
      </c>
      <c r="C620" s="57" t="n">
        <f aca="false">YEAR(B620)</f>
        <v>2024</v>
      </c>
      <c r="D620" s="57" t="n">
        <f aca="false">MONTH(B620)</f>
        <v>7</v>
      </c>
      <c r="E620" s="57" t="s">
        <v>836</v>
      </c>
      <c r="F620" s="57" t="s">
        <v>69</v>
      </c>
      <c r="G620" s="57" t="s">
        <v>40</v>
      </c>
      <c r="H620" s="57" t="s">
        <v>42</v>
      </c>
      <c r="I620" s="59" t="n">
        <v>1</v>
      </c>
      <c r="J620" s="60" t="n">
        <v>79</v>
      </c>
      <c r="K620" s="60" t="n">
        <v>31</v>
      </c>
      <c r="L620" s="61" t="n">
        <f aca="false">I620*J620</f>
        <v>79</v>
      </c>
      <c r="M620" s="61" t="n">
        <f aca="false">L620-I620*K620</f>
        <v>48</v>
      </c>
      <c r="N620" s="57" t="n">
        <f aca="false">IF(COUNTIFS(E$2:E620,E620,C$2:C620,C620)=1,1,0)</f>
        <v>0</v>
      </c>
      <c r="O620" s="57" t="n">
        <f aca="false">IF(COUNTIFS(E$2:E620,E620,C$2:C620,C620,D$2:D620,D620)=1,1,0)</f>
        <v>1</v>
      </c>
      <c r="P620" s="57" t="n">
        <f aca="false">IF(AND(C620=Calc!$C$3,OR(Calc!$C$4=0,D620=Calc!$C$4)),ROW(),0)</f>
        <v>0</v>
      </c>
    </row>
    <row r="621" customFormat="false" ht="15" hidden="false" customHeight="false" outlineLevel="0" collapsed="false">
      <c r="A621" s="57" t="s">
        <v>1007</v>
      </c>
      <c r="B621" s="58" t="n">
        <v>45485</v>
      </c>
      <c r="C621" s="57" t="n">
        <f aca="false">YEAR(B621)</f>
        <v>2024</v>
      </c>
      <c r="D621" s="57" t="n">
        <f aca="false">MONTH(B621)</f>
        <v>7</v>
      </c>
      <c r="E621" s="57" t="s">
        <v>1008</v>
      </c>
      <c r="F621" s="57" t="s">
        <v>78</v>
      </c>
      <c r="G621" s="57" t="s">
        <v>35</v>
      </c>
      <c r="H621" s="57" t="s">
        <v>38</v>
      </c>
      <c r="I621" s="59" t="n">
        <v>1</v>
      </c>
      <c r="J621" s="60" t="n">
        <v>49</v>
      </c>
      <c r="K621" s="60" t="n">
        <v>22</v>
      </c>
      <c r="L621" s="61" t="n">
        <f aca="false">I621*J621</f>
        <v>49</v>
      </c>
      <c r="M621" s="61" t="n">
        <f aca="false">L621-I621*K621</f>
        <v>27</v>
      </c>
      <c r="N621" s="57" t="n">
        <f aca="false">IF(COUNTIFS(E$2:E621,E621,C$2:C621,C621)=1,1,0)</f>
        <v>1</v>
      </c>
      <c r="O621" s="57" t="n">
        <f aca="false">IF(COUNTIFS(E$2:E621,E621,C$2:C621,C621,D$2:D621,D621)=1,1,0)</f>
        <v>1</v>
      </c>
      <c r="P621" s="57" t="n">
        <f aca="false">IF(AND(C621=Calc!$C$3,OR(Calc!$C$4=0,D621=Calc!$C$4)),ROW(),0)</f>
        <v>0</v>
      </c>
    </row>
    <row r="622" customFormat="false" ht="15" hidden="false" customHeight="false" outlineLevel="0" collapsed="false">
      <c r="A622" s="57" t="s">
        <v>1009</v>
      </c>
      <c r="B622" s="58" t="n">
        <v>45485</v>
      </c>
      <c r="C622" s="57" t="n">
        <f aca="false">YEAR(B622)</f>
        <v>2024</v>
      </c>
      <c r="D622" s="57" t="n">
        <f aca="false">MONTH(B622)</f>
        <v>7</v>
      </c>
      <c r="E622" s="57" t="s">
        <v>275</v>
      </c>
      <c r="F622" s="57" t="s">
        <v>75</v>
      </c>
      <c r="G622" s="57" t="s">
        <v>50</v>
      </c>
      <c r="H622" s="57" t="s">
        <v>52</v>
      </c>
      <c r="I622" s="59" t="n">
        <v>1</v>
      </c>
      <c r="J622" s="60" t="n">
        <v>45</v>
      </c>
      <c r="K622" s="60" t="n">
        <v>14</v>
      </c>
      <c r="L622" s="61" t="n">
        <f aca="false">I622*J622</f>
        <v>45</v>
      </c>
      <c r="M622" s="61" t="n">
        <f aca="false">L622-I622*K622</f>
        <v>31</v>
      </c>
      <c r="N622" s="57" t="n">
        <f aca="false">IF(COUNTIFS(E$2:E622,E622,C$2:C622,C622)=1,1,0)</f>
        <v>0</v>
      </c>
      <c r="O622" s="57" t="n">
        <f aca="false">IF(COUNTIFS(E$2:E622,E622,C$2:C622,C622,D$2:D622,D622)=1,1,0)</f>
        <v>1</v>
      </c>
      <c r="P622" s="57" t="n">
        <f aca="false">IF(AND(C622=Calc!$C$3,OR(Calc!$C$4=0,D622=Calc!$C$4)),ROW(),0)</f>
        <v>0</v>
      </c>
    </row>
    <row r="623" customFormat="false" ht="15" hidden="false" customHeight="false" outlineLevel="0" collapsed="false">
      <c r="A623" s="57" t="s">
        <v>1010</v>
      </c>
      <c r="B623" s="58" t="n">
        <v>45485</v>
      </c>
      <c r="C623" s="57" t="n">
        <f aca="false">YEAR(B623)</f>
        <v>2024</v>
      </c>
      <c r="D623" s="57" t="n">
        <f aca="false">MONTH(B623)</f>
        <v>7</v>
      </c>
      <c r="E623" s="57" t="s">
        <v>1011</v>
      </c>
      <c r="F623" s="57" t="s">
        <v>78</v>
      </c>
      <c r="G623" s="57" t="s">
        <v>35</v>
      </c>
      <c r="H623" s="57" t="s">
        <v>34</v>
      </c>
      <c r="I623" s="59" t="n">
        <v>1</v>
      </c>
      <c r="J623" s="60" t="n">
        <v>89</v>
      </c>
      <c r="K623" s="60" t="n">
        <v>41</v>
      </c>
      <c r="L623" s="61" t="n">
        <f aca="false">I623*J623</f>
        <v>89</v>
      </c>
      <c r="M623" s="61" t="n">
        <f aca="false">L623-I623*K623</f>
        <v>48</v>
      </c>
      <c r="N623" s="57" t="n">
        <f aca="false">IF(COUNTIFS(E$2:E623,E623,C$2:C623,C623)=1,1,0)</f>
        <v>1</v>
      </c>
      <c r="O623" s="57" t="n">
        <f aca="false">IF(COUNTIFS(E$2:E623,E623,C$2:C623,C623,D$2:D623,D623)=1,1,0)</f>
        <v>1</v>
      </c>
      <c r="P623" s="57" t="n">
        <f aca="false">IF(AND(C623=Calc!$C$3,OR(Calc!$C$4=0,D623=Calc!$C$4)),ROW(),0)</f>
        <v>0</v>
      </c>
    </row>
    <row r="624" customFormat="false" ht="15" hidden="false" customHeight="false" outlineLevel="0" collapsed="false">
      <c r="A624" s="57" t="s">
        <v>1012</v>
      </c>
      <c r="B624" s="58" t="n">
        <v>45486</v>
      </c>
      <c r="C624" s="57" t="n">
        <f aca="false">YEAR(B624)</f>
        <v>2024</v>
      </c>
      <c r="D624" s="57" t="n">
        <f aca="false">MONTH(B624)</f>
        <v>7</v>
      </c>
      <c r="E624" s="57" t="s">
        <v>475</v>
      </c>
      <c r="F624" s="57" t="s">
        <v>72</v>
      </c>
      <c r="G624" s="57" t="s">
        <v>40</v>
      </c>
      <c r="H624" s="57" t="s">
        <v>41</v>
      </c>
      <c r="I624" s="59" t="n">
        <v>1</v>
      </c>
      <c r="J624" s="60" t="n">
        <v>46</v>
      </c>
      <c r="K624" s="60" t="n">
        <v>16</v>
      </c>
      <c r="L624" s="61" t="n">
        <f aca="false">I624*J624</f>
        <v>46</v>
      </c>
      <c r="M624" s="61" t="n">
        <f aca="false">L624-I624*K624</f>
        <v>30</v>
      </c>
      <c r="N624" s="57" t="n">
        <f aca="false">IF(COUNTIFS(E$2:E624,E624,C$2:C624,C624)=1,1,0)</f>
        <v>0</v>
      </c>
      <c r="O624" s="57" t="n">
        <f aca="false">IF(COUNTIFS(E$2:E624,E624,C$2:C624,C624,D$2:D624,D624)=1,1,0)</f>
        <v>1</v>
      </c>
      <c r="P624" s="57" t="n">
        <f aca="false">IF(AND(C624=Calc!$C$3,OR(Calc!$C$4=0,D624=Calc!$C$4)),ROW(),0)</f>
        <v>0</v>
      </c>
    </row>
    <row r="625" customFormat="false" ht="15" hidden="false" customHeight="false" outlineLevel="0" collapsed="false">
      <c r="A625" s="57" t="s">
        <v>1013</v>
      </c>
      <c r="B625" s="58" t="n">
        <v>45486</v>
      </c>
      <c r="C625" s="57" t="n">
        <f aca="false">YEAR(B625)</f>
        <v>2024</v>
      </c>
      <c r="D625" s="57" t="n">
        <f aca="false">MONTH(B625)</f>
        <v>7</v>
      </c>
      <c r="E625" s="57" t="s">
        <v>1014</v>
      </c>
      <c r="F625" s="57" t="s">
        <v>69</v>
      </c>
      <c r="G625" s="57" t="s">
        <v>35</v>
      </c>
      <c r="H625" s="57" t="s">
        <v>38</v>
      </c>
      <c r="I625" s="59" t="n">
        <v>1</v>
      </c>
      <c r="J625" s="60" t="n">
        <v>49</v>
      </c>
      <c r="K625" s="60" t="n">
        <v>22</v>
      </c>
      <c r="L625" s="61" t="n">
        <f aca="false">I625*J625</f>
        <v>49</v>
      </c>
      <c r="M625" s="61" t="n">
        <f aca="false">L625-I625*K625</f>
        <v>27</v>
      </c>
      <c r="N625" s="57" t="n">
        <f aca="false">IF(COUNTIFS(E$2:E625,E625,C$2:C625,C625)=1,1,0)</f>
        <v>1</v>
      </c>
      <c r="O625" s="57" t="n">
        <f aca="false">IF(COUNTIFS(E$2:E625,E625,C$2:C625,C625,D$2:D625,D625)=1,1,0)</f>
        <v>1</v>
      </c>
      <c r="P625" s="57" t="n">
        <f aca="false">IF(AND(C625=Calc!$C$3,OR(Calc!$C$4=0,D625=Calc!$C$4)),ROW(),0)</f>
        <v>0</v>
      </c>
    </row>
    <row r="626" customFormat="false" ht="15" hidden="false" customHeight="false" outlineLevel="0" collapsed="false">
      <c r="A626" s="57" t="s">
        <v>1015</v>
      </c>
      <c r="B626" s="58" t="n">
        <v>45486</v>
      </c>
      <c r="C626" s="57" t="n">
        <f aca="false">YEAR(B626)</f>
        <v>2024</v>
      </c>
      <c r="D626" s="57" t="n">
        <f aca="false">MONTH(B626)</f>
        <v>7</v>
      </c>
      <c r="E626" s="57" t="s">
        <v>986</v>
      </c>
      <c r="F626" s="57" t="s">
        <v>75</v>
      </c>
      <c r="G626" s="57" t="s">
        <v>40</v>
      </c>
      <c r="H626" s="57" t="s">
        <v>39</v>
      </c>
      <c r="I626" s="59" t="n">
        <v>2</v>
      </c>
      <c r="J626" s="60" t="n">
        <v>54</v>
      </c>
      <c r="K626" s="60" t="n">
        <v>19</v>
      </c>
      <c r="L626" s="61" t="n">
        <f aca="false">I626*J626</f>
        <v>108</v>
      </c>
      <c r="M626" s="61" t="n">
        <f aca="false">L626-I626*K626</f>
        <v>70</v>
      </c>
      <c r="N626" s="57" t="n">
        <f aca="false">IF(COUNTIFS(E$2:E626,E626,C$2:C626,C626)=1,1,0)</f>
        <v>0</v>
      </c>
      <c r="O626" s="57" t="n">
        <f aca="false">IF(COUNTIFS(E$2:E626,E626,C$2:C626,C626,D$2:D626,D626)=1,1,0)</f>
        <v>0</v>
      </c>
      <c r="P626" s="57" t="n">
        <f aca="false">IF(AND(C626=Calc!$C$3,OR(Calc!$C$4=0,D626=Calc!$C$4)),ROW(),0)</f>
        <v>0</v>
      </c>
    </row>
    <row r="627" customFormat="false" ht="15" hidden="false" customHeight="false" outlineLevel="0" collapsed="false">
      <c r="A627" s="57" t="s">
        <v>1016</v>
      </c>
      <c r="B627" s="58" t="n">
        <v>45487</v>
      </c>
      <c r="C627" s="57" t="n">
        <f aca="false">YEAR(B627)</f>
        <v>2024</v>
      </c>
      <c r="D627" s="57" t="n">
        <f aca="false">MONTH(B627)</f>
        <v>7</v>
      </c>
      <c r="E627" s="57" t="s">
        <v>594</v>
      </c>
      <c r="F627" s="57" t="s">
        <v>81</v>
      </c>
      <c r="G627" s="57" t="s">
        <v>35</v>
      </c>
      <c r="H627" s="57" t="s">
        <v>34</v>
      </c>
      <c r="I627" s="59" t="n">
        <v>1</v>
      </c>
      <c r="J627" s="60" t="n">
        <v>89</v>
      </c>
      <c r="K627" s="60" t="n">
        <v>41</v>
      </c>
      <c r="L627" s="61" t="n">
        <f aca="false">I627*J627</f>
        <v>89</v>
      </c>
      <c r="M627" s="61" t="n">
        <f aca="false">L627-I627*K627</f>
        <v>48</v>
      </c>
      <c r="N627" s="57" t="n">
        <f aca="false">IF(COUNTIFS(E$2:E627,E627,C$2:C627,C627)=1,1,0)</f>
        <v>0</v>
      </c>
      <c r="O627" s="57" t="n">
        <f aca="false">IF(COUNTIFS(E$2:E627,E627,C$2:C627,C627,D$2:D627,D627)=1,1,0)</f>
        <v>1</v>
      </c>
      <c r="P627" s="57" t="n">
        <f aca="false">IF(AND(C627=Calc!$C$3,OR(Calc!$C$4=0,D627=Calc!$C$4)),ROW(),0)</f>
        <v>0</v>
      </c>
    </row>
    <row r="628" customFormat="false" ht="15" hidden="false" customHeight="false" outlineLevel="0" collapsed="false">
      <c r="A628" s="57" t="s">
        <v>1017</v>
      </c>
      <c r="B628" s="58" t="n">
        <v>45487</v>
      </c>
      <c r="C628" s="57" t="n">
        <f aca="false">YEAR(B628)</f>
        <v>2024</v>
      </c>
      <c r="D628" s="57" t="n">
        <f aca="false">MONTH(B628)</f>
        <v>7</v>
      </c>
      <c r="E628" s="57" t="s">
        <v>122</v>
      </c>
      <c r="F628" s="57" t="s">
        <v>81</v>
      </c>
      <c r="G628" s="57" t="s">
        <v>45</v>
      </c>
      <c r="H628" s="57" t="s">
        <v>48</v>
      </c>
      <c r="I628" s="59" t="n">
        <v>1</v>
      </c>
      <c r="J628" s="60" t="n">
        <v>99</v>
      </c>
      <c r="K628" s="60" t="n">
        <v>38</v>
      </c>
      <c r="L628" s="61" t="n">
        <f aca="false">I628*J628</f>
        <v>99</v>
      </c>
      <c r="M628" s="61" t="n">
        <f aca="false">L628-I628*K628</f>
        <v>61</v>
      </c>
      <c r="N628" s="57" t="n">
        <f aca="false">IF(COUNTIFS(E$2:E628,E628,C$2:C628,C628)=1,1,0)</f>
        <v>0</v>
      </c>
      <c r="O628" s="57" t="n">
        <f aca="false">IF(COUNTIFS(E$2:E628,E628,C$2:C628,C628,D$2:D628,D628)=1,1,0)</f>
        <v>1</v>
      </c>
      <c r="P628" s="57" t="n">
        <f aca="false">IF(AND(C628=Calc!$C$3,OR(Calc!$C$4=0,D628=Calc!$C$4)),ROW(),0)</f>
        <v>0</v>
      </c>
    </row>
    <row r="629" customFormat="false" ht="15" hidden="false" customHeight="false" outlineLevel="0" collapsed="false">
      <c r="A629" s="57" t="s">
        <v>1018</v>
      </c>
      <c r="B629" s="58" t="n">
        <v>45487</v>
      </c>
      <c r="C629" s="57" t="n">
        <f aca="false">YEAR(B629)</f>
        <v>2024</v>
      </c>
      <c r="D629" s="57" t="n">
        <f aca="false">MONTH(B629)</f>
        <v>7</v>
      </c>
      <c r="E629" s="57" t="s">
        <v>569</v>
      </c>
      <c r="F629" s="57" t="s">
        <v>72</v>
      </c>
      <c r="G629" s="57" t="s">
        <v>40</v>
      </c>
      <c r="H629" s="57" t="s">
        <v>42</v>
      </c>
      <c r="I629" s="59" t="n">
        <v>1</v>
      </c>
      <c r="J629" s="60" t="n">
        <v>79</v>
      </c>
      <c r="K629" s="60" t="n">
        <v>31</v>
      </c>
      <c r="L629" s="61" t="n">
        <f aca="false">I629*J629</f>
        <v>79</v>
      </c>
      <c r="M629" s="61" t="n">
        <f aca="false">L629-I629*K629</f>
        <v>48</v>
      </c>
      <c r="N629" s="57" t="n">
        <f aca="false">IF(COUNTIFS(E$2:E629,E629,C$2:C629,C629)=1,1,0)</f>
        <v>0</v>
      </c>
      <c r="O629" s="57" t="n">
        <f aca="false">IF(COUNTIFS(E$2:E629,E629,C$2:C629,C629,D$2:D629,D629)=1,1,0)</f>
        <v>1</v>
      </c>
      <c r="P629" s="57" t="n">
        <f aca="false">IF(AND(C629=Calc!$C$3,OR(Calc!$C$4=0,D629=Calc!$C$4)),ROW(),0)</f>
        <v>0</v>
      </c>
    </row>
    <row r="630" customFormat="false" ht="15" hidden="false" customHeight="false" outlineLevel="0" collapsed="false">
      <c r="A630" s="57" t="s">
        <v>1019</v>
      </c>
      <c r="B630" s="58" t="n">
        <v>45487</v>
      </c>
      <c r="C630" s="57" t="n">
        <f aca="false">YEAR(B630)</f>
        <v>2024</v>
      </c>
      <c r="D630" s="57" t="n">
        <f aca="false">MONTH(B630)</f>
        <v>7</v>
      </c>
      <c r="E630" s="57" t="s">
        <v>440</v>
      </c>
      <c r="F630" s="57" t="s">
        <v>78</v>
      </c>
      <c r="G630" s="57" t="s">
        <v>50</v>
      </c>
      <c r="H630" s="57" t="s">
        <v>49</v>
      </c>
      <c r="I630" s="59" t="n">
        <v>1</v>
      </c>
      <c r="J630" s="60" t="n">
        <v>32</v>
      </c>
      <c r="K630" s="60" t="n">
        <v>7</v>
      </c>
      <c r="L630" s="61" t="n">
        <f aca="false">I630*J630</f>
        <v>32</v>
      </c>
      <c r="M630" s="61" t="n">
        <f aca="false">L630-I630*K630</f>
        <v>25</v>
      </c>
      <c r="N630" s="57" t="n">
        <f aca="false">IF(COUNTIFS(E$2:E630,E630,C$2:C630,C630)=1,1,0)</f>
        <v>0</v>
      </c>
      <c r="O630" s="57" t="n">
        <f aca="false">IF(COUNTIFS(E$2:E630,E630,C$2:C630,C630,D$2:D630,D630)=1,1,0)</f>
        <v>1</v>
      </c>
      <c r="P630" s="57" t="n">
        <f aca="false">IF(AND(C630=Calc!$C$3,OR(Calc!$C$4=0,D630=Calc!$C$4)),ROW(),0)</f>
        <v>0</v>
      </c>
    </row>
    <row r="631" customFormat="false" ht="15" hidden="false" customHeight="false" outlineLevel="0" collapsed="false">
      <c r="A631" s="57" t="s">
        <v>1020</v>
      </c>
      <c r="B631" s="58" t="n">
        <v>45488</v>
      </c>
      <c r="C631" s="57" t="n">
        <f aca="false">YEAR(B631)</f>
        <v>2024</v>
      </c>
      <c r="D631" s="57" t="n">
        <f aca="false">MONTH(B631)</f>
        <v>7</v>
      </c>
      <c r="E631" s="57" t="s">
        <v>127</v>
      </c>
      <c r="F631" s="57" t="s">
        <v>69</v>
      </c>
      <c r="G631" s="57" t="s">
        <v>54</v>
      </c>
      <c r="H631" s="57" t="s">
        <v>56</v>
      </c>
      <c r="I631" s="59" t="n">
        <v>1</v>
      </c>
      <c r="J631" s="60" t="n">
        <v>42</v>
      </c>
      <c r="K631" s="60" t="n">
        <v>17</v>
      </c>
      <c r="L631" s="61" t="n">
        <f aca="false">I631*J631</f>
        <v>42</v>
      </c>
      <c r="M631" s="61" t="n">
        <f aca="false">L631-I631*K631</f>
        <v>25</v>
      </c>
      <c r="N631" s="57" t="n">
        <f aca="false">IF(COUNTIFS(E$2:E631,E631,C$2:C631,C631)=1,1,0)</f>
        <v>0</v>
      </c>
      <c r="O631" s="57" t="n">
        <f aca="false">IF(COUNTIFS(E$2:E631,E631,C$2:C631,C631,D$2:D631,D631)=1,1,0)</f>
        <v>1</v>
      </c>
      <c r="P631" s="57" t="n">
        <f aca="false">IF(AND(C631=Calc!$C$3,OR(Calc!$C$4=0,D631=Calc!$C$4)),ROW(),0)</f>
        <v>0</v>
      </c>
    </row>
    <row r="632" customFormat="false" ht="15" hidden="false" customHeight="false" outlineLevel="0" collapsed="false">
      <c r="A632" s="57" t="s">
        <v>1021</v>
      </c>
      <c r="B632" s="58" t="n">
        <v>45488</v>
      </c>
      <c r="C632" s="57" t="n">
        <f aca="false">YEAR(B632)</f>
        <v>2024</v>
      </c>
      <c r="D632" s="57" t="n">
        <f aca="false">MONTH(B632)</f>
        <v>7</v>
      </c>
      <c r="E632" s="57" t="s">
        <v>1022</v>
      </c>
      <c r="F632" s="57" t="s">
        <v>75</v>
      </c>
      <c r="G632" s="57" t="s">
        <v>35</v>
      </c>
      <c r="H632" s="57" t="s">
        <v>37</v>
      </c>
      <c r="I632" s="59" t="n">
        <v>1</v>
      </c>
      <c r="J632" s="60" t="n">
        <v>59</v>
      </c>
      <c r="K632" s="60" t="n">
        <v>27</v>
      </c>
      <c r="L632" s="61" t="n">
        <f aca="false">I632*J632</f>
        <v>59</v>
      </c>
      <c r="M632" s="61" t="n">
        <f aca="false">L632-I632*K632</f>
        <v>32</v>
      </c>
      <c r="N632" s="57" t="n">
        <f aca="false">IF(COUNTIFS(E$2:E632,E632,C$2:C632,C632)=1,1,0)</f>
        <v>1</v>
      </c>
      <c r="O632" s="57" t="n">
        <f aca="false">IF(COUNTIFS(E$2:E632,E632,C$2:C632,C632,D$2:D632,D632)=1,1,0)</f>
        <v>1</v>
      </c>
      <c r="P632" s="57" t="n">
        <f aca="false">IF(AND(C632=Calc!$C$3,OR(Calc!$C$4=0,D632=Calc!$C$4)),ROW(),0)</f>
        <v>0</v>
      </c>
    </row>
    <row r="633" customFormat="false" ht="15" hidden="false" customHeight="false" outlineLevel="0" collapsed="false">
      <c r="A633" s="57" t="s">
        <v>1023</v>
      </c>
      <c r="B633" s="58" t="n">
        <v>45488</v>
      </c>
      <c r="C633" s="57" t="n">
        <f aca="false">YEAR(B633)</f>
        <v>2024</v>
      </c>
      <c r="D633" s="57" t="n">
        <f aca="false">MONTH(B633)</f>
        <v>7</v>
      </c>
      <c r="E633" s="57" t="s">
        <v>1024</v>
      </c>
      <c r="F633" s="57" t="s">
        <v>72</v>
      </c>
      <c r="G633" s="57" t="s">
        <v>40</v>
      </c>
      <c r="H633" s="57" t="s">
        <v>41</v>
      </c>
      <c r="I633" s="59" t="n">
        <v>1</v>
      </c>
      <c r="J633" s="60" t="n">
        <v>46</v>
      </c>
      <c r="K633" s="60" t="n">
        <v>16</v>
      </c>
      <c r="L633" s="61" t="n">
        <f aca="false">I633*J633</f>
        <v>46</v>
      </c>
      <c r="M633" s="61" t="n">
        <f aca="false">L633-I633*K633</f>
        <v>30</v>
      </c>
      <c r="N633" s="57" t="n">
        <f aca="false">IF(COUNTIFS(E$2:E633,E633,C$2:C633,C633)=1,1,0)</f>
        <v>1</v>
      </c>
      <c r="O633" s="57" t="n">
        <f aca="false">IF(COUNTIFS(E$2:E633,E633,C$2:C633,C633,D$2:D633,D633)=1,1,0)</f>
        <v>1</v>
      </c>
      <c r="P633" s="57" t="n">
        <f aca="false">IF(AND(C633=Calc!$C$3,OR(Calc!$C$4=0,D633=Calc!$C$4)),ROW(),0)</f>
        <v>0</v>
      </c>
    </row>
    <row r="634" customFormat="false" ht="15" hidden="false" customHeight="false" outlineLevel="0" collapsed="false">
      <c r="A634" s="57" t="s">
        <v>1025</v>
      </c>
      <c r="B634" s="58" t="n">
        <v>45488</v>
      </c>
      <c r="C634" s="57" t="n">
        <f aca="false">YEAR(B634)</f>
        <v>2024</v>
      </c>
      <c r="D634" s="57" t="n">
        <f aca="false">MONTH(B634)</f>
        <v>7</v>
      </c>
      <c r="E634" s="57" t="s">
        <v>108</v>
      </c>
      <c r="F634" s="57" t="s">
        <v>75</v>
      </c>
      <c r="G634" s="57" t="s">
        <v>35</v>
      </c>
      <c r="H634" s="57" t="s">
        <v>34</v>
      </c>
      <c r="I634" s="59" t="n">
        <v>2</v>
      </c>
      <c r="J634" s="60" t="n">
        <v>89</v>
      </c>
      <c r="K634" s="60" t="n">
        <v>41</v>
      </c>
      <c r="L634" s="61" t="n">
        <f aca="false">I634*J634</f>
        <v>178</v>
      </c>
      <c r="M634" s="61" t="n">
        <f aca="false">L634-I634*K634</f>
        <v>96</v>
      </c>
      <c r="N634" s="57" t="n">
        <f aca="false">IF(COUNTIFS(E$2:E634,E634,C$2:C634,C634)=1,1,0)</f>
        <v>0</v>
      </c>
      <c r="O634" s="57" t="n">
        <f aca="false">IF(COUNTIFS(E$2:E634,E634,C$2:C634,C634,D$2:D634,D634)=1,1,0)</f>
        <v>1</v>
      </c>
      <c r="P634" s="57" t="n">
        <f aca="false">IF(AND(C634=Calc!$C$3,OR(Calc!$C$4=0,D634=Calc!$C$4)),ROW(),0)</f>
        <v>0</v>
      </c>
    </row>
    <row r="635" customFormat="false" ht="15" hidden="false" customHeight="false" outlineLevel="0" collapsed="false">
      <c r="A635" s="57" t="s">
        <v>1026</v>
      </c>
      <c r="B635" s="58" t="n">
        <v>45488</v>
      </c>
      <c r="C635" s="57" t="n">
        <f aca="false">YEAR(B635)</f>
        <v>2024</v>
      </c>
      <c r="D635" s="57" t="n">
        <f aca="false">MONTH(B635)</f>
        <v>7</v>
      </c>
      <c r="E635" s="57" t="s">
        <v>446</v>
      </c>
      <c r="F635" s="57" t="s">
        <v>75</v>
      </c>
      <c r="G635" s="57" t="s">
        <v>50</v>
      </c>
      <c r="H635" s="57" t="s">
        <v>52</v>
      </c>
      <c r="I635" s="59" t="n">
        <v>2</v>
      </c>
      <c r="J635" s="60" t="n">
        <v>45</v>
      </c>
      <c r="K635" s="60" t="n">
        <v>14</v>
      </c>
      <c r="L635" s="61" t="n">
        <f aca="false">I635*J635</f>
        <v>90</v>
      </c>
      <c r="M635" s="61" t="n">
        <f aca="false">L635-I635*K635</f>
        <v>62</v>
      </c>
      <c r="N635" s="57" t="n">
        <f aca="false">IF(COUNTIFS(E$2:E635,E635,C$2:C635,C635)=1,1,0)</f>
        <v>0</v>
      </c>
      <c r="O635" s="57" t="n">
        <f aca="false">IF(COUNTIFS(E$2:E635,E635,C$2:C635,C635,D$2:D635,D635)=1,1,0)</f>
        <v>1</v>
      </c>
      <c r="P635" s="57" t="n">
        <f aca="false">IF(AND(C635=Calc!$C$3,OR(Calc!$C$4=0,D635=Calc!$C$4)),ROW(),0)</f>
        <v>0</v>
      </c>
    </row>
    <row r="636" customFormat="false" ht="15" hidden="false" customHeight="false" outlineLevel="0" collapsed="false">
      <c r="A636" s="57" t="s">
        <v>1027</v>
      </c>
      <c r="B636" s="58" t="n">
        <v>45489</v>
      </c>
      <c r="C636" s="57" t="n">
        <f aca="false">YEAR(B636)</f>
        <v>2024</v>
      </c>
      <c r="D636" s="57" t="n">
        <f aca="false">MONTH(B636)</f>
        <v>7</v>
      </c>
      <c r="E636" s="57" t="s">
        <v>569</v>
      </c>
      <c r="F636" s="57" t="s">
        <v>72</v>
      </c>
      <c r="G636" s="57" t="s">
        <v>45</v>
      </c>
      <c r="H636" s="57" t="s">
        <v>46</v>
      </c>
      <c r="I636" s="59" t="n">
        <v>1</v>
      </c>
      <c r="J636" s="60" t="n">
        <v>149</v>
      </c>
      <c r="K636" s="60" t="n">
        <v>71</v>
      </c>
      <c r="L636" s="61" t="n">
        <f aca="false">I636*J636</f>
        <v>149</v>
      </c>
      <c r="M636" s="61" t="n">
        <f aca="false">L636-I636*K636</f>
        <v>78</v>
      </c>
      <c r="N636" s="57" t="n">
        <f aca="false">IF(COUNTIFS(E$2:E636,E636,C$2:C636,C636)=1,1,0)</f>
        <v>0</v>
      </c>
      <c r="O636" s="57" t="n">
        <f aca="false">IF(COUNTIFS(E$2:E636,E636,C$2:C636,C636,D$2:D636,D636)=1,1,0)</f>
        <v>0</v>
      </c>
      <c r="P636" s="57" t="n">
        <f aca="false">IF(AND(C636=Calc!$C$3,OR(Calc!$C$4=0,D636=Calc!$C$4)),ROW(),0)</f>
        <v>0</v>
      </c>
    </row>
    <row r="637" customFormat="false" ht="15" hidden="false" customHeight="false" outlineLevel="0" collapsed="false">
      <c r="A637" s="57" t="s">
        <v>1028</v>
      </c>
      <c r="B637" s="58" t="n">
        <v>45489</v>
      </c>
      <c r="C637" s="57" t="n">
        <f aca="false">YEAR(B637)</f>
        <v>2024</v>
      </c>
      <c r="D637" s="57" t="n">
        <f aca="false">MONTH(B637)</f>
        <v>7</v>
      </c>
      <c r="E637" s="57" t="s">
        <v>914</v>
      </c>
      <c r="F637" s="57" t="s">
        <v>75</v>
      </c>
      <c r="G637" s="57" t="s">
        <v>50</v>
      </c>
      <c r="H637" s="57" t="s">
        <v>51</v>
      </c>
      <c r="I637" s="59" t="n">
        <v>1</v>
      </c>
      <c r="J637" s="60" t="n">
        <v>69</v>
      </c>
      <c r="K637" s="60" t="n">
        <v>29</v>
      </c>
      <c r="L637" s="61" t="n">
        <f aca="false">I637*J637</f>
        <v>69</v>
      </c>
      <c r="M637" s="61" t="n">
        <f aca="false">L637-I637*K637</f>
        <v>40</v>
      </c>
      <c r="N637" s="57" t="n">
        <f aca="false">IF(COUNTIFS(E$2:E637,E637,C$2:C637,C637)=1,1,0)</f>
        <v>0</v>
      </c>
      <c r="O637" s="57" t="n">
        <f aca="false">IF(COUNTIFS(E$2:E637,E637,C$2:C637,C637,D$2:D637,D637)=1,1,0)</f>
        <v>1</v>
      </c>
      <c r="P637" s="57" t="n">
        <f aca="false">IF(AND(C637=Calc!$C$3,OR(Calc!$C$4=0,D637=Calc!$C$4)),ROW(),0)</f>
        <v>0</v>
      </c>
    </row>
    <row r="638" customFormat="false" ht="15" hidden="false" customHeight="false" outlineLevel="0" collapsed="false">
      <c r="A638" s="57" t="s">
        <v>1029</v>
      </c>
      <c r="B638" s="58" t="n">
        <v>45489</v>
      </c>
      <c r="C638" s="57" t="n">
        <f aca="false">YEAR(B638)</f>
        <v>2024</v>
      </c>
      <c r="D638" s="57" t="n">
        <f aca="false">MONTH(B638)</f>
        <v>7</v>
      </c>
      <c r="E638" s="57" t="s">
        <v>838</v>
      </c>
      <c r="F638" s="57" t="s">
        <v>69</v>
      </c>
      <c r="G638" s="57" t="s">
        <v>35</v>
      </c>
      <c r="H638" s="57" t="s">
        <v>34</v>
      </c>
      <c r="I638" s="59" t="n">
        <v>1</v>
      </c>
      <c r="J638" s="60" t="n">
        <v>89</v>
      </c>
      <c r="K638" s="60" t="n">
        <v>41</v>
      </c>
      <c r="L638" s="61" t="n">
        <f aca="false">I638*J638</f>
        <v>89</v>
      </c>
      <c r="M638" s="61" t="n">
        <f aca="false">L638-I638*K638</f>
        <v>48</v>
      </c>
      <c r="N638" s="57" t="n">
        <f aca="false">IF(COUNTIFS(E$2:E638,E638,C$2:C638,C638)=1,1,0)</f>
        <v>0</v>
      </c>
      <c r="O638" s="57" t="n">
        <f aca="false">IF(COUNTIFS(E$2:E638,E638,C$2:C638,C638,D$2:D638,D638)=1,1,0)</f>
        <v>1</v>
      </c>
      <c r="P638" s="57" t="n">
        <f aca="false">IF(AND(C638=Calc!$C$3,OR(Calc!$C$4=0,D638=Calc!$C$4)),ROW(),0)</f>
        <v>0</v>
      </c>
    </row>
    <row r="639" customFormat="false" ht="15" hidden="false" customHeight="false" outlineLevel="0" collapsed="false">
      <c r="A639" s="57" t="s">
        <v>1030</v>
      </c>
      <c r="B639" s="58" t="n">
        <v>45490</v>
      </c>
      <c r="C639" s="57" t="n">
        <f aca="false">YEAR(B639)</f>
        <v>2024</v>
      </c>
      <c r="D639" s="57" t="n">
        <f aca="false">MONTH(B639)</f>
        <v>7</v>
      </c>
      <c r="E639" s="57" t="s">
        <v>380</v>
      </c>
      <c r="F639" s="57" t="s">
        <v>69</v>
      </c>
      <c r="G639" s="57" t="s">
        <v>45</v>
      </c>
      <c r="H639" s="57" t="s">
        <v>46</v>
      </c>
      <c r="I639" s="59" t="n">
        <v>1</v>
      </c>
      <c r="J639" s="60" t="n">
        <v>149</v>
      </c>
      <c r="K639" s="60" t="n">
        <v>71</v>
      </c>
      <c r="L639" s="61" t="n">
        <f aca="false">I639*J639</f>
        <v>149</v>
      </c>
      <c r="M639" s="61" t="n">
        <f aca="false">L639-I639*K639</f>
        <v>78</v>
      </c>
      <c r="N639" s="57" t="n">
        <f aca="false">IF(COUNTIFS(E$2:E639,E639,C$2:C639,C639)=1,1,0)</f>
        <v>0</v>
      </c>
      <c r="O639" s="57" t="n">
        <f aca="false">IF(COUNTIFS(E$2:E639,E639,C$2:C639,C639,D$2:D639,D639)=1,1,0)</f>
        <v>1</v>
      </c>
      <c r="P639" s="57" t="n">
        <f aca="false">IF(AND(C639=Calc!$C$3,OR(Calc!$C$4=0,D639=Calc!$C$4)),ROW(),0)</f>
        <v>0</v>
      </c>
    </row>
    <row r="640" customFormat="false" ht="15" hidden="false" customHeight="false" outlineLevel="0" collapsed="false">
      <c r="A640" s="57" t="s">
        <v>1031</v>
      </c>
      <c r="B640" s="58" t="n">
        <v>45490</v>
      </c>
      <c r="C640" s="57" t="n">
        <f aca="false">YEAR(B640)</f>
        <v>2024</v>
      </c>
      <c r="D640" s="57" t="n">
        <f aca="false">MONTH(B640)</f>
        <v>7</v>
      </c>
      <c r="E640" s="57" t="s">
        <v>1032</v>
      </c>
      <c r="F640" s="57" t="s">
        <v>75</v>
      </c>
      <c r="G640" s="57" t="s">
        <v>50</v>
      </c>
      <c r="H640" s="57" t="s">
        <v>52</v>
      </c>
      <c r="I640" s="59" t="n">
        <v>1</v>
      </c>
      <c r="J640" s="60" t="n">
        <v>45</v>
      </c>
      <c r="K640" s="60" t="n">
        <v>14</v>
      </c>
      <c r="L640" s="61" t="n">
        <f aca="false">I640*J640</f>
        <v>45</v>
      </c>
      <c r="M640" s="61" t="n">
        <f aca="false">L640-I640*K640</f>
        <v>31</v>
      </c>
      <c r="N640" s="57" t="n">
        <f aca="false">IF(COUNTIFS(E$2:E640,E640,C$2:C640,C640)=1,1,0)</f>
        <v>1</v>
      </c>
      <c r="O640" s="57" t="n">
        <f aca="false">IF(COUNTIFS(E$2:E640,E640,C$2:C640,C640,D$2:D640,D640)=1,1,0)</f>
        <v>1</v>
      </c>
      <c r="P640" s="57" t="n">
        <f aca="false">IF(AND(C640=Calc!$C$3,OR(Calc!$C$4=0,D640=Calc!$C$4)),ROW(),0)</f>
        <v>0</v>
      </c>
    </row>
    <row r="641" customFormat="false" ht="15" hidden="false" customHeight="false" outlineLevel="0" collapsed="false">
      <c r="A641" s="57" t="s">
        <v>1033</v>
      </c>
      <c r="B641" s="58" t="n">
        <v>45491</v>
      </c>
      <c r="C641" s="57" t="n">
        <f aca="false">YEAR(B641)</f>
        <v>2024</v>
      </c>
      <c r="D641" s="57" t="n">
        <f aca="false">MONTH(B641)</f>
        <v>7</v>
      </c>
      <c r="E641" s="57" t="s">
        <v>1034</v>
      </c>
      <c r="F641" s="57" t="s">
        <v>69</v>
      </c>
      <c r="G641" s="57" t="s">
        <v>50</v>
      </c>
      <c r="H641" s="57" t="s">
        <v>49</v>
      </c>
      <c r="I641" s="59" t="n">
        <v>1</v>
      </c>
      <c r="J641" s="60" t="n">
        <v>32</v>
      </c>
      <c r="K641" s="60" t="n">
        <v>7</v>
      </c>
      <c r="L641" s="61" t="n">
        <f aca="false">I641*J641</f>
        <v>32</v>
      </c>
      <c r="M641" s="61" t="n">
        <f aca="false">L641-I641*K641</f>
        <v>25</v>
      </c>
      <c r="N641" s="57" t="n">
        <f aca="false">IF(COUNTIFS(E$2:E641,E641,C$2:C641,C641)=1,1,0)</f>
        <v>1</v>
      </c>
      <c r="O641" s="57" t="n">
        <f aca="false">IF(COUNTIFS(E$2:E641,E641,C$2:C641,C641,D$2:D641,D641)=1,1,0)</f>
        <v>1</v>
      </c>
      <c r="P641" s="57" t="n">
        <f aca="false">IF(AND(C641=Calc!$C$3,OR(Calc!$C$4=0,D641=Calc!$C$4)),ROW(),0)</f>
        <v>0</v>
      </c>
    </row>
    <row r="642" customFormat="false" ht="15" hidden="false" customHeight="false" outlineLevel="0" collapsed="false">
      <c r="A642" s="57" t="s">
        <v>1035</v>
      </c>
      <c r="B642" s="58" t="n">
        <v>45491</v>
      </c>
      <c r="C642" s="57" t="n">
        <f aca="false">YEAR(B642)</f>
        <v>2024</v>
      </c>
      <c r="D642" s="57" t="n">
        <f aca="false">MONTH(B642)</f>
        <v>7</v>
      </c>
      <c r="E642" s="57" t="s">
        <v>83</v>
      </c>
      <c r="F642" s="57" t="s">
        <v>75</v>
      </c>
      <c r="G642" s="57" t="s">
        <v>35</v>
      </c>
      <c r="H642" s="57" t="s">
        <v>34</v>
      </c>
      <c r="I642" s="59" t="n">
        <v>1</v>
      </c>
      <c r="J642" s="60" t="n">
        <v>89</v>
      </c>
      <c r="K642" s="60" t="n">
        <v>41</v>
      </c>
      <c r="L642" s="61" t="n">
        <f aca="false">I642*J642</f>
        <v>89</v>
      </c>
      <c r="M642" s="61" t="n">
        <f aca="false">L642-I642*K642</f>
        <v>48</v>
      </c>
      <c r="N642" s="57" t="n">
        <f aca="false">IF(COUNTIFS(E$2:E642,E642,C$2:C642,C642)=1,1,0)</f>
        <v>0</v>
      </c>
      <c r="O642" s="57" t="n">
        <f aca="false">IF(COUNTIFS(E$2:E642,E642,C$2:C642,C642,D$2:D642,D642)=1,1,0)</f>
        <v>1</v>
      </c>
      <c r="P642" s="57" t="n">
        <f aca="false">IF(AND(C642=Calc!$C$3,OR(Calc!$C$4=0,D642=Calc!$C$4)),ROW(),0)</f>
        <v>0</v>
      </c>
    </row>
    <row r="643" customFormat="false" ht="15" hidden="false" customHeight="false" outlineLevel="0" collapsed="false">
      <c r="A643" s="57" t="s">
        <v>1036</v>
      </c>
      <c r="B643" s="58" t="n">
        <v>45491</v>
      </c>
      <c r="C643" s="57" t="n">
        <f aca="false">YEAR(B643)</f>
        <v>2024</v>
      </c>
      <c r="D643" s="57" t="n">
        <f aca="false">MONTH(B643)</f>
        <v>7</v>
      </c>
      <c r="E643" s="57" t="s">
        <v>929</v>
      </c>
      <c r="F643" s="57" t="s">
        <v>72</v>
      </c>
      <c r="G643" s="57" t="s">
        <v>35</v>
      </c>
      <c r="H643" s="57" t="s">
        <v>38</v>
      </c>
      <c r="I643" s="59" t="n">
        <v>1</v>
      </c>
      <c r="J643" s="60" t="n">
        <v>49</v>
      </c>
      <c r="K643" s="60" t="n">
        <v>22</v>
      </c>
      <c r="L643" s="61" t="n">
        <f aca="false">I643*J643</f>
        <v>49</v>
      </c>
      <c r="M643" s="61" t="n">
        <f aca="false">L643-I643*K643</f>
        <v>27</v>
      </c>
      <c r="N643" s="57" t="n">
        <f aca="false">IF(COUNTIFS(E$2:E643,E643,C$2:C643,C643)=1,1,0)</f>
        <v>0</v>
      </c>
      <c r="O643" s="57" t="n">
        <f aca="false">IF(COUNTIFS(E$2:E643,E643,C$2:C643,C643,D$2:D643,D643)=1,1,0)</f>
        <v>1</v>
      </c>
      <c r="P643" s="57" t="n">
        <f aca="false">IF(AND(C643=Calc!$C$3,OR(Calc!$C$4=0,D643=Calc!$C$4)),ROW(),0)</f>
        <v>0</v>
      </c>
    </row>
    <row r="644" customFormat="false" ht="15" hidden="false" customHeight="false" outlineLevel="0" collapsed="false">
      <c r="A644" s="57" t="s">
        <v>1037</v>
      </c>
      <c r="B644" s="58" t="n">
        <v>45491</v>
      </c>
      <c r="C644" s="57" t="n">
        <f aca="false">YEAR(B644)</f>
        <v>2024</v>
      </c>
      <c r="D644" s="57" t="n">
        <f aca="false">MONTH(B644)</f>
        <v>7</v>
      </c>
      <c r="E644" s="57" t="s">
        <v>1038</v>
      </c>
      <c r="F644" s="57" t="s">
        <v>69</v>
      </c>
      <c r="G644" s="57" t="s">
        <v>45</v>
      </c>
      <c r="H644" s="57" t="s">
        <v>44</v>
      </c>
      <c r="I644" s="59" t="n">
        <v>2</v>
      </c>
      <c r="J644" s="60" t="n">
        <v>119</v>
      </c>
      <c r="K644" s="60" t="n">
        <v>63</v>
      </c>
      <c r="L644" s="61" t="n">
        <f aca="false">I644*J644</f>
        <v>238</v>
      </c>
      <c r="M644" s="61" t="n">
        <f aca="false">L644-I644*K644</f>
        <v>112</v>
      </c>
      <c r="N644" s="57" t="n">
        <f aca="false">IF(COUNTIFS(E$2:E644,E644,C$2:C644,C644)=1,1,0)</f>
        <v>1</v>
      </c>
      <c r="O644" s="57" t="n">
        <f aca="false">IF(COUNTIFS(E$2:E644,E644,C$2:C644,C644,D$2:D644,D644)=1,1,0)</f>
        <v>1</v>
      </c>
      <c r="P644" s="57" t="n">
        <f aca="false">IF(AND(C644=Calc!$C$3,OR(Calc!$C$4=0,D644=Calc!$C$4)),ROW(),0)</f>
        <v>0</v>
      </c>
    </row>
    <row r="645" customFormat="false" ht="15" hidden="false" customHeight="false" outlineLevel="0" collapsed="false">
      <c r="A645" s="57" t="s">
        <v>1039</v>
      </c>
      <c r="B645" s="58" t="n">
        <v>45492</v>
      </c>
      <c r="C645" s="57" t="n">
        <f aca="false">YEAR(B645)</f>
        <v>2024</v>
      </c>
      <c r="D645" s="57" t="n">
        <f aca="false">MONTH(B645)</f>
        <v>7</v>
      </c>
      <c r="E645" s="57" t="s">
        <v>68</v>
      </c>
      <c r="F645" s="57" t="s">
        <v>69</v>
      </c>
      <c r="G645" s="57" t="s">
        <v>35</v>
      </c>
      <c r="H645" s="57" t="s">
        <v>37</v>
      </c>
      <c r="I645" s="59" t="n">
        <v>2</v>
      </c>
      <c r="J645" s="60" t="n">
        <v>59</v>
      </c>
      <c r="K645" s="60" t="n">
        <v>27</v>
      </c>
      <c r="L645" s="61" t="n">
        <f aca="false">I645*J645</f>
        <v>118</v>
      </c>
      <c r="M645" s="61" t="n">
        <f aca="false">L645-I645*K645</f>
        <v>64</v>
      </c>
      <c r="N645" s="57" t="n">
        <f aca="false">IF(COUNTIFS(E$2:E645,E645,C$2:C645,C645)=1,1,0)</f>
        <v>0</v>
      </c>
      <c r="O645" s="57" t="n">
        <f aca="false">IF(COUNTIFS(E$2:E645,E645,C$2:C645,C645,D$2:D645,D645)=1,1,0)</f>
        <v>1</v>
      </c>
      <c r="P645" s="57" t="n">
        <f aca="false">IF(AND(C645=Calc!$C$3,OR(Calc!$C$4=0,D645=Calc!$C$4)),ROW(),0)</f>
        <v>0</v>
      </c>
    </row>
    <row r="646" customFormat="false" ht="15" hidden="false" customHeight="false" outlineLevel="0" collapsed="false">
      <c r="A646" s="57" t="s">
        <v>1040</v>
      </c>
      <c r="B646" s="58" t="n">
        <v>45492</v>
      </c>
      <c r="C646" s="57" t="n">
        <f aca="false">YEAR(B646)</f>
        <v>2024</v>
      </c>
      <c r="D646" s="57" t="n">
        <f aca="false">MONTH(B646)</f>
        <v>7</v>
      </c>
      <c r="E646" s="57" t="s">
        <v>918</v>
      </c>
      <c r="F646" s="57" t="s">
        <v>78</v>
      </c>
      <c r="G646" s="57" t="s">
        <v>54</v>
      </c>
      <c r="H646" s="57" t="s">
        <v>55</v>
      </c>
      <c r="I646" s="59" t="n">
        <v>1</v>
      </c>
      <c r="J646" s="60" t="n">
        <v>64</v>
      </c>
      <c r="K646" s="60" t="n">
        <v>25</v>
      </c>
      <c r="L646" s="61" t="n">
        <f aca="false">I646*J646</f>
        <v>64</v>
      </c>
      <c r="M646" s="61" t="n">
        <f aca="false">L646-I646*K646</f>
        <v>39</v>
      </c>
      <c r="N646" s="57" t="n">
        <f aca="false">IF(COUNTIFS(E$2:E646,E646,C$2:C646,C646)=1,1,0)</f>
        <v>0</v>
      </c>
      <c r="O646" s="57" t="n">
        <f aca="false">IF(COUNTIFS(E$2:E646,E646,C$2:C646,C646,D$2:D646,D646)=1,1,0)</f>
        <v>1</v>
      </c>
      <c r="P646" s="57" t="n">
        <f aca="false">IF(AND(C646=Calc!$C$3,OR(Calc!$C$4=0,D646=Calc!$C$4)),ROW(),0)</f>
        <v>0</v>
      </c>
    </row>
    <row r="647" customFormat="false" ht="15" hidden="false" customHeight="false" outlineLevel="0" collapsed="false">
      <c r="A647" s="57" t="s">
        <v>1041</v>
      </c>
      <c r="B647" s="58" t="n">
        <v>45492</v>
      </c>
      <c r="C647" s="57" t="n">
        <f aca="false">YEAR(B647)</f>
        <v>2024</v>
      </c>
      <c r="D647" s="57" t="n">
        <f aca="false">MONTH(B647)</f>
        <v>7</v>
      </c>
      <c r="E647" s="57" t="s">
        <v>486</v>
      </c>
      <c r="F647" s="57" t="s">
        <v>75</v>
      </c>
      <c r="G647" s="57" t="s">
        <v>35</v>
      </c>
      <c r="H647" s="57" t="s">
        <v>38</v>
      </c>
      <c r="I647" s="59" t="n">
        <v>2</v>
      </c>
      <c r="J647" s="60" t="n">
        <v>49</v>
      </c>
      <c r="K647" s="60" t="n">
        <v>22</v>
      </c>
      <c r="L647" s="61" t="n">
        <f aca="false">I647*J647</f>
        <v>98</v>
      </c>
      <c r="M647" s="61" t="n">
        <f aca="false">L647-I647*K647</f>
        <v>54</v>
      </c>
      <c r="N647" s="57" t="n">
        <f aca="false">IF(COUNTIFS(E$2:E647,E647,C$2:C647,C647)=1,1,0)</f>
        <v>0</v>
      </c>
      <c r="O647" s="57" t="n">
        <f aca="false">IF(COUNTIFS(E$2:E647,E647,C$2:C647,C647,D$2:D647,D647)=1,1,0)</f>
        <v>1</v>
      </c>
      <c r="P647" s="57" t="n">
        <f aca="false">IF(AND(C647=Calc!$C$3,OR(Calc!$C$4=0,D647=Calc!$C$4)),ROW(),0)</f>
        <v>0</v>
      </c>
    </row>
    <row r="648" customFormat="false" ht="15" hidden="false" customHeight="false" outlineLevel="0" collapsed="false">
      <c r="A648" s="57" t="s">
        <v>1042</v>
      </c>
      <c r="B648" s="58" t="n">
        <v>45492</v>
      </c>
      <c r="C648" s="57" t="n">
        <f aca="false">YEAR(B648)</f>
        <v>2024</v>
      </c>
      <c r="D648" s="57" t="n">
        <f aca="false">MONTH(B648)</f>
        <v>7</v>
      </c>
      <c r="E648" s="57" t="s">
        <v>629</v>
      </c>
      <c r="F648" s="57" t="s">
        <v>78</v>
      </c>
      <c r="G648" s="57" t="s">
        <v>35</v>
      </c>
      <c r="H648" s="57" t="s">
        <v>38</v>
      </c>
      <c r="I648" s="59" t="n">
        <v>1</v>
      </c>
      <c r="J648" s="60" t="n">
        <v>49</v>
      </c>
      <c r="K648" s="60" t="n">
        <v>22</v>
      </c>
      <c r="L648" s="61" t="n">
        <f aca="false">I648*J648</f>
        <v>49</v>
      </c>
      <c r="M648" s="61" t="n">
        <f aca="false">L648-I648*K648</f>
        <v>27</v>
      </c>
      <c r="N648" s="57" t="n">
        <f aca="false">IF(COUNTIFS(E$2:E648,E648,C$2:C648,C648)=1,1,0)</f>
        <v>0</v>
      </c>
      <c r="O648" s="57" t="n">
        <f aca="false">IF(COUNTIFS(E$2:E648,E648,C$2:C648,C648,D$2:D648,D648)=1,1,0)</f>
        <v>1</v>
      </c>
      <c r="P648" s="57" t="n">
        <f aca="false">IF(AND(C648=Calc!$C$3,OR(Calc!$C$4=0,D648=Calc!$C$4)),ROW(),0)</f>
        <v>0</v>
      </c>
    </row>
    <row r="649" customFormat="false" ht="15" hidden="false" customHeight="false" outlineLevel="0" collapsed="false">
      <c r="A649" s="57" t="s">
        <v>1043</v>
      </c>
      <c r="B649" s="58" t="n">
        <v>45493</v>
      </c>
      <c r="C649" s="57" t="n">
        <f aca="false">YEAR(B649)</f>
        <v>2024</v>
      </c>
      <c r="D649" s="57" t="n">
        <f aca="false">MONTH(B649)</f>
        <v>7</v>
      </c>
      <c r="E649" s="57" t="s">
        <v>530</v>
      </c>
      <c r="F649" s="57" t="s">
        <v>72</v>
      </c>
      <c r="G649" s="57" t="s">
        <v>45</v>
      </c>
      <c r="H649" s="57" t="s">
        <v>44</v>
      </c>
      <c r="I649" s="59" t="n">
        <v>1</v>
      </c>
      <c r="J649" s="60" t="n">
        <v>119</v>
      </c>
      <c r="K649" s="60" t="n">
        <v>63</v>
      </c>
      <c r="L649" s="61" t="n">
        <f aca="false">I649*J649</f>
        <v>119</v>
      </c>
      <c r="M649" s="61" t="n">
        <f aca="false">L649-I649*K649</f>
        <v>56</v>
      </c>
      <c r="N649" s="57" t="n">
        <f aca="false">IF(COUNTIFS(E$2:E649,E649,C$2:C649,C649)=1,1,0)</f>
        <v>0</v>
      </c>
      <c r="O649" s="57" t="n">
        <f aca="false">IF(COUNTIFS(E$2:E649,E649,C$2:C649,C649,D$2:D649,D649)=1,1,0)</f>
        <v>1</v>
      </c>
      <c r="P649" s="57" t="n">
        <f aca="false">IF(AND(C649=Calc!$C$3,OR(Calc!$C$4=0,D649=Calc!$C$4)),ROW(),0)</f>
        <v>0</v>
      </c>
    </row>
    <row r="650" customFormat="false" ht="15" hidden="false" customHeight="false" outlineLevel="0" collapsed="false">
      <c r="A650" s="57" t="s">
        <v>1044</v>
      </c>
      <c r="B650" s="58" t="n">
        <v>45493</v>
      </c>
      <c r="C650" s="57" t="n">
        <f aca="false">YEAR(B650)</f>
        <v>2024</v>
      </c>
      <c r="D650" s="57" t="n">
        <f aca="false">MONTH(B650)</f>
        <v>7</v>
      </c>
      <c r="E650" s="57" t="s">
        <v>594</v>
      </c>
      <c r="F650" s="57" t="s">
        <v>81</v>
      </c>
      <c r="G650" s="57" t="s">
        <v>50</v>
      </c>
      <c r="H650" s="57" t="s">
        <v>51</v>
      </c>
      <c r="I650" s="59" t="n">
        <v>1</v>
      </c>
      <c r="J650" s="60" t="n">
        <v>69</v>
      </c>
      <c r="K650" s="60" t="n">
        <v>29</v>
      </c>
      <c r="L650" s="61" t="n">
        <f aca="false">I650*J650</f>
        <v>69</v>
      </c>
      <c r="M650" s="61" t="n">
        <f aca="false">L650-I650*K650</f>
        <v>40</v>
      </c>
      <c r="N650" s="57" t="n">
        <f aca="false">IF(COUNTIFS(E$2:E650,E650,C$2:C650,C650)=1,1,0)</f>
        <v>0</v>
      </c>
      <c r="O650" s="57" t="n">
        <f aca="false">IF(COUNTIFS(E$2:E650,E650,C$2:C650,C650,D$2:D650,D650)=1,1,0)</f>
        <v>0</v>
      </c>
      <c r="P650" s="57" t="n">
        <f aca="false">IF(AND(C650=Calc!$C$3,OR(Calc!$C$4=0,D650=Calc!$C$4)),ROW(),0)</f>
        <v>0</v>
      </c>
    </row>
    <row r="651" customFormat="false" ht="15" hidden="false" customHeight="false" outlineLevel="0" collapsed="false">
      <c r="A651" s="57" t="s">
        <v>1045</v>
      </c>
      <c r="B651" s="58" t="n">
        <v>45493</v>
      </c>
      <c r="C651" s="57" t="n">
        <f aca="false">YEAR(B651)</f>
        <v>2024</v>
      </c>
      <c r="D651" s="57" t="n">
        <f aca="false">MONTH(B651)</f>
        <v>7</v>
      </c>
      <c r="E651" s="57" t="s">
        <v>1046</v>
      </c>
      <c r="F651" s="57" t="s">
        <v>69</v>
      </c>
      <c r="G651" s="57" t="s">
        <v>35</v>
      </c>
      <c r="H651" s="57" t="s">
        <v>34</v>
      </c>
      <c r="I651" s="59" t="n">
        <v>1</v>
      </c>
      <c r="J651" s="60" t="n">
        <v>89</v>
      </c>
      <c r="K651" s="60" t="n">
        <v>41</v>
      </c>
      <c r="L651" s="61" t="n">
        <f aca="false">I651*J651</f>
        <v>89</v>
      </c>
      <c r="M651" s="61" t="n">
        <f aca="false">L651-I651*K651</f>
        <v>48</v>
      </c>
      <c r="N651" s="57" t="n">
        <f aca="false">IF(COUNTIFS(E$2:E651,E651,C$2:C651,C651)=1,1,0)</f>
        <v>1</v>
      </c>
      <c r="O651" s="57" t="n">
        <f aca="false">IF(COUNTIFS(E$2:E651,E651,C$2:C651,C651,D$2:D651,D651)=1,1,0)</f>
        <v>1</v>
      </c>
      <c r="P651" s="57" t="n">
        <f aca="false">IF(AND(C651=Calc!$C$3,OR(Calc!$C$4=0,D651=Calc!$C$4)),ROW(),0)</f>
        <v>0</v>
      </c>
    </row>
    <row r="652" customFormat="false" ht="15" hidden="false" customHeight="false" outlineLevel="0" collapsed="false">
      <c r="A652" s="57" t="s">
        <v>1047</v>
      </c>
      <c r="B652" s="58" t="n">
        <v>45493</v>
      </c>
      <c r="C652" s="57" t="n">
        <f aca="false">YEAR(B652)</f>
        <v>2024</v>
      </c>
      <c r="D652" s="57" t="n">
        <f aca="false">MONTH(B652)</f>
        <v>7</v>
      </c>
      <c r="E652" s="57" t="s">
        <v>698</v>
      </c>
      <c r="F652" s="57" t="s">
        <v>75</v>
      </c>
      <c r="G652" s="57" t="s">
        <v>35</v>
      </c>
      <c r="H652" s="57" t="s">
        <v>37</v>
      </c>
      <c r="I652" s="59" t="n">
        <v>1</v>
      </c>
      <c r="J652" s="60" t="n">
        <v>59</v>
      </c>
      <c r="K652" s="60" t="n">
        <v>27</v>
      </c>
      <c r="L652" s="61" t="n">
        <f aca="false">I652*J652</f>
        <v>59</v>
      </c>
      <c r="M652" s="61" t="n">
        <f aca="false">L652-I652*K652</f>
        <v>32</v>
      </c>
      <c r="N652" s="57" t="n">
        <f aca="false">IF(COUNTIFS(E$2:E652,E652,C$2:C652,C652)=1,1,0)</f>
        <v>0</v>
      </c>
      <c r="O652" s="57" t="n">
        <f aca="false">IF(COUNTIFS(E$2:E652,E652,C$2:C652,C652,D$2:D652,D652)=1,1,0)</f>
        <v>1</v>
      </c>
      <c r="P652" s="57" t="n">
        <f aca="false">IF(AND(C652=Calc!$C$3,OR(Calc!$C$4=0,D652=Calc!$C$4)),ROW(),0)</f>
        <v>0</v>
      </c>
    </row>
    <row r="653" customFormat="false" ht="15" hidden="false" customHeight="false" outlineLevel="0" collapsed="false">
      <c r="A653" s="57" t="s">
        <v>1048</v>
      </c>
      <c r="B653" s="58" t="n">
        <v>45494</v>
      </c>
      <c r="C653" s="57" t="n">
        <f aca="false">YEAR(B653)</f>
        <v>2024</v>
      </c>
      <c r="D653" s="57" t="n">
        <f aca="false">MONTH(B653)</f>
        <v>7</v>
      </c>
      <c r="E653" s="57" t="s">
        <v>1049</v>
      </c>
      <c r="F653" s="57" t="s">
        <v>81</v>
      </c>
      <c r="G653" s="57" t="s">
        <v>35</v>
      </c>
      <c r="H653" s="57" t="s">
        <v>38</v>
      </c>
      <c r="I653" s="59" t="n">
        <v>1</v>
      </c>
      <c r="J653" s="60" t="n">
        <v>49</v>
      </c>
      <c r="K653" s="60" t="n">
        <v>22</v>
      </c>
      <c r="L653" s="61" t="n">
        <f aca="false">I653*J653</f>
        <v>49</v>
      </c>
      <c r="M653" s="61" t="n">
        <f aca="false">L653-I653*K653</f>
        <v>27</v>
      </c>
      <c r="N653" s="57" t="n">
        <f aca="false">IF(COUNTIFS(E$2:E653,E653,C$2:C653,C653)=1,1,0)</f>
        <v>1</v>
      </c>
      <c r="O653" s="57" t="n">
        <f aca="false">IF(COUNTIFS(E$2:E653,E653,C$2:C653,C653,D$2:D653,D653)=1,1,0)</f>
        <v>1</v>
      </c>
      <c r="P653" s="57" t="n">
        <f aca="false">IF(AND(C653=Calc!$C$3,OR(Calc!$C$4=0,D653=Calc!$C$4)),ROW(),0)</f>
        <v>0</v>
      </c>
    </row>
    <row r="654" customFormat="false" ht="15" hidden="false" customHeight="false" outlineLevel="0" collapsed="false">
      <c r="A654" s="57" t="s">
        <v>1050</v>
      </c>
      <c r="B654" s="58" t="n">
        <v>45494</v>
      </c>
      <c r="C654" s="57" t="n">
        <f aca="false">YEAR(B654)</f>
        <v>2024</v>
      </c>
      <c r="D654" s="57" t="n">
        <f aca="false">MONTH(B654)</f>
        <v>7</v>
      </c>
      <c r="E654" s="57" t="s">
        <v>294</v>
      </c>
      <c r="F654" s="57" t="s">
        <v>69</v>
      </c>
      <c r="G654" s="57" t="s">
        <v>54</v>
      </c>
      <c r="H654" s="57" t="s">
        <v>56</v>
      </c>
      <c r="I654" s="59" t="n">
        <v>1</v>
      </c>
      <c r="J654" s="60" t="n">
        <v>42</v>
      </c>
      <c r="K654" s="60" t="n">
        <v>17</v>
      </c>
      <c r="L654" s="61" t="n">
        <f aca="false">I654*J654</f>
        <v>42</v>
      </c>
      <c r="M654" s="61" t="n">
        <f aca="false">L654-I654*K654</f>
        <v>25</v>
      </c>
      <c r="N654" s="57" t="n">
        <f aca="false">IF(COUNTIFS(E$2:E654,E654,C$2:C654,C654)=1,1,0)</f>
        <v>0</v>
      </c>
      <c r="O654" s="57" t="n">
        <f aca="false">IF(COUNTIFS(E$2:E654,E654,C$2:C654,C654,D$2:D654,D654)=1,1,0)</f>
        <v>1</v>
      </c>
      <c r="P654" s="57" t="n">
        <f aca="false">IF(AND(C654=Calc!$C$3,OR(Calc!$C$4=0,D654=Calc!$C$4)),ROW(),0)</f>
        <v>0</v>
      </c>
    </row>
    <row r="655" customFormat="false" ht="15" hidden="false" customHeight="false" outlineLevel="0" collapsed="false">
      <c r="A655" s="57" t="s">
        <v>1051</v>
      </c>
      <c r="B655" s="58" t="n">
        <v>45494</v>
      </c>
      <c r="C655" s="57" t="n">
        <f aca="false">YEAR(B655)</f>
        <v>2024</v>
      </c>
      <c r="D655" s="57" t="n">
        <f aca="false">MONTH(B655)</f>
        <v>7</v>
      </c>
      <c r="E655" s="57" t="s">
        <v>353</v>
      </c>
      <c r="F655" s="57" t="s">
        <v>75</v>
      </c>
      <c r="G655" s="57" t="s">
        <v>54</v>
      </c>
      <c r="H655" s="57" t="s">
        <v>55</v>
      </c>
      <c r="I655" s="59" t="n">
        <v>1</v>
      </c>
      <c r="J655" s="60" t="n">
        <v>64</v>
      </c>
      <c r="K655" s="60" t="n">
        <v>25</v>
      </c>
      <c r="L655" s="61" t="n">
        <f aca="false">I655*J655</f>
        <v>64</v>
      </c>
      <c r="M655" s="61" t="n">
        <f aca="false">L655-I655*K655</f>
        <v>39</v>
      </c>
      <c r="N655" s="57" t="n">
        <f aca="false">IF(COUNTIFS(E$2:E655,E655,C$2:C655,C655)=1,1,0)</f>
        <v>0</v>
      </c>
      <c r="O655" s="57" t="n">
        <f aca="false">IF(COUNTIFS(E$2:E655,E655,C$2:C655,C655,D$2:D655,D655)=1,1,0)</f>
        <v>1</v>
      </c>
      <c r="P655" s="57" t="n">
        <f aca="false">IF(AND(C655=Calc!$C$3,OR(Calc!$C$4=0,D655=Calc!$C$4)),ROW(),0)</f>
        <v>0</v>
      </c>
    </row>
    <row r="656" customFormat="false" ht="15" hidden="false" customHeight="false" outlineLevel="0" collapsed="false">
      <c r="A656" s="57" t="s">
        <v>1052</v>
      </c>
      <c r="B656" s="58" t="n">
        <v>45494</v>
      </c>
      <c r="C656" s="57" t="n">
        <f aca="false">YEAR(B656)</f>
        <v>2024</v>
      </c>
      <c r="D656" s="57" t="n">
        <f aca="false">MONTH(B656)</f>
        <v>7</v>
      </c>
      <c r="E656" s="57" t="s">
        <v>1053</v>
      </c>
      <c r="F656" s="57" t="s">
        <v>72</v>
      </c>
      <c r="G656" s="57" t="s">
        <v>35</v>
      </c>
      <c r="H656" s="57" t="s">
        <v>38</v>
      </c>
      <c r="I656" s="59" t="n">
        <v>1</v>
      </c>
      <c r="J656" s="60" t="n">
        <v>49</v>
      </c>
      <c r="K656" s="60" t="n">
        <v>22</v>
      </c>
      <c r="L656" s="61" t="n">
        <f aca="false">I656*J656</f>
        <v>49</v>
      </c>
      <c r="M656" s="61" t="n">
        <f aca="false">L656-I656*K656</f>
        <v>27</v>
      </c>
      <c r="N656" s="57" t="n">
        <f aca="false">IF(COUNTIFS(E$2:E656,E656,C$2:C656,C656)=1,1,0)</f>
        <v>1</v>
      </c>
      <c r="O656" s="57" t="n">
        <f aca="false">IF(COUNTIFS(E$2:E656,E656,C$2:C656,C656,D$2:D656,D656)=1,1,0)</f>
        <v>1</v>
      </c>
      <c r="P656" s="57" t="n">
        <f aca="false">IF(AND(C656=Calc!$C$3,OR(Calc!$C$4=0,D656=Calc!$C$4)),ROW(),0)</f>
        <v>0</v>
      </c>
    </row>
    <row r="657" customFormat="false" ht="15" hidden="false" customHeight="false" outlineLevel="0" collapsed="false">
      <c r="A657" s="57" t="s">
        <v>1054</v>
      </c>
      <c r="B657" s="58" t="n">
        <v>45495</v>
      </c>
      <c r="C657" s="57" t="n">
        <f aca="false">YEAR(B657)</f>
        <v>2024</v>
      </c>
      <c r="D657" s="57" t="n">
        <f aca="false">MONTH(B657)</f>
        <v>7</v>
      </c>
      <c r="E657" s="57" t="s">
        <v>479</v>
      </c>
      <c r="F657" s="57" t="s">
        <v>72</v>
      </c>
      <c r="G657" s="57" t="s">
        <v>40</v>
      </c>
      <c r="H657" s="57" t="s">
        <v>39</v>
      </c>
      <c r="I657" s="59" t="n">
        <v>1</v>
      </c>
      <c r="J657" s="60" t="n">
        <v>54</v>
      </c>
      <c r="K657" s="60" t="n">
        <v>19</v>
      </c>
      <c r="L657" s="61" t="n">
        <f aca="false">I657*J657</f>
        <v>54</v>
      </c>
      <c r="M657" s="61" t="n">
        <f aca="false">L657-I657*K657</f>
        <v>35</v>
      </c>
      <c r="N657" s="57" t="n">
        <f aca="false">IF(COUNTIFS(E$2:E657,E657,C$2:C657,C657)=1,1,0)</f>
        <v>0</v>
      </c>
      <c r="O657" s="57" t="n">
        <f aca="false">IF(COUNTIFS(E$2:E657,E657,C$2:C657,C657,D$2:D657,D657)=1,1,0)</f>
        <v>1</v>
      </c>
      <c r="P657" s="57" t="n">
        <f aca="false">IF(AND(C657=Calc!$C$3,OR(Calc!$C$4=0,D657=Calc!$C$4)),ROW(),0)</f>
        <v>0</v>
      </c>
    </row>
    <row r="658" customFormat="false" ht="15" hidden="false" customHeight="false" outlineLevel="0" collapsed="false">
      <c r="A658" s="57" t="s">
        <v>1055</v>
      </c>
      <c r="B658" s="58" t="n">
        <v>45495</v>
      </c>
      <c r="C658" s="57" t="n">
        <f aca="false">YEAR(B658)</f>
        <v>2024</v>
      </c>
      <c r="D658" s="57" t="n">
        <f aca="false">MONTH(B658)</f>
        <v>7</v>
      </c>
      <c r="E658" s="57" t="s">
        <v>512</v>
      </c>
      <c r="F658" s="57" t="s">
        <v>75</v>
      </c>
      <c r="G658" s="57" t="s">
        <v>40</v>
      </c>
      <c r="H658" s="57" t="s">
        <v>39</v>
      </c>
      <c r="I658" s="59" t="n">
        <v>1</v>
      </c>
      <c r="J658" s="60" t="n">
        <v>54</v>
      </c>
      <c r="K658" s="60" t="n">
        <v>19</v>
      </c>
      <c r="L658" s="61" t="n">
        <f aca="false">I658*J658</f>
        <v>54</v>
      </c>
      <c r="M658" s="61" t="n">
        <f aca="false">L658-I658*K658</f>
        <v>35</v>
      </c>
      <c r="N658" s="57" t="n">
        <f aca="false">IF(COUNTIFS(E$2:E658,E658,C$2:C658,C658)=1,1,0)</f>
        <v>0</v>
      </c>
      <c r="O658" s="57" t="n">
        <f aca="false">IF(COUNTIFS(E$2:E658,E658,C$2:C658,C658,D$2:D658,D658)=1,1,0)</f>
        <v>1</v>
      </c>
      <c r="P658" s="57" t="n">
        <f aca="false">IF(AND(C658=Calc!$C$3,OR(Calc!$C$4=0,D658=Calc!$C$4)),ROW(),0)</f>
        <v>0</v>
      </c>
    </row>
    <row r="659" customFormat="false" ht="15" hidden="false" customHeight="false" outlineLevel="0" collapsed="false">
      <c r="A659" s="57" t="s">
        <v>1056</v>
      </c>
      <c r="B659" s="58" t="n">
        <v>45495</v>
      </c>
      <c r="C659" s="57" t="n">
        <f aca="false">YEAR(B659)</f>
        <v>2024</v>
      </c>
      <c r="D659" s="57" t="n">
        <f aca="false">MONTH(B659)</f>
        <v>7</v>
      </c>
      <c r="E659" s="57" t="s">
        <v>342</v>
      </c>
      <c r="F659" s="57" t="s">
        <v>78</v>
      </c>
      <c r="G659" s="57" t="s">
        <v>40</v>
      </c>
      <c r="H659" s="57" t="s">
        <v>42</v>
      </c>
      <c r="I659" s="59" t="n">
        <v>1</v>
      </c>
      <c r="J659" s="60" t="n">
        <v>79</v>
      </c>
      <c r="K659" s="60" t="n">
        <v>31</v>
      </c>
      <c r="L659" s="61" t="n">
        <f aca="false">I659*J659</f>
        <v>79</v>
      </c>
      <c r="M659" s="61" t="n">
        <f aca="false">L659-I659*K659</f>
        <v>48</v>
      </c>
      <c r="N659" s="57" t="n">
        <f aca="false">IF(COUNTIFS(E$2:E659,E659,C$2:C659,C659)=1,1,0)</f>
        <v>0</v>
      </c>
      <c r="O659" s="57" t="n">
        <f aca="false">IF(COUNTIFS(E$2:E659,E659,C$2:C659,C659,D$2:D659,D659)=1,1,0)</f>
        <v>1</v>
      </c>
      <c r="P659" s="57" t="n">
        <f aca="false">IF(AND(C659=Calc!$C$3,OR(Calc!$C$4=0,D659=Calc!$C$4)),ROW(),0)</f>
        <v>0</v>
      </c>
    </row>
    <row r="660" customFormat="false" ht="15" hidden="false" customHeight="false" outlineLevel="0" collapsed="false">
      <c r="A660" s="57" t="s">
        <v>1057</v>
      </c>
      <c r="B660" s="58" t="n">
        <v>45495</v>
      </c>
      <c r="C660" s="57" t="n">
        <f aca="false">YEAR(B660)</f>
        <v>2024</v>
      </c>
      <c r="D660" s="57" t="n">
        <f aca="false">MONTH(B660)</f>
        <v>7</v>
      </c>
      <c r="E660" s="57" t="s">
        <v>97</v>
      </c>
      <c r="F660" s="57" t="s">
        <v>78</v>
      </c>
      <c r="G660" s="57" t="s">
        <v>35</v>
      </c>
      <c r="H660" s="57" t="s">
        <v>34</v>
      </c>
      <c r="I660" s="59" t="n">
        <v>1</v>
      </c>
      <c r="J660" s="60" t="n">
        <v>89</v>
      </c>
      <c r="K660" s="60" t="n">
        <v>41</v>
      </c>
      <c r="L660" s="61" t="n">
        <f aca="false">I660*J660</f>
        <v>89</v>
      </c>
      <c r="M660" s="61" t="n">
        <f aca="false">L660-I660*K660</f>
        <v>48</v>
      </c>
      <c r="N660" s="57" t="n">
        <f aca="false">IF(COUNTIFS(E$2:E660,E660,C$2:C660,C660)=1,1,0)</f>
        <v>0</v>
      </c>
      <c r="O660" s="57" t="n">
        <f aca="false">IF(COUNTIFS(E$2:E660,E660,C$2:C660,C660,D$2:D660,D660)=1,1,0)</f>
        <v>1</v>
      </c>
      <c r="P660" s="57" t="n">
        <f aca="false">IF(AND(C660=Calc!$C$3,OR(Calc!$C$4=0,D660=Calc!$C$4)),ROW(),0)</f>
        <v>0</v>
      </c>
    </row>
    <row r="661" customFormat="false" ht="15" hidden="false" customHeight="false" outlineLevel="0" collapsed="false">
      <c r="A661" s="57" t="s">
        <v>1058</v>
      </c>
      <c r="B661" s="58" t="n">
        <v>45496</v>
      </c>
      <c r="C661" s="57" t="n">
        <f aca="false">YEAR(B661)</f>
        <v>2024</v>
      </c>
      <c r="D661" s="57" t="n">
        <f aca="false">MONTH(B661)</f>
        <v>7</v>
      </c>
      <c r="E661" s="57" t="s">
        <v>1014</v>
      </c>
      <c r="F661" s="57" t="s">
        <v>69</v>
      </c>
      <c r="G661" s="57" t="s">
        <v>50</v>
      </c>
      <c r="H661" s="57" t="s">
        <v>51</v>
      </c>
      <c r="I661" s="59" t="n">
        <v>2</v>
      </c>
      <c r="J661" s="60" t="n">
        <v>69</v>
      </c>
      <c r="K661" s="60" t="n">
        <v>29</v>
      </c>
      <c r="L661" s="61" t="n">
        <f aca="false">I661*J661</f>
        <v>138</v>
      </c>
      <c r="M661" s="61" t="n">
        <f aca="false">L661-I661*K661</f>
        <v>80</v>
      </c>
      <c r="N661" s="57" t="n">
        <f aca="false">IF(COUNTIFS(E$2:E661,E661,C$2:C661,C661)=1,1,0)</f>
        <v>0</v>
      </c>
      <c r="O661" s="57" t="n">
        <f aca="false">IF(COUNTIFS(E$2:E661,E661,C$2:C661,C661,D$2:D661,D661)=1,1,0)</f>
        <v>0</v>
      </c>
      <c r="P661" s="57" t="n">
        <f aca="false">IF(AND(C661=Calc!$C$3,OR(Calc!$C$4=0,D661=Calc!$C$4)),ROW(),0)</f>
        <v>0</v>
      </c>
    </row>
    <row r="662" customFormat="false" ht="15" hidden="false" customHeight="false" outlineLevel="0" collapsed="false">
      <c r="A662" s="57" t="s">
        <v>1059</v>
      </c>
      <c r="B662" s="58" t="n">
        <v>45496</v>
      </c>
      <c r="C662" s="57" t="n">
        <f aca="false">YEAR(B662)</f>
        <v>2024</v>
      </c>
      <c r="D662" s="57" t="n">
        <f aca="false">MONTH(B662)</f>
        <v>7</v>
      </c>
      <c r="E662" s="57" t="s">
        <v>510</v>
      </c>
      <c r="F662" s="57" t="s">
        <v>78</v>
      </c>
      <c r="G662" s="57" t="s">
        <v>45</v>
      </c>
      <c r="H662" s="57" t="s">
        <v>48</v>
      </c>
      <c r="I662" s="59" t="n">
        <v>1</v>
      </c>
      <c r="J662" s="60" t="n">
        <v>99</v>
      </c>
      <c r="K662" s="60" t="n">
        <v>38</v>
      </c>
      <c r="L662" s="61" t="n">
        <f aca="false">I662*J662</f>
        <v>99</v>
      </c>
      <c r="M662" s="61" t="n">
        <f aca="false">L662-I662*K662</f>
        <v>61</v>
      </c>
      <c r="N662" s="57" t="n">
        <f aca="false">IF(COUNTIFS(E$2:E662,E662,C$2:C662,C662)=1,1,0)</f>
        <v>0</v>
      </c>
      <c r="O662" s="57" t="n">
        <f aca="false">IF(COUNTIFS(E$2:E662,E662,C$2:C662,C662,D$2:D662,D662)=1,1,0)</f>
        <v>1</v>
      </c>
      <c r="P662" s="57" t="n">
        <f aca="false">IF(AND(C662=Calc!$C$3,OR(Calc!$C$4=0,D662=Calc!$C$4)),ROW(),0)</f>
        <v>0</v>
      </c>
    </row>
    <row r="663" customFormat="false" ht="15" hidden="false" customHeight="false" outlineLevel="0" collapsed="false">
      <c r="A663" s="57" t="s">
        <v>1060</v>
      </c>
      <c r="B663" s="58" t="n">
        <v>45496</v>
      </c>
      <c r="C663" s="57" t="n">
        <f aca="false">YEAR(B663)</f>
        <v>2024</v>
      </c>
      <c r="D663" s="57" t="n">
        <f aca="false">MONTH(B663)</f>
        <v>7</v>
      </c>
      <c r="E663" s="57" t="s">
        <v>199</v>
      </c>
      <c r="F663" s="57" t="s">
        <v>72</v>
      </c>
      <c r="G663" s="57" t="s">
        <v>40</v>
      </c>
      <c r="H663" s="57" t="s">
        <v>42</v>
      </c>
      <c r="I663" s="59" t="n">
        <v>2</v>
      </c>
      <c r="J663" s="60" t="n">
        <v>79</v>
      </c>
      <c r="K663" s="60" t="n">
        <v>31</v>
      </c>
      <c r="L663" s="61" t="n">
        <f aca="false">I663*J663</f>
        <v>158</v>
      </c>
      <c r="M663" s="61" t="n">
        <f aca="false">L663-I663*K663</f>
        <v>96</v>
      </c>
      <c r="N663" s="57" t="n">
        <f aca="false">IF(COUNTIFS(E$2:E663,E663,C$2:C663,C663)=1,1,0)</f>
        <v>0</v>
      </c>
      <c r="O663" s="57" t="n">
        <f aca="false">IF(COUNTIFS(E$2:E663,E663,C$2:C663,C663,D$2:D663,D663)=1,1,0)</f>
        <v>1</v>
      </c>
      <c r="P663" s="57" t="n">
        <f aca="false">IF(AND(C663=Calc!$C$3,OR(Calc!$C$4=0,D663=Calc!$C$4)),ROW(),0)</f>
        <v>0</v>
      </c>
    </row>
    <row r="664" customFormat="false" ht="15" hidden="false" customHeight="false" outlineLevel="0" collapsed="false">
      <c r="A664" s="57" t="s">
        <v>1061</v>
      </c>
      <c r="B664" s="58" t="n">
        <v>45496</v>
      </c>
      <c r="C664" s="57" t="n">
        <f aca="false">YEAR(B664)</f>
        <v>2024</v>
      </c>
      <c r="D664" s="57" t="n">
        <f aca="false">MONTH(B664)</f>
        <v>7</v>
      </c>
      <c r="E664" s="57" t="s">
        <v>1062</v>
      </c>
      <c r="F664" s="57" t="s">
        <v>78</v>
      </c>
      <c r="G664" s="57" t="s">
        <v>35</v>
      </c>
      <c r="H664" s="57" t="s">
        <v>34</v>
      </c>
      <c r="I664" s="59" t="n">
        <v>1</v>
      </c>
      <c r="J664" s="60" t="n">
        <v>89</v>
      </c>
      <c r="K664" s="60" t="n">
        <v>41</v>
      </c>
      <c r="L664" s="61" t="n">
        <f aca="false">I664*J664</f>
        <v>89</v>
      </c>
      <c r="M664" s="61" t="n">
        <f aca="false">L664-I664*K664</f>
        <v>48</v>
      </c>
      <c r="N664" s="57" t="n">
        <f aca="false">IF(COUNTIFS(E$2:E664,E664,C$2:C664,C664)=1,1,0)</f>
        <v>1</v>
      </c>
      <c r="O664" s="57" t="n">
        <f aca="false">IF(COUNTIFS(E$2:E664,E664,C$2:C664,C664,D$2:D664,D664)=1,1,0)</f>
        <v>1</v>
      </c>
      <c r="P664" s="57" t="n">
        <f aca="false">IF(AND(C664=Calc!$C$3,OR(Calc!$C$4=0,D664=Calc!$C$4)),ROW(),0)</f>
        <v>0</v>
      </c>
    </row>
    <row r="665" customFormat="false" ht="15" hidden="false" customHeight="false" outlineLevel="0" collapsed="false">
      <c r="A665" s="57" t="s">
        <v>1063</v>
      </c>
      <c r="B665" s="58" t="n">
        <v>45497</v>
      </c>
      <c r="C665" s="57" t="n">
        <f aca="false">YEAR(B665)</f>
        <v>2024</v>
      </c>
      <c r="D665" s="57" t="n">
        <f aca="false">MONTH(B665)</f>
        <v>7</v>
      </c>
      <c r="E665" s="57" t="s">
        <v>393</v>
      </c>
      <c r="F665" s="57" t="s">
        <v>78</v>
      </c>
      <c r="G665" s="57" t="s">
        <v>35</v>
      </c>
      <c r="H665" s="57" t="s">
        <v>36</v>
      </c>
      <c r="I665" s="59" t="n">
        <v>1</v>
      </c>
      <c r="J665" s="60" t="n">
        <v>179</v>
      </c>
      <c r="K665" s="60" t="n">
        <v>92</v>
      </c>
      <c r="L665" s="61" t="n">
        <f aca="false">I665*J665</f>
        <v>179</v>
      </c>
      <c r="M665" s="61" t="n">
        <f aca="false">L665-I665*K665</f>
        <v>87</v>
      </c>
      <c r="N665" s="57" t="n">
        <f aca="false">IF(COUNTIFS(E$2:E665,E665,C$2:C665,C665)=1,1,0)</f>
        <v>0</v>
      </c>
      <c r="O665" s="57" t="n">
        <f aca="false">IF(COUNTIFS(E$2:E665,E665,C$2:C665,C665,D$2:D665,D665)=1,1,0)</f>
        <v>1</v>
      </c>
      <c r="P665" s="57" t="n">
        <f aca="false">IF(AND(C665=Calc!$C$3,OR(Calc!$C$4=0,D665=Calc!$C$4)),ROW(),0)</f>
        <v>0</v>
      </c>
    </row>
    <row r="666" customFormat="false" ht="15" hidden="false" customHeight="false" outlineLevel="0" collapsed="false">
      <c r="A666" s="57" t="s">
        <v>1064</v>
      </c>
      <c r="B666" s="58" t="n">
        <v>45497</v>
      </c>
      <c r="C666" s="57" t="n">
        <f aca="false">YEAR(B666)</f>
        <v>2024</v>
      </c>
      <c r="D666" s="57" t="n">
        <f aca="false">MONTH(B666)</f>
        <v>7</v>
      </c>
      <c r="E666" s="57" t="s">
        <v>152</v>
      </c>
      <c r="F666" s="57" t="s">
        <v>72</v>
      </c>
      <c r="G666" s="57" t="s">
        <v>45</v>
      </c>
      <c r="H666" s="57" t="s">
        <v>46</v>
      </c>
      <c r="I666" s="59" t="n">
        <v>1</v>
      </c>
      <c r="J666" s="60" t="n">
        <v>149</v>
      </c>
      <c r="K666" s="60" t="n">
        <v>71</v>
      </c>
      <c r="L666" s="61" t="n">
        <f aca="false">I666*J666</f>
        <v>149</v>
      </c>
      <c r="M666" s="61" t="n">
        <f aca="false">L666-I666*K666</f>
        <v>78</v>
      </c>
      <c r="N666" s="57" t="n">
        <f aca="false">IF(COUNTIFS(E$2:E666,E666,C$2:C666,C666)=1,1,0)</f>
        <v>0</v>
      </c>
      <c r="O666" s="57" t="n">
        <f aca="false">IF(COUNTIFS(E$2:E666,E666,C$2:C666,C666,D$2:D666,D666)=1,1,0)</f>
        <v>1</v>
      </c>
      <c r="P666" s="57" t="n">
        <f aca="false">IF(AND(C666=Calc!$C$3,OR(Calc!$C$4=0,D666=Calc!$C$4)),ROW(),0)</f>
        <v>0</v>
      </c>
    </row>
    <row r="667" customFormat="false" ht="15" hidden="false" customHeight="false" outlineLevel="0" collapsed="false">
      <c r="A667" s="57" t="s">
        <v>1065</v>
      </c>
      <c r="B667" s="58" t="n">
        <v>45497</v>
      </c>
      <c r="C667" s="57" t="n">
        <f aca="false">YEAR(B667)</f>
        <v>2024</v>
      </c>
      <c r="D667" s="57" t="n">
        <f aca="false">MONTH(B667)</f>
        <v>7</v>
      </c>
      <c r="E667" s="57" t="s">
        <v>173</v>
      </c>
      <c r="F667" s="57" t="s">
        <v>69</v>
      </c>
      <c r="G667" s="57" t="s">
        <v>35</v>
      </c>
      <c r="H667" s="57" t="s">
        <v>38</v>
      </c>
      <c r="I667" s="59" t="n">
        <v>2</v>
      </c>
      <c r="J667" s="60" t="n">
        <v>49</v>
      </c>
      <c r="K667" s="60" t="n">
        <v>22</v>
      </c>
      <c r="L667" s="61" t="n">
        <f aca="false">I667*J667</f>
        <v>98</v>
      </c>
      <c r="M667" s="61" t="n">
        <f aca="false">L667-I667*K667</f>
        <v>54</v>
      </c>
      <c r="N667" s="57" t="n">
        <f aca="false">IF(COUNTIFS(E$2:E667,E667,C$2:C667,C667)=1,1,0)</f>
        <v>0</v>
      </c>
      <c r="O667" s="57" t="n">
        <f aca="false">IF(COUNTIFS(E$2:E667,E667,C$2:C667,C667,D$2:D667,D667)=1,1,0)</f>
        <v>1</v>
      </c>
      <c r="P667" s="57" t="n">
        <f aca="false">IF(AND(C667=Calc!$C$3,OR(Calc!$C$4=0,D667=Calc!$C$4)),ROW(),0)</f>
        <v>0</v>
      </c>
    </row>
    <row r="668" customFormat="false" ht="15" hidden="false" customHeight="false" outlineLevel="0" collapsed="false">
      <c r="A668" s="57" t="s">
        <v>1066</v>
      </c>
      <c r="B668" s="58" t="n">
        <v>45498</v>
      </c>
      <c r="C668" s="57" t="n">
        <f aca="false">YEAR(B668)</f>
        <v>2024</v>
      </c>
      <c r="D668" s="57" t="n">
        <f aca="false">MONTH(B668)</f>
        <v>7</v>
      </c>
      <c r="E668" s="57" t="s">
        <v>611</v>
      </c>
      <c r="F668" s="57" t="s">
        <v>78</v>
      </c>
      <c r="G668" s="57" t="s">
        <v>35</v>
      </c>
      <c r="H668" s="57" t="s">
        <v>34</v>
      </c>
      <c r="I668" s="59" t="n">
        <v>1</v>
      </c>
      <c r="J668" s="60" t="n">
        <v>89</v>
      </c>
      <c r="K668" s="60" t="n">
        <v>41</v>
      </c>
      <c r="L668" s="61" t="n">
        <f aca="false">I668*J668</f>
        <v>89</v>
      </c>
      <c r="M668" s="61" t="n">
        <f aca="false">L668-I668*K668</f>
        <v>48</v>
      </c>
      <c r="N668" s="57" t="n">
        <f aca="false">IF(COUNTIFS(E$2:E668,E668,C$2:C668,C668)=1,1,0)</f>
        <v>0</v>
      </c>
      <c r="O668" s="57" t="n">
        <f aca="false">IF(COUNTIFS(E$2:E668,E668,C$2:C668,C668,D$2:D668,D668)=1,1,0)</f>
        <v>1</v>
      </c>
      <c r="P668" s="57" t="n">
        <f aca="false">IF(AND(C668=Calc!$C$3,OR(Calc!$C$4=0,D668=Calc!$C$4)),ROW(),0)</f>
        <v>0</v>
      </c>
    </row>
    <row r="669" customFormat="false" ht="15" hidden="false" customHeight="false" outlineLevel="0" collapsed="false">
      <c r="A669" s="57" t="s">
        <v>1067</v>
      </c>
      <c r="B669" s="58" t="n">
        <v>45498</v>
      </c>
      <c r="C669" s="57" t="n">
        <f aca="false">YEAR(B669)</f>
        <v>2024</v>
      </c>
      <c r="D669" s="57" t="n">
        <f aca="false">MONTH(B669)</f>
        <v>7</v>
      </c>
      <c r="E669" s="57" t="s">
        <v>146</v>
      </c>
      <c r="F669" s="57" t="s">
        <v>78</v>
      </c>
      <c r="G669" s="57" t="s">
        <v>35</v>
      </c>
      <c r="H669" s="57" t="s">
        <v>37</v>
      </c>
      <c r="I669" s="59" t="n">
        <v>1</v>
      </c>
      <c r="J669" s="60" t="n">
        <v>59</v>
      </c>
      <c r="K669" s="60" t="n">
        <v>27</v>
      </c>
      <c r="L669" s="61" t="n">
        <f aca="false">I669*J669</f>
        <v>59</v>
      </c>
      <c r="M669" s="61" t="n">
        <f aca="false">L669-I669*K669</f>
        <v>32</v>
      </c>
      <c r="N669" s="57" t="n">
        <f aca="false">IF(COUNTIFS(E$2:E669,E669,C$2:C669,C669)=1,1,0)</f>
        <v>0</v>
      </c>
      <c r="O669" s="57" t="n">
        <f aca="false">IF(COUNTIFS(E$2:E669,E669,C$2:C669,C669,D$2:D669,D669)=1,1,0)</f>
        <v>1</v>
      </c>
      <c r="P669" s="57" t="n">
        <f aca="false">IF(AND(C669=Calc!$C$3,OR(Calc!$C$4=0,D669=Calc!$C$4)),ROW(),0)</f>
        <v>0</v>
      </c>
    </row>
    <row r="670" customFormat="false" ht="15" hidden="false" customHeight="false" outlineLevel="0" collapsed="false">
      <c r="A670" s="57" t="s">
        <v>1068</v>
      </c>
      <c r="B670" s="58" t="n">
        <v>45498</v>
      </c>
      <c r="C670" s="57" t="n">
        <f aca="false">YEAR(B670)</f>
        <v>2024</v>
      </c>
      <c r="D670" s="57" t="n">
        <f aca="false">MONTH(B670)</f>
        <v>7</v>
      </c>
      <c r="E670" s="57" t="s">
        <v>613</v>
      </c>
      <c r="F670" s="57" t="s">
        <v>72</v>
      </c>
      <c r="G670" s="57" t="s">
        <v>35</v>
      </c>
      <c r="H670" s="57" t="s">
        <v>38</v>
      </c>
      <c r="I670" s="59" t="n">
        <v>1</v>
      </c>
      <c r="J670" s="60" t="n">
        <v>49</v>
      </c>
      <c r="K670" s="60" t="n">
        <v>22</v>
      </c>
      <c r="L670" s="61" t="n">
        <f aca="false">I670*J670</f>
        <v>49</v>
      </c>
      <c r="M670" s="61" t="n">
        <f aca="false">L670-I670*K670</f>
        <v>27</v>
      </c>
      <c r="N670" s="57" t="n">
        <f aca="false">IF(COUNTIFS(E$2:E670,E670,C$2:C670,C670)=1,1,0)</f>
        <v>0</v>
      </c>
      <c r="O670" s="57" t="n">
        <f aca="false">IF(COUNTIFS(E$2:E670,E670,C$2:C670,C670,D$2:D670,D670)=1,1,0)</f>
        <v>0</v>
      </c>
      <c r="P670" s="57" t="n">
        <f aca="false">IF(AND(C670=Calc!$C$3,OR(Calc!$C$4=0,D670=Calc!$C$4)),ROW(),0)</f>
        <v>0</v>
      </c>
    </row>
    <row r="671" customFormat="false" ht="15" hidden="false" customHeight="false" outlineLevel="0" collapsed="false">
      <c r="A671" s="57" t="s">
        <v>1069</v>
      </c>
      <c r="B671" s="58" t="n">
        <v>45499</v>
      </c>
      <c r="C671" s="57" t="n">
        <f aca="false">YEAR(B671)</f>
        <v>2024</v>
      </c>
      <c r="D671" s="57" t="n">
        <f aca="false">MONTH(B671)</f>
        <v>7</v>
      </c>
      <c r="E671" s="57" t="s">
        <v>1070</v>
      </c>
      <c r="F671" s="57" t="s">
        <v>69</v>
      </c>
      <c r="G671" s="57" t="s">
        <v>40</v>
      </c>
      <c r="H671" s="57" t="s">
        <v>41</v>
      </c>
      <c r="I671" s="59" t="n">
        <v>2</v>
      </c>
      <c r="J671" s="60" t="n">
        <v>46</v>
      </c>
      <c r="K671" s="60" t="n">
        <v>16</v>
      </c>
      <c r="L671" s="61" t="n">
        <f aca="false">I671*J671</f>
        <v>92</v>
      </c>
      <c r="M671" s="61" t="n">
        <f aca="false">L671-I671*K671</f>
        <v>60</v>
      </c>
      <c r="N671" s="57" t="n">
        <f aca="false">IF(COUNTIFS(E$2:E671,E671,C$2:C671,C671)=1,1,0)</f>
        <v>1</v>
      </c>
      <c r="O671" s="57" t="n">
        <f aca="false">IF(COUNTIFS(E$2:E671,E671,C$2:C671,C671,D$2:D671,D671)=1,1,0)</f>
        <v>1</v>
      </c>
      <c r="P671" s="57" t="n">
        <f aca="false">IF(AND(C671=Calc!$C$3,OR(Calc!$C$4=0,D671=Calc!$C$4)),ROW(),0)</f>
        <v>0</v>
      </c>
    </row>
    <row r="672" customFormat="false" ht="15" hidden="false" customHeight="false" outlineLevel="0" collapsed="false">
      <c r="A672" s="57" t="s">
        <v>1071</v>
      </c>
      <c r="B672" s="58" t="n">
        <v>45499</v>
      </c>
      <c r="C672" s="57" t="n">
        <f aca="false">YEAR(B672)</f>
        <v>2024</v>
      </c>
      <c r="D672" s="57" t="n">
        <f aca="false">MONTH(B672)</f>
        <v>7</v>
      </c>
      <c r="E672" s="57" t="s">
        <v>440</v>
      </c>
      <c r="F672" s="57" t="s">
        <v>78</v>
      </c>
      <c r="G672" s="57" t="s">
        <v>40</v>
      </c>
      <c r="H672" s="57" t="s">
        <v>43</v>
      </c>
      <c r="I672" s="59" t="n">
        <v>1</v>
      </c>
      <c r="J672" s="60" t="n">
        <v>29</v>
      </c>
      <c r="K672" s="60" t="n">
        <v>9</v>
      </c>
      <c r="L672" s="61" t="n">
        <f aca="false">I672*J672</f>
        <v>29</v>
      </c>
      <c r="M672" s="61" t="n">
        <f aca="false">L672-I672*K672</f>
        <v>20</v>
      </c>
      <c r="N672" s="57" t="n">
        <f aca="false">IF(COUNTIFS(E$2:E672,E672,C$2:C672,C672)=1,1,0)</f>
        <v>0</v>
      </c>
      <c r="O672" s="57" t="n">
        <f aca="false">IF(COUNTIFS(E$2:E672,E672,C$2:C672,C672,D$2:D672,D672)=1,1,0)</f>
        <v>0</v>
      </c>
      <c r="P672" s="57" t="n">
        <f aca="false">IF(AND(C672=Calc!$C$3,OR(Calc!$C$4=0,D672=Calc!$C$4)),ROW(),0)</f>
        <v>0</v>
      </c>
    </row>
    <row r="673" customFormat="false" ht="15" hidden="false" customHeight="false" outlineLevel="0" collapsed="false">
      <c r="A673" s="57" t="s">
        <v>1072</v>
      </c>
      <c r="B673" s="58" t="n">
        <v>45499</v>
      </c>
      <c r="C673" s="57" t="n">
        <f aca="false">YEAR(B673)</f>
        <v>2024</v>
      </c>
      <c r="D673" s="57" t="n">
        <f aca="false">MONTH(B673)</f>
        <v>7</v>
      </c>
      <c r="E673" s="57" t="s">
        <v>304</v>
      </c>
      <c r="F673" s="57" t="s">
        <v>69</v>
      </c>
      <c r="G673" s="57" t="s">
        <v>50</v>
      </c>
      <c r="H673" s="57" t="s">
        <v>49</v>
      </c>
      <c r="I673" s="59" t="n">
        <v>1</v>
      </c>
      <c r="J673" s="60" t="n">
        <v>32</v>
      </c>
      <c r="K673" s="60" t="n">
        <v>7</v>
      </c>
      <c r="L673" s="61" t="n">
        <f aca="false">I673*J673</f>
        <v>32</v>
      </c>
      <c r="M673" s="61" t="n">
        <f aca="false">L673-I673*K673</f>
        <v>25</v>
      </c>
      <c r="N673" s="57" t="n">
        <f aca="false">IF(COUNTIFS(E$2:E673,E673,C$2:C673,C673)=1,1,0)</f>
        <v>0</v>
      </c>
      <c r="O673" s="57" t="n">
        <f aca="false">IF(COUNTIFS(E$2:E673,E673,C$2:C673,C673,D$2:D673,D673)=1,1,0)</f>
        <v>1</v>
      </c>
      <c r="P673" s="57" t="n">
        <f aca="false">IF(AND(C673=Calc!$C$3,OR(Calc!$C$4=0,D673=Calc!$C$4)),ROW(),0)</f>
        <v>0</v>
      </c>
    </row>
    <row r="674" customFormat="false" ht="15" hidden="false" customHeight="false" outlineLevel="0" collapsed="false">
      <c r="A674" s="57" t="s">
        <v>1073</v>
      </c>
      <c r="B674" s="58" t="n">
        <v>45499</v>
      </c>
      <c r="C674" s="57" t="n">
        <f aca="false">YEAR(B674)</f>
        <v>2024</v>
      </c>
      <c r="D674" s="57" t="n">
        <f aca="false">MONTH(B674)</f>
        <v>7</v>
      </c>
      <c r="E674" s="57" t="s">
        <v>580</v>
      </c>
      <c r="F674" s="57" t="s">
        <v>75</v>
      </c>
      <c r="G674" s="57" t="s">
        <v>40</v>
      </c>
      <c r="H674" s="57" t="s">
        <v>43</v>
      </c>
      <c r="I674" s="59" t="n">
        <v>1</v>
      </c>
      <c r="J674" s="60" t="n">
        <v>29</v>
      </c>
      <c r="K674" s="60" t="n">
        <v>9</v>
      </c>
      <c r="L674" s="61" t="n">
        <f aca="false">I674*J674</f>
        <v>29</v>
      </c>
      <c r="M674" s="61" t="n">
        <f aca="false">L674-I674*K674</f>
        <v>20</v>
      </c>
      <c r="N674" s="57" t="n">
        <f aca="false">IF(COUNTIFS(E$2:E674,E674,C$2:C674,C674)=1,1,0)</f>
        <v>0</v>
      </c>
      <c r="O674" s="57" t="n">
        <f aca="false">IF(COUNTIFS(E$2:E674,E674,C$2:C674,C674,D$2:D674,D674)=1,1,0)</f>
        <v>0</v>
      </c>
      <c r="P674" s="57" t="n">
        <f aca="false">IF(AND(C674=Calc!$C$3,OR(Calc!$C$4=0,D674=Calc!$C$4)),ROW(),0)</f>
        <v>0</v>
      </c>
    </row>
    <row r="675" customFormat="false" ht="15" hidden="false" customHeight="false" outlineLevel="0" collapsed="false">
      <c r="A675" s="57" t="s">
        <v>1074</v>
      </c>
      <c r="B675" s="58" t="n">
        <v>45500</v>
      </c>
      <c r="C675" s="57" t="n">
        <f aca="false">YEAR(B675)</f>
        <v>2024</v>
      </c>
      <c r="D675" s="57" t="n">
        <f aca="false">MONTH(B675)</f>
        <v>7</v>
      </c>
      <c r="E675" s="57" t="s">
        <v>265</v>
      </c>
      <c r="F675" s="57" t="s">
        <v>78</v>
      </c>
      <c r="G675" s="57" t="s">
        <v>40</v>
      </c>
      <c r="H675" s="57" t="s">
        <v>39</v>
      </c>
      <c r="I675" s="59" t="n">
        <v>1</v>
      </c>
      <c r="J675" s="60" t="n">
        <v>54</v>
      </c>
      <c r="K675" s="60" t="n">
        <v>19</v>
      </c>
      <c r="L675" s="61" t="n">
        <f aca="false">I675*J675</f>
        <v>54</v>
      </c>
      <c r="M675" s="61" t="n">
        <f aca="false">L675-I675*K675</f>
        <v>35</v>
      </c>
      <c r="N675" s="57" t="n">
        <f aca="false">IF(COUNTIFS(E$2:E675,E675,C$2:C675,C675)=1,1,0)</f>
        <v>0</v>
      </c>
      <c r="O675" s="57" t="n">
        <f aca="false">IF(COUNTIFS(E$2:E675,E675,C$2:C675,C675,D$2:D675,D675)=1,1,0)</f>
        <v>1</v>
      </c>
      <c r="P675" s="57" t="n">
        <f aca="false">IF(AND(C675=Calc!$C$3,OR(Calc!$C$4=0,D675=Calc!$C$4)),ROW(),0)</f>
        <v>0</v>
      </c>
    </row>
    <row r="676" customFormat="false" ht="15" hidden="false" customHeight="false" outlineLevel="0" collapsed="false">
      <c r="A676" s="57" t="s">
        <v>1075</v>
      </c>
      <c r="B676" s="58" t="n">
        <v>45500</v>
      </c>
      <c r="C676" s="57" t="n">
        <f aca="false">YEAR(B676)</f>
        <v>2024</v>
      </c>
      <c r="D676" s="57" t="n">
        <f aca="false">MONTH(B676)</f>
        <v>7</v>
      </c>
      <c r="E676" s="57" t="s">
        <v>569</v>
      </c>
      <c r="F676" s="57" t="s">
        <v>72</v>
      </c>
      <c r="G676" s="57" t="s">
        <v>40</v>
      </c>
      <c r="H676" s="57" t="s">
        <v>42</v>
      </c>
      <c r="I676" s="59" t="n">
        <v>1</v>
      </c>
      <c r="J676" s="60" t="n">
        <v>79</v>
      </c>
      <c r="K676" s="60" t="n">
        <v>31</v>
      </c>
      <c r="L676" s="61" t="n">
        <f aca="false">I676*J676</f>
        <v>79</v>
      </c>
      <c r="M676" s="61" t="n">
        <f aca="false">L676-I676*K676</f>
        <v>48</v>
      </c>
      <c r="N676" s="57" t="n">
        <f aca="false">IF(COUNTIFS(E$2:E676,E676,C$2:C676,C676)=1,1,0)</f>
        <v>0</v>
      </c>
      <c r="O676" s="57" t="n">
        <f aca="false">IF(COUNTIFS(E$2:E676,E676,C$2:C676,C676,D$2:D676,D676)=1,1,0)</f>
        <v>0</v>
      </c>
      <c r="P676" s="57" t="n">
        <f aca="false">IF(AND(C676=Calc!$C$3,OR(Calc!$C$4=0,D676=Calc!$C$4)),ROW(),0)</f>
        <v>0</v>
      </c>
    </row>
    <row r="677" customFormat="false" ht="15" hidden="false" customHeight="false" outlineLevel="0" collapsed="false">
      <c r="A677" s="57" t="s">
        <v>1076</v>
      </c>
      <c r="B677" s="58" t="n">
        <v>45500</v>
      </c>
      <c r="C677" s="57" t="n">
        <f aca="false">YEAR(B677)</f>
        <v>2024</v>
      </c>
      <c r="D677" s="57" t="n">
        <f aca="false">MONTH(B677)</f>
        <v>7</v>
      </c>
      <c r="E677" s="57" t="s">
        <v>1077</v>
      </c>
      <c r="F677" s="57" t="s">
        <v>81</v>
      </c>
      <c r="G677" s="57" t="s">
        <v>35</v>
      </c>
      <c r="H677" s="57" t="s">
        <v>34</v>
      </c>
      <c r="I677" s="59" t="n">
        <v>1</v>
      </c>
      <c r="J677" s="60" t="n">
        <v>89</v>
      </c>
      <c r="K677" s="60" t="n">
        <v>41</v>
      </c>
      <c r="L677" s="61" t="n">
        <f aca="false">I677*J677</f>
        <v>89</v>
      </c>
      <c r="M677" s="61" t="n">
        <f aca="false">L677-I677*K677</f>
        <v>48</v>
      </c>
      <c r="N677" s="57" t="n">
        <f aca="false">IF(COUNTIFS(E$2:E677,E677,C$2:C677,C677)=1,1,0)</f>
        <v>1</v>
      </c>
      <c r="O677" s="57" t="n">
        <f aca="false">IF(COUNTIFS(E$2:E677,E677,C$2:C677,C677,D$2:D677,D677)=1,1,0)</f>
        <v>1</v>
      </c>
      <c r="P677" s="57" t="n">
        <f aca="false">IF(AND(C677=Calc!$C$3,OR(Calc!$C$4=0,D677=Calc!$C$4)),ROW(),0)</f>
        <v>0</v>
      </c>
    </row>
    <row r="678" customFormat="false" ht="15" hidden="false" customHeight="false" outlineLevel="0" collapsed="false">
      <c r="A678" s="57" t="s">
        <v>1078</v>
      </c>
      <c r="B678" s="58" t="n">
        <v>45500</v>
      </c>
      <c r="C678" s="57" t="n">
        <f aca="false">YEAR(B678)</f>
        <v>2024</v>
      </c>
      <c r="D678" s="57" t="n">
        <f aca="false">MONTH(B678)</f>
        <v>7</v>
      </c>
      <c r="E678" s="57" t="s">
        <v>743</v>
      </c>
      <c r="F678" s="57" t="s">
        <v>69</v>
      </c>
      <c r="G678" s="57" t="s">
        <v>50</v>
      </c>
      <c r="H678" s="57" t="s">
        <v>52</v>
      </c>
      <c r="I678" s="59" t="n">
        <v>3</v>
      </c>
      <c r="J678" s="60" t="n">
        <v>45</v>
      </c>
      <c r="K678" s="60" t="n">
        <v>14</v>
      </c>
      <c r="L678" s="61" t="n">
        <f aca="false">I678*J678</f>
        <v>135</v>
      </c>
      <c r="M678" s="61" t="n">
        <f aca="false">L678-I678*K678</f>
        <v>93</v>
      </c>
      <c r="N678" s="57" t="n">
        <f aca="false">IF(COUNTIFS(E$2:E678,E678,C$2:C678,C678)=1,1,0)</f>
        <v>0</v>
      </c>
      <c r="O678" s="57" t="n">
        <f aca="false">IF(COUNTIFS(E$2:E678,E678,C$2:C678,C678,D$2:D678,D678)=1,1,0)</f>
        <v>1</v>
      </c>
      <c r="P678" s="57" t="n">
        <f aca="false">IF(AND(C678=Calc!$C$3,OR(Calc!$C$4=0,D678=Calc!$C$4)),ROW(),0)</f>
        <v>0</v>
      </c>
    </row>
    <row r="679" customFormat="false" ht="15" hidden="false" customHeight="false" outlineLevel="0" collapsed="false">
      <c r="A679" s="57" t="s">
        <v>1079</v>
      </c>
      <c r="B679" s="58" t="n">
        <v>45501</v>
      </c>
      <c r="C679" s="57" t="n">
        <f aca="false">YEAR(B679)</f>
        <v>2024</v>
      </c>
      <c r="D679" s="57" t="n">
        <f aca="false">MONTH(B679)</f>
        <v>7</v>
      </c>
      <c r="E679" s="57" t="s">
        <v>1080</v>
      </c>
      <c r="F679" s="57" t="s">
        <v>75</v>
      </c>
      <c r="G679" s="57" t="s">
        <v>45</v>
      </c>
      <c r="H679" s="57" t="s">
        <v>48</v>
      </c>
      <c r="I679" s="59" t="n">
        <v>1</v>
      </c>
      <c r="J679" s="60" t="n">
        <v>99</v>
      </c>
      <c r="K679" s="60" t="n">
        <v>38</v>
      </c>
      <c r="L679" s="61" t="n">
        <f aca="false">I679*J679</f>
        <v>99</v>
      </c>
      <c r="M679" s="61" t="n">
        <f aca="false">L679-I679*K679</f>
        <v>61</v>
      </c>
      <c r="N679" s="57" t="n">
        <f aca="false">IF(COUNTIFS(E$2:E679,E679,C$2:C679,C679)=1,1,0)</f>
        <v>1</v>
      </c>
      <c r="O679" s="57" t="n">
        <f aca="false">IF(COUNTIFS(E$2:E679,E679,C$2:C679,C679,D$2:D679,D679)=1,1,0)</f>
        <v>1</v>
      </c>
      <c r="P679" s="57" t="n">
        <f aca="false">IF(AND(C679=Calc!$C$3,OR(Calc!$C$4=0,D679=Calc!$C$4)),ROW(),0)</f>
        <v>0</v>
      </c>
    </row>
    <row r="680" customFormat="false" ht="15" hidden="false" customHeight="false" outlineLevel="0" collapsed="false">
      <c r="A680" s="57" t="s">
        <v>1081</v>
      </c>
      <c r="B680" s="58" t="n">
        <v>45501</v>
      </c>
      <c r="C680" s="57" t="n">
        <f aca="false">YEAR(B680)</f>
        <v>2024</v>
      </c>
      <c r="D680" s="57" t="n">
        <f aca="false">MONTH(B680)</f>
        <v>7</v>
      </c>
      <c r="E680" s="57" t="s">
        <v>504</v>
      </c>
      <c r="F680" s="57" t="s">
        <v>72</v>
      </c>
      <c r="G680" s="57" t="s">
        <v>45</v>
      </c>
      <c r="H680" s="57" t="s">
        <v>46</v>
      </c>
      <c r="I680" s="59" t="n">
        <v>1</v>
      </c>
      <c r="J680" s="60" t="n">
        <v>149</v>
      </c>
      <c r="K680" s="60" t="n">
        <v>71</v>
      </c>
      <c r="L680" s="61" t="n">
        <f aca="false">I680*J680</f>
        <v>149</v>
      </c>
      <c r="M680" s="61" t="n">
        <f aca="false">L680-I680*K680</f>
        <v>78</v>
      </c>
      <c r="N680" s="57" t="n">
        <f aca="false">IF(COUNTIFS(E$2:E680,E680,C$2:C680,C680)=1,1,0)</f>
        <v>0</v>
      </c>
      <c r="O680" s="57" t="n">
        <f aca="false">IF(COUNTIFS(E$2:E680,E680,C$2:C680,C680,D$2:D680,D680)=1,1,0)</f>
        <v>1</v>
      </c>
      <c r="P680" s="57" t="n">
        <f aca="false">IF(AND(C680=Calc!$C$3,OR(Calc!$C$4=0,D680=Calc!$C$4)),ROW(),0)</f>
        <v>0</v>
      </c>
    </row>
    <row r="681" customFormat="false" ht="15" hidden="false" customHeight="false" outlineLevel="0" collapsed="false">
      <c r="A681" s="57" t="s">
        <v>1082</v>
      </c>
      <c r="B681" s="58" t="n">
        <v>45501</v>
      </c>
      <c r="C681" s="57" t="n">
        <f aca="false">YEAR(B681)</f>
        <v>2024</v>
      </c>
      <c r="D681" s="57" t="n">
        <f aca="false">MONTH(B681)</f>
        <v>7</v>
      </c>
      <c r="E681" s="57" t="s">
        <v>277</v>
      </c>
      <c r="F681" s="57" t="s">
        <v>75</v>
      </c>
      <c r="G681" s="57" t="s">
        <v>35</v>
      </c>
      <c r="H681" s="57" t="s">
        <v>38</v>
      </c>
      <c r="I681" s="59" t="n">
        <v>1</v>
      </c>
      <c r="J681" s="60" t="n">
        <v>49</v>
      </c>
      <c r="K681" s="60" t="n">
        <v>22</v>
      </c>
      <c r="L681" s="61" t="n">
        <f aca="false">I681*J681</f>
        <v>49</v>
      </c>
      <c r="M681" s="61" t="n">
        <f aca="false">L681-I681*K681</f>
        <v>27</v>
      </c>
      <c r="N681" s="57" t="n">
        <f aca="false">IF(COUNTIFS(E$2:E681,E681,C$2:C681,C681)=1,1,0)</f>
        <v>0</v>
      </c>
      <c r="O681" s="57" t="n">
        <f aca="false">IF(COUNTIFS(E$2:E681,E681,C$2:C681,C681,D$2:D681,D681)=1,1,0)</f>
        <v>1</v>
      </c>
      <c r="P681" s="57" t="n">
        <f aca="false">IF(AND(C681=Calc!$C$3,OR(Calc!$C$4=0,D681=Calc!$C$4)),ROW(),0)</f>
        <v>0</v>
      </c>
    </row>
    <row r="682" customFormat="false" ht="15" hidden="false" customHeight="false" outlineLevel="0" collapsed="false">
      <c r="A682" s="57" t="s">
        <v>1083</v>
      </c>
      <c r="B682" s="58" t="n">
        <v>45501</v>
      </c>
      <c r="C682" s="57" t="n">
        <f aca="false">YEAR(B682)</f>
        <v>2024</v>
      </c>
      <c r="D682" s="57" t="n">
        <f aca="false">MONTH(B682)</f>
        <v>7</v>
      </c>
      <c r="E682" s="57" t="s">
        <v>1084</v>
      </c>
      <c r="F682" s="57" t="s">
        <v>78</v>
      </c>
      <c r="G682" s="57" t="s">
        <v>35</v>
      </c>
      <c r="H682" s="57" t="s">
        <v>38</v>
      </c>
      <c r="I682" s="59" t="n">
        <v>2</v>
      </c>
      <c r="J682" s="60" t="n">
        <v>49</v>
      </c>
      <c r="K682" s="60" t="n">
        <v>22</v>
      </c>
      <c r="L682" s="61" t="n">
        <f aca="false">I682*J682</f>
        <v>98</v>
      </c>
      <c r="M682" s="61" t="n">
        <f aca="false">L682-I682*K682</f>
        <v>54</v>
      </c>
      <c r="N682" s="57" t="n">
        <f aca="false">IF(COUNTIFS(E$2:E682,E682,C$2:C682,C682)=1,1,0)</f>
        <v>1</v>
      </c>
      <c r="O682" s="57" t="n">
        <f aca="false">IF(COUNTIFS(E$2:E682,E682,C$2:C682,C682,D$2:D682,D682)=1,1,0)</f>
        <v>1</v>
      </c>
      <c r="P682" s="57" t="n">
        <f aca="false">IF(AND(C682=Calc!$C$3,OR(Calc!$C$4=0,D682=Calc!$C$4)),ROW(),0)</f>
        <v>0</v>
      </c>
    </row>
    <row r="683" customFormat="false" ht="15" hidden="false" customHeight="false" outlineLevel="0" collapsed="false">
      <c r="A683" s="57" t="s">
        <v>1085</v>
      </c>
      <c r="B683" s="58" t="n">
        <v>45501</v>
      </c>
      <c r="C683" s="57" t="n">
        <f aca="false">YEAR(B683)</f>
        <v>2024</v>
      </c>
      <c r="D683" s="57" t="n">
        <f aca="false">MONTH(B683)</f>
        <v>7</v>
      </c>
      <c r="E683" s="57" t="s">
        <v>973</v>
      </c>
      <c r="F683" s="57" t="s">
        <v>78</v>
      </c>
      <c r="G683" s="57" t="s">
        <v>45</v>
      </c>
      <c r="H683" s="57" t="s">
        <v>48</v>
      </c>
      <c r="I683" s="59" t="n">
        <v>1</v>
      </c>
      <c r="J683" s="60" t="n">
        <v>99</v>
      </c>
      <c r="K683" s="60" t="n">
        <v>38</v>
      </c>
      <c r="L683" s="61" t="n">
        <f aca="false">I683*J683</f>
        <v>99</v>
      </c>
      <c r="M683" s="61" t="n">
        <f aca="false">L683-I683*K683</f>
        <v>61</v>
      </c>
      <c r="N683" s="57" t="n">
        <f aca="false">IF(COUNTIFS(E$2:E683,E683,C$2:C683,C683)=1,1,0)</f>
        <v>0</v>
      </c>
      <c r="O683" s="57" t="n">
        <f aca="false">IF(COUNTIFS(E$2:E683,E683,C$2:C683,C683,D$2:D683,D683)=1,1,0)</f>
        <v>0</v>
      </c>
      <c r="P683" s="57" t="n">
        <f aca="false">IF(AND(C683=Calc!$C$3,OR(Calc!$C$4=0,D683=Calc!$C$4)),ROW(),0)</f>
        <v>0</v>
      </c>
    </row>
    <row r="684" customFormat="false" ht="15" hidden="false" customHeight="false" outlineLevel="0" collapsed="false">
      <c r="A684" s="57" t="s">
        <v>1086</v>
      </c>
      <c r="B684" s="58" t="n">
        <v>45501</v>
      </c>
      <c r="C684" s="57" t="n">
        <f aca="false">YEAR(B684)</f>
        <v>2024</v>
      </c>
      <c r="D684" s="57" t="n">
        <f aca="false">MONTH(B684)</f>
        <v>7</v>
      </c>
      <c r="E684" s="57" t="s">
        <v>83</v>
      </c>
      <c r="F684" s="57" t="s">
        <v>75</v>
      </c>
      <c r="G684" s="57" t="s">
        <v>40</v>
      </c>
      <c r="H684" s="57" t="s">
        <v>43</v>
      </c>
      <c r="I684" s="59" t="n">
        <v>1</v>
      </c>
      <c r="J684" s="60" t="n">
        <v>29</v>
      </c>
      <c r="K684" s="60" t="n">
        <v>9</v>
      </c>
      <c r="L684" s="61" t="n">
        <f aca="false">I684*J684</f>
        <v>29</v>
      </c>
      <c r="M684" s="61" t="n">
        <f aca="false">L684-I684*K684</f>
        <v>20</v>
      </c>
      <c r="N684" s="57" t="n">
        <f aca="false">IF(COUNTIFS(E$2:E684,E684,C$2:C684,C684)=1,1,0)</f>
        <v>0</v>
      </c>
      <c r="O684" s="57" t="n">
        <f aca="false">IF(COUNTIFS(E$2:E684,E684,C$2:C684,C684,D$2:D684,D684)=1,1,0)</f>
        <v>0</v>
      </c>
      <c r="P684" s="57" t="n">
        <f aca="false">IF(AND(C684=Calc!$C$3,OR(Calc!$C$4=0,D684=Calc!$C$4)),ROW(),0)</f>
        <v>0</v>
      </c>
    </row>
    <row r="685" customFormat="false" ht="15" hidden="false" customHeight="false" outlineLevel="0" collapsed="false">
      <c r="A685" s="57" t="s">
        <v>1087</v>
      </c>
      <c r="B685" s="58" t="n">
        <v>45502</v>
      </c>
      <c r="C685" s="57" t="n">
        <f aca="false">YEAR(B685)</f>
        <v>2024</v>
      </c>
      <c r="D685" s="57" t="n">
        <f aca="false">MONTH(B685)</f>
        <v>7</v>
      </c>
      <c r="E685" s="57" t="s">
        <v>530</v>
      </c>
      <c r="F685" s="57" t="s">
        <v>72</v>
      </c>
      <c r="G685" s="57" t="s">
        <v>45</v>
      </c>
      <c r="H685" s="57" t="s">
        <v>44</v>
      </c>
      <c r="I685" s="59" t="n">
        <v>1</v>
      </c>
      <c r="J685" s="60" t="n">
        <v>119</v>
      </c>
      <c r="K685" s="60" t="n">
        <v>63</v>
      </c>
      <c r="L685" s="61" t="n">
        <f aca="false">I685*J685</f>
        <v>119</v>
      </c>
      <c r="M685" s="61" t="n">
        <f aca="false">L685-I685*K685</f>
        <v>56</v>
      </c>
      <c r="N685" s="57" t="n">
        <f aca="false">IF(COUNTIFS(E$2:E685,E685,C$2:C685,C685)=1,1,0)</f>
        <v>0</v>
      </c>
      <c r="O685" s="57" t="n">
        <f aca="false">IF(COUNTIFS(E$2:E685,E685,C$2:C685,C685,D$2:D685,D685)=1,1,0)</f>
        <v>0</v>
      </c>
      <c r="P685" s="57" t="n">
        <f aca="false">IF(AND(C685=Calc!$C$3,OR(Calc!$C$4=0,D685=Calc!$C$4)),ROW(),0)</f>
        <v>0</v>
      </c>
    </row>
    <row r="686" customFormat="false" ht="15" hidden="false" customHeight="false" outlineLevel="0" collapsed="false">
      <c r="A686" s="57" t="s">
        <v>1088</v>
      </c>
      <c r="B686" s="58" t="n">
        <v>45502</v>
      </c>
      <c r="C686" s="57" t="n">
        <f aca="false">YEAR(B686)</f>
        <v>2024</v>
      </c>
      <c r="D686" s="57" t="n">
        <f aca="false">MONTH(B686)</f>
        <v>7</v>
      </c>
      <c r="E686" s="57" t="s">
        <v>152</v>
      </c>
      <c r="F686" s="57" t="s">
        <v>72</v>
      </c>
      <c r="G686" s="57" t="s">
        <v>35</v>
      </c>
      <c r="H686" s="57" t="s">
        <v>34</v>
      </c>
      <c r="I686" s="59" t="n">
        <v>1</v>
      </c>
      <c r="J686" s="60" t="n">
        <v>89</v>
      </c>
      <c r="K686" s="60" t="n">
        <v>41</v>
      </c>
      <c r="L686" s="61" t="n">
        <f aca="false">I686*J686</f>
        <v>89</v>
      </c>
      <c r="M686" s="61" t="n">
        <f aca="false">L686-I686*K686</f>
        <v>48</v>
      </c>
      <c r="N686" s="57" t="n">
        <f aca="false">IF(COUNTIFS(E$2:E686,E686,C$2:C686,C686)=1,1,0)</f>
        <v>0</v>
      </c>
      <c r="O686" s="57" t="n">
        <f aca="false">IF(COUNTIFS(E$2:E686,E686,C$2:C686,C686,D$2:D686,D686)=1,1,0)</f>
        <v>0</v>
      </c>
      <c r="P686" s="57" t="n">
        <f aca="false">IF(AND(C686=Calc!$C$3,OR(Calc!$C$4=0,D686=Calc!$C$4)),ROW(),0)</f>
        <v>0</v>
      </c>
    </row>
    <row r="687" customFormat="false" ht="15" hidden="false" customHeight="false" outlineLevel="0" collapsed="false">
      <c r="A687" s="57" t="s">
        <v>1089</v>
      </c>
      <c r="B687" s="58" t="n">
        <v>45503</v>
      </c>
      <c r="C687" s="57" t="n">
        <f aca="false">YEAR(B687)</f>
        <v>2024</v>
      </c>
      <c r="D687" s="57" t="n">
        <f aca="false">MONTH(B687)</f>
        <v>7</v>
      </c>
      <c r="E687" s="57" t="s">
        <v>461</v>
      </c>
      <c r="F687" s="57" t="s">
        <v>78</v>
      </c>
      <c r="G687" s="57" t="s">
        <v>35</v>
      </c>
      <c r="H687" s="57" t="s">
        <v>37</v>
      </c>
      <c r="I687" s="59" t="n">
        <v>1</v>
      </c>
      <c r="J687" s="60" t="n">
        <v>59</v>
      </c>
      <c r="K687" s="60" t="n">
        <v>27</v>
      </c>
      <c r="L687" s="61" t="n">
        <f aca="false">I687*J687</f>
        <v>59</v>
      </c>
      <c r="M687" s="61" t="n">
        <f aca="false">L687-I687*K687</f>
        <v>32</v>
      </c>
      <c r="N687" s="57" t="n">
        <f aca="false">IF(COUNTIFS(E$2:E687,E687,C$2:C687,C687)=1,1,0)</f>
        <v>0</v>
      </c>
      <c r="O687" s="57" t="n">
        <f aca="false">IF(COUNTIFS(E$2:E687,E687,C$2:C687,C687,D$2:D687,D687)=1,1,0)</f>
        <v>1</v>
      </c>
      <c r="P687" s="57" t="n">
        <f aca="false">IF(AND(C687=Calc!$C$3,OR(Calc!$C$4=0,D687=Calc!$C$4)),ROW(),0)</f>
        <v>0</v>
      </c>
    </row>
    <row r="688" customFormat="false" ht="15" hidden="false" customHeight="false" outlineLevel="0" collapsed="false">
      <c r="A688" s="57" t="s">
        <v>1090</v>
      </c>
      <c r="B688" s="58" t="n">
        <v>45503</v>
      </c>
      <c r="C688" s="57" t="n">
        <f aca="false">YEAR(B688)</f>
        <v>2024</v>
      </c>
      <c r="D688" s="57" t="n">
        <f aca="false">MONTH(B688)</f>
        <v>7</v>
      </c>
      <c r="E688" s="57" t="s">
        <v>458</v>
      </c>
      <c r="F688" s="57" t="s">
        <v>81</v>
      </c>
      <c r="G688" s="57" t="s">
        <v>40</v>
      </c>
      <c r="H688" s="57" t="s">
        <v>42</v>
      </c>
      <c r="I688" s="59" t="n">
        <v>1</v>
      </c>
      <c r="J688" s="60" t="n">
        <v>79</v>
      </c>
      <c r="K688" s="60" t="n">
        <v>31</v>
      </c>
      <c r="L688" s="61" t="n">
        <f aca="false">I688*J688</f>
        <v>79</v>
      </c>
      <c r="M688" s="61" t="n">
        <f aca="false">L688-I688*K688</f>
        <v>48</v>
      </c>
      <c r="N688" s="57" t="n">
        <f aca="false">IF(COUNTIFS(E$2:E688,E688,C$2:C688,C688)=1,1,0)</f>
        <v>0</v>
      </c>
      <c r="O688" s="57" t="n">
        <f aca="false">IF(COUNTIFS(E$2:E688,E688,C$2:C688,C688,D$2:D688,D688)=1,1,0)</f>
        <v>1</v>
      </c>
      <c r="P688" s="57" t="n">
        <f aca="false">IF(AND(C688=Calc!$C$3,OR(Calc!$C$4=0,D688=Calc!$C$4)),ROW(),0)</f>
        <v>0</v>
      </c>
    </row>
    <row r="689" customFormat="false" ht="15" hidden="false" customHeight="false" outlineLevel="0" collapsed="false">
      <c r="A689" s="57" t="s">
        <v>1091</v>
      </c>
      <c r="B689" s="58" t="n">
        <v>45503</v>
      </c>
      <c r="C689" s="57" t="n">
        <f aca="false">YEAR(B689)</f>
        <v>2024</v>
      </c>
      <c r="D689" s="57" t="n">
        <f aca="false">MONTH(B689)</f>
        <v>7</v>
      </c>
      <c r="E689" s="57" t="s">
        <v>1092</v>
      </c>
      <c r="F689" s="57" t="s">
        <v>75</v>
      </c>
      <c r="G689" s="57" t="s">
        <v>35</v>
      </c>
      <c r="H689" s="57" t="s">
        <v>36</v>
      </c>
      <c r="I689" s="59" t="n">
        <v>1</v>
      </c>
      <c r="J689" s="60" t="n">
        <v>179</v>
      </c>
      <c r="K689" s="60" t="n">
        <v>92</v>
      </c>
      <c r="L689" s="61" t="n">
        <f aca="false">I689*J689</f>
        <v>179</v>
      </c>
      <c r="M689" s="61" t="n">
        <f aca="false">L689-I689*K689</f>
        <v>87</v>
      </c>
      <c r="N689" s="57" t="n">
        <f aca="false">IF(COUNTIFS(E$2:E689,E689,C$2:C689,C689)=1,1,0)</f>
        <v>1</v>
      </c>
      <c r="O689" s="57" t="n">
        <f aca="false">IF(COUNTIFS(E$2:E689,E689,C$2:C689,C689,D$2:D689,D689)=1,1,0)</f>
        <v>1</v>
      </c>
      <c r="P689" s="57" t="n">
        <f aca="false">IF(AND(C689=Calc!$C$3,OR(Calc!$C$4=0,D689=Calc!$C$4)),ROW(),0)</f>
        <v>0</v>
      </c>
    </row>
    <row r="690" customFormat="false" ht="15" hidden="false" customHeight="false" outlineLevel="0" collapsed="false">
      <c r="A690" s="57" t="s">
        <v>1093</v>
      </c>
      <c r="B690" s="58" t="n">
        <v>45503</v>
      </c>
      <c r="C690" s="57" t="n">
        <f aca="false">YEAR(B690)</f>
        <v>2024</v>
      </c>
      <c r="D690" s="57" t="n">
        <f aca="false">MONTH(B690)</f>
        <v>7</v>
      </c>
      <c r="E690" s="57" t="s">
        <v>728</v>
      </c>
      <c r="F690" s="57" t="s">
        <v>78</v>
      </c>
      <c r="G690" s="57" t="s">
        <v>35</v>
      </c>
      <c r="H690" s="57" t="s">
        <v>38</v>
      </c>
      <c r="I690" s="59" t="n">
        <v>1</v>
      </c>
      <c r="J690" s="60" t="n">
        <v>49</v>
      </c>
      <c r="K690" s="60" t="n">
        <v>22</v>
      </c>
      <c r="L690" s="61" t="n">
        <f aca="false">I690*J690</f>
        <v>49</v>
      </c>
      <c r="M690" s="61" t="n">
        <f aca="false">L690-I690*K690</f>
        <v>27</v>
      </c>
      <c r="N690" s="57" t="n">
        <f aca="false">IF(COUNTIFS(E$2:E690,E690,C$2:C690,C690)=1,1,0)</f>
        <v>0</v>
      </c>
      <c r="O690" s="57" t="n">
        <f aca="false">IF(COUNTIFS(E$2:E690,E690,C$2:C690,C690,D$2:D690,D690)=1,1,0)</f>
        <v>1</v>
      </c>
      <c r="P690" s="57" t="n">
        <f aca="false">IF(AND(C690=Calc!$C$3,OR(Calc!$C$4=0,D690=Calc!$C$4)),ROW(),0)</f>
        <v>0</v>
      </c>
    </row>
    <row r="691" customFormat="false" ht="15" hidden="false" customHeight="false" outlineLevel="0" collapsed="false">
      <c r="A691" s="57" t="s">
        <v>1094</v>
      </c>
      <c r="B691" s="58" t="n">
        <v>45504</v>
      </c>
      <c r="C691" s="57" t="n">
        <f aca="false">YEAR(B691)</f>
        <v>2024</v>
      </c>
      <c r="D691" s="57" t="n">
        <f aca="false">MONTH(B691)</f>
        <v>7</v>
      </c>
      <c r="E691" s="57" t="s">
        <v>361</v>
      </c>
      <c r="F691" s="57" t="s">
        <v>69</v>
      </c>
      <c r="G691" s="57" t="s">
        <v>35</v>
      </c>
      <c r="H691" s="57" t="s">
        <v>37</v>
      </c>
      <c r="I691" s="59" t="n">
        <v>1</v>
      </c>
      <c r="J691" s="60" t="n">
        <v>59</v>
      </c>
      <c r="K691" s="60" t="n">
        <v>27</v>
      </c>
      <c r="L691" s="61" t="n">
        <f aca="false">I691*J691</f>
        <v>59</v>
      </c>
      <c r="M691" s="61" t="n">
        <f aca="false">L691-I691*K691</f>
        <v>32</v>
      </c>
      <c r="N691" s="57" t="n">
        <f aca="false">IF(COUNTIFS(E$2:E691,E691,C$2:C691,C691)=1,1,0)</f>
        <v>0</v>
      </c>
      <c r="O691" s="57" t="n">
        <f aca="false">IF(COUNTIFS(E$2:E691,E691,C$2:C691,C691,D$2:D691,D691)=1,1,0)</f>
        <v>1</v>
      </c>
      <c r="P691" s="57" t="n">
        <f aca="false">IF(AND(C691=Calc!$C$3,OR(Calc!$C$4=0,D691=Calc!$C$4)),ROW(),0)</f>
        <v>0</v>
      </c>
    </row>
    <row r="692" customFormat="false" ht="15" hidden="false" customHeight="false" outlineLevel="0" collapsed="false">
      <c r="A692" s="57" t="s">
        <v>1095</v>
      </c>
      <c r="B692" s="58" t="n">
        <v>45504</v>
      </c>
      <c r="C692" s="57" t="n">
        <f aca="false">YEAR(B692)</f>
        <v>2024</v>
      </c>
      <c r="D692" s="57" t="n">
        <f aca="false">MONTH(B692)</f>
        <v>7</v>
      </c>
      <c r="E692" s="57" t="s">
        <v>219</v>
      </c>
      <c r="F692" s="57" t="s">
        <v>78</v>
      </c>
      <c r="G692" s="57" t="s">
        <v>40</v>
      </c>
      <c r="H692" s="57" t="s">
        <v>43</v>
      </c>
      <c r="I692" s="59" t="n">
        <v>1</v>
      </c>
      <c r="J692" s="60" t="n">
        <v>29</v>
      </c>
      <c r="K692" s="60" t="n">
        <v>9</v>
      </c>
      <c r="L692" s="61" t="n">
        <f aca="false">I692*J692</f>
        <v>29</v>
      </c>
      <c r="M692" s="61" t="n">
        <f aca="false">L692-I692*K692</f>
        <v>20</v>
      </c>
      <c r="N692" s="57" t="n">
        <f aca="false">IF(COUNTIFS(E$2:E692,E692,C$2:C692,C692)=1,1,0)</f>
        <v>0</v>
      </c>
      <c r="O692" s="57" t="n">
        <f aca="false">IF(COUNTIFS(E$2:E692,E692,C$2:C692,C692,D$2:D692,D692)=1,1,0)</f>
        <v>1</v>
      </c>
      <c r="P692" s="57" t="n">
        <f aca="false">IF(AND(C692=Calc!$C$3,OR(Calc!$C$4=0,D692=Calc!$C$4)),ROW(),0)</f>
        <v>0</v>
      </c>
    </row>
    <row r="693" customFormat="false" ht="15" hidden="false" customHeight="false" outlineLevel="0" collapsed="false">
      <c r="A693" s="57" t="s">
        <v>1096</v>
      </c>
      <c r="B693" s="58" t="n">
        <v>45505</v>
      </c>
      <c r="C693" s="57" t="n">
        <f aca="false">YEAR(B693)</f>
        <v>2024</v>
      </c>
      <c r="D693" s="57" t="n">
        <f aca="false">MONTH(B693)</f>
        <v>8</v>
      </c>
      <c r="E693" s="57" t="s">
        <v>685</v>
      </c>
      <c r="F693" s="57" t="s">
        <v>78</v>
      </c>
      <c r="G693" s="57" t="s">
        <v>54</v>
      </c>
      <c r="H693" s="57" t="s">
        <v>55</v>
      </c>
      <c r="I693" s="59" t="n">
        <v>1</v>
      </c>
      <c r="J693" s="60" t="n">
        <v>64</v>
      </c>
      <c r="K693" s="60" t="n">
        <v>25</v>
      </c>
      <c r="L693" s="61" t="n">
        <f aca="false">I693*J693</f>
        <v>64</v>
      </c>
      <c r="M693" s="61" t="n">
        <f aca="false">L693-I693*K693</f>
        <v>39</v>
      </c>
      <c r="N693" s="57" t="n">
        <f aca="false">IF(COUNTIFS(E$2:E693,E693,C$2:C693,C693)=1,1,0)</f>
        <v>0</v>
      </c>
      <c r="O693" s="57" t="n">
        <f aca="false">IF(COUNTIFS(E$2:E693,E693,C$2:C693,C693,D$2:D693,D693)=1,1,0)</f>
        <v>1</v>
      </c>
      <c r="P693" s="57" t="n">
        <f aca="false">IF(AND(C693=Calc!$C$3,OR(Calc!$C$4=0,D693=Calc!$C$4)),ROW(),0)</f>
        <v>0</v>
      </c>
    </row>
    <row r="694" customFormat="false" ht="15" hidden="false" customHeight="false" outlineLevel="0" collapsed="false">
      <c r="A694" s="57" t="s">
        <v>1097</v>
      </c>
      <c r="B694" s="58" t="n">
        <v>45505</v>
      </c>
      <c r="C694" s="57" t="n">
        <f aca="false">YEAR(B694)</f>
        <v>2024</v>
      </c>
      <c r="D694" s="57" t="n">
        <f aca="false">MONTH(B694)</f>
        <v>8</v>
      </c>
      <c r="E694" s="57" t="s">
        <v>653</v>
      </c>
      <c r="F694" s="57" t="s">
        <v>69</v>
      </c>
      <c r="G694" s="57" t="s">
        <v>45</v>
      </c>
      <c r="H694" s="57" t="s">
        <v>47</v>
      </c>
      <c r="I694" s="59" t="n">
        <v>1</v>
      </c>
      <c r="J694" s="60" t="n">
        <v>34</v>
      </c>
      <c r="K694" s="60" t="n">
        <v>12</v>
      </c>
      <c r="L694" s="61" t="n">
        <f aca="false">I694*J694</f>
        <v>34</v>
      </c>
      <c r="M694" s="61" t="n">
        <f aca="false">L694-I694*K694</f>
        <v>22</v>
      </c>
      <c r="N694" s="57" t="n">
        <f aca="false">IF(COUNTIFS(E$2:E694,E694,C$2:C694,C694)=1,1,0)</f>
        <v>0</v>
      </c>
      <c r="O694" s="57" t="n">
        <f aca="false">IF(COUNTIFS(E$2:E694,E694,C$2:C694,C694,D$2:D694,D694)=1,1,0)</f>
        <v>1</v>
      </c>
      <c r="P694" s="57" t="n">
        <f aca="false">IF(AND(C694=Calc!$C$3,OR(Calc!$C$4=0,D694=Calc!$C$4)),ROW(),0)</f>
        <v>0</v>
      </c>
    </row>
    <row r="695" customFormat="false" ht="15" hidden="false" customHeight="false" outlineLevel="0" collapsed="false">
      <c r="A695" s="57" t="s">
        <v>1098</v>
      </c>
      <c r="B695" s="58" t="n">
        <v>45505</v>
      </c>
      <c r="C695" s="57" t="n">
        <f aca="false">YEAR(B695)</f>
        <v>2024</v>
      </c>
      <c r="D695" s="57" t="n">
        <f aca="false">MONTH(B695)</f>
        <v>8</v>
      </c>
      <c r="E695" s="57" t="s">
        <v>142</v>
      </c>
      <c r="F695" s="57" t="s">
        <v>78</v>
      </c>
      <c r="G695" s="57" t="s">
        <v>35</v>
      </c>
      <c r="H695" s="57" t="s">
        <v>36</v>
      </c>
      <c r="I695" s="59" t="n">
        <v>1</v>
      </c>
      <c r="J695" s="60" t="n">
        <v>179</v>
      </c>
      <c r="K695" s="60" t="n">
        <v>92</v>
      </c>
      <c r="L695" s="61" t="n">
        <f aca="false">I695*J695</f>
        <v>179</v>
      </c>
      <c r="M695" s="61" t="n">
        <f aca="false">L695-I695*K695</f>
        <v>87</v>
      </c>
      <c r="N695" s="57" t="n">
        <f aca="false">IF(COUNTIFS(E$2:E695,E695,C$2:C695,C695)=1,1,0)</f>
        <v>0</v>
      </c>
      <c r="O695" s="57" t="n">
        <f aca="false">IF(COUNTIFS(E$2:E695,E695,C$2:C695,C695,D$2:D695,D695)=1,1,0)</f>
        <v>1</v>
      </c>
      <c r="P695" s="57" t="n">
        <f aca="false">IF(AND(C695=Calc!$C$3,OR(Calc!$C$4=0,D695=Calc!$C$4)),ROW(),0)</f>
        <v>0</v>
      </c>
    </row>
    <row r="696" customFormat="false" ht="15" hidden="false" customHeight="false" outlineLevel="0" collapsed="false">
      <c r="A696" s="57" t="s">
        <v>1099</v>
      </c>
      <c r="B696" s="58" t="n">
        <v>45505</v>
      </c>
      <c r="C696" s="57" t="n">
        <f aca="false">YEAR(B696)</f>
        <v>2024</v>
      </c>
      <c r="D696" s="57" t="n">
        <f aca="false">MONTH(B696)</f>
        <v>8</v>
      </c>
      <c r="E696" s="57" t="s">
        <v>743</v>
      </c>
      <c r="F696" s="57" t="s">
        <v>69</v>
      </c>
      <c r="G696" s="57" t="s">
        <v>50</v>
      </c>
      <c r="H696" s="57" t="s">
        <v>52</v>
      </c>
      <c r="I696" s="59" t="n">
        <v>1</v>
      </c>
      <c r="J696" s="60" t="n">
        <v>45</v>
      </c>
      <c r="K696" s="60" t="n">
        <v>14</v>
      </c>
      <c r="L696" s="61" t="n">
        <f aca="false">I696*J696</f>
        <v>45</v>
      </c>
      <c r="M696" s="61" t="n">
        <f aca="false">L696-I696*K696</f>
        <v>31</v>
      </c>
      <c r="N696" s="57" t="n">
        <f aca="false">IF(COUNTIFS(E$2:E696,E696,C$2:C696,C696)=1,1,0)</f>
        <v>0</v>
      </c>
      <c r="O696" s="57" t="n">
        <f aca="false">IF(COUNTIFS(E$2:E696,E696,C$2:C696,C696,D$2:D696,D696)=1,1,0)</f>
        <v>1</v>
      </c>
      <c r="P696" s="57" t="n">
        <f aca="false">IF(AND(C696=Calc!$C$3,OR(Calc!$C$4=0,D696=Calc!$C$4)),ROW(),0)</f>
        <v>0</v>
      </c>
    </row>
    <row r="697" customFormat="false" ht="15" hidden="false" customHeight="false" outlineLevel="0" collapsed="false">
      <c r="A697" s="57" t="s">
        <v>1100</v>
      </c>
      <c r="B697" s="58" t="n">
        <v>45506</v>
      </c>
      <c r="C697" s="57" t="n">
        <f aca="false">YEAR(B697)</f>
        <v>2024</v>
      </c>
      <c r="D697" s="57" t="n">
        <f aca="false">MONTH(B697)</f>
        <v>8</v>
      </c>
      <c r="E697" s="57" t="s">
        <v>1101</v>
      </c>
      <c r="F697" s="57" t="s">
        <v>75</v>
      </c>
      <c r="G697" s="57" t="s">
        <v>35</v>
      </c>
      <c r="H697" s="57" t="s">
        <v>38</v>
      </c>
      <c r="I697" s="59" t="n">
        <v>3</v>
      </c>
      <c r="J697" s="60" t="n">
        <v>49</v>
      </c>
      <c r="K697" s="60" t="n">
        <v>22</v>
      </c>
      <c r="L697" s="61" t="n">
        <f aca="false">I697*J697</f>
        <v>147</v>
      </c>
      <c r="M697" s="61" t="n">
        <f aca="false">L697-I697*K697</f>
        <v>81</v>
      </c>
      <c r="N697" s="57" t="n">
        <f aca="false">IF(COUNTIFS(E$2:E697,E697,C$2:C697,C697)=1,1,0)</f>
        <v>1</v>
      </c>
      <c r="O697" s="57" t="n">
        <f aca="false">IF(COUNTIFS(E$2:E697,E697,C$2:C697,C697,D$2:D697,D697)=1,1,0)</f>
        <v>1</v>
      </c>
      <c r="P697" s="57" t="n">
        <f aca="false">IF(AND(C697=Calc!$C$3,OR(Calc!$C$4=0,D697=Calc!$C$4)),ROW(),0)</f>
        <v>0</v>
      </c>
    </row>
    <row r="698" customFormat="false" ht="15" hidden="false" customHeight="false" outlineLevel="0" collapsed="false">
      <c r="A698" s="57" t="s">
        <v>1102</v>
      </c>
      <c r="B698" s="58" t="n">
        <v>45506</v>
      </c>
      <c r="C698" s="57" t="n">
        <f aca="false">YEAR(B698)</f>
        <v>2024</v>
      </c>
      <c r="D698" s="57" t="n">
        <f aca="false">MONTH(B698)</f>
        <v>8</v>
      </c>
      <c r="E698" s="57" t="s">
        <v>649</v>
      </c>
      <c r="F698" s="57" t="s">
        <v>72</v>
      </c>
      <c r="G698" s="57" t="s">
        <v>45</v>
      </c>
      <c r="H698" s="57" t="s">
        <v>47</v>
      </c>
      <c r="I698" s="59" t="n">
        <v>3</v>
      </c>
      <c r="J698" s="60" t="n">
        <v>34</v>
      </c>
      <c r="K698" s="60" t="n">
        <v>12</v>
      </c>
      <c r="L698" s="61" t="n">
        <f aca="false">I698*J698</f>
        <v>102</v>
      </c>
      <c r="M698" s="61" t="n">
        <f aca="false">L698-I698*K698</f>
        <v>66</v>
      </c>
      <c r="N698" s="57" t="n">
        <f aca="false">IF(COUNTIFS(E$2:E698,E698,C$2:C698,C698)=1,1,0)</f>
        <v>0</v>
      </c>
      <c r="O698" s="57" t="n">
        <f aca="false">IF(COUNTIFS(E$2:E698,E698,C$2:C698,C698,D$2:D698,D698)=1,1,0)</f>
        <v>1</v>
      </c>
      <c r="P698" s="57" t="n">
        <f aca="false">IF(AND(C698=Calc!$C$3,OR(Calc!$C$4=0,D698=Calc!$C$4)),ROW(),0)</f>
        <v>0</v>
      </c>
    </row>
    <row r="699" customFormat="false" ht="15" hidden="false" customHeight="false" outlineLevel="0" collapsed="false">
      <c r="A699" s="57" t="s">
        <v>1103</v>
      </c>
      <c r="B699" s="58" t="n">
        <v>45506</v>
      </c>
      <c r="C699" s="57" t="n">
        <f aca="false">YEAR(B699)</f>
        <v>2024</v>
      </c>
      <c r="D699" s="57" t="n">
        <f aca="false">MONTH(B699)</f>
        <v>8</v>
      </c>
      <c r="E699" s="57" t="s">
        <v>181</v>
      </c>
      <c r="F699" s="57" t="s">
        <v>69</v>
      </c>
      <c r="G699" s="57" t="s">
        <v>35</v>
      </c>
      <c r="H699" s="57" t="s">
        <v>37</v>
      </c>
      <c r="I699" s="59" t="n">
        <v>1</v>
      </c>
      <c r="J699" s="60" t="n">
        <v>59</v>
      </c>
      <c r="K699" s="60" t="n">
        <v>27</v>
      </c>
      <c r="L699" s="61" t="n">
        <f aca="false">I699*J699</f>
        <v>59</v>
      </c>
      <c r="M699" s="61" t="n">
        <f aca="false">L699-I699*K699</f>
        <v>32</v>
      </c>
      <c r="N699" s="57" t="n">
        <f aca="false">IF(COUNTIFS(E$2:E699,E699,C$2:C699,C699)=1,1,0)</f>
        <v>0</v>
      </c>
      <c r="O699" s="57" t="n">
        <f aca="false">IF(COUNTIFS(E$2:E699,E699,C$2:C699,C699,D$2:D699,D699)=1,1,0)</f>
        <v>1</v>
      </c>
      <c r="P699" s="57" t="n">
        <f aca="false">IF(AND(C699=Calc!$C$3,OR(Calc!$C$4=0,D699=Calc!$C$4)),ROW(),0)</f>
        <v>0</v>
      </c>
    </row>
    <row r="700" customFormat="false" ht="15" hidden="false" customHeight="false" outlineLevel="0" collapsed="false">
      <c r="A700" s="57" t="s">
        <v>1104</v>
      </c>
      <c r="B700" s="58" t="n">
        <v>45506</v>
      </c>
      <c r="C700" s="57" t="n">
        <f aca="false">YEAR(B700)</f>
        <v>2024</v>
      </c>
      <c r="D700" s="57" t="n">
        <f aca="false">MONTH(B700)</f>
        <v>8</v>
      </c>
      <c r="E700" s="57" t="s">
        <v>761</v>
      </c>
      <c r="F700" s="57" t="s">
        <v>75</v>
      </c>
      <c r="G700" s="57" t="s">
        <v>45</v>
      </c>
      <c r="H700" s="57" t="s">
        <v>44</v>
      </c>
      <c r="I700" s="59" t="n">
        <v>1</v>
      </c>
      <c r="J700" s="60" t="n">
        <v>119</v>
      </c>
      <c r="K700" s="60" t="n">
        <v>63</v>
      </c>
      <c r="L700" s="61" t="n">
        <f aca="false">I700*J700</f>
        <v>119</v>
      </c>
      <c r="M700" s="61" t="n">
        <f aca="false">L700-I700*K700</f>
        <v>56</v>
      </c>
      <c r="N700" s="57" t="n">
        <f aca="false">IF(COUNTIFS(E$2:E700,E700,C$2:C700,C700)=1,1,0)</f>
        <v>0</v>
      </c>
      <c r="O700" s="57" t="n">
        <f aca="false">IF(COUNTIFS(E$2:E700,E700,C$2:C700,C700,D$2:D700,D700)=1,1,0)</f>
        <v>1</v>
      </c>
      <c r="P700" s="57" t="n">
        <f aca="false">IF(AND(C700=Calc!$C$3,OR(Calc!$C$4=0,D700=Calc!$C$4)),ROW(),0)</f>
        <v>0</v>
      </c>
    </row>
    <row r="701" customFormat="false" ht="15" hidden="false" customHeight="false" outlineLevel="0" collapsed="false">
      <c r="A701" s="57" t="s">
        <v>1105</v>
      </c>
      <c r="B701" s="58" t="n">
        <v>45506</v>
      </c>
      <c r="C701" s="57" t="n">
        <f aca="false">YEAR(B701)</f>
        <v>2024</v>
      </c>
      <c r="D701" s="57" t="n">
        <f aca="false">MONTH(B701)</f>
        <v>8</v>
      </c>
      <c r="E701" s="57" t="s">
        <v>547</v>
      </c>
      <c r="F701" s="57" t="s">
        <v>72</v>
      </c>
      <c r="G701" s="57" t="s">
        <v>35</v>
      </c>
      <c r="H701" s="57" t="s">
        <v>34</v>
      </c>
      <c r="I701" s="59" t="n">
        <v>1</v>
      </c>
      <c r="J701" s="60" t="n">
        <v>89</v>
      </c>
      <c r="K701" s="60" t="n">
        <v>41</v>
      </c>
      <c r="L701" s="61" t="n">
        <f aca="false">I701*J701</f>
        <v>89</v>
      </c>
      <c r="M701" s="61" t="n">
        <f aca="false">L701-I701*K701</f>
        <v>48</v>
      </c>
      <c r="N701" s="57" t="n">
        <f aca="false">IF(COUNTIFS(E$2:E701,E701,C$2:C701,C701)=1,1,0)</f>
        <v>0</v>
      </c>
      <c r="O701" s="57" t="n">
        <f aca="false">IF(COUNTIFS(E$2:E701,E701,C$2:C701,C701,D$2:D701,D701)=1,1,0)</f>
        <v>1</v>
      </c>
      <c r="P701" s="57" t="n">
        <f aca="false">IF(AND(C701=Calc!$C$3,OR(Calc!$C$4=0,D701=Calc!$C$4)),ROW(),0)</f>
        <v>0</v>
      </c>
    </row>
    <row r="702" customFormat="false" ht="15" hidden="false" customHeight="false" outlineLevel="0" collapsed="false">
      <c r="A702" s="57" t="s">
        <v>1106</v>
      </c>
      <c r="B702" s="58" t="n">
        <v>45506</v>
      </c>
      <c r="C702" s="57" t="n">
        <f aca="false">YEAR(B702)</f>
        <v>2024</v>
      </c>
      <c r="D702" s="57" t="n">
        <f aca="false">MONTH(B702)</f>
        <v>8</v>
      </c>
      <c r="E702" s="57" t="s">
        <v>1107</v>
      </c>
      <c r="F702" s="57" t="s">
        <v>78</v>
      </c>
      <c r="G702" s="57" t="s">
        <v>35</v>
      </c>
      <c r="H702" s="57" t="s">
        <v>34</v>
      </c>
      <c r="I702" s="59" t="n">
        <v>2</v>
      </c>
      <c r="J702" s="60" t="n">
        <v>89</v>
      </c>
      <c r="K702" s="60" t="n">
        <v>41</v>
      </c>
      <c r="L702" s="61" t="n">
        <f aca="false">I702*J702</f>
        <v>178</v>
      </c>
      <c r="M702" s="61" t="n">
        <f aca="false">L702-I702*K702</f>
        <v>96</v>
      </c>
      <c r="N702" s="57" t="n">
        <f aca="false">IF(COUNTIFS(E$2:E702,E702,C$2:C702,C702)=1,1,0)</f>
        <v>1</v>
      </c>
      <c r="O702" s="57" t="n">
        <f aca="false">IF(COUNTIFS(E$2:E702,E702,C$2:C702,C702,D$2:D702,D702)=1,1,0)</f>
        <v>1</v>
      </c>
      <c r="P702" s="57" t="n">
        <f aca="false">IF(AND(C702=Calc!$C$3,OR(Calc!$C$4=0,D702=Calc!$C$4)),ROW(),0)</f>
        <v>0</v>
      </c>
    </row>
    <row r="703" customFormat="false" ht="15" hidden="false" customHeight="false" outlineLevel="0" collapsed="false">
      <c r="A703" s="57" t="s">
        <v>1108</v>
      </c>
      <c r="B703" s="58" t="n">
        <v>45507</v>
      </c>
      <c r="C703" s="57" t="n">
        <f aca="false">YEAR(B703)</f>
        <v>2024</v>
      </c>
      <c r="D703" s="57" t="n">
        <f aca="false">MONTH(B703)</f>
        <v>8</v>
      </c>
      <c r="E703" s="57" t="s">
        <v>1109</v>
      </c>
      <c r="F703" s="57" t="s">
        <v>78</v>
      </c>
      <c r="G703" s="57" t="s">
        <v>35</v>
      </c>
      <c r="H703" s="57" t="s">
        <v>34</v>
      </c>
      <c r="I703" s="59" t="n">
        <v>1</v>
      </c>
      <c r="J703" s="60" t="n">
        <v>89</v>
      </c>
      <c r="K703" s="60" t="n">
        <v>41</v>
      </c>
      <c r="L703" s="61" t="n">
        <f aca="false">I703*J703</f>
        <v>89</v>
      </c>
      <c r="M703" s="61" t="n">
        <f aca="false">L703-I703*K703</f>
        <v>48</v>
      </c>
      <c r="N703" s="57" t="n">
        <f aca="false">IF(COUNTIFS(E$2:E703,E703,C$2:C703,C703)=1,1,0)</f>
        <v>1</v>
      </c>
      <c r="O703" s="57" t="n">
        <f aca="false">IF(COUNTIFS(E$2:E703,E703,C$2:C703,C703,D$2:D703,D703)=1,1,0)</f>
        <v>1</v>
      </c>
      <c r="P703" s="57" t="n">
        <f aca="false">IF(AND(C703=Calc!$C$3,OR(Calc!$C$4=0,D703=Calc!$C$4)),ROW(),0)</f>
        <v>0</v>
      </c>
    </row>
    <row r="704" customFormat="false" ht="15" hidden="false" customHeight="false" outlineLevel="0" collapsed="false">
      <c r="A704" s="57" t="s">
        <v>1110</v>
      </c>
      <c r="B704" s="58" t="n">
        <v>45507</v>
      </c>
      <c r="C704" s="57" t="n">
        <f aca="false">YEAR(B704)</f>
        <v>2024</v>
      </c>
      <c r="D704" s="57" t="n">
        <f aca="false">MONTH(B704)</f>
        <v>8</v>
      </c>
      <c r="E704" s="57" t="s">
        <v>1014</v>
      </c>
      <c r="F704" s="57" t="s">
        <v>69</v>
      </c>
      <c r="G704" s="57" t="s">
        <v>40</v>
      </c>
      <c r="H704" s="57" t="s">
        <v>43</v>
      </c>
      <c r="I704" s="59" t="n">
        <v>1</v>
      </c>
      <c r="J704" s="60" t="n">
        <v>29</v>
      </c>
      <c r="K704" s="60" t="n">
        <v>9</v>
      </c>
      <c r="L704" s="61" t="n">
        <f aca="false">I704*J704</f>
        <v>29</v>
      </c>
      <c r="M704" s="61" t="n">
        <f aca="false">L704-I704*K704</f>
        <v>20</v>
      </c>
      <c r="N704" s="57" t="n">
        <f aca="false">IF(COUNTIFS(E$2:E704,E704,C$2:C704,C704)=1,1,0)</f>
        <v>0</v>
      </c>
      <c r="O704" s="57" t="n">
        <f aca="false">IF(COUNTIFS(E$2:E704,E704,C$2:C704,C704,D$2:D704,D704)=1,1,0)</f>
        <v>1</v>
      </c>
      <c r="P704" s="57" t="n">
        <f aca="false">IF(AND(C704=Calc!$C$3,OR(Calc!$C$4=0,D704=Calc!$C$4)),ROW(),0)</f>
        <v>0</v>
      </c>
    </row>
    <row r="705" customFormat="false" ht="15" hidden="false" customHeight="false" outlineLevel="0" collapsed="false">
      <c r="A705" s="57" t="s">
        <v>1111</v>
      </c>
      <c r="B705" s="58" t="n">
        <v>45508</v>
      </c>
      <c r="C705" s="57" t="n">
        <f aca="false">YEAR(B705)</f>
        <v>2024</v>
      </c>
      <c r="D705" s="57" t="n">
        <f aca="false">MONTH(B705)</f>
        <v>8</v>
      </c>
      <c r="E705" s="57" t="s">
        <v>203</v>
      </c>
      <c r="F705" s="57" t="s">
        <v>78</v>
      </c>
      <c r="G705" s="57" t="s">
        <v>35</v>
      </c>
      <c r="H705" s="57" t="s">
        <v>36</v>
      </c>
      <c r="I705" s="59" t="n">
        <v>1</v>
      </c>
      <c r="J705" s="60" t="n">
        <v>179</v>
      </c>
      <c r="K705" s="60" t="n">
        <v>92</v>
      </c>
      <c r="L705" s="61" t="n">
        <f aca="false">I705*J705</f>
        <v>179</v>
      </c>
      <c r="M705" s="61" t="n">
        <f aca="false">L705-I705*K705</f>
        <v>87</v>
      </c>
      <c r="N705" s="57" t="n">
        <f aca="false">IF(COUNTIFS(E$2:E705,E705,C$2:C705,C705)=1,1,0)</f>
        <v>0</v>
      </c>
      <c r="O705" s="57" t="n">
        <f aca="false">IF(COUNTIFS(E$2:E705,E705,C$2:C705,C705,D$2:D705,D705)=1,1,0)</f>
        <v>1</v>
      </c>
      <c r="P705" s="57" t="n">
        <f aca="false">IF(AND(C705=Calc!$C$3,OR(Calc!$C$4=0,D705=Calc!$C$4)),ROW(),0)</f>
        <v>0</v>
      </c>
    </row>
    <row r="706" customFormat="false" ht="15" hidden="false" customHeight="false" outlineLevel="0" collapsed="false">
      <c r="A706" s="57" t="s">
        <v>1112</v>
      </c>
      <c r="B706" s="58" t="n">
        <v>45508</v>
      </c>
      <c r="C706" s="57" t="n">
        <f aca="false">YEAR(B706)</f>
        <v>2024</v>
      </c>
      <c r="D706" s="57" t="n">
        <f aca="false">MONTH(B706)</f>
        <v>8</v>
      </c>
      <c r="E706" s="57" t="s">
        <v>1080</v>
      </c>
      <c r="F706" s="57" t="s">
        <v>75</v>
      </c>
      <c r="G706" s="57" t="s">
        <v>40</v>
      </c>
      <c r="H706" s="57" t="s">
        <v>43</v>
      </c>
      <c r="I706" s="59" t="n">
        <v>2</v>
      </c>
      <c r="J706" s="60" t="n">
        <v>29</v>
      </c>
      <c r="K706" s="60" t="n">
        <v>9</v>
      </c>
      <c r="L706" s="61" t="n">
        <f aca="false">I706*J706</f>
        <v>58</v>
      </c>
      <c r="M706" s="61" t="n">
        <f aca="false">L706-I706*K706</f>
        <v>40</v>
      </c>
      <c r="N706" s="57" t="n">
        <f aca="false">IF(COUNTIFS(E$2:E706,E706,C$2:C706,C706)=1,1,0)</f>
        <v>0</v>
      </c>
      <c r="O706" s="57" t="n">
        <f aca="false">IF(COUNTIFS(E$2:E706,E706,C$2:C706,C706,D$2:D706,D706)=1,1,0)</f>
        <v>1</v>
      </c>
      <c r="P706" s="57" t="n">
        <f aca="false">IF(AND(C706=Calc!$C$3,OR(Calc!$C$4=0,D706=Calc!$C$4)),ROW(),0)</f>
        <v>0</v>
      </c>
    </row>
    <row r="707" customFormat="false" ht="15" hidden="false" customHeight="false" outlineLevel="0" collapsed="false">
      <c r="A707" s="57" t="s">
        <v>1113</v>
      </c>
      <c r="B707" s="58" t="n">
        <v>45508</v>
      </c>
      <c r="C707" s="57" t="n">
        <f aca="false">YEAR(B707)</f>
        <v>2024</v>
      </c>
      <c r="D707" s="57" t="n">
        <f aca="false">MONTH(B707)</f>
        <v>8</v>
      </c>
      <c r="E707" s="57" t="s">
        <v>1114</v>
      </c>
      <c r="F707" s="57" t="s">
        <v>75</v>
      </c>
      <c r="G707" s="57" t="s">
        <v>45</v>
      </c>
      <c r="H707" s="57" t="s">
        <v>48</v>
      </c>
      <c r="I707" s="59" t="n">
        <v>1</v>
      </c>
      <c r="J707" s="60" t="n">
        <v>99</v>
      </c>
      <c r="K707" s="60" t="n">
        <v>38</v>
      </c>
      <c r="L707" s="61" t="n">
        <f aca="false">I707*J707</f>
        <v>99</v>
      </c>
      <c r="M707" s="61" t="n">
        <f aca="false">L707-I707*K707</f>
        <v>61</v>
      </c>
      <c r="N707" s="57" t="n">
        <f aca="false">IF(COUNTIFS(E$2:E707,E707,C$2:C707,C707)=1,1,0)</f>
        <v>1</v>
      </c>
      <c r="O707" s="57" t="n">
        <f aca="false">IF(COUNTIFS(E$2:E707,E707,C$2:C707,C707,D$2:D707,D707)=1,1,0)</f>
        <v>1</v>
      </c>
      <c r="P707" s="57" t="n">
        <f aca="false">IF(AND(C707=Calc!$C$3,OR(Calc!$C$4=0,D707=Calc!$C$4)),ROW(),0)</f>
        <v>0</v>
      </c>
    </row>
    <row r="708" customFormat="false" ht="15" hidden="false" customHeight="false" outlineLevel="0" collapsed="false">
      <c r="A708" s="57" t="s">
        <v>1115</v>
      </c>
      <c r="B708" s="58" t="n">
        <v>45508</v>
      </c>
      <c r="C708" s="57" t="n">
        <f aca="false">YEAR(B708)</f>
        <v>2024</v>
      </c>
      <c r="D708" s="57" t="n">
        <f aca="false">MONTH(B708)</f>
        <v>8</v>
      </c>
      <c r="E708" s="57" t="s">
        <v>170</v>
      </c>
      <c r="F708" s="57" t="s">
        <v>69</v>
      </c>
      <c r="G708" s="57" t="s">
        <v>35</v>
      </c>
      <c r="H708" s="57" t="s">
        <v>37</v>
      </c>
      <c r="I708" s="59" t="n">
        <v>3</v>
      </c>
      <c r="J708" s="60" t="n">
        <v>59</v>
      </c>
      <c r="K708" s="60" t="n">
        <v>27</v>
      </c>
      <c r="L708" s="61" t="n">
        <f aca="false">I708*J708</f>
        <v>177</v>
      </c>
      <c r="M708" s="61" t="n">
        <f aca="false">L708-I708*K708</f>
        <v>96</v>
      </c>
      <c r="N708" s="57" t="n">
        <f aca="false">IF(COUNTIFS(E$2:E708,E708,C$2:C708,C708)=1,1,0)</f>
        <v>0</v>
      </c>
      <c r="O708" s="57" t="n">
        <f aca="false">IF(COUNTIFS(E$2:E708,E708,C$2:C708,C708,D$2:D708,D708)=1,1,0)</f>
        <v>1</v>
      </c>
      <c r="P708" s="57" t="n">
        <f aca="false">IF(AND(C708=Calc!$C$3,OR(Calc!$C$4=0,D708=Calc!$C$4)),ROW(),0)</f>
        <v>0</v>
      </c>
    </row>
    <row r="709" customFormat="false" ht="15" hidden="false" customHeight="false" outlineLevel="0" collapsed="false">
      <c r="A709" s="57" t="s">
        <v>1116</v>
      </c>
      <c r="B709" s="58" t="n">
        <v>45509</v>
      </c>
      <c r="C709" s="57" t="n">
        <f aca="false">YEAR(B709)</f>
        <v>2024</v>
      </c>
      <c r="D709" s="57" t="n">
        <f aca="false">MONTH(B709)</f>
        <v>8</v>
      </c>
      <c r="E709" s="57" t="s">
        <v>77</v>
      </c>
      <c r="F709" s="57" t="s">
        <v>78</v>
      </c>
      <c r="G709" s="57" t="s">
        <v>35</v>
      </c>
      <c r="H709" s="57" t="s">
        <v>36</v>
      </c>
      <c r="I709" s="59" t="n">
        <v>1</v>
      </c>
      <c r="J709" s="60" t="n">
        <v>179</v>
      </c>
      <c r="K709" s="60" t="n">
        <v>92</v>
      </c>
      <c r="L709" s="61" t="n">
        <f aca="false">I709*J709</f>
        <v>179</v>
      </c>
      <c r="M709" s="61" t="n">
        <f aca="false">L709-I709*K709</f>
        <v>87</v>
      </c>
      <c r="N709" s="57" t="n">
        <f aca="false">IF(COUNTIFS(E$2:E709,E709,C$2:C709,C709)=1,1,0)</f>
        <v>0</v>
      </c>
      <c r="O709" s="57" t="n">
        <f aca="false">IF(COUNTIFS(E$2:E709,E709,C$2:C709,C709,D$2:D709,D709)=1,1,0)</f>
        <v>1</v>
      </c>
      <c r="P709" s="57" t="n">
        <f aca="false">IF(AND(C709=Calc!$C$3,OR(Calc!$C$4=0,D709=Calc!$C$4)),ROW(),0)</f>
        <v>0</v>
      </c>
    </row>
    <row r="710" customFormat="false" ht="15" hidden="false" customHeight="false" outlineLevel="0" collapsed="false">
      <c r="A710" s="57" t="s">
        <v>1117</v>
      </c>
      <c r="B710" s="58" t="n">
        <v>45509</v>
      </c>
      <c r="C710" s="57" t="n">
        <f aca="false">YEAR(B710)</f>
        <v>2024</v>
      </c>
      <c r="D710" s="57" t="n">
        <f aca="false">MONTH(B710)</f>
        <v>8</v>
      </c>
      <c r="E710" s="57" t="s">
        <v>199</v>
      </c>
      <c r="F710" s="57" t="s">
        <v>72</v>
      </c>
      <c r="G710" s="57" t="s">
        <v>40</v>
      </c>
      <c r="H710" s="57" t="s">
        <v>42</v>
      </c>
      <c r="I710" s="59" t="n">
        <v>1</v>
      </c>
      <c r="J710" s="60" t="n">
        <v>79</v>
      </c>
      <c r="K710" s="60" t="n">
        <v>31</v>
      </c>
      <c r="L710" s="61" t="n">
        <f aca="false">I710*J710</f>
        <v>79</v>
      </c>
      <c r="M710" s="61" t="n">
        <f aca="false">L710-I710*K710</f>
        <v>48</v>
      </c>
      <c r="N710" s="57" t="n">
        <f aca="false">IF(COUNTIFS(E$2:E710,E710,C$2:C710,C710)=1,1,0)</f>
        <v>0</v>
      </c>
      <c r="O710" s="57" t="n">
        <f aca="false">IF(COUNTIFS(E$2:E710,E710,C$2:C710,C710,D$2:D710,D710)=1,1,0)</f>
        <v>1</v>
      </c>
      <c r="P710" s="57" t="n">
        <f aca="false">IF(AND(C710=Calc!$C$3,OR(Calc!$C$4=0,D710=Calc!$C$4)),ROW(),0)</f>
        <v>0</v>
      </c>
    </row>
    <row r="711" customFormat="false" ht="15" hidden="false" customHeight="false" outlineLevel="0" collapsed="false">
      <c r="A711" s="57" t="s">
        <v>1118</v>
      </c>
      <c r="B711" s="58" t="n">
        <v>45509</v>
      </c>
      <c r="C711" s="57" t="n">
        <f aca="false">YEAR(B711)</f>
        <v>2024</v>
      </c>
      <c r="D711" s="57" t="n">
        <f aca="false">MONTH(B711)</f>
        <v>8</v>
      </c>
      <c r="E711" s="57" t="s">
        <v>390</v>
      </c>
      <c r="F711" s="57" t="s">
        <v>72</v>
      </c>
      <c r="G711" s="57" t="s">
        <v>50</v>
      </c>
      <c r="H711" s="57" t="s">
        <v>51</v>
      </c>
      <c r="I711" s="59" t="n">
        <v>1</v>
      </c>
      <c r="J711" s="60" t="n">
        <v>69</v>
      </c>
      <c r="K711" s="60" t="n">
        <v>29</v>
      </c>
      <c r="L711" s="61" t="n">
        <f aca="false">I711*J711</f>
        <v>69</v>
      </c>
      <c r="M711" s="61" t="n">
        <f aca="false">L711-I711*K711</f>
        <v>40</v>
      </c>
      <c r="N711" s="57" t="n">
        <f aca="false">IF(COUNTIFS(E$2:E711,E711,C$2:C711,C711)=1,1,0)</f>
        <v>0</v>
      </c>
      <c r="O711" s="57" t="n">
        <f aca="false">IF(COUNTIFS(E$2:E711,E711,C$2:C711,C711,D$2:D711,D711)=1,1,0)</f>
        <v>1</v>
      </c>
      <c r="P711" s="57" t="n">
        <f aca="false">IF(AND(C711=Calc!$C$3,OR(Calc!$C$4=0,D711=Calc!$C$4)),ROW(),0)</f>
        <v>0</v>
      </c>
    </row>
    <row r="712" customFormat="false" ht="15" hidden="false" customHeight="false" outlineLevel="0" collapsed="false">
      <c r="A712" s="57" t="s">
        <v>1119</v>
      </c>
      <c r="B712" s="58" t="n">
        <v>45510</v>
      </c>
      <c r="C712" s="57" t="n">
        <f aca="false">YEAR(B712)</f>
        <v>2024</v>
      </c>
      <c r="D712" s="57" t="n">
        <f aca="false">MONTH(B712)</f>
        <v>8</v>
      </c>
      <c r="E712" s="57" t="s">
        <v>829</v>
      </c>
      <c r="F712" s="57" t="s">
        <v>81</v>
      </c>
      <c r="G712" s="57" t="s">
        <v>35</v>
      </c>
      <c r="H712" s="57" t="s">
        <v>37</v>
      </c>
      <c r="I712" s="59" t="n">
        <v>1</v>
      </c>
      <c r="J712" s="60" t="n">
        <v>59</v>
      </c>
      <c r="K712" s="60" t="n">
        <v>27</v>
      </c>
      <c r="L712" s="61" t="n">
        <f aca="false">I712*J712</f>
        <v>59</v>
      </c>
      <c r="M712" s="61" t="n">
        <f aca="false">L712-I712*K712</f>
        <v>32</v>
      </c>
      <c r="N712" s="57" t="n">
        <f aca="false">IF(COUNTIFS(E$2:E712,E712,C$2:C712,C712)=1,1,0)</f>
        <v>0</v>
      </c>
      <c r="O712" s="57" t="n">
        <f aca="false">IF(COUNTIFS(E$2:E712,E712,C$2:C712,C712,D$2:D712,D712)=1,1,0)</f>
        <v>1</v>
      </c>
      <c r="P712" s="57" t="n">
        <f aca="false">IF(AND(C712=Calc!$C$3,OR(Calc!$C$4=0,D712=Calc!$C$4)),ROW(),0)</f>
        <v>0</v>
      </c>
    </row>
    <row r="713" customFormat="false" ht="15" hidden="false" customHeight="false" outlineLevel="0" collapsed="false">
      <c r="A713" s="57" t="s">
        <v>1120</v>
      </c>
      <c r="B713" s="58" t="n">
        <v>45510</v>
      </c>
      <c r="C713" s="57" t="n">
        <f aca="false">YEAR(B713)</f>
        <v>2024</v>
      </c>
      <c r="D713" s="57" t="n">
        <f aca="false">MONTH(B713)</f>
        <v>8</v>
      </c>
      <c r="E713" s="57" t="s">
        <v>323</v>
      </c>
      <c r="F713" s="57" t="s">
        <v>75</v>
      </c>
      <c r="G713" s="57" t="s">
        <v>50</v>
      </c>
      <c r="H713" s="57" t="s">
        <v>51</v>
      </c>
      <c r="I713" s="59" t="n">
        <v>1</v>
      </c>
      <c r="J713" s="60" t="n">
        <v>69</v>
      </c>
      <c r="K713" s="60" t="n">
        <v>29</v>
      </c>
      <c r="L713" s="61" t="n">
        <f aca="false">I713*J713</f>
        <v>69</v>
      </c>
      <c r="M713" s="61" t="n">
        <f aca="false">L713-I713*K713</f>
        <v>40</v>
      </c>
      <c r="N713" s="57" t="n">
        <f aca="false">IF(COUNTIFS(E$2:E713,E713,C$2:C713,C713)=1,1,0)</f>
        <v>0</v>
      </c>
      <c r="O713" s="57" t="n">
        <f aca="false">IF(COUNTIFS(E$2:E713,E713,C$2:C713,C713,D$2:D713,D713)=1,1,0)</f>
        <v>1</v>
      </c>
      <c r="P713" s="57" t="n">
        <f aca="false">IF(AND(C713=Calc!$C$3,OR(Calc!$C$4=0,D713=Calc!$C$4)),ROW(),0)</f>
        <v>0</v>
      </c>
    </row>
    <row r="714" customFormat="false" ht="15" hidden="false" customHeight="false" outlineLevel="0" collapsed="false">
      <c r="A714" s="57" t="s">
        <v>1121</v>
      </c>
      <c r="B714" s="58" t="n">
        <v>45510</v>
      </c>
      <c r="C714" s="57" t="n">
        <f aca="false">YEAR(B714)</f>
        <v>2024</v>
      </c>
      <c r="D714" s="57" t="n">
        <f aca="false">MONTH(B714)</f>
        <v>8</v>
      </c>
      <c r="E714" s="57" t="s">
        <v>1122</v>
      </c>
      <c r="F714" s="57" t="s">
        <v>75</v>
      </c>
      <c r="G714" s="57" t="s">
        <v>40</v>
      </c>
      <c r="H714" s="57" t="s">
        <v>41</v>
      </c>
      <c r="I714" s="59" t="n">
        <v>1</v>
      </c>
      <c r="J714" s="60" t="n">
        <v>46</v>
      </c>
      <c r="K714" s="60" t="n">
        <v>16</v>
      </c>
      <c r="L714" s="61" t="n">
        <f aca="false">I714*J714</f>
        <v>46</v>
      </c>
      <c r="M714" s="61" t="n">
        <f aca="false">L714-I714*K714</f>
        <v>30</v>
      </c>
      <c r="N714" s="57" t="n">
        <f aca="false">IF(COUNTIFS(E$2:E714,E714,C$2:C714,C714)=1,1,0)</f>
        <v>1</v>
      </c>
      <c r="O714" s="57" t="n">
        <f aca="false">IF(COUNTIFS(E$2:E714,E714,C$2:C714,C714,D$2:D714,D714)=1,1,0)</f>
        <v>1</v>
      </c>
      <c r="P714" s="57" t="n">
        <f aca="false">IF(AND(C714=Calc!$C$3,OR(Calc!$C$4=0,D714=Calc!$C$4)),ROW(),0)</f>
        <v>0</v>
      </c>
    </row>
    <row r="715" customFormat="false" ht="15" hidden="false" customHeight="false" outlineLevel="0" collapsed="false">
      <c r="A715" s="57" t="s">
        <v>1123</v>
      </c>
      <c r="B715" s="58" t="n">
        <v>45510</v>
      </c>
      <c r="C715" s="57" t="n">
        <f aca="false">YEAR(B715)</f>
        <v>2024</v>
      </c>
      <c r="D715" s="57" t="n">
        <f aca="false">MONTH(B715)</f>
        <v>8</v>
      </c>
      <c r="E715" s="57" t="s">
        <v>1124</v>
      </c>
      <c r="F715" s="57" t="s">
        <v>75</v>
      </c>
      <c r="G715" s="57" t="s">
        <v>50</v>
      </c>
      <c r="H715" s="57" t="s">
        <v>52</v>
      </c>
      <c r="I715" s="59" t="n">
        <v>1</v>
      </c>
      <c r="J715" s="60" t="n">
        <v>45</v>
      </c>
      <c r="K715" s="60" t="n">
        <v>14</v>
      </c>
      <c r="L715" s="61" t="n">
        <f aca="false">I715*J715</f>
        <v>45</v>
      </c>
      <c r="M715" s="61" t="n">
        <f aca="false">L715-I715*K715</f>
        <v>31</v>
      </c>
      <c r="N715" s="57" t="n">
        <f aca="false">IF(COUNTIFS(E$2:E715,E715,C$2:C715,C715)=1,1,0)</f>
        <v>1</v>
      </c>
      <c r="O715" s="57" t="n">
        <f aca="false">IF(COUNTIFS(E$2:E715,E715,C$2:C715,C715,D$2:D715,D715)=1,1,0)</f>
        <v>1</v>
      </c>
      <c r="P715" s="57" t="n">
        <f aca="false">IF(AND(C715=Calc!$C$3,OR(Calc!$C$4=0,D715=Calc!$C$4)),ROW(),0)</f>
        <v>0</v>
      </c>
    </row>
    <row r="716" customFormat="false" ht="15" hidden="false" customHeight="false" outlineLevel="0" collapsed="false">
      <c r="A716" s="57" t="s">
        <v>1125</v>
      </c>
      <c r="B716" s="58" t="n">
        <v>45510</v>
      </c>
      <c r="C716" s="57" t="n">
        <f aca="false">YEAR(B716)</f>
        <v>2024</v>
      </c>
      <c r="D716" s="57" t="n">
        <f aca="false">MONTH(B716)</f>
        <v>8</v>
      </c>
      <c r="E716" s="57" t="s">
        <v>135</v>
      </c>
      <c r="F716" s="57" t="s">
        <v>69</v>
      </c>
      <c r="G716" s="57" t="s">
        <v>40</v>
      </c>
      <c r="H716" s="57" t="s">
        <v>41</v>
      </c>
      <c r="I716" s="59" t="n">
        <v>1</v>
      </c>
      <c r="J716" s="60" t="n">
        <v>46</v>
      </c>
      <c r="K716" s="60" t="n">
        <v>16</v>
      </c>
      <c r="L716" s="61" t="n">
        <f aca="false">I716*J716</f>
        <v>46</v>
      </c>
      <c r="M716" s="61" t="n">
        <f aca="false">L716-I716*K716</f>
        <v>30</v>
      </c>
      <c r="N716" s="57" t="n">
        <f aca="false">IF(COUNTIFS(E$2:E716,E716,C$2:C716,C716)=1,1,0)</f>
        <v>0</v>
      </c>
      <c r="O716" s="57" t="n">
        <f aca="false">IF(COUNTIFS(E$2:E716,E716,C$2:C716,C716,D$2:D716,D716)=1,1,0)</f>
        <v>1</v>
      </c>
      <c r="P716" s="57" t="n">
        <f aca="false">IF(AND(C716=Calc!$C$3,OR(Calc!$C$4=0,D716=Calc!$C$4)),ROW(),0)</f>
        <v>0</v>
      </c>
    </row>
    <row r="717" customFormat="false" ht="15" hidden="false" customHeight="false" outlineLevel="0" collapsed="false">
      <c r="A717" s="57" t="s">
        <v>1126</v>
      </c>
      <c r="B717" s="58" t="n">
        <v>45511</v>
      </c>
      <c r="C717" s="57" t="n">
        <f aca="false">YEAR(B717)</f>
        <v>2024</v>
      </c>
      <c r="D717" s="57" t="n">
        <f aca="false">MONTH(B717)</f>
        <v>8</v>
      </c>
      <c r="E717" s="57" t="s">
        <v>142</v>
      </c>
      <c r="F717" s="57" t="s">
        <v>78</v>
      </c>
      <c r="G717" s="57" t="s">
        <v>54</v>
      </c>
      <c r="H717" s="57" t="s">
        <v>53</v>
      </c>
      <c r="I717" s="59" t="n">
        <v>1</v>
      </c>
      <c r="J717" s="60" t="n">
        <v>39</v>
      </c>
      <c r="K717" s="60" t="n">
        <v>13</v>
      </c>
      <c r="L717" s="61" t="n">
        <f aca="false">I717*J717</f>
        <v>39</v>
      </c>
      <c r="M717" s="61" t="n">
        <f aca="false">L717-I717*K717</f>
        <v>26</v>
      </c>
      <c r="N717" s="57" t="n">
        <f aca="false">IF(COUNTIFS(E$2:E717,E717,C$2:C717,C717)=1,1,0)</f>
        <v>0</v>
      </c>
      <c r="O717" s="57" t="n">
        <f aca="false">IF(COUNTIFS(E$2:E717,E717,C$2:C717,C717,D$2:D717,D717)=1,1,0)</f>
        <v>0</v>
      </c>
      <c r="P717" s="57" t="n">
        <f aca="false">IF(AND(C717=Calc!$C$3,OR(Calc!$C$4=0,D717=Calc!$C$4)),ROW(),0)</f>
        <v>0</v>
      </c>
    </row>
    <row r="718" customFormat="false" ht="15" hidden="false" customHeight="false" outlineLevel="0" collapsed="false">
      <c r="A718" s="57" t="s">
        <v>1127</v>
      </c>
      <c r="B718" s="58" t="n">
        <v>45511</v>
      </c>
      <c r="C718" s="57" t="n">
        <f aca="false">YEAR(B718)</f>
        <v>2024</v>
      </c>
      <c r="D718" s="57" t="n">
        <f aca="false">MONTH(B718)</f>
        <v>8</v>
      </c>
      <c r="E718" s="57" t="s">
        <v>235</v>
      </c>
      <c r="F718" s="57" t="s">
        <v>69</v>
      </c>
      <c r="G718" s="57" t="s">
        <v>35</v>
      </c>
      <c r="H718" s="57" t="s">
        <v>36</v>
      </c>
      <c r="I718" s="59" t="n">
        <v>1</v>
      </c>
      <c r="J718" s="60" t="n">
        <v>179</v>
      </c>
      <c r="K718" s="60" t="n">
        <v>92</v>
      </c>
      <c r="L718" s="61" t="n">
        <f aca="false">I718*J718</f>
        <v>179</v>
      </c>
      <c r="M718" s="61" t="n">
        <f aca="false">L718-I718*K718</f>
        <v>87</v>
      </c>
      <c r="N718" s="57" t="n">
        <f aca="false">IF(COUNTIFS(E$2:E718,E718,C$2:C718,C718)=1,1,0)</f>
        <v>0</v>
      </c>
      <c r="O718" s="57" t="n">
        <f aca="false">IF(COUNTIFS(E$2:E718,E718,C$2:C718,C718,D$2:D718,D718)=1,1,0)</f>
        <v>1</v>
      </c>
      <c r="P718" s="57" t="n">
        <f aca="false">IF(AND(C718=Calc!$C$3,OR(Calc!$C$4=0,D718=Calc!$C$4)),ROW(),0)</f>
        <v>0</v>
      </c>
    </row>
    <row r="719" customFormat="false" ht="15" hidden="false" customHeight="false" outlineLevel="0" collapsed="false">
      <c r="A719" s="57" t="s">
        <v>1128</v>
      </c>
      <c r="B719" s="58" t="n">
        <v>45512</v>
      </c>
      <c r="C719" s="57" t="n">
        <f aca="false">YEAR(B719)</f>
        <v>2024</v>
      </c>
      <c r="D719" s="57" t="n">
        <f aca="false">MONTH(B719)</f>
        <v>8</v>
      </c>
      <c r="E719" s="57" t="s">
        <v>129</v>
      </c>
      <c r="F719" s="57" t="s">
        <v>78</v>
      </c>
      <c r="G719" s="57" t="s">
        <v>35</v>
      </c>
      <c r="H719" s="57" t="s">
        <v>38</v>
      </c>
      <c r="I719" s="59" t="n">
        <v>1</v>
      </c>
      <c r="J719" s="60" t="n">
        <v>49</v>
      </c>
      <c r="K719" s="60" t="n">
        <v>22</v>
      </c>
      <c r="L719" s="61" t="n">
        <f aca="false">I719*J719</f>
        <v>49</v>
      </c>
      <c r="M719" s="61" t="n">
        <f aca="false">L719-I719*K719</f>
        <v>27</v>
      </c>
      <c r="N719" s="57" t="n">
        <f aca="false">IF(COUNTIFS(E$2:E719,E719,C$2:C719,C719)=1,1,0)</f>
        <v>0</v>
      </c>
      <c r="O719" s="57" t="n">
        <f aca="false">IF(COUNTIFS(E$2:E719,E719,C$2:C719,C719,D$2:D719,D719)=1,1,0)</f>
        <v>1</v>
      </c>
      <c r="P719" s="57" t="n">
        <f aca="false">IF(AND(C719=Calc!$C$3,OR(Calc!$C$4=0,D719=Calc!$C$4)),ROW(),0)</f>
        <v>0</v>
      </c>
    </row>
    <row r="720" customFormat="false" ht="15" hidden="false" customHeight="false" outlineLevel="0" collapsed="false">
      <c r="A720" s="57" t="s">
        <v>1129</v>
      </c>
      <c r="B720" s="58" t="n">
        <v>45512</v>
      </c>
      <c r="C720" s="57" t="n">
        <f aca="false">YEAR(B720)</f>
        <v>2024</v>
      </c>
      <c r="D720" s="57" t="n">
        <f aca="false">MONTH(B720)</f>
        <v>8</v>
      </c>
      <c r="E720" s="57" t="s">
        <v>152</v>
      </c>
      <c r="F720" s="57" t="s">
        <v>72</v>
      </c>
      <c r="G720" s="57" t="s">
        <v>35</v>
      </c>
      <c r="H720" s="57" t="s">
        <v>37</v>
      </c>
      <c r="I720" s="59" t="n">
        <v>1</v>
      </c>
      <c r="J720" s="60" t="n">
        <v>59</v>
      </c>
      <c r="K720" s="60" t="n">
        <v>27</v>
      </c>
      <c r="L720" s="61" t="n">
        <f aca="false">I720*J720</f>
        <v>59</v>
      </c>
      <c r="M720" s="61" t="n">
        <f aca="false">L720-I720*K720</f>
        <v>32</v>
      </c>
      <c r="N720" s="57" t="n">
        <f aca="false">IF(COUNTIFS(E$2:E720,E720,C$2:C720,C720)=1,1,0)</f>
        <v>0</v>
      </c>
      <c r="O720" s="57" t="n">
        <f aca="false">IF(COUNTIFS(E$2:E720,E720,C$2:C720,C720,D$2:D720,D720)=1,1,0)</f>
        <v>1</v>
      </c>
      <c r="P720" s="57" t="n">
        <f aca="false">IF(AND(C720=Calc!$C$3,OR(Calc!$C$4=0,D720=Calc!$C$4)),ROW(),0)</f>
        <v>0</v>
      </c>
    </row>
    <row r="721" customFormat="false" ht="15" hidden="false" customHeight="false" outlineLevel="0" collapsed="false">
      <c r="A721" s="57" t="s">
        <v>1130</v>
      </c>
      <c r="B721" s="58" t="n">
        <v>45512</v>
      </c>
      <c r="C721" s="57" t="n">
        <f aca="false">YEAR(B721)</f>
        <v>2024</v>
      </c>
      <c r="D721" s="57" t="n">
        <f aca="false">MONTH(B721)</f>
        <v>8</v>
      </c>
      <c r="E721" s="57" t="s">
        <v>114</v>
      </c>
      <c r="F721" s="57" t="s">
        <v>69</v>
      </c>
      <c r="G721" s="57" t="s">
        <v>35</v>
      </c>
      <c r="H721" s="57" t="s">
        <v>37</v>
      </c>
      <c r="I721" s="59" t="n">
        <v>1</v>
      </c>
      <c r="J721" s="60" t="n">
        <v>59</v>
      </c>
      <c r="K721" s="60" t="n">
        <v>27</v>
      </c>
      <c r="L721" s="61" t="n">
        <f aca="false">I721*J721</f>
        <v>59</v>
      </c>
      <c r="M721" s="61" t="n">
        <f aca="false">L721-I721*K721</f>
        <v>32</v>
      </c>
      <c r="N721" s="57" t="n">
        <f aca="false">IF(COUNTIFS(E$2:E721,E721,C$2:C721,C721)=1,1,0)</f>
        <v>0</v>
      </c>
      <c r="O721" s="57" t="n">
        <f aca="false">IF(COUNTIFS(E$2:E721,E721,C$2:C721,C721,D$2:D721,D721)=1,1,0)</f>
        <v>1</v>
      </c>
      <c r="P721" s="57" t="n">
        <f aca="false">IF(AND(C721=Calc!$C$3,OR(Calc!$C$4=0,D721=Calc!$C$4)),ROW(),0)</f>
        <v>0</v>
      </c>
    </row>
    <row r="722" customFormat="false" ht="15" hidden="false" customHeight="false" outlineLevel="0" collapsed="false">
      <c r="A722" s="57" t="s">
        <v>1131</v>
      </c>
      <c r="B722" s="58" t="n">
        <v>45512</v>
      </c>
      <c r="C722" s="57" t="n">
        <f aca="false">YEAR(B722)</f>
        <v>2024</v>
      </c>
      <c r="D722" s="57" t="n">
        <f aca="false">MONTH(B722)</f>
        <v>8</v>
      </c>
      <c r="E722" s="57" t="s">
        <v>323</v>
      </c>
      <c r="F722" s="57" t="s">
        <v>75</v>
      </c>
      <c r="G722" s="57" t="s">
        <v>35</v>
      </c>
      <c r="H722" s="57" t="s">
        <v>38</v>
      </c>
      <c r="I722" s="59" t="n">
        <v>1</v>
      </c>
      <c r="J722" s="60" t="n">
        <v>49</v>
      </c>
      <c r="K722" s="60" t="n">
        <v>22</v>
      </c>
      <c r="L722" s="61" t="n">
        <f aca="false">I722*J722</f>
        <v>49</v>
      </c>
      <c r="M722" s="61" t="n">
        <f aca="false">L722-I722*K722</f>
        <v>27</v>
      </c>
      <c r="N722" s="57" t="n">
        <f aca="false">IF(COUNTIFS(E$2:E722,E722,C$2:C722,C722)=1,1,0)</f>
        <v>0</v>
      </c>
      <c r="O722" s="57" t="n">
        <f aca="false">IF(COUNTIFS(E$2:E722,E722,C$2:C722,C722,D$2:D722,D722)=1,1,0)</f>
        <v>0</v>
      </c>
      <c r="P722" s="57" t="n">
        <f aca="false">IF(AND(C722=Calc!$C$3,OR(Calc!$C$4=0,D722=Calc!$C$4)),ROW(),0)</f>
        <v>0</v>
      </c>
    </row>
    <row r="723" customFormat="false" ht="15" hidden="false" customHeight="false" outlineLevel="0" collapsed="false">
      <c r="A723" s="57" t="s">
        <v>1132</v>
      </c>
      <c r="B723" s="58" t="n">
        <v>45513</v>
      </c>
      <c r="C723" s="57" t="n">
        <f aca="false">YEAR(B723)</f>
        <v>2024</v>
      </c>
      <c r="D723" s="57" t="n">
        <f aca="false">MONTH(B723)</f>
        <v>8</v>
      </c>
      <c r="E723" s="57" t="s">
        <v>219</v>
      </c>
      <c r="F723" s="57" t="s">
        <v>78</v>
      </c>
      <c r="G723" s="57" t="s">
        <v>50</v>
      </c>
      <c r="H723" s="57" t="s">
        <v>52</v>
      </c>
      <c r="I723" s="59" t="n">
        <v>3</v>
      </c>
      <c r="J723" s="60" t="n">
        <v>45</v>
      </c>
      <c r="K723" s="60" t="n">
        <v>14</v>
      </c>
      <c r="L723" s="61" t="n">
        <f aca="false">I723*J723</f>
        <v>135</v>
      </c>
      <c r="M723" s="61" t="n">
        <f aca="false">L723-I723*K723</f>
        <v>93</v>
      </c>
      <c r="N723" s="57" t="n">
        <f aca="false">IF(COUNTIFS(E$2:E723,E723,C$2:C723,C723)=1,1,0)</f>
        <v>0</v>
      </c>
      <c r="O723" s="57" t="n">
        <f aca="false">IF(COUNTIFS(E$2:E723,E723,C$2:C723,C723,D$2:D723,D723)=1,1,0)</f>
        <v>1</v>
      </c>
      <c r="P723" s="57" t="n">
        <f aca="false">IF(AND(C723=Calc!$C$3,OR(Calc!$C$4=0,D723=Calc!$C$4)),ROW(),0)</f>
        <v>0</v>
      </c>
    </row>
    <row r="724" customFormat="false" ht="15" hidden="false" customHeight="false" outlineLevel="0" collapsed="false">
      <c r="A724" s="57" t="s">
        <v>1133</v>
      </c>
      <c r="B724" s="58" t="n">
        <v>45513</v>
      </c>
      <c r="C724" s="57" t="n">
        <f aca="false">YEAR(B724)</f>
        <v>2024</v>
      </c>
      <c r="D724" s="57" t="n">
        <f aca="false">MONTH(B724)</f>
        <v>8</v>
      </c>
      <c r="E724" s="57" t="s">
        <v>506</v>
      </c>
      <c r="F724" s="57" t="s">
        <v>78</v>
      </c>
      <c r="G724" s="57" t="s">
        <v>35</v>
      </c>
      <c r="H724" s="57" t="s">
        <v>38</v>
      </c>
      <c r="I724" s="59" t="n">
        <v>1</v>
      </c>
      <c r="J724" s="60" t="n">
        <v>49</v>
      </c>
      <c r="K724" s="60" t="n">
        <v>22</v>
      </c>
      <c r="L724" s="61" t="n">
        <f aca="false">I724*J724</f>
        <v>49</v>
      </c>
      <c r="M724" s="61" t="n">
        <f aca="false">L724-I724*K724</f>
        <v>27</v>
      </c>
      <c r="N724" s="57" t="n">
        <f aca="false">IF(COUNTIFS(E$2:E724,E724,C$2:C724,C724)=1,1,0)</f>
        <v>0</v>
      </c>
      <c r="O724" s="57" t="n">
        <f aca="false">IF(COUNTIFS(E$2:E724,E724,C$2:C724,C724,D$2:D724,D724)=1,1,0)</f>
        <v>1</v>
      </c>
      <c r="P724" s="57" t="n">
        <f aca="false">IF(AND(C724=Calc!$C$3,OR(Calc!$C$4=0,D724=Calc!$C$4)),ROW(),0)</f>
        <v>0</v>
      </c>
    </row>
    <row r="725" customFormat="false" ht="15" hidden="false" customHeight="false" outlineLevel="0" collapsed="false">
      <c r="A725" s="57" t="s">
        <v>1134</v>
      </c>
      <c r="B725" s="58" t="n">
        <v>45513</v>
      </c>
      <c r="C725" s="57" t="n">
        <f aca="false">YEAR(B725)</f>
        <v>2024</v>
      </c>
      <c r="D725" s="57" t="n">
        <f aca="false">MONTH(B725)</f>
        <v>8</v>
      </c>
      <c r="E725" s="57" t="s">
        <v>539</v>
      </c>
      <c r="F725" s="57" t="s">
        <v>81</v>
      </c>
      <c r="G725" s="57" t="s">
        <v>45</v>
      </c>
      <c r="H725" s="57" t="s">
        <v>44</v>
      </c>
      <c r="I725" s="59" t="n">
        <v>2</v>
      </c>
      <c r="J725" s="60" t="n">
        <v>119</v>
      </c>
      <c r="K725" s="60" t="n">
        <v>63</v>
      </c>
      <c r="L725" s="61" t="n">
        <f aca="false">I725*J725</f>
        <v>238</v>
      </c>
      <c r="M725" s="61" t="n">
        <f aca="false">L725-I725*K725</f>
        <v>112</v>
      </c>
      <c r="N725" s="57" t="n">
        <f aca="false">IF(COUNTIFS(E$2:E725,E725,C$2:C725,C725)=1,1,0)</f>
        <v>0</v>
      </c>
      <c r="O725" s="57" t="n">
        <f aca="false">IF(COUNTIFS(E$2:E725,E725,C$2:C725,C725,D$2:D725,D725)=1,1,0)</f>
        <v>1</v>
      </c>
      <c r="P725" s="57" t="n">
        <f aca="false">IF(AND(C725=Calc!$C$3,OR(Calc!$C$4=0,D725=Calc!$C$4)),ROW(),0)</f>
        <v>0</v>
      </c>
    </row>
    <row r="726" customFormat="false" ht="15" hidden="false" customHeight="false" outlineLevel="0" collapsed="false">
      <c r="A726" s="57" t="s">
        <v>1135</v>
      </c>
      <c r="B726" s="58" t="n">
        <v>45514</v>
      </c>
      <c r="C726" s="57" t="n">
        <f aca="false">YEAR(B726)</f>
        <v>2024</v>
      </c>
      <c r="D726" s="57" t="n">
        <f aca="false">MONTH(B726)</f>
        <v>8</v>
      </c>
      <c r="E726" s="57" t="s">
        <v>983</v>
      </c>
      <c r="F726" s="57" t="s">
        <v>72</v>
      </c>
      <c r="G726" s="57" t="s">
        <v>35</v>
      </c>
      <c r="H726" s="57" t="s">
        <v>34</v>
      </c>
      <c r="I726" s="59" t="n">
        <v>2</v>
      </c>
      <c r="J726" s="60" t="n">
        <v>89</v>
      </c>
      <c r="K726" s="60" t="n">
        <v>41</v>
      </c>
      <c r="L726" s="61" t="n">
        <f aca="false">I726*J726</f>
        <v>178</v>
      </c>
      <c r="M726" s="61" t="n">
        <f aca="false">L726-I726*K726</f>
        <v>96</v>
      </c>
      <c r="N726" s="57" t="n">
        <f aca="false">IF(COUNTIFS(E$2:E726,E726,C$2:C726,C726)=1,1,0)</f>
        <v>0</v>
      </c>
      <c r="O726" s="57" t="n">
        <f aca="false">IF(COUNTIFS(E$2:E726,E726,C$2:C726,C726,D$2:D726,D726)=1,1,0)</f>
        <v>1</v>
      </c>
      <c r="P726" s="57" t="n">
        <f aca="false">IF(AND(C726=Calc!$C$3,OR(Calc!$C$4=0,D726=Calc!$C$4)),ROW(),0)</f>
        <v>0</v>
      </c>
    </row>
    <row r="727" customFormat="false" ht="15" hidden="false" customHeight="false" outlineLevel="0" collapsed="false">
      <c r="A727" s="57" t="s">
        <v>1136</v>
      </c>
      <c r="B727" s="58" t="n">
        <v>45514</v>
      </c>
      <c r="C727" s="57" t="n">
        <f aca="false">YEAR(B727)</f>
        <v>2024</v>
      </c>
      <c r="D727" s="57" t="n">
        <f aca="false">MONTH(B727)</f>
        <v>8</v>
      </c>
      <c r="E727" s="57" t="s">
        <v>340</v>
      </c>
      <c r="F727" s="57" t="s">
        <v>69</v>
      </c>
      <c r="G727" s="57" t="s">
        <v>45</v>
      </c>
      <c r="H727" s="57" t="s">
        <v>44</v>
      </c>
      <c r="I727" s="59" t="n">
        <v>1</v>
      </c>
      <c r="J727" s="60" t="n">
        <v>119</v>
      </c>
      <c r="K727" s="60" t="n">
        <v>63</v>
      </c>
      <c r="L727" s="61" t="n">
        <f aca="false">I727*J727</f>
        <v>119</v>
      </c>
      <c r="M727" s="61" t="n">
        <f aca="false">L727-I727*K727</f>
        <v>56</v>
      </c>
      <c r="N727" s="57" t="n">
        <f aca="false">IF(COUNTIFS(E$2:E727,E727,C$2:C727,C727)=1,1,0)</f>
        <v>0</v>
      </c>
      <c r="O727" s="57" t="n">
        <f aca="false">IF(COUNTIFS(E$2:E727,E727,C$2:C727,C727,D$2:D727,D727)=1,1,0)</f>
        <v>1</v>
      </c>
      <c r="P727" s="57" t="n">
        <f aca="false">IF(AND(C727=Calc!$C$3,OR(Calc!$C$4=0,D727=Calc!$C$4)),ROW(),0)</f>
        <v>0</v>
      </c>
    </row>
    <row r="728" customFormat="false" ht="15" hidden="false" customHeight="false" outlineLevel="0" collapsed="false">
      <c r="A728" s="57" t="s">
        <v>1137</v>
      </c>
      <c r="B728" s="58" t="n">
        <v>45514</v>
      </c>
      <c r="C728" s="57" t="n">
        <f aca="false">YEAR(B728)</f>
        <v>2024</v>
      </c>
      <c r="D728" s="57" t="n">
        <f aca="false">MONTH(B728)</f>
        <v>8</v>
      </c>
      <c r="E728" s="57" t="s">
        <v>899</v>
      </c>
      <c r="F728" s="57" t="s">
        <v>75</v>
      </c>
      <c r="G728" s="57" t="s">
        <v>35</v>
      </c>
      <c r="H728" s="57" t="s">
        <v>38</v>
      </c>
      <c r="I728" s="59" t="n">
        <v>2</v>
      </c>
      <c r="J728" s="60" t="n">
        <v>49</v>
      </c>
      <c r="K728" s="60" t="n">
        <v>22</v>
      </c>
      <c r="L728" s="61" t="n">
        <f aca="false">I728*J728</f>
        <v>98</v>
      </c>
      <c r="M728" s="61" t="n">
        <f aca="false">L728-I728*K728</f>
        <v>54</v>
      </c>
      <c r="N728" s="57" t="n">
        <f aca="false">IF(COUNTIFS(E$2:E728,E728,C$2:C728,C728)=1,1,0)</f>
        <v>0</v>
      </c>
      <c r="O728" s="57" t="n">
        <f aca="false">IF(COUNTIFS(E$2:E728,E728,C$2:C728,C728,D$2:D728,D728)=1,1,0)</f>
        <v>1</v>
      </c>
      <c r="P728" s="57" t="n">
        <f aca="false">IF(AND(C728=Calc!$C$3,OR(Calc!$C$4=0,D728=Calc!$C$4)),ROW(),0)</f>
        <v>0</v>
      </c>
    </row>
    <row r="729" customFormat="false" ht="15" hidden="false" customHeight="false" outlineLevel="0" collapsed="false">
      <c r="A729" s="57" t="s">
        <v>1138</v>
      </c>
      <c r="B729" s="58" t="n">
        <v>45514</v>
      </c>
      <c r="C729" s="57" t="n">
        <f aca="false">YEAR(B729)</f>
        <v>2024</v>
      </c>
      <c r="D729" s="57" t="n">
        <f aca="false">MONTH(B729)</f>
        <v>8</v>
      </c>
      <c r="E729" s="57" t="s">
        <v>1139</v>
      </c>
      <c r="F729" s="57" t="s">
        <v>72</v>
      </c>
      <c r="G729" s="57" t="s">
        <v>50</v>
      </c>
      <c r="H729" s="57" t="s">
        <v>51</v>
      </c>
      <c r="I729" s="59" t="n">
        <v>1</v>
      </c>
      <c r="J729" s="60" t="n">
        <v>69</v>
      </c>
      <c r="K729" s="60" t="n">
        <v>29</v>
      </c>
      <c r="L729" s="61" t="n">
        <f aca="false">I729*J729</f>
        <v>69</v>
      </c>
      <c r="M729" s="61" t="n">
        <f aca="false">L729-I729*K729</f>
        <v>40</v>
      </c>
      <c r="N729" s="57" t="n">
        <f aca="false">IF(COUNTIFS(E$2:E729,E729,C$2:C729,C729)=1,1,0)</f>
        <v>1</v>
      </c>
      <c r="O729" s="57" t="n">
        <f aca="false">IF(COUNTIFS(E$2:E729,E729,C$2:C729,C729,D$2:D729,D729)=1,1,0)</f>
        <v>1</v>
      </c>
      <c r="P729" s="57" t="n">
        <f aca="false">IF(AND(C729=Calc!$C$3,OR(Calc!$C$4=0,D729=Calc!$C$4)),ROW(),0)</f>
        <v>0</v>
      </c>
    </row>
    <row r="730" customFormat="false" ht="15" hidden="false" customHeight="false" outlineLevel="0" collapsed="false">
      <c r="A730" s="57" t="s">
        <v>1140</v>
      </c>
      <c r="B730" s="58" t="n">
        <v>45514</v>
      </c>
      <c r="C730" s="57" t="n">
        <f aca="false">YEAR(B730)</f>
        <v>2024</v>
      </c>
      <c r="D730" s="57" t="n">
        <f aca="false">MONTH(B730)</f>
        <v>8</v>
      </c>
      <c r="E730" s="57" t="s">
        <v>547</v>
      </c>
      <c r="F730" s="57" t="s">
        <v>72</v>
      </c>
      <c r="G730" s="57" t="s">
        <v>45</v>
      </c>
      <c r="H730" s="57" t="s">
        <v>48</v>
      </c>
      <c r="I730" s="59" t="n">
        <v>3</v>
      </c>
      <c r="J730" s="60" t="n">
        <v>99</v>
      </c>
      <c r="K730" s="60" t="n">
        <v>38</v>
      </c>
      <c r="L730" s="61" t="n">
        <f aca="false">I730*J730</f>
        <v>297</v>
      </c>
      <c r="M730" s="61" t="n">
        <f aca="false">L730-I730*K730</f>
        <v>183</v>
      </c>
      <c r="N730" s="57" t="n">
        <f aca="false">IF(COUNTIFS(E$2:E730,E730,C$2:C730,C730)=1,1,0)</f>
        <v>0</v>
      </c>
      <c r="O730" s="57" t="n">
        <f aca="false">IF(COUNTIFS(E$2:E730,E730,C$2:C730,C730,D$2:D730,D730)=1,1,0)</f>
        <v>0</v>
      </c>
      <c r="P730" s="57" t="n">
        <f aca="false">IF(AND(C730=Calc!$C$3,OR(Calc!$C$4=0,D730=Calc!$C$4)),ROW(),0)</f>
        <v>0</v>
      </c>
    </row>
    <row r="731" customFormat="false" ht="15" hidden="false" customHeight="false" outlineLevel="0" collapsed="false">
      <c r="A731" s="57" t="s">
        <v>1141</v>
      </c>
      <c r="B731" s="58" t="n">
        <v>45515</v>
      </c>
      <c r="C731" s="57" t="n">
        <f aca="false">YEAR(B731)</f>
        <v>2024</v>
      </c>
      <c r="D731" s="57" t="n">
        <f aca="false">MONTH(B731)</f>
        <v>8</v>
      </c>
      <c r="E731" s="57" t="s">
        <v>725</v>
      </c>
      <c r="F731" s="57" t="s">
        <v>69</v>
      </c>
      <c r="G731" s="57" t="s">
        <v>35</v>
      </c>
      <c r="H731" s="57" t="s">
        <v>36</v>
      </c>
      <c r="I731" s="59" t="n">
        <v>1</v>
      </c>
      <c r="J731" s="60" t="n">
        <v>179</v>
      </c>
      <c r="K731" s="60" t="n">
        <v>92</v>
      </c>
      <c r="L731" s="61" t="n">
        <f aca="false">I731*J731</f>
        <v>179</v>
      </c>
      <c r="M731" s="61" t="n">
        <f aca="false">L731-I731*K731</f>
        <v>87</v>
      </c>
      <c r="N731" s="57" t="n">
        <f aca="false">IF(COUNTIFS(E$2:E731,E731,C$2:C731,C731)=1,1,0)</f>
        <v>0</v>
      </c>
      <c r="O731" s="57" t="n">
        <f aca="false">IF(COUNTIFS(E$2:E731,E731,C$2:C731,C731,D$2:D731,D731)=1,1,0)</f>
        <v>1</v>
      </c>
      <c r="P731" s="57" t="n">
        <f aca="false">IF(AND(C731=Calc!$C$3,OR(Calc!$C$4=0,D731=Calc!$C$4)),ROW(),0)</f>
        <v>0</v>
      </c>
    </row>
    <row r="732" customFormat="false" ht="15" hidden="false" customHeight="false" outlineLevel="0" collapsed="false">
      <c r="A732" s="57" t="s">
        <v>1142</v>
      </c>
      <c r="B732" s="58" t="n">
        <v>45516</v>
      </c>
      <c r="C732" s="57" t="n">
        <f aca="false">YEAR(B732)</f>
        <v>2024</v>
      </c>
      <c r="D732" s="57" t="n">
        <f aca="false">MONTH(B732)</f>
        <v>8</v>
      </c>
      <c r="E732" s="57" t="s">
        <v>836</v>
      </c>
      <c r="F732" s="57" t="s">
        <v>69</v>
      </c>
      <c r="G732" s="57" t="s">
        <v>35</v>
      </c>
      <c r="H732" s="57" t="s">
        <v>36</v>
      </c>
      <c r="I732" s="59" t="n">
        <v>1</v>
      </c>
      <c r="J732" s="60" t="n">
        <v>179</v>
      </c>
      <c r="K732" s="60" t="n">
        <v>92</v>
      </c>
      <c r="L732" s="61" t="n">
        <f aca="false">I732*J732</f>
        <v>179</v>
      </c>
      <c r="M732" s="61" t="n">
        <f aca="false">L732-I732*K732</f>
        <v>87</v>
      </c>
      <c r="N732" s="57" t="n">
        <f aca="false">IF(COUNTIFS(E$2:E732,E732,C$2:C732,C732)=1,1,0)</f>
        <v>0</v>
      </c>
      <c r="O732" s="57" t="n">
        <f aca="false">IF(COUNTIFS(E$2:E732,E732,C$2:C732,C732,D$2:D732,D732)=1,1,0)</f>
        <v>1</v>
      </c>
      <c r="P732" s="57" t="n">
        <f aca="false">IF(AND(C732=Calc!$C$3,OR(Calc!$C$4=0,D732=Calc!$C$4)),ROW(),0)</f>
        <v>0</v>
      </c>
    </row>
    <row r="733" customFormat="false" ht="15" hidden="false" customHeight="false" outlineLevel="0" collapsed="false">
      <c r="A733" s="57" t="s">
        <v>1143</v>
      </c>
      <c r="B733" s="58" t="n">
        <v>45516</v>
      </c>
      <c r="C733" s="57" t="n">
        <f aca="false">YEAR(B733)</f>
        <v>2024</v>
      </c>
      <c r="D733" s="57" t="n">
        <f aca="false">MONTH(B733)</f>
        <v>8</v>
      </c>
      <c r="E733" s="57" t="s">
        <v>175</v>
      </c>
      <c r="F733" s="57" t="s">
        <v>75</v>
      </c>
      <c r="G733" s="57" t="s">
        <v>35</v>
      </c>
      <c r="H733" s="57" t="s">
        <v>36</v>
      </c>
      <c r="I733" s="59" t="n">
        <v>1</v>
      </c>
      <c r="J733" s="60" t="n">
        <v>179</v>
      </c>
      <c r="K733" s="60" t="n">
        <v>92</v>
      </c>
      <c r="L733" s="61" t="n">
        <f aca="false">I733*J733</f>
        <v>179</v>
      </c>
      <c r="M733" s="61" t="n">
        <f aca="false">L733-I733*K733</f>
        <v>87</v>
      </c>
      <c r="N733" s="57" t="n">
        <f aca="false">IF(COUNTIFS(E$2:E733,E733,C$2:C733,C733)=1,1,0)</f>
        <v>0</v>
      </c>
      <c r="O733" s="57" t="n">
        <f aca="false">IF(COUNTIFS(E$2:E733,E733,C$2:C733,C733,D$2:D733,D733)=1,1,0)</f>
        <v>1</v>
      </c>
      <c r="P733" s="57" t="n">
        <f aca="false">IF(AND(C733=Calc!$C$3,OR(Calc!$C$4=0,D733=Calc!$C$4)),ROW(),0)</f>
        <v>0</v>
      </c>
    </row>
    <row r="734" customFormat="false" ht="15" hidden="false" customHeight="false" outlineLevel="0" collapsed="false">
      <c r="A734" s="57" t="s">
        <v>1144</v>
      </c>
      <c r="B734" s="58" t="n">
        <v>45516</v>
      </c>
      <c r="C734" s="57" t="n">
        <f aca="false">YEAR(B734)</f>
        <v>2024</v>
      </c>
      <c r="D734" s="57" t="n">
        <f aca="false">MONTH(B734)</f>
        <v>8</v>
      </c>
      <c r="E734" s="57" t="s">
        <v>1145</v>
      </c>
      <c r="F734" s="57" t="s">
        <v>78</v>
      </c>
      <c r="G734" s="57" t="s">
        <v>50</v>
      </c>
      <c r="H734" s="57" t="s">
        <v>51</v>
      </c>
      <c r="I734" s="59" t="n">
        <v>3</v>
      </c>
      <c r="J734" s="60" t="n">
        <v>69</v>
      </c>
      <c r="K734" s="60" t="n">
        <v>29</v>
      </c>
      <c r="L734" s="61" t="n">
        <f aca="false">I734*J734</f>
        <v>207</v>
      </c>
      <c r="M734" s="61" t="n">
        <f aca="false">L734-I734*K734</f>
        <v>120</v>
      </c>
      <c r="N734" s="57" t="n">
        <f aca="false">IF(COUNTIFS(E$2:E734,E734,C$2:C734,C734)=1,1,0)</f>
        <v>1</v>
      </c>
      <c r="O734" s="57" t="n">
        <f aca="false">IF(COUNTIFS(E$2:E734,E734,C$2:C734,C734,D$2:D734,D734)=1,1,0)</f>
        <v>1</v>
      </c>
      <c r="P734" s="57" t="n">
        <f aca="false">IF(AND(C734=Calc!$C$3,OR(Calc!$C$4=0,D734=Calc!$C$4)),ROW(),0)</f>
        <v>0</v>
      </c>
    </row>
    <row r="735" customFormat="false" ht="15" hidden="false" customHeight="false" outlineLevel="0" collapsed="false">
      <c r="A735" s="57" t="s">
        <v>1146</v>
      </c>
      <c r="B735" s="58" t="n">
        <v>45516</v>
      </c>
      <c r="C735" s="57" t="n">
        <f aca="false">YEAR(B735)</f>
        <v>2024</v>
      </c>
      <c r="D735" s="57" t="n">
        <f aca="false">MONTH(B735)</f>
        <v>8</v>
      </c>
      <c r="E735" s="57" t="s">
        <v>372</v>
      </c>
      <c r="F735" s="57" t="s">
        <v>81</v>
      </c>
      <c r="G735" s="57" t="s">
        <v>40</v>
      </c>
      <c r="H735" s="57" t="s">
        <v>41</v>
      </c>
      <c r="I735" s="59" t="n">
        <v>2</v>
      </c>
      <c r="J735" s="60" t="n">
        <v>46</v>
      </c>
      <c r="K735" s="60" t="n">
        <v>16</v>
      </c>
      <c r="L735" s="61" t="n">
        <f aca="false">I735*J735</f>
        <v>92</v>
      </c>
      <c r="M735" s="61" t="n">
        <f aca="false">L735-I735*K735</f>
        <v>60</v>
      </c>
      <c r="N735" s="57" t="n">
        <f aca="false">IF(COUNTIFS(E$2:E735,E735,C$2:C735,C735)=1,1,0)</f>
        <v>0</v>
      </c>
      <c r="O735" s="57" t="n">
        <f aca="false">IF(COUNTIFS(E$2:E735,E735,C$2:C735,C735,D$2:D735,D735)=1,1,0)</f>
        <v>1</v>
      </c>
      <c r="P735" s="57" t="n">
        <f aca="false">IF(AND(C735=Calc!$C$3,OR(Calc!$C$4=0,D735=Calc!$C$4)),ROW(),0)</f>
        <v>0</v>
      </c>
    </row>
    <row r="736" customFormat="false" ht="15" hidden="false" customHeight="false" outlineLevel="0" collapsed="false">
      <c r="A736" s="57" t="s">
        <v>1147</v>
      </c>
      <c r="B736" s="58" t="n">
        <v>45517</v>
      </c>
      <c r="C736" s="57" t="n">
        <f aca="false">YEAR(B736)</f>
        <v>2024</v>
      </c>
      <c r="D736" s="57" t="n">
        <f aca="false">MONTH(B736)</f>
        <v>8</v>
      </c>
      <c r="E736" s="57" t="s">
        <v>506</v>
      </c>
      <c r="F736" s="57" t="s">
        <v>78</v>
      </c>
      <c r="G736" s="57" t="s">
        <v>35</v>
      </c>
      <c r="H736" s="57" t="s">
        <v>37</v>
      </c>
      <c r="I736" s="59" t="n">
        <v>1</v>
      </c>
      <c r="J736" s="60" t="n">
        <v>59</v>
      </c>
      <c r="K736" s="60" t="n">
        <v>27</v>
      </c>
      <c r="L736" s="61" t="n">
        <f aca="false">I736*J736</f>
        <v>59</v>
      </c>
      <c r="M736" s="61" t="n">
        <f aca="false">L736-I736*K736</f>
        <v>32</v>
      </c>
      <c r="N736" s="57" t="n">
        <f aca="false">IF(COUNTIFS(E$2:E736,E736,C$2:C736,C736)=1,1,0)</f>
        <v>0</v>
      </c>
      <c r="O736" s="57" t="n">
        <f aca="false">IF(COUNTIFS(E$2:E736,E736,C$2:C736,C736,D$2:D736,D736)=1,1,0)</f>
        <v>0</v>
      </c>
      <c r="P736" s="57" t="n">
        <f aca="false">IF(AND(C736=Calc!$C$3,OR(Calc!$C$4=0,D736=Calc!$C$4)),ROW(),0)</f>
        <v>0</v>
      </c>
    </row>
    <row r="737" customFormat="false" ht="15" hidden="false" customHeight="false" outlineLevel="0" collapsed="false">
      <c r="A737" s="57" t="s">
        <v>1148</v>
      </c>
      <c r="B737" s="58" t="n">
        <v>45517</v>
      </c>
      <c r="C737" s="57" t="n">
        <f aca="false">YEAR(B737)</f>
        <v>2024</v>
      </c>
      <c r="D737" s="57" t="n">
        <f aca="false">MONTH(B737)</f>
        <v>8</v>
      </c>
      <c r="E737" s="57" t="s">
        <v>1149</v>
      </c>
      <c r="F737" s="57" t="s">
        <v>78</v>
      </c>
      <c r="G737" s="57" t="s">
        <v>40</v>
      </c>
      <c r="H737" s="57" t="s">
        <v>39</v>
      </c>
      <c r="I737" s="59" t="n">
        <v>1</v>
      </c>
      <c r="J737" s="60" t="n">
        <v>54</v>
      </c>
      <c r="K737" s="60" t="n">
        <v>19</v>
      </c>
      <c r="L737" s="61" t="n">
        <f aca="false">I737*J737</f>
        <v>54</v>
      </c>
      <c r="M737" s="61" t="n">
        <f aca="false">L737-I737*K737</f>
        <v>35</v>
      </c>
      <c r="N737" s="57" t="n">
        <f aca="false">IF(COUNTIFS(E$2:E737,E737,C$2:C737,C737)=1,1,0)</f>
        <v>1</v>
      </c>
      <c r="O737" s="57" t="n">
        <f aca="false">IF(COUNTIFS(E$2:E737,E737,C$2:C737,C737,D$2:D737,D737)=1,1,0)</f>
        <v>1</v>
      </c>
      <c r="P737" s="57" t="n">
        <f aca="false">IF(AND(C737=Calc!$C$3,OR(Calc!$C$4=0,D737=Calc!$C$4)),ROW(),0)</f>
        <v>0</v>
      </c>
    </row>
    <row r="738" customFormat="false" ht="15" hidden="false" customHeight="false" outlineLevel="0" collapsed="false">
      <c r="A738" s="57" t="s">
        <v>1150</v>
      </c>
      <c r="B738" s="58" t="n">
        <v>45517</v>
      </c>
      <c r="C738" s="57" t="n">
        <f aca="false">YEAR(B738)</f>
        <v>2024</v>
      </c>
      <c r="D738" s="57" t="n">
        <f aca="false">MONTH(B738)</f>
        <v>8</v>
      </c>
      <c r="E738" s="57" t="s">
        <v>1151</v>
      </c>
      <c r="F738" s="57" t="s">
        <v>78</v>
      </c>
      <c r="G738" s="57" t="s">
        <v>35</v>
      </c>
      <c r="H738" s="57" t="s">
        <v>37</v>
      </c>
      <c r="I738" s="59" t="n">
        <v>1</v>
      </c>
      <c r="J738" s="60" t="n">
        <v>59</v>
      </c>
      <c r="K738" s="60" t="n">
        <v>27</v>
      </c>
      <c r="L738" s="61" t="n">
        <f aca="false">I738*J738</f>
        <v>59</v>
      </c>
      <c r="M738" s="61" t="n">
        <f aca="false">L738-I738*K738</f>
        <v>32</v>
      </c>
      <c r="N738" s="57" t="n">
        <f aca="false">IF(COUNTIFS(E$2:E738,E738,C$2:C738,C738)=1,1,0)</f>
        <v>1</v>
      </c>
      <c r="O738" s="57" t="n">
        <f aca="false">IF(COUNTIFS(E$2:E738,E738,C$2:C738,C738,D$2:D738,D738)=1,1,0)</f>
        <v>1</v>
      </c>
      <c r="P738" s="57" t="n">
        <f aca="false">IF(AND(C738=Calc!$C$3,OR(Calc!$C$4=0,D738=Calc!$C$4)),ROW(),0)</f>
        <v>0</v>
      </c>
    </row>
    <row r="739" customFormat="false" ht="15" hidden="false" customHeight="false" outlineLevel="0" collapsed="false">
      <c r="A739" s="57" t="s">
        <v>1152</v>
      </c>
      <c r="B739" s="58" t="n">
        <v>45517</v>
      </c>
      <c r="C739" s="57" t="n">
        <f aca="false">YEAR(B739)</f>
        <v>2024</v>
      </c>
      <c r="D739" s="57" t="n">
        <f aca="false">MONTH(B739)</f>
        <v>8</v>
      </c>
      <c r="E739" s="57" t="s">
        <v>294</v>
      </c>
      <c r="F739" s="57" t="s">
        <v>69</v>
      </c>
      <c r="G739" s="57" t="s">
        <v>35</v>
      </c>
      <c r="H739" s="57" t="s">
        <v>38</v>
      </c>
      <c r="I739" s="59" t="n">
        <v>1</v>
      </c>
      <c r="J739" s="60" t="n">
        <v>49</v>
      </c>
      <c r="K739" s="60" t="n">
        <v>22</v>
      </c>
      <c r="L739" s="61" t="n">
        <f aca="false">I739*J739</f>
        <v>49</v>
      </c>
      <c r="M739" s="61" t="n">
        <f aca="false">L739-I739*K739</f>
        <v>27</v>
      </c>
      <c r="N739" s="57" t="n">
        <f aca="false">IF(COUNTIFS(E$2:E739,E739,C$2:C739,C739)=1,1,0)</f>
        <v>0</v>
      </c>
      <c r="O739" s="57" t="n">
        <f aca="false">IF(COUNTIFS(E$2:E739,E739,C$2:C739,C739,D$2:D739,D739)=1,1,0)</f>
        <v>1</v>
      </c>
      <c r="P739" s="57" t="n">
        <f aca="false">IF(AND(C739=Calc!$C$3,OR(Calc!$C$4=0,D739=Calc!$C$4)),ROW(),0)</f>
        <v>0</v>
      </c>
    </row>
    <row r="740" customFormat="false" ht="15" hidden="false" customHeight="false" outlineLevel="0" collapsed="false">
      <c r="A740" s="57" t="s">
        <v>1153</v>
      </c>
      <c r="B740" s="58" t="n">
        <v>45517</v>
      </c>
      <c r="C740" s="57" t="n">
        <f aca="false">YEAR(B740)</f>
        <v>2024</v>
      </c>
      <c r="D740" s="57" t="n">
        <f aca="false">MONTH(B740)</f>
        <v>8</v>
      </c>
      <c r="E740" s="57" t="s">
        <v>434</v>
      </c>
      <c r="F740" s="57" t="s">
        <v>78</v>
      </c>
      <c r="G740" s="57" t="s">
        <v>35</v>
      </c>
      <c r="H740" s="57" t="s">
        <v>34</v>
      </c>
      <c r="I740" s="59" t="n">
        <v>2</v>
      </c>
      <c r="J740" s="60" t="n">
        <v>89</v>
      </c>
      <c r="K740" s="60" t="n">
        <v>41</v>
      </c>
      <c r="L740" s="61" t="n">
        <f aca="false">I740*J740</f>
        <v>178</v>
      </c>
      <c r="M740" s="61" t="n">
        <f aca="false">L740-I740*K740</f>
        <v>96</v>
      </c>
      <c r="N740" s="57" t="n">
        <f aca="false">IF(COUNTIFS(E$2:E740,E740,C$2:C740,C740)=1,1,0)</f>
        <v>0</v>
      </c>
      <c r="O740" s="57" t="n">
        <f aca="false">IF(COUNTIFS(E$2:E740,E740,C$2:C740,C740,D$2:D740,D740)=1,1,0)</f>
        <v>1</v>
      </c>
      <c r="P740" s="57" t="n">
        <f aca="false">IF(AND(C740=Calc!$C$3,OR(Calc!$C$4=0,D740=Calc!$C$4)),ROW(),0)</f>
        <v>0</v>
      </c>
    </row>
    <row r="741" customFormat="false" ht="15" hidden="false" customHeight="false" outlineLevel="0" collapsed="false">
      <c r="A741" s="57" t="s">
        <v>1154</v>
      </c>
      <c r="B741" s="58" t="n">
        <v>45518</v>
      </c>
      <c r="C741" s="57" t="n">
        <f aca="false">YEAR(B741)</f>
        <v>2024</v>
      </c>
      <c r="D741" s="57" t="n">
        <f aca="false">MONTH(B741)</f>
        <v>8</v>
      </c>
      <c r="E741" s="57" t="s">
        <v>1155</v>
      </c>
      <c r="F741" s="57" t="s">
        <v>69</v>
      </c>
      <c r="G741" s="57" t="s">
        <v>35</v>
      </c>
      <c r="H741" s="57" t="s">
        <v>36</v>
      </c>
      <c r="I741" s="59" t="n">
        <v>2</v>
      </c>
      <c r="J741" s="60" t="n">
        <v>179</v>
      </c>
      <c r="K741" s="60" t="n">
        <v>92</v>
      </c>
      <c r="L741" s="61" t="n">
        <f aca="false">I741*J741</f>
        <v>358</v>
      </c>
      <c r="M741" s="61" t="n">
        <f aca="false">L741-I741*K741</f>
        <v>174</v>
      </c>
      <c r="N741" s="57" t="n">
        <f aca="false">IF(COUNTIFS(E$2:E741,E741,C$2:C741,C741)=1,1,0)</f>
        <v>1</v>
      </c>
      <c r="O741" s="57" t="n">
        <f aca="false">IF(COUNTIFS(E$2:E741,E741,C$2:C741,C741,D$2:D741,D741)=1,1,0)</f>
        <v>1</v>
      </c>
      <c r="P741" s="57" t="n">
        <f aca="false">IF(AND(C741=Calc!$C$3,OR(Calc!$C$4=0,D741=Calc!$C$4)),ROW(),0)</f>
        <v>0</v>
      </c>
    </row>
    <row r="742" customFormat="false" ht="15" hidden="false" customHeight="false" outlineLevel="0" collapsed="false">
      <c r="A742" s="57" t="s">
        <v>1156</v>
      </c>
      <c r="B742" s="58" t="n">
        <v>45518</v>
      </c>
      <c r="C742" s="57" t="n">
        <f aca="false">YEAR(B742)</f>
        <v>2024</v>
      </c>
      <c r="D742" s="57" t="n">
        <f aca="false">MONTH(B742)</f>
        <v>8</v>
      </c>
      <c r="E742" s="57" t="s">
        <v>1157</v>
      </c>
      <c r="F742" s="57" t="s">
        <v>75</v>
      </c>
      <c r="G742" s="57" t="s">
        <v>40</v>
      </c>
      <c r="H742" s="57" t="s">
        <v>43</v>
      </c>
      <c r="I742" s="59" t="n">
        <v>1</v>
      </c>
      <c r="J742" s="60" t="n">
        <v>29</v>
      </c>
      <c r="K742" s="60" t="n">
        <v>9</v>
      </c>
      <c r="L742" s="61" t="n">
        <f aca="false">I742*J742</f>
        <v>29</v>
      </c>
      <c r="M742" s="61" t="n">
        <f aca="false">L742-I742*K742</f>
        <v>20</v>
      </c>
      <c r="N742" s="57" t="n">
        <f aca="false">IF(COUNTIFS(E$2:E742,E742,C$2:C742,C742)=1,1,0)</f>
        <v>1</v>
      </c>
      <c r="O742" s="57" t="n">
        <f aca="false">IF(COUNTIFS(E$2:E742,E742,C$2:C742,C742,D$2:D742,D742)=1,1,0)</f>
        <v>1</v>
      </c>
      <c r="P742" s="57" t="n">
        <f aca="false">IF(AND(C742=Calc!$C$3,OR(Calc!$C$4=0,D742=Calc!$C$4)),ROW(),0)</f>
        <v>0</v>
      </c>
    </row>
    <row r="743" customFormat="false" ht="15" hidden="false" customHeight="false" outlineLevel="0" collapsed="false">
      <c r="A743" s="57" t="s">
        <v>1158</v>
      </c>
      <c r="B743" s="58" t="n">
        <v>45518</v>
      </c>
      <c r="C743" s="57" t="n">
        <f aca="false">YEAR(B743)</f>
        <v>2024</v>
      </c>
      <c r="D743" s="57" t="n">
        <f aca="false">MONTH(B743)</f>
        <v>8</v>
      </c>
      <c r="E743" s="57" t="s">
        <v>183</v>
      </c>
      <c r="F743" s="57" t="s">
        <v>72</v>
      </c>
      <c r="G743" s="57" t="s">
        <v>40</v>
      </c>
      <c r="H743" s="57" t="s">
        <v>39</v>
      </c>
      <c r="I743" s="59" t="n">
        <v>1</v>
      </c>
      <c r="J743" s="60" t="n">
        <v>54</v>
      </c>
      <c r="K743" s="60" t="n">
        <v>19</v>
      </c>
      <c r="L743" s="61" t="n">
        <f aca="false">I743*J743</f>
        <v>54</v>
      </c>
      <c r="M743" s="61" t="n">
        <f aca="false">L743-I743*K743</f>
        <v>35</v>
      </c>
      <c r="N743" s="57" t="n">
        <f aca="false">IF(COUNTIFS(E$2:E743,E743,C$2:C743,C743)=1,1,0)</f>
        <v>0</v>
      </c>
      <c r="O743" s="57" t="n">
        <f aca="false">IF(COUNTIFS(E$2:E743,E743,C$2:C743,C743,D$2:D743,D743)=1,1,0)</f>
        <v>1</v>
      </c>
      <c r="P743" s="57" t="n">
        <f aca="false">IF(AND(C743=Calc!$C$3,OR(Calc!$C$4=0,D743=Calc!$C$4)),ROW(),0)</f>
        <v>0</v>
      </c>
    </row>
    <row r="744" customFormat="false" ht="15" hidden="false" customHeight="false" outlineLevel="0" collapsed="false">
      <c r="A744" s="57" t="s">
        <v>1159</v>
      </c>
      <c r="B744" s="58" t="n">
        <v>45519</v>
      </c>
      <c r="C744" s="57" t="n">
        <f aca="false">YEAR(B744)</f>
        <v>2024</v>
      </c>
      <c r="D744" s="57" t="n">
        <f aca="false">MONTH(B744)</f>
        <v>8</v>
      </c>
      <c r="E744" s="57" t="s">
        <v>948</v>
      </c>
      <c r="F744" s="57" t="s">
        <v>81</v>
      </c>
      <c r="G744" s="57" t="s">
        <v>40</v>
      </c>
      <c r="H744" s="57" t="s">
        <v>42</v>
      </c>
      <c r="I744" s="59" t="n">
        <v>1</v>
      </c>
      <c r="J744" s="60" t="n">
        <v>79</v>
      </c>
      <c r="K744" s="60" t="n">
        <v>31</v>
      </c>
      <c r="L744" s="61" t="n">
        <f aca="false">I744*J744</f>
        <v>79</v>
      </c>
      <c r="M744" s="61" t="n">
        <f aca="false">L744-I744*K744</f>
        <v>48</v>
      </c>
      <c r="N744" s="57" t="n">
        <f aca="false">IF(COUNTIFS(E$2:E744,E744,C$2:C744,C744)=1,1,0)</f>
        <v>0</v>
      </c>
      <c r="O744" s="57" t="n">
        <f aca="false">IF(COUNTIFS(E$2:E744,E744,C$2:C744,C744,D$2:D744,D744)=1,1,0)</f>
        <v>1</v>
      </c>
      <c r="P744" s="57" t="n">
        <f aca="false">IF(AND(C744=Calc!$C$3,OR(Calc!$C$4=0,D744=Calc!$C$4)),ROW(),0)</f>
        <v>0</v>
      </c>
    </row>
    <row r="745" customFormat="false" ht="15" hidden="false" customHeight="false" outlineLevel="0" collapsed="false">
      <c r="A745" s="57" t="s">
        <v>1160</v>
      </c>
      <c r="B745" s="58" t="n">
        <v>45519</v>
      </c>
      <c r="C745" s="57" t="n">
        <f aca="false">YEAR(B745)</f>
        <v>2024</v>
      </c>
      <c r="D745" s="57" t="n">
        <f aca="false">MONTH(B745)</f>
        <v>8</v>
      </c>
      <c r="E745" s="57" t="s">
        <v>1114</v>
      </c>
      <c r="F745" s="57" t="s">
        <v>75</v>
      </c>
      <c r="G745" s="57" t="s">
        <v>50</v>
      </c>
      <c r="H745" s="57" t="s">
        <v>52</v>
      </c>
      <c r="I745" s="59" t="n">
        <v>1</v>
      </c>
      <c r="J745" s="60" t="n">
        <v>45</v>
      </c>
      <c r="K745" s="60" t="n">
        <v>14</v>
      </c>
      <c r="L745" s="61" t="n">
        <f aca="false">I745*J745</f>
        <v>45</v>
      </c>
      <c r="M745" s="61" t="n">
        <f aca="false">L745-I745*K745</f>
        <v>31</v>
      </c>
      <c r="N745" s="57" t="n">
        <f aca="false">IF(COUNTIFS(E$2:E745,E745,C$2:C745,C745)=1,1,0)</f>
        <v>0</v>
      </c>
      <c r="O745" s="57" t="n">
        <f aca="false">IF(COUNTIFS(E$2:E745,E745,C$2:C745,C745,D$2:D745,D745)=1,1,0)</f>
        <v>0</v>
      </c>
      <c r="P745" s="57" t="n">
        <f aca="false">IF(AND(C745=Calc!$C$3,OR(Calc!$C$4=0,D745=Calc!$C$4)),ROW(),0)</f>
        <v>0</v>
      </c>
    </row>
    <row r="746" customFormat="false" ht="15" hidden="false" customHeight="false" outlineLevel="0" collapsed="false">
      <c r="A746" s="57" t="s">
        <v>1161</v>
      </c>
      <c r="B746" s="58" t="n">
        <v>45519</v>
      </c>
      <c r="C746" s="57" t="n">
        <f aca="false">YEAR(B746)</f>
        <v>2024</v>
      </c>
      <c r="D746" s="57" t="n">
        <f aca="false">MONTH(B746)</f>
        <v>8</v>
      </c>
      <c r="E746" s="57" t="s">
        <v>140</v>
      </c>
      <c r="F746" s="57" t="s">
        <v>75</v>
      </c>
      <c r="G746" s="57" t="s">
        <v>40</v>
      </c>
      <c r="H746" s="57" t="s">
        <v>41</v>
      </c>
      <c r="I746" s="59" t="n">
        <v>1</v>
      </c>
      <c r="J746" s="60" t="n">
        <v>46</v>
      </c>
      <c r="K746" s="60" t="n">
        <v>16</v>
      </c>
      <c r="L746" s="61" t="n">
        <f aca="false">I746*J746</f>
        <v>46</v>
      </c>
      <c r="M746" s="61" t="n">
        <f aca="false">L746-I746*K746</f>
        <v>30</v>
      </c>
      <c r="N746" s="57" t="n">
        <f aca="false">IF(COUNTIFS(E$2:E746,E746,C$2:C746,C746)=1,1,0)</f>
        <v>0</v>
      </c>
      <c r="O746" s="57" t="n">
        <f aca="false">IF(COUNTIFS(E$2:E746,E746,C$2:C746,C746,D$2:D746,D746)=1,1,0)</f>
        <v>1</v>
      </c>
      <c r="P746" s="57" t="n">
        <f aca="false">IF(AND(C746=Calc!$C$3,OR(Calc!$C$4=0,D746=Calc!$C$4)),ROW(),0)</f>
        <v>0</v>
      </c>
    </row>
    <row r="747" customFormat="false" ht="15" hidden="false" customHeight="false" outlineLevel="0" collapsed="false">
      <c r="A747" s="57" t="s">
        <v>1162</v>
      </c>
      <c r="B747" s="58" t="n">
        <v>45520</v>
      </c>
      <c r="C747" s="57" t="n">
        <f aca="false">YEAR(B747)</f>
        <v>2024</v>
      </c>
      <c r="D747" s="57" t="n">
        <f aca="false">MONTH(B747)</f>
        <v>8</v>
      </c>
      <c r="E747" s="57" t="s">
        <v>148</v>
      </c>
      <c r="F747" s="57" t="s">
        <v>78</v>
      </c>
      <c r="G747" s="57" t="s">
        <v>54</v>
      </c>
      <c r="H747" s="57" t="s">
        <v>53</v>
      </c>
      <c r="I747" s="59" t="n">
        <v>1</v>
      </c>
      <c r="J747" s="60" t="n">
        <v>39</v>
      </c>
      <c r="K747" s="60" t="n">
        <v>13</v>
      </c>
      <c r="L747" s="61" t="n">
        <f aca="false">I747*J747</f>
        <v>39</v>
      </c>
      <c r="M747" s="61" t="n">
        <f aca="false">L747-I747*K747</f>
        <v>26</v>
      </c>
      <c r="N747" s="57" t="n">
        <f aca="false">IF(COUNTIFS(E$2:E747,E747,C$2:C747,C747)=1,1,0)</f>
        <v>0</v>
      </c>
      <c r="O747" s="57" t="n">
        <f aca="false">IF(COUNTIFS(E$2:E747,E747,C$2:C747,C747,D$2:D747,D747)=1,1,0)</f>
        <v>1</v>
      </c>
      <c r="P747" s="57" t="n">
        <f aca="false">IF(AND(C747=Calc!$C$3,OR(Calc!$C$4=0,D747=Calc!$C$4)),ROW(),0)</f>
        <v>0</v>
      </c>
    </row>
    <row r="748" customFormat="false" ht="15" hidden="false" customHeight="false" outlineLevel="0" collapsed="false">
      <c r="A748" s="57" t="s">
        <v>1163</v>
      </c>
      <c r="B748" s="58" t="n">
        <v>45520</v>
      </c>
      <c r="C748" s="57" t="n">
        <f aca="false">YEAR(B748)</f>
        <v>2024</v>
      </c>
      <c r="D748" s="57" t="n">
        <f aca="false">MONTH(B748)</f>
        <v>8</v>
      </c>
      <c r="E748" s="57" t="s">
        <v>294</v>
      </c>
      <c r="F748" s="57" t="s">
        <v>69</v>
      </c>
      <c r="G748" s="57" t="s">
        <v>35</v>
      </c>
      <c r="H748" s="57" t="s">
        <v>37</v>
      </c>
      <c r="I748" s="59" t="n">
        <v>1</v>
      </c>
      <c r="J748" s="60" t="n">
        <v>59</v>
      </c>
      <c r="K748" s="60" t="n">
        <v>27</v>
      </c>
      <c r="L748" s="61" t="n">
        <f aca="false">I748*J748</f>
        <v>59</v>
      </c>
      <c r="M748" s="61" t="n">
        <f aca="false">L748-I748*K748</f>
        <v>32</v>
      </c>
      <c r="N748" s="57" t="n">
        <f aca="false">IF(COUNTIFS(E$2:E748,E748,C$2:C748,C748)=1,1,0)</f>
        <v>0</v>
      </c>
      <c r="O748" s="57" t="n">
        <f aca="false">IF(COUNTIFS(E$2:E748,E748,C$2:C748,C748,D$2:D748,D748)=1,1,0)</f>
        <v>0</v>
      </c>
      <c r="P748" s="57" t="n">
        <f aca="false">IF(AND(C748=Calc!$C$3,OR(Calc!$C$4=0,D748=Calc!$C$4)),ROW(),0)</f>
        <v>0</v>
      </c>
    </row>
    <row r="749" customFormat="false" ht="15" hidden="false" customHeight="false" outlineLevel="0" collapsed="false">
      <c r="A749" s="57" t="s">
        <v>1164</v>
      </c>
      <c r="B749" s="58" t="n">
        <v>45520</v>
      </c>
      <c r="C749" s="57" t="n">
        <f aca="false">YEAR(B749)</f>
        <v>2024</v>
      </c>
      <c r="D749" s="57" t="n">
        <f aca="false">MONTH(B749)</f>
        <v>8</v>
      </c>
      <c r="E749" s="57" t="s">
        <v>719</v>
      </c>
      <c r="F749" s="57" t="s">
        <v>81</v>
      </c>
      <c r="G749" s="57" t="s">
        <v>45</v>
      </c>
      <c r="H749" s="57" t="s">
        <v>44</v>
      </c>
      <c r="I749" s="59" t="n">
        <v>1</v>
      </c>
      <c r="J749" s="60" t="n">
        <v>119</v>
      </c>
      <c r="K749" s="60" t="n">
        <v>63</v>
      </c>
      <c r="L749" s="61" t="n">
        <f aca="false">I749*J749</f>
        <v>119</v>
      </c>
      <c r="M749" s="61" t="n">
        <f aca="false">L749-I749*K749</f>
        <v>56</v>
      </c>
      <c r="N749" s="57" t="n">
        <f aca="false">IF(COUNTIFS(E$2:E749,E749,C$2:C749,C749)=1,1,0)</f>
        <v>0</v>
      </c>
      <c r="O749" s="57" t="n">
        <f aca="false">IF(COUNTIFS(E$2:E749,E749,C$2:C749,C749,D$2:D749,D749)=1,1,0)</f>
        <v>1</v>
      </c>
      <c r="P749" s="57" t="n">
        <f aca="false">IF(AND(C749=Calc!$C$3,OR(Calc!$C$4=0,D749=Calc!$C$4)),ROW(),0)</f>
        <v>0</v>
      </c>
    </row>
    <row r="750" customFormat="false" ht="15" hidden="false" customHeight="false" outlineLevel="0" collapsed="false">
      <c r="A750" s="57" t="s">
        <v>1165</v>
      </c>
      <c r="B750" s="58" t="n">
        <v>45521</v>
      </c>
      <c r="C750" s="57" t="n">
        <f aca="false">YEAR(B750)</f>
        <v>2024</v>
      </c>
      <c r="D750" s="57" t="n">
        <f aca="false">MONTH(B750)</f>
        <v>8</v>
      </c>
      <c r="E750" s="57" t="s">
        <v>1145</v>
      </c>
      <c r="F750" s="57" t="s">
        <v>78</v>
      </c>
      <c r="G750" s="57" t="s">
        <v>45</v>
      </c>
      <c r="H750" s="57" t="s">
        <v>44</v>
      </c>
      <c r="I750" s="59" t="n">
        <v>1</v>
      </c>
      <c r="J750" s="60" t="n">
        <v>119</v>
      </c>
      <c r="K750" s="60" t="n">
        <v>63</v>
      </c>
      <c r="L750" s="61" t="n">
        <f aca="false">I750*J750</f>
        <v>119</v>
      </c>
      <c r="M750" s="61" t="n">
        <f aca="false">L750-I750*K750</f>
        <v>56</v>
      </c>
      <c r="N750" s="57" t="n">
        <f aca="false">IF(COUNTIFS(E$2:E750,E750,C$2:C750,C750)=1,1,0)</f>
        <v>0</v>
      </c>
      <c r="O750" s="57" t="n">
        <f aca="false">IF(COUNTIFS(E$2:E750,E750,C$2:C750,C750,D$2:D750,D750)=1,1,0)</f>
        <v>0</v>
      </c>
      <c r="P750" s="57" t="n">
        <f aca="false">IF(AND(C750=Calc!$C$3,OR(Calc!$C$4=0,D750=Calc!$C$4)),ROW(),0)</f>
        <v>0</v>
      </c>
    </row>
    <row r="751" customFormat="false" ht="15" hidden="false" customHeight="false" outlineLevel="0" collapsed="false">
      <c r="A751" s="57" t="s">
        <v>1166</v>
      </c>
      <c r="B751" s="58" t="n">
        <v>45521</v>
      </c>
      <c r="C751" s="57" t="n">
        <f aca="false">YEAR(B751)</f>
        <v>2024</v>
      </c>
      <c r="D751" s="57" t="n">
        <f aca="false">MONTH(B751)</f>
        <v>8</v>
      </c>
      <c r="E751" s="57" t="s">
        <v>397</v>
      </c>
      <c r="F751" s="57" t="s">
        <v>72</v>
      </c>
      <c r="G751" s="57" t="s">
        <v>45</v>
      </c>
      <c r="H751" s="57" t="s">
        <v>47</v>
      </c>
      <c r="I751" s="59" t="n">
        <v>1</v>
      </c>
      <c r="J751" s="60" t="n">
        <v>34</v>
      </c>
      <c r="K751" s="60" t="n">
        <v>12</v>
      </c>
      <c r="L751" s="61" t="n">
        <f aca="false">I751*J751</f>
        <v>34</v>
      </c>
      <c r="M751" s="61" t="n">
        <f aca="false">L751-I751*K751</f>
        <v>22</v>
      </c>
      <c r="N751" s="57" t="n">
        <f aca="false">IF(COUNTIFS(E$2:E751,E751,C$2:C751,C751)=1,1,0)</f>
        <v>0</v>
      </c>
      <c r="O751" s="57" t="n">
        <f aca="false">IF(COUNTIFS(E$2:E751,E751,C$2:C751,C751,D$2:D751,D751)=1,1,0)</f>
        <v>1</v>
      </c>
      <c r="P751" s="57" t="n">
        <f aca="false">IF(AND(C751=Calc!$C$3,OR(Calc!$C$4=0,D751=Calc!$C$4)),ROW(),0)</f>
        <v>0</v>
      </c>
    </row>
    <row r="752" customFormat="false" ht="15" hidden="false" customHeight="false" outlineLevel="0" collapsed="false">
      <c r="A752" s="57" t="s">
        <v>1167</v>
      </c>
      <c r="B752" s="58" t="n">
        <v>45521</v>
      </c>
      <c r="C752" s="57" t="n">
        <f aca="false">YEAR(B752)</f>
        <v>2024</v>
      </c>
      <c r="D752" s="57" t="n">
        <f aca="false">MONTH(B752)</f>
        <v>8</v>
      </c>
      <c r="E752" s="57" t="s">
        <v>193</v>
      </c>
      <c r="F752" s="57" t="s">
        <v>78</v>
      </c>
      <c r="G752" s="57" t="s">
        <v>45</v>
      </c>
      <c r="H752" s="57" t="s">
        <v>47</v>
      </c>
      <c r="I752" s="59" t="n">
        <v>3</v>
      </c>
      <c r="J752" s="60" t="n">
        <v>34</v>
      </c>
      <c r="K752" s="60" t="n">
        <v>12</v>
      </c>
      <c r="L752" s="61" t="n">
        <f aca="false">I752*J752</f>
        <v>102</v>
      </c>
      <c r="M752" s="61" t="n">
        <f aca="false">L752-I752*K752</f>
        <v>66</v>
      </c>
      <c r="N752" s="57" t="n">
        <f aca="false">IF(COUNTIFS(E$2:E752,E752,C$2:C752,C752)=1,1,0)</f>
        <v>0</v>
      </c>
      <c r="O752" s="57" t="n">
        <f aca="false">IF(COUNTIFS(E$2:E752,E752,C$2:C752,C752,D$2:D752,D752)=1,1,0)</f>
        <v>1</v>
      </c>
      <c r="P752" s="57" t="n">
        <f aca="false">IF(AND(C752=Calc!$C$3,OR(Calc!$C$4=0,D752=Calc!$C$4)),ROW(),0)</f>
        <v>0</v>
      </c>
    </row>
    <row r="753" customFormat="false" ht="15" hidden="false" customHeight="false" outlineLevel="0" collapsed="false">
      <c r="A753" s="57" t="s">
        <v>1168</v>
      </c>
      <c r="B753" s="58" t="n">
        <v>45521</v>
      </c>
      <c r="C753" s="57" t="n">
        <f aca="false">YEAR(B753)</f>
        <v>2024</v>
      </c>
      <c r="D753" s="57" t="n">
        <f aca="false">MONTH(B753)</f>
        <v>8</v>
      </c>
      <c r="E753" s="57" t="s">
        <v>150</v>
      </c>
      <c r="F753" s="57" t="s">
        <v>69</v>
      </c>
      <c r="G753" s="57" t="s">
        <v>35</v>
      </c>
      <c r="H753" s="57" t="s">
        <v>38</v>
      </c>
      <c r="I753" s="59" t="n">
        <v>1</v>
      </c>
      <c r="J753" s="60" t="n">
        <v>49</v>
      </c>
      <c r="K753" s="60" t="n">
        <v>22</v>
      </c>
      <c r="L753" s="61" t="n">
        <f aca="false">I753*J753</f>
        <v>49</v>
      </c>
      <c r="M753" s="61" t="n">
        <f aca="false">L753-I753*K753</f>
        <v>27</v>
      </c>
      <c r="N753" s="57" t="n">
        <f aca="false">IF(COUNTIFS(E$2:E753,E753,C$2:C753,C753)=1,1,0)</f>
        <v>0</v>
      </c>
      <c r="O753" s="57" t="n">
        <f aca="false">IF(COUNTIFS(E$2:E753,E753,C$2:C753,C753,D$2:D753,D753)=1,1,0)</f>
        <v>1</v>
      </c>
      <c r="P753" s="57" t="n">
        <f aca="false">IF(AND(C753=Calc!$C$3,OR(Calc!$C$4=0,D753=Calc!$C$4)),ROW(),0)</f>
        <v>0</v>
      </c>
    </row>
    <row r="754" customFormat="false" ht="15" hidden="false" customHeight="false" outlineLevel="0" collapsed="false">
      <c r="A754" s="57" t="s">
        <v>1169</v>
      </c>
      <c r="B754" s="58" t="n">
        <v>45522</v>
      </c>
      <c r="C754" s="57" t="n">
        <f aca="false">YEAR(B754)</f>
        <v>2024</v>
      </c>
      <c r="D754" s="57" t="n">
        <f aca="false">MONTH(B754)</f>
        <v>8</v>
      </c>
      <c r="E754" s="57" t="s">
        <v>728</v>
      </c>
      <c r="F754" s="57" t="s">
        <v>78</v>
      </c>
      <c r="G754" s="57" t="s">
        <v>35</v>
      </c>
      <c r="H754" s="57" t="s">
        <v>37</v>
      </c>
      <c r="I754" s="59" t="n">
        <v>1</v>
      </c>
      <c r="J754" s="60" t="n">
        <v>59</v>
      </c>
      <c r="K754" s="60" t="n">
        <v>27</v>
      </c>
      <c r="L754" s="61" t="n">
        <f aca="false">I754*J754</f>
        <v>59</v>
      </c>
      <c r="M754" s="61" t="n">
        <f aca="false">L754-I754*K754</f>
        <v>32</v>
      </c>
      <c r="N754" s="57" t="n">
        <f aca="false">IF(COUNTIFS(E$2:E754,E754,C$2:C754,C754)=1,1,0)</f>
        <v>0</v>
      </c>
      <c r="O754" s="57" t="n">
        <f aca="false">IF(COUNTIFS(E$2:E754,E754,C$2:C754,C754,D$2:D754,D754)=1,1,0)</f>
        <v>1</v>
      </c>
      <c r="P754" s="57" t="n">
        <f aca="false">IF(AND(C754=Calc!$C$3,OR(Calc!$C$4=0,D754=Calc!$C$4)),ROW(),0)</f>
        <v>0</v>
      </c>
    </row>
    <row r="755" customFormat="false" ht="15" hidden="false" customHeight="false" outlineLevel="0" collapsed="false">
      <c r="A755" s="57" t="s">
        <v>1170</v>
      </c>
      <c r="B755" s="58" t="n">
        <v>45522</v>
      </c>
      <c r="C755" s="57" t="n">
        <f aca="false">YEAR(B755)</f>
        <v>2024</v>
      </c>
      <c r="D755" s="57" t="n">
        <f aca="false">MONTH(B755)</f>
        <v>8</v>
      </c>
      <c r="E755" s="57" t="s">
        <v>221</v>
      </c>
      <c r="F755" s="57" t="s">
        <v>69</v>
      </c>
      <c r="G755" s="57" t="s">
        <v>45</v>
      </c>
      <c r="H755" s="57" t="s">
        <v>46</v>
      </c>
      <c r="I755" s="59" t="n">
        <v>1</v>
      </c>
      <c r="J755" s="60" t="n">
        <v>149</v>
      </c>
      <c r="K755" s="60" t="n">
        <v>71</v>
      </c>
      <c r="L755" s="61" t="n">
        <f aca="false">I755*J755</f>
        <v>149</v>
      </c>
      <c r="M755" s="61" t="n">
        <f aca="false">L755-I755*K755</f>
        <v>78</v>
      </c>
      <c r="N755" s="57" t="n">
        <f aca="false">IF(COUNTIFS(E$2:E755,E755,C$2:C755,C755)=1,1,0)</f>
        <v>0</v>
      </c>
      <c r="O755" s="57" t="n">
        <f aca="false">IF(COUNTIFS(E$2:E755,E755,C$2:C755,C755,D$2:D755,D755)=1,1,0)</f>
        <v>1</v>
      </c>
      <c r="P755" s="57" t="n">
        <f aca="false">IF(AND(C755=Calc!$C$3,OR(Calc!$C$4=0,D755=Calc!$C$4)),ROW(),0)</f>
        <v>0</v>
      </c>
    </row>
    <row r="756" customFormat="false" ht="15" hidden="false" customHeight="false" outlineLevel="0" collapsed="false">
      <c r="A756" s="57" t="s">
        <v>1171</v>
      </c>
      <c r="B756" s="58" t="n">
        <v>45522</v>
      </c>
      <c r="C756" s="57" t="n">
        <f aca="false">YEAR(B756)</f>
        <v>2024</v>
      </c>
      <c r="D756" s="57" t="n">
        <f aca="false">MONTH(B756)</f>
        <v>8</v>
      </c>
      <c r="E756" s="57" t="s">
        <v>1172</v>
      </c>
      <c r="F756" s="57" t="s">
        <v>75</v>
      </c>
      <c r="G756" s="57" t="s">
        <v>40</v>
      </c>
      <c r="H756" s="57" t="s">
        <v>41</v>
      </c>
      <c r="I756" s="59" t="n">
        <v>1</v>
      </c>
      <c r="J756" s="60" t="n">
        <v>46</v>
      </c>
      <c r="K756" s="60" t="n">
        <v>16</v>
      </c>
      <c r="L756" s="61" t="n">
        <f aca="false">I756*J756</f>
        <v>46</v>
      </c>
      <c r="M756" s="61" t="n">
        <f aca="false">L756-I756*K756</f>
        <v>30</v>
      </c>
      <c r="N756" s="57" t="n">
        <f aca="false">IF(COUNTIFS(E$2:E756,E756,C$2:C756,C756)=1,1,0)</f>
        <v>1</v>
      </c>
      <c r="O756" s="57" t="n">
        <f aca="false">IF(COUNTIFS(E$2:E756,E756,C$2:C756,C756,D$2:D756,D756)=1,1,0)</f>
        <v>1</v>
      </c>
      <c r="P756" s="57" t="n">
        <f aca="false">IF(AND(C756=Calc!$C$3,OR(Calc!$C$4=0,D756=Calc!$C$4)),ROW(),0)</f>
        <v>0</v>
      </c>
    </row>
    <row r="757" customFormat="false" ht="15" hidden="false" customHeight="false" outlineLevel="0" collapsed="false">
      <c r="A757" s="57" t="s">
        <v>1173</v>
      </c>
      <c r="B757" s="58" t="n">
        <v>45522</v>
      </c>
      <c r="C757" s="57" t="n">
        <f aca="false">YEAR(B757)</f>
        <v>2024</v>
      </c>
      <c r="D757" s="57" t="n">
        <f aca="false">MONTH(B757)</f>
        <v>8</v>
      </c>
      <c r="E757" s="57" t="s">
        <v>235</v>
      </c>
      <c r="F757" s="57" t="s">
        <v>69</v>
      </c>
      <c r="G757" s="57" t="s">
        <v>40</v>
      </c>
      <c r="H757" s="57" t="s">
        <v>42</v>
      </c>
      <c r="I757" s="59" t="n">
        <v>1</v>
      </c>
      <c r="J757" s="60" t="n">
        <v>79</v>
      </c>
      <c r="K757" s="60" t="n">
        <v>31</v>
      </c>
      <c r="L757" s="61" t="n">
        <f aca="false">I757*J757</f>
        <v>79</v>
      </c>
      <c r="M757" s="61" t="n">
        <f aca="false">L757-I757*K757</f>
        <v>48</v>
      </c>
      <c r="N757" s="57" t="n">
        <f aca="false">IF(COUNTIFS(E$2:E757,E757,C$2:C757,C757)=1,1,0)</f>
        <v>0</v>
      </c>
      <c r="O757" s="57" t="n">
        <f aca="false">IF(COUNTIFS(E$2:E757,E757,C$2:C757,C757,D$2:D757,D757)=1,1,0)</f>
        <v>0</v>
      </c>
      <c r="P757" s="57" t="n">
        <f aca="false">IF(AND(C757=Calc!$C$3,OR(Calc!$C$4=0,D757=Calc!$C$4)),ROW(),0)</f>
        <v>0</v>
      </c>
    </row>
    <row r="758" customFormat="false" ht="15" hidden="false" customHeight="false" outlineLevel="0" collapsed="false">
      <c r="A758" s="57" t="s">
        <v>1174</v>
      </c>
      <c r="B758" s="58" t="n">
        <v>45522</v>
      </c>
      <c r="C758" s="57" t="n">
        <f aca="false">YEAR(B758)</f>
        <v>2024</v>
      </c>
      <c r="D758" s="57" t="n">
        <f aca="false">MONTH(B758)</f>
        <v>8</v>
      </c>
      <c r="E758" s="57" t="s">
        <v>1175</v>
      </c>
      <c r="F758" s="57" t="s">
        <v>81</v>
      </c>
      <c r="G758" s="57" t="s">
        <v>40</v>
      </c>
      <c r="H758" s="57" t="s">
        <v>43</v>
      </c>
      <c r="I758" s="59" t="n">
        <v>1</v>
      </c>
      <c r="J758" s="60" t="n">
        <v>29</v>
      </c>
      <c r="K758" s="60" t="n">
        <v>9</v>
      </c>
      <c r="L758" s="61" t="n">
        <f aca="false">I758*J758</f>
        <v>29</v>
      </c>
      <c r="M758" s="61" t="n">
        <f aca="false">L758-I758*K758</f>
        <v>20</v>
      </c>
      <c r="N758" s="57" t="n">
        <f aca="false">IF(COUNTIFS(E$2:E758,E758,C$2:C758,C758)=1,1,0)</f>
        <v>1</v>
      </c>
      <c r="O758" s="57" t="n">
        <f aca="false">IF(COUNTIFS(E$2:E758,E758,C$2:C758,C758,D$2:D758,D758)=1,1,0)</f>
        <v>1</v>
      </c>
      <c r="P758" s="57" t="n">
        <f aca="false">IF(AND(C758=Calc!$C$3,OR(Calc!$C$4=0,D758=Calc!$C$4)),ROW(),0)</f>
        <v>0</v>
      </c>
    </row>
    <row r="759" customFormat="false" ht="15" hidden="false" customHeight="false" outlineLevel="0" collapsed="false">
      <c r="A759" s="57" t="s">
        <v>1176</v>
      </c>
      <c r="B759" s="58" t="n">
        <v>45523</v>
      </c>
      <c r="C759" s="57" t="n">
        <f aca="false">YEAR(B759)</f>
        <v>2024</v>
      </c>
      <c r="D759" s="57" t="n">
        <f aca="false">MONTH(B759)</f>
        <v>8</v>
      </c>
      <c r="E759" s="57" t="s">
        <v>617</v>
      </c>
      <c r="F759" s="57" t="s">
        <v>69</v>
      </c>
      <c r="G759" s="57" t="s">
        <v>35</v>
      </c>
      <c r="H759" s="57" t="s">
        <v>38</v>
      </c>
      <c r="I759" s="59" t="n">
        <v>1</v>
      </c>
      <c r="J759" s="60" t="n">
        <v>49</v>
      </c>
      <c r="K759" s="60" t="n">
        <v>22</v>
      </c>
      <c r="L759" s="61" t="n">
        <f aca="false">I759*J759</f>
        <v>49</v>
      </c>
      <c r="M759" s="61" t="n">
        <f aca="false">L759-I759*K759</f>
        <v>27</v>
      </c>
      <c r="N759" s="57" t="n">
        <f aca="false">IF(COUNTIFS(E$2:E759,E759,C$2:C759,C759)=1,1,0)</f>
        <v>0</v>
      </c>
      <c r="O759" s="57" t="n">
        <f aca="false">IF(COUNTIFS(E$2:E759,E759,C$2:C759,C759,D$2:D759,D759)=1,1,0)</f>
        <v>1</v>
      </c>
      <c r="P759" s="57" t="n">
        <f aca="false">IF(AND(C759=Calc!$C$3,OR(Calc!$C$4=0,D759=Calc!$C$4)),ROW(),0)</f>
        <v>0</v>
      </c>
    </row>
    <row r="760" customFormat="false" ht="15" hidden="false" customHeight="false" outlineLevel="0" collapsed="false">
      <c r="A760" s="57" t="s">
        <v>1177</v>
      </c>
      <c r="B760" s="58" t="n">
        <v>45523</v>
      </c>
      <c r="C760" s="57" t="n">
        <f aca="false">YEAR(B760)</f>
        <v>2024</v>
      </c>
      <c r="D760" s="57" t="n">
        <f aca="false">MONTH(B760)</f>
        <v>8</v>
      </c>
      <c r="E760" s="57" t="s">
        <v>721</v>
      </c>
      <c r="F760" s="57" t="s">
        <v>69</v>
      </c>
      <c r="G760" s="57" t="s">
        <v>45</v>
      </c>
      <c r="H760" s="57" t="s">
        <v>46</v>
      </c>
      <c r="I760" s="59" t="n">
        <v>1</v>
      </c>
      <c r="J760" s="60" t="n">
        <v>149</v>
      </c>
      <c r="K760" s="60" t="n">
        <v>71</v>
      </c>
      <c r="L760" s="61" t="n">
        <f aca="false">I760*J760</f>
        <v>149</v>
      </c>
      <c r="M760" s="61" t="n">
        <f aca="false">L760-I760*K760</f>
        <v>78</v>
      </c>
      <c r="N760" s="57" t="n">
        <f aca="false">IF(COUNTIFS(E$2:E760,E760,C$2:C760,C760)=1,1,0)</f>
        <v>0</v>
      </c>
      <c r="O760" s="57" t="n">
        <f aca="false">IF(COUNTIFS(E$2:E760,E760,C$2:C760,C760,D$2:D760,D760)=1,1,0)</f>
        <v>1</v>
      </c>
      <c r="P760" s="57" t="n">
        <f aca="false">IF(AND(C760=Calc!$C$3,OR(Calc!$C$4=0,D760=Calc!$C$4)),ROW(),0)</f>
        <v>0</v>
      </c>
    </row>
    <row r="761" customFormat="false" ht="15" hidden="false" customHeight="false" outlineLevel="0" collapsed="false">
      <c r="A761" s="57" t="s">
        <v>1178</v>
      </c>
      <c r="B761" s="58" t="n">
        <v>45523</v>
      </c>
      <c r="C761" s="57" t="n">
        <f aca="false">YEAR(B761)</f>
        <v>2024</v>
      </c>
      <c r="D761" s="57" t="n">
        <f aca="false">MONTH(B761)</f>
        <v>8</v>
      </c>
      <c r="E761" s="57" t="s">
        <v>983</v>
      </c>
      <c r="F761" s="57" t="s">
        <v>72</v>
      </c>
      <c r="G761" s="57" t="s">
        <v>40</v>
      </c>
      <c r="H761" s="57" t="s">
        <v>39</v>
      </c>
      <c r="I761" s="59" t="n">
        <v>1</v>
      </c>
      <c r="J761" s="60" t="n">
        <v>54</v>
      </c>
      <c r="K761" s="60" t="n">
        <v>19</v>
      </c>
      <c r="L761" s="61" t="n">
        <f aca="false">I761*J761</f>
        <v>54</v>
      </c>
      <c r="M761" s="61" t="n">
        <f aca="false">L761-I761*K761</f>
        <v>35</v>
      </c>
      <c r="N761" s="57" t="n">
        <f aca="false">IF(COUNTIFS(E$2:E761,E761,C$2:C761,C761)=1,1,0)</f>
        <v>0</v>
      </c>
      <c r="O761" s="57" t="n">
        <f aca="false">IF(COUNTIFS(E$2:E761,E761,C$2:C761,C761,D$2:D761,D761)=1,1,0)</f>
        <v>0</v>
      </c>
      <c r="P761" s="57" t="n">
        <f aca="false">IF(AND(C761=Calc!$C$3,OR(Calc!$C$4=0,D761=Calc!$C$4)),ROW(),0)</f>
        <v>0</v>
      </c>
    </row>
    <row r="762" customFormat="false" ht="15" hidden="false" customHeight="false" outlineLevel="0" collapsed="false">
      <c r="A762" s="57" t="s">
        <v>1179</v>
      </c>
      <c r="B762" s="58" t="n">
        <v>45524</v>
      </c>
      <c r="C762" s="57" t="n">
        <f aca="false">YEAR(B762)</f>
        <v>2024</v>
      </c>
      <c r="D762" s="57" t="n">
        <f aca="false">MONTH(B762)</f>
        <v>8</v>
      </c>
      <c r="E762" s="57" t="s">
        <v>173</v>
      </c>
      <c r="F762" s="57" t="s">
        <v>69</v>
      </c>
      <c r="G762" s="57" t="s">
        <v>40</v>
      </c>
      <c r="H762" s="57" t="s">
        <v>39</v>
      </c>
      <c r="I762" s="59" t="n">
        <v>1</v>
      </c>
      <c r="J762" s="60" t="n">
        <v>54</v>
      </c>
      <c r="K762" s="60" t="n">
        <v>19</v>
      </c>
      <c r="L762" s="61" t="n">
        <f aca="false">I762*J762</f>
        <v>54</v>
      </c>
      <c r="M762" s="61" t="n">
        <f aca="false">L762-I762*K762</f>
        <v>35</v>
      </c>
      <c r="N762" s="57" t="n">
        <f aca="false">IF(COUNTIFS(E$2:E762,E762,C$2:C762,C762)=1,1,0)</f>
        <v>0</v>
      </c>
      <c r="O762" s="57" t="n">
        <f aca="false">IF(COUNTIFS(E$2:E762,E762,C$2:C762,C762,D$2:D762,D762)=1,1,0)</f>
        <v>1</v>
      </c>
      <c r="P762" s="57" t="n">
        <f aca="false">IF(AND(C762=Calc!$C$3,OR(Calc!$C$4=0,D762=Calc!$C$4)),ROW(),0)</f>
        <v>0</v>
      </c>
    </row>
    <row r="763" customFormat="false" ht="15" hidden="false" customHeight="false" outlineLevel="0" collapsed="false">
      <c r="A763" s="57" t="s">
        <v>1180</v>
      </c>
      <c r="B763" s="58" t="n">
        <v>45524</v>
      </c>
      <c r="C763" s="57" t="n">
        <f aca="false">YEAR(B763)</f>
        <v>2024</v>
      </c>
      <c r="D763" s="57" t="n">
        <f aca="false">MONTH(B763)</f>
        <v>8</v>
      </c>
      <c r="E763" s="57" t="s">
        <v>494</v>
      </c>
      <c r="F763" s="57" t="s">
        <v>78</v>
      </c>
      <c r="G763" s="57" t="s">
        <v>35</v>
      </c>
      <c r="H763" s="57" t="s">
        <v>38</v>
      </c>
      <c r="I763" s="59" t="n">
        <v>1</v>
      </c>
      <c r="J763" s="60" t="n">
        <v>49</v>
      </c>
      <c r="K763" s="60" t="n">
        <v>22</v>
      </c>
      <c r="L763" s="61" t="n">
        <f aca="false">I763*J763</f>
        <v>49</v>
      </c>
      <c r="M763" s="61" t="n">
        <f aca="false">L763-I763*K763</f>
        <v>27</v>
      </c>
      <c r="N763" s="57" t="n">
        <f aca="false">IF(COUNTIFS(E$2:E763,E763,C$2:C763,C763)=1,1,0)</f>
        <v>0</v>
      </c>
      <c r="O763" s="57" t="n">
        <f aca="false">IF(COUNTIFS(E$2:E763,E763,C$2:C763,C763,D$2:D763,D763)=1,1,0)</f>
        <v>1</v>
      </c>
      <c r="P763" s="57" t="n">
        <f aca="false">IF(AND(C763=Calc!$C$3,OR(Calc!$C$4=0,D763=Calc!$C$4)),ROW(),0)</f>
        <v>0</v>
      </c>
    </row>
    <row r="764" customFormat="false" ht="15" hidden="false" customHeight="false" outlineLevel="0" collapsed="false">
      <c r="A764" s="57" t="s">
        <v>1181</v>
      </c>
      <c r="B764" s="58" t="n">
        <v>45524</v>
      </c>
      <c r="C764" s="57" t="n">
        <f aca="false">YEAR(B764)</f>
        <v>2024</v>
      </c>
      <c r="D764" s="57" t="n">
        <f aca="false">MONTH(B764)</f>
        <v>8</v>
      </c>
      <c r="E764" s="57" t="s">
        <v>77</v>
      </c>
      <c r="F764" s="57" t="s">
        <v>78</v>
      </c>
      <c r="G764" s="57" t="s">
        <v>35</v>
      </c>
      <c r="H764" s="57" t="s">
        <v>34</v>
      </c>
      <c r="I764" s="59" t="n">
        <v>1</v>
      </c>
      <c r="J764" s="60" t="n">
        <v>89</v>
      </c>
      <c r="K764" s="60" t="n">
        <v>41</v>
      </c>
      <c r="L764" s="61" t="n">
        <f aca="false">I764*J764</f>
        <v>89</v>
      </c>
      <c r="M764" s="61" t="n">
        <f aca="false">L764-I764*K764</f>
        <v>48</v>
      </c>
      <c r="N764" s="57" t="n">
        <f aca="false">IF(COUNTIFS(E$2:E764,E764,C$2:C764,C764)=1,1,0)</f>
        <v>0</v>
      </c>
      <c r="O764" s="57" t="n">
        <f aca="false">IF(COUNTIFS(E$2:E764,E764,C$2:C764,C764,D$2:D764,D764)=1,1,0)</f>
        <v>0</v>
      </c>
      <c r="P764" s="57" t="n">
        <f aca="false">IF(AND(C764=Calc!$C$3,OR(Calc!$C$4=0,D764=Calc!$C$4)),ROW(),0)</f>
        <v>0</v>
      </c>
    </row>
    <row r="765" customFormat="false" ht="15" hidden="false" customHeight="false" outlineLevel="0" collapsed="false">
      <c r="A765" s="57" t="s">
        <v>1182</v>
      </c>
      <c r="B765" s="58" t="n">
        <v>45524</v>
      </c>
      <c r="C765" s="57" t="n">
        <f aca="false">YEAR(B765)</f>
        <v>2024</v>
      </c>
      <c r="D765" s="57" t="n">
        <f aca="false">MONTH(B765)</f>
        <v>8</v>
      </c>
      <c r="E765" s="57" t="s">
        <v>996</v>
      </c>
      <c r="F765" s="57" t="s">
        <v>75</v>
      </c>
      <c r="G765" s="57" t="s">
        <v>45</v>
      </c>
      <c r="H765" s="57" t="s">
        <v>47</v>
      </c>
      <c r="I765" s="59" t="n">
        <v>3</v>
      </c>
      <c r="J765" s="60" t="n">
        <v>34</v>
      </c>
      <c r="K765" s="60" t="n">
        <v>12</v>
      </c>
      <c r="L765" s="61" t="n">
        <f aca="false">I765*J765</f>
        <v>102</v>
      </c>
      <c r="M765" s="61" t="n">
        <f aca="false">L765-I765*K765</f>
        <v>66</v>
      </c>
      <c r="N765" s="57" t="n">
        <f aca="false">IF(COUNTIFS(E$2:E765,E765,C$2:C765,C765)=1,1,0)</f>
        <v>0</v>
      </c>
      <c r="O765" s="57" t="n">
        <f aca="false">IF(COUNTIFS(E$2:E765,E765,C$2:C765,C765,D$2:D765,D765)=1,1,0)</f>
        <v>1</v>
      </c>
      <c r="P765" s="57" t="n">
        <f aca="false">IF(AND(C765=Calc!$C$3,OR(Calc!$C$4=0,D765=Calc!$C$4)),ROW(),0)</f>
        <v>0</v>
      </c>
    </row>
    <row r="766" customFormat="false" ht="15" hidden="false" customHeight="false" outlineLevel="0" collapsed="false">
      <c r="A766" s="57" t="s">
        <v>1183</v>
      </c>
      <c r="B766" s="58" t="n">
        <v>45524</v>
      </c>
      <c r="C766" s="57" t="n">
        <f aca="false">YEAR(B766)</f>
        <v>2024</v>
      </c>
      <c r="D766" s="57" t="n">
        <f aca="false">MONTH(B766)</f>
        <v>8</v>
      </c>
      <c r="E766" s="57" t="s">
        <v>235</v>
      </c>
      <c r="F766" s="57" t="s">
        <v>69</v>
      </c>
      <c r="G766" s="57" t="s">
        <v>50</v>
      </c>
      <c r="H766" s="57" t="s">
        <v>52</v>
      </c>
      <c r="I766" s="59" t="n">
        <v>1</v>
      </c>
      <c r="J766" s="60" t="n">
        <v>45</v>
      </c>
      <c r="K766" s="60" t="n">
        <v>14</v>
      </c>
      <c r="L766" s="61" t="n">
        <f aca="false">I766*J766</f>
        <v>45</v>
      </c>
      <c r="M766" s="61" t="n">
        <f aca="false">L766-I766*K766</f>
        <v>31</v>
      </c>
      <c r="N766" s="57" t="n">
        <f aca="false">IF(COUNTIFS(E$2:E766,E766,C$2:C766,C766)=1,1,0)</f>
        <v>0</v>
      </c>
      <c r="O766" s="57" t="n">
        <f aca="false">IF(COUNTIFS(E$2:E766,E766,C$2:C766,C766,D$2:D766,D766)=1,1,0)</f>
        <v>0</v>
      </c>
      <c r="P766" s="57" t="n">
        <f aca="false">IF(AND(C766=Calc!$C$3,OR(Calc!$C$4=0,D766=Calc!$C$4)),ROW(),0)</f>
        <v>0</v>
      </c>
    </row>
    <row r="767" customFormat="false" ht="15" hidden="false" customHeight="false" outlineLevel="0" collapsed="false">
      <c r="A767" s="57" t="s">
        <v>1184</v>
      </c>
      <c r="B767" s="58" t="n">
        <v>45525</v>
      </c>
      <c r="C767" s="57" t="n">
        <f aca="false">YEAR(B767)</f>
        <v>2024</v>
      </c>
      <c r="D767" s="57" t="n">
        <f aca="false">MONTH(B767)</f>
        <v>8</v>
      </c>
      <c r="E767" s="57" t="s">
        <v>1145</v>
      </c>
      <c r="F767" s="57" t="s">
        <v>78</v>
      </c>
      <c r="G767" s="57" t="s">
        <v>50</v>
      </c>
      <c r="H767" s="57" t="s">
        <v>51</v>
      </c>
      <c r="I767" s="59" t="n">
        <v>1</v>
      </c>
      <c r="J767" s="60" t="n">
        <v>69</v>
      </c>
      <c r="K767" s="60" t="n">
        <v>29</v>
      </c>
      <c r="L767" s="61" t="n">
        <f aca="false">I767*J767</f>
        <v>69</v>
      </c>
      <c r="M767" s="61" t="n">
        <f aca="false">L767-I767*K767</f>
        <v>40</v>
      </c>
      <c r="N767" s="57" t="n">
        <f aca="false">IF(COUNTIFS(E$2:E767,E767,C$2:C767,C767)=1,1,0)</f>
        <v>0</v>
      </c>
      <c r="O767" s="57" t="n">
        <f aca="false">IF(COUNTIFS(E$2:E767,E767,C$2:C767,C767,D$2:D767,D767)=1,1,0)</f>
        <v>0</v>
      </c>
      <c r="P767" s="57" t="n">
        <f aca="false">IF(AND(C767=Calc!$C$3,OR(Calc!$C$4=0,D767=Calc!$C$4)),ROW(),0)</f>
        <v>0</v>
      </c>
    </row>
    <row r="768" customFormat="false" ht="15" hidden="false" customHeight="false" outlineLevel="0" collapsed="false">
      <c r="A768" s="57" t="s">
        <v>1185</v>
      </c>
      <c r="B768" s="58" t="n">
        <v>45525</v>
      </c>
      <c r="C768" s="57" t="n">
        <f aca="false">YEAR(B768)</f>
        <v>2024</v>
      </c>
      <c r="D768" s="57" t="n">
        <f aca="false">MONTH(B768)</f>
        <v>8</v>
      </c>
      <c r="E768" s="57" t="s">
        <v>292</v>
      </c>
      <c r="F768" s="57" t="s">
        <v>72</v>
      </c>
      <c r="G768" s="57" t="s">
        <v>35</v>
      </c>
      <c r="H768" s="57" t="s">
        <v>38</v>
      </c>
      <c r="I768" s="59" t="n">
        <v>2</v>
      </c>
      <c r="J768" s="60" t="n">
        <v>49</v>
      </c>
      <c r="K768" s="60" t="n">
        <v>22</v>
      </c>
      <c r="L768" s="61" t="n">
        <f aca="false">I768*J768</f>
        <v>98</v>
      </c>
      <c r="M768" s="61" t="n">
        <f aca="false">L768-I768*K768</f>
        <v>54</v>
      </c>
      <c r="N768" s="57" t="n">
        <f aca="false">IF(COUNTIFS(E$2:E768,E768,C$2:C768,C768)=1,1,0)</f>
        <v>0</v>
      </c>
      <c r="O768" s="57" t="n">
        <f aca="false">IF(COUNTIFS(E$2:E768,E768,C$2:C768,C768,D$2:D768,D768)=1,1,0)</f>
        <v>1</v>
      </c>
      <c r="P768" s="57" t="n">
        <f aca="false">IF(AND(C768=Calc!$C$3,OR(Calc!$C$4=0,D768=Calc!$C$4)),ROW(),0)</f>
        <v>0</v>
      </c>
    </row>
    <row r="769" customFormat="false" ht="15" hidden="false" customHeight="false" outlineLevel="0" collapsed="false">
      <c r="A769" s="57" t="s">
        <v>1186</v>
      </c>
      <c r="B769" s="58" t="n">
        <v>45525</v>
      </c>
      <c r="C769" s="57" t="n">
        <f aca="false">YEAR(B769)</f>
        <v>2024</v>
      </c>
      <c r="D769" s="57" t="n">
        <f aca="false">MONTH(B769)</f>
        <v>8</v>
      </c>
      <c r="E769" s="57" t="s">
        <v>338</v>
      </c>
      <c r="F769" s="57" t="s">
        <v>78</v>
      </c>
      <c r="G769" s="57" t="s">
        <v>35</v>
      </c>
      <c r="H769" s="57" t="s">
        <v>38</v>
      </c>
      <c r="I769" s="59" t="n">
        <v>1</v>
      </c>
      <c r="J769" s="60" t="n">
        <v>49</v>
      </c>
      <c r="K769" s="60" t="n">
        <v>22</v>
      </c>
      <c r="L769" s="61" t="n">
        <f aca="false">I769*J769</f>
        <v>49</v>
      </c>
      <c r="M769" s="61" t="n">
        <f aca="false">L769-I769*K769</f>
        <v>27</v>
      </c>
      <c r="N769" s="57" t="n">
        <f aca="false">IF(COUNTIFS(E$2:E769,E769,C$2:C769,C769)=1,1,0)</f>
        <v>0</v>
      </c>
      <c r="O769" s="57" t="n">
        <f aca="false">IF(COUNTIFS(E$2:E769,E769,C$2:C769,C769,D$2:D769,D769)=1,1,0)</f>
        <v>1</v>
      </c>
      <c r="P769" s="57" t="n">
        <f aca="false">IF(AND(C769=Calc!$C$3,OR(Calc!$C$4=0,D769=Calc!$C$4)),ROW(),0)</f>
        <v>0</v>
      </c>
    </row>
    <row r="770" customFormat="false" ht="15" hidden="false" customHeight="false" outlineLevel="0" collapsed="false">
      <c r="A770" s="57" t="s">
        <v>1187</v>
      </c>
      <c r="B770" s="58" t="n">
        <v>45525</v>
      </c>
      <c r="C770" s="57" t="n">
        <f aca="false">YEAR(B770)</f>
        <v>2024</v>
      </c>
      <c r="D770" s="57" t="n">
        <f aca="false">MONTH(B770)</f>
        <v>8</v>
      </c>
      <c r="E770" s="57" t="s">
        <v>1188</v>
      </c>
      <c r="F770" s="57" t="s">
        <v>75</v>
      </c>
      <c r="G770" s="57" t="s">
        <v>35</v>
      </c>
      <c r="H770" s="57" t="s">
        <v>34</v>
      </c>
      <c r="I770" s="59" t="n">
        <v>1</v>
      </c>
      <c r="J770" s="60" t="n">
        <v>89</v>
      </c>
      <c r="K770" s="60" t="n">
        <v>41</v>
      </c>
      <c r="L770" s="61" t="n">
        <f aca="false">I770*J770</f>
        <v>89</v>
      </c>
      <c r="M770" s="61" t="n">
        <f aca="false">L770-I770*K770</f>
        <v>48</v>
      </c>
      <c r="N770" s="57" t="n">
        <f aca="false">IF(COUNTIFS(E$2:E770,E770,C$2:C770,C770)=1,1,0)</f>
        <v>1</v>
      </c>
      <c r="O770" s="57" t="n">
        <f aca="false">IF(COUNTIFS(E$2:E770,E770,C$2:C770,C770,D$2:D770,D770)=1,1,0)</f>
        <v>1</v>
      </c>
      <c r="P770" s="57" t="n">
        <f aca="false">IF(AND(C770=Calc!$C$3,OR(Calc!$C$4=0,D770=Calc!$C$4)),ROW(),0)</f>
        <v>0</v>
      </c>
    </row>
    <row r="771" customFormat="false" ht="15" hidden="false" customHeight="false" outlineLevel="0" collapsed="false">
      <c r="A771" s="57" t="s">
        <v>1189</v>
      </c>
      <c r="B771" s="58" t="n">
        <v>45525</v>
      </c>
      <c r="C771" s="57" t="n">
        <f aca="false">YEAR(B771)</f>
        <v>2024</v>
      </c>
      <c r="D771" s="57" t="n">
        <f aca="false">MONTH(B771)</f>
        <v>8</v>
      </c>
      <c r="E771" s="57" t="s">
        <v>978</v>
      </c>
      <c r="F771" s="57" t="s">
        <v>75</v>
      </c>
      <c r="G771" s="57" t="s">
        <v>35</v>
      </c>
      <c r="H771" s="57" t="s">
        <v>38</v>
      </c>
      <c r="I771" s="59" t="n">
        <v>1</v>
      </c>
      <c r="J771" s="60" t="n">
        <v>49</v>
      </c>
      <c r="K771" s="60" t="n">
        <v>22</v>
      </c>
      <c r="L771" s="61" t="n">
        <f aca="false">I771*J771</f>
        <v>49</v>
      </c>
      <c r="M771" s="61" t="n">
        <f aca="false">L771-I771*K771</f>
        <v>27</v>
      </c>
      <c r="N771" s="57" t="n">
        <f aca="false">IF(COUNTIFS(E$2:E771,E771,C$2:C771,C771)=1,1,0)</f>
        <v>0</v>
      </c>
      <c r="O771" s="57" t="n">
        <f aca="false">IF(COUNTIFS(E$2:E771,E771,C$2:C771,C771,D$2:D771,D771)=1,1,0)</f>
        <v>1</v>
      </c>
      <c r="P771" s="57" t="n">
        <f aca="false">IF(AND(C771=Calc!$C$3,OR(Calc!$C$4=0,D771=Calc!$C$4)),ROW(),0)</f>
        <v>0</v>
      </c>
    </row>
    <row r="772" customFormat="false" ht="15" hidden="false" customHeight="false" outlineLevel="0" collapsed="false">
      <c r="A772" s="57" t="s">
        <v>1190</v>
      </c>
      <c r="B772" s="58" t="n">
        <v>45525</v>
      </c>
      <c r="C772" s="57" t="n">
        <f aca="false">YEAR(B772)</f>
        <v>2024</v>
      </c>
      <c r="D772" s="57" t="n">
        <f aca="false">MONTH(B772)</f>
        <v>8</v>
      </c>
      <c r="E772" s="57" t="s">
        <v>116</v>
      </c>
      <c r="F772" s="57" t="s">
        <v>75</v>
      </c>
      <c r="G772" s="57" t="s">
        <v>45</v>
      </c>
      <c r="H772" s="57" t="s">
        <v>47</v>
      </c>
      <c r="I772" s="59" t="n">
        <v>1</v>
      </c>
      <c r="J772" s="60" t="n">
        <v>34</v>
      </c>
      <c r="K772" s="60" t="n">
        <v>12</v>
      </c>
      <c r="L772" s="61" t="n">
        <f aca="false">I772*J772</f>
        <v>34</v>
      </c>
      <c r="M772" s="61" t="n">
        <f aca="false">L772-I772*K772</f>
        <v>22</v>
      </c>
      <c r="N772" s="57" t="n">
        <f aca="false">IF(COUNTIFS(E$2:E772,E772,C$2:C772,C772)=1,1,0)</f>
        <v>0</v>
      </c>
      <c r="O772" s="57" t="n">
        <f aca="false">IF(COUNTIFS(E$2:E772,E772,C$2:C772,C772,D$2:D772,D772)=1,1,0)</f>
        <v>1</v>
      </c>
      <c r="P772" s="57" t="n">
        <f aca="false">IF(AND(C772=Calc!$C$3,OR(Calc!$C$4=0,D772=Calc!$C$4)),ROW(),0)</f>
        <v>0</v>
      </c>
    </row>
    <row r="773" customFormat="false" ht="15" hidden="false" customHeight="false" outlineLevel="0" collapsed="false">
      <c r="A773" s="57" t="s">
        <v>1191</v>
      </c>
      <c r="B773" s="58" t="n">
        <v>45526</v>
      </c>
      <c r="C773" s="57" t="n">
        <f aca="false">YEAR(B773)</f>
        <v>2024</v>
      </c>
      <c r="D773" s="57" t="n">
        <f aca="false">MONTH(B773)</f>
        <v>8</v>
      </c>
      <c r="E773" s="57" t="s">
        <v>376</v>
      </c>
      <c r="F773" s="57" t="s">
        <v>78</v>
      </c>
      <c r="G773" s="57" t="s">
        <v>35</v>
      </c>
      <c r="H773" s="57" t="s">
        <v>38</v>
      </c>
      <c r="I773" s="59" t="n">
        <v>1</v>
      </c>
      <c r="J773" s="60" t="n">
        <v>49</v>
      </c>
      <c r="K773" s="60" t="n">
        <v>22</v>
      </c>
      <c r="L773" s="61" t="n">
        <f aca="false">I773*J773</f>
        <v>49</v>
      </c>
      <c r="M773" s="61" t="n">
        <f aca="false">L773-I773*K773</f>
        <v>27</v>
      </c>
      <c r="N773" s="57" t="n">
        <f aca="false">IF(COUNTIFS(E$2:E773,E773,C$2:C773,C773)=1,1,0)</f>
        <v>0</v>
      </c>
      <c r="O773" s="57" t="n">
        <f aca="false">IF(COUNTIFS(E$2:E773,E773,C$2:C773,C773,D$2:D773,D773)=1,1,0)</f>
        <v>1</v>
      </c>
      <c r="P773" s="57" t="n">
        <f aca="false">IF(AND(C773=Calc!$C$3,OR(Calc!$C$4=0,D773=Calc!$C$4)),ROW(),0)</f>
        <v>0</v>
      </c>
    </row>
    <row r="774" customFormat="false" ht="15" hidden="false" customHeight="false" outlineLevel="0" collapsed="false">
      <c r="A774" s="57" t="s">
        <v>1192</v>
      </c>
      <c r="B774" s="58" t="n">
        <v>45526</v>
      </c>
      <c r="C774" s="57" t="n">
        <f aca="false">YEAR(B774)</f>
        <v>2024</v>
      </c>
      <c r="D774" s="57" t="n">
        <f aca="false">MONTH(B774)</f>
        <v>8</v>
      </c>
      <c r="E774" s="57" t="s">
        <v>506</v>
      </c>
      <c r="F774" s="57" t="s">
        <v>78</v>
      </c>
      <c r="G774" s="57" t="s">
        <v>35</v>
      </c>
      <c r="H774" s="57" t="s">
        <v>37</v>
      </c>
      <c r="I774" s="59" t="n">
        <v>3</v>
      </c>
      <c r="J774" s="60" t="n">
        <v>59</v>
      </c>
      <c r="K774" s="60" t="n">
        <v>27</v>
      </c>
      <c r="L774" s="61" t="n">
        <f aca="false">I774*J774</f>
        <v>177</v>
      </c>
      <c r="M774" s="61" t="n">
        <f aca="false">L774-I774*K774</f>
        <v>96</v>
      </c>
      <c r="N774" s="57" t="n">
        <f aca="false">IF(COUNTIFS(E$2:E774,E774,C$2:C774,C774)=1,1,0)</f>
        <v>0</v>
      </c>
      <c r="O774" s="57" t="n">
        <f aca="false">IF(COUNTIFS(E$2:E774,E774,C$2:C774,C774,D$2:D774,D774)=1,1,0)</f>
        <v>0</v>
      </c>
      <c r="P774" s="57" t="n">
        <f aca="false">IF(AND(C774=Calc!$C$3,OR(Calc!$C$4=0,D774=Calc!$C$4)),ROW(),0)</f>
        <v>0</v>
      </c>
    </row>
    <row r="775" customFormat="false" ht="15" hidden="false" customHeight="false" outlineLevel="0" collapsed="false">
      <c r="A775" s="57" t="s">
        <v>1193</v>
      </c>
      <c r="B775" s="58" t="n">
        <v>45526</v>
      </c>
      <c r="C775" s="57" t="n">
        <f aca="false">YEAR(B775)</f>
        <v>2024</v>
      </c>
      <c r="D775" s="57" t="n">
        <f aca="false">MONTH(B775)</f>
        <v>8</v>
      </c>
      <c r="E775" s="57" t="s">
        <v>825</v>
      </c>
      <c r="F775" s="57" t="s">
        <v>81</v>
      </c>
      <c r="G775" s="57" t="s">
        <v>35</v>
      </c>
      <c r="H775" s="57" t="s">
        <v>38</v>
      </c>
      <c r="I775" s="59" t="n">
        <v>1</v>
      </c>
      <c r="J775" s="60" t="n">
        <v>49</v>
      </c>
      <c r="K775" s="60" t="n">
        <v>22</v>
      </c>
      <c r="L775" s="61" t="n">
        <f aca="false">I775*J775</f>
        <v>49</v>
      </c>
      <c r="M775" s="61" t="n">
        <f aca="false">L775-I775*K775</f>
        <v>27</v>
      </c>
      <c r="N775" s="57" t="n">
        <f aca="false">IF(COUNTIFS(E$2:E775,E775,C$2:C775,C775)=1,1,0)</f>
        <v>0</v>
      </c>
      <c r="O775" s="57" t="n">
        <f aca="false">IF(COUNTIFS(E$2:E775,E775,C$2:C775,C775,D$2:D775,D775)=1,1,0)</f>
        <v>1</v>
      </c>
      <c r="P775" s="57" t="n">
        <f aca="false">IF(AND(C775=Calc!$C$3,OR(Calc!$C$4=0,D775=Calc!$C$4)),ROW(),0)</f>
        <v>0</v>
      </c>
    </row>
    <row r="776" customFormat="false" ht="15" hidden="false" customHeight="false" outlineLevel="0" collapsed="false">
      <c r="A776" s="57" t="s">
        <v>1194</v>
      </c>
      <c r="B776" s="58" t="n">
        <v>45526</v>
      </c>
      <c r="C776" s="57" t="n">
        <f aca="false">YEAR(B776)</f>
        <v>2024</v>
      </c>
      <c r="D776" s="57" t="n">
        <f aca="false">MONTH(B776)</f>
        <v>8</v>
      </c>
      <c r="E776" s="57" t="s">
        <v>1195</v>
      </c>
      <c r="F776" s="57" t="s">
        <v>72</v>
      </c>
      <c r="G776" s="57" t="s">
        <v>40</v>
      </c>
      <c r="H776" s="57" t="s">
        <v>39</v>
      </c>
      <c r="I776" s="59" t="n">
        <v>1</v>
      </c>
      <c r="J776" s="60" t="n">
        <v>54</v>
      </c>
      <c r="K776" s="60" t="n">
        <v>19</v>
      </c>
      <c r="L776" s="61" t="n">
        <f aca="false">I776*J776</f>
        <v>54</v>
      </c>
      <c r="M776" s="61" t="n">
        <f aca="false">L776-I776*K776</f>
        <v>35</v>
      </c>
      <c r="N776" s="57" t="n">
        <f aca="false">IF(COUNTIFS(E$2:E776,E776,C$2:C776,C776)=1,1,0)</f>
        <v>1</v>
      </c>
      <c r="O776" s="57" t="n">
        <f aca="false">IF(COUNTIFS(E$2:E776,E776,C$2:C776,C776,D$2:D776,D776)=1,1,0)</f>
        <v>1</v>
      </c>
      <c r="P776" s="57" t="n">
        <f aca="false">IF(AND(C776=Calc!$C$3,OR(Calc!$C$4=0,D776=Calc!$C$4)),ROW(),0)</f>
        <v>0</v>
      </c>
    </row>
    <row r="777" customFormat="false" ht="15" hidden="false" customHeight="false" outlineLevel="0" collapsed="false">
      <c r="A777" s="57" t="s">
        <v>1196</v>
      </c>
      <c r="B777" s="58" t="n">
        <v>45527</v>
      </c>
      <c r="C777" s="57" t="n">
        <f aca="false">YEAR(B777)</f>
        <v>2024</v>
      </c>
      <c r="D777" s="57" t="n">
        <f aca="false">MONTH(B777)</f>
        <v>8</v>
      </c>
      <c r="E777" s="57" t="s">
        <v>374</v>
      </c>
      <c r="F777" s="57" t="s">
        <v>69</v>
      </c>
      <c r="G777" s="57" t="s">
        <v>40</v>
      </c>
      <c r="H777" s="57" t="s">
        <v>39</v>
      </c>
      <c r="I777" s="59" t="n">
        <v>1</v>
      </c>
      <c r="J777" s="60" t="n">
        <v>54</v>
      </c>
      <c r="K777" s="60" t="n">
        <v>19</v>
      </c>
      <c r="L777" s="61" t="n">
        <f aca="false">I777*J777</f>
        <v>54</v>
      </c>
      <c r="M777" s="61" t="n">
        <f aca="false">L777-I777*K777</f>
        <v>35</v>
      </c>
      <c r="N777" s="57" t="n">
        <f aca="false">IF(COUNTIFS(E$2:E777,E777,C$2:C777,C777)=1,1,0)</f>
        <v>0</v>
      </c>
      <c r="O777" s="57" t="n">
        <f aca="false">IF(COUNTIFS(E$2:E777,E777,C$2:C777,C777,D$2:D777,D777)=1,1,0)</f>
        <v>1</v>
      </c>
      <c r="P777" s="57" t="n">
        <f aca="false">IF(AND(C777=Calc!$C$3,OR(Calc!$C$4=0,D777=Calc!$C$4)),ROW(),0)</f>
        <v>0</v>
      </c>
    </row>
    <row r="778" customFormat="false" ht="15" hidden="false" customHeight="false" outlineLevel="0" collapsed="false">
      <c r="A778" s="57" t="s">
        <v>1197</v>
      </c>
      <c r="B778" s="58" t="n">
        <v>45527</v>
      </c>
      <c r="C778" s="57" t="n">
        <f aca="false">YEAR(B778)</f>
        <v>2024</v>
      </c>
      <c r="D778" s="57" t="n">
        <f aca="false">MONTH(B778)</f>
        <v>8</v>
      </c>
      <c r="E778" s="57" t="s">
        <v>179</v>
      </c>
      <c r="F778" s="57" t="s">
        <v>78</v>
      </c>
      <c r="G778" s="57" t="s">
        <v>35</v>
      </c>
      <c r="H778" s="57" t="s">
        <v>38</v>
      </c>
      <c r="I778" s="59" t="n">
        <v>2</v>
      </c>
      <c r="J778" s="60" t="n">
        <v>49</v>
      </c>
      <c r="K778" s="60" t="n">
        <v>22</v>
      </c>
      <c r="L778" s="61" t="n">
        <f aca="false">I778*J778</f>
        <v>98</v>
      </c>
      <c r="M778" s="61" t="n">
        <f aca="false">L778-I778*K778</f>
        <v>54</v>
      </c>
      <c r="N778" s="57" t="n">
        <f aca="false">IF(COUNTIFS(E$2:E778,E778,C$2:C778,C778)=1,1,0)</f>
        <v>0</v>
      </c>
      <c r="O778" s="57" t="n">
        <f aca="false">IF(COUNTIFS(E$2:E778,E778,C$2:C778,C778,D$2:D778,D778)=1,1,0)</f>
        <v>1</v>
      </c>
      <c r="P778" s="57" t="n">
        <f aca="false">IF(AND(C778=Calc!$C$3,OR(Calc!$C$4=0,D778=Calc!$C$4)),ROW(),0)</f>
        <v>0</v>
      </c>
    </row>
    <row r="779" customFormat="false" ht="15" hidden="false" customHeight="false" outlineLevel="0" collapsed="false">
      <c r="A779" s="57" t="s">
        <v>1198</v>
      </c>
      <c r="B779" s="58" t="n">
        <v>45527</v>
      </c>
      <c r="C779" s="57" t="n">
        <f aca="false">YEAR(B779)</f>
        <v>2024</v>
      </c>
      <c r="D779" s="57" t="n">
        <f aca="false">MONTH(B779)</f>
        <v>8</v>
      </c>
      <c r="E779" s="57" t="s">
        <v>104</v>
      </c>
      <c r="F779" s="57" t="s">
        <v>78</v>
      </c>
      <c r="G779" s="57" t="s">
        <v>40</v>
      </c>
      <c r="H779" s="57" t="s">
        <v>43</v>
      </c>
      <c r="I779" s="59" t="n">
        <v>1</v>
      </c>
      <c r="J779" s="60" t="n">
        <v>29</v>
      </c>
      <c r="K779" s="60" t="n">
        <v>9</v>
      </c>
      <c r="L779" s="61" t="n">
        <f aca="false">I779*J779</f>
        <v>29</v>
      </c>
      <c r="M779" s="61" t="n">
        <f aca="false">L779-I779*K779</f>
        <v>20</v>
      </c>
      <c r="N779" s="57" t="n">
        <f aca="false">IF(COUNTIFS(E$2:E779,E779,C$2:C779,C779)=1,1,0)</f>
        <v>0</v>
      </c>
      <c r="O779" s="57" t="n">
        <f aca="false">IF(COUNTIFS(E$2:E779,E779,C$2:C779,C779,D$2:D779,D779)=1,1,0)</f>
        <v>1</v>
      </c>
      <c r="P779" s="57" t="n">
        <f aca="false">IF(AND(C779=Calc!$C$3,OR(Calc!$C$4=0,D779=Calc!$C$4)),ROW(),0)</f>
        <v>0</v>
      </c>
    </row>
    <row r="780" customFormat="false" ht="15" hidden="false" customHeight="false" outlineLevel="0" collapsed="false">
      <c r="A780" s="57" t="s">
        <v>1199</v>
      </c>
      <c r="B780" s="58" t="n">
        <v>45527</v>
      </c>
      <c r="C780" s="57" t="n">
        <f aca="false">YEAR(B780)</f>
        <v>2024</v>
      </c>
      <c r="D780" s="57" t="n">
        <f aca="false">MONTH(B780)</f>
        <v>8</v>
      </c>
      <c r="E780" s="57" t="s">
        <v>603</v>
      </c>
      <c r="F780" s="57" t="s">
        <v>81</v>
      </c>
      <c r="G780" s="57" t="s">
        <v>35</v>
      </c>
      <c r="H780" s="57" t="s">
        <v>38</v>
      </c>
      <c r="I780" s="59" t="n">
        <v>1</v>
      </c>
      <c r="J780" s="60" t="n">
        <v>49</v>
      </c>
      <c r="K780" s="60" t="n">
        <v>22</v>
      </c>
      <c r="L780" s="61" t="n">
        <f aca="false">I780*J780</f>
        <v>49</v>
      </c>
      <c r="M780" s="61" t="n">
        <f aca="false">L780-I780*K780</f>
        <v>27</v>
      </c>
      <c r="N780" s="57" t="n">
        <f aca="false">IF(COUNTIFS(E$2:E780,E780,C$2:C780,C780)=1,1,0)</f>
        <v>0</v>
      </c>
      <c r="O780" s="57" t="n">
        <f aca="false">IF(COUNTIFS(E$2:E780,E780,C$2:C780,C780,D$2:D780,D780)=1,1,0)</f>
        <v>1</v>
      </c>
      <c r="P780" s="57" t="n">
        <f aca="false">IF(AND(C780=Calc!$C$3,OR(Calc!$C$4=0,D780=Calc!$C$4)),ROW(),0)</f>
        <v>0</v>
      </c>
    </row>
    <row r="781" customFormat="false" ht="15" hidden="false" customHeight="false" outlineLevel="0" collapsed="false">
      <c r="A781" s="57" t="s">
        <v>1200</v>
      </c>
      <c r="B781" s="58" t="n">
        <v>45527</v>
      </c>
      <c r="C781" s="57" t="n">
        <f aca="false">YEAR(B781)</f>
        <v>2024</v>
      </c>
      <c r="D781" s="57" t="n">
        <f aca="false">MONTH(B781)</f>
        <v>8</v>
      </c>
      <c r="E781" s="57" t="s">
        <v>601</v>
      </c>
      <c r="F781" s="57" t="s">
        <v>78</v>
      </c>
      <c r="G781" s="57" t="s">
        <v>45</v>
      </c>
      <c r="H781" s="57" t="s">
        <v>44</v>
      </c>
      <c r="I781" s="59" t="n">
        <v>1</v>
      </c>
      <c r="J781" s="60" t="n">
        <v>119</v>
      </c>
      <c r="K781" s="60" t="n">
        <v>63</v>
      </c>
      <c r="L781" s="61" t="n">
        <f aca="false">I781*J781</f>
        <v>119</v>
      </c>
      <c r="M781" s="61" t="n">
        <f aca="false">L781-I781*K781</f>
        <v>56</v>
      </c>
      <c r="N781" s="57" t="n">
        <f aca="false">IF(COUNTIFS(E$2:E781,E781,C$2:C781,C781)=1,1,0)</f>
        <v>0</v>
      </c>
      <c r="O781" s="57" t="n">
        <f aca="false">IF(COUNTIFS(E$2:E781,E781,C$2:C781,C781,D$2:D781,D781)=1,1,0)</f>
        <v>1</v>
      </c>
      <c r="P781" s="57" t="n">
        <f aca="false">IF(AND(C781=Calc!$C$3,OR(Calc!$C$4=0,D781=Calc!$C$4)),ROW(),0)</f>
        <v>0</v>
      </c>
    </row>
    <row r="782" customFormat="false" ht="15" hidden="false" customHeight="false" outlineLevel="0" collapsed="false">
      <c r="A782" s="57" t="s">
        <v>1201</v>
      </c>
      <c r="B782" s="58" t="n">
        <v>45528</v>
      </c>
      <c r="C782" s="57" t="n">
        <f aca="false">YEAR(B782)</f>
        <v>2024</v>
      </c>
      <c r="D782" s="57" t="n">
        <f aca="false">MONTH(B782)</f>
        <v>8</v>
      </c>
      <c r="E782" s="57" t="s">
        <v>357</v>
      </c>
      <c r="F782" s="57" t="s">
        <v>69</v>
      </c>
      <c r="G782" s="57" t="s">
        <v>40</v>
      </c>
      <c r="H782" s="57" t="s">
        <v>42</v>
      </c>
      <c r="I782" s="59" t="n">
        <v>1</v>
      </c>
      <c r="J782" s="60" t="n">
        <v>79</v>
      </c>
      <c r="K782" s="60" t="n">
        <v>31</v>
      </c>
      <c r="L782" s="61" t="n">
        <f aca="false">I782*J782</f>
        <v>79</v>
      </c>
      <c r="M782" s="61" t="n">
        <f aca="false">L782-I782*K782</f>
        <v>48</v>
      </c>
      <c r="N782" s="57" t="n">
        <f aca="false">IF(COUNTIFS(E$2:E782,E782,C$2:C782,C782)=1,1,0)</f>
        <v>0</v>
      </c>
      <c r="O782" s="57" t="n">
        <f aca="false">IF(COUNTIFS(E$2:E782,E782,C$2:C782,C782,D$2:D782,D782)=1,1,0)</f>
        <v>1</v>
      </c>
      <c r="P782" s="57" t="n">
        <f aca="false">IF(AND(C782=Calc!$C$3,OR(Calc!$C$4=0,D782=Calc!$C$4)),ROW(),0)</f>
        <v>0</v>
      </c>
    </row>
    <row r="783" customFormat="false" ht="15" hidden="false" customHeight="false" outlineLevel="0" collapsed="false">
      <c r="A783" s="57" t="s">
        <v>1202</v>
      </c>
      <c r="B783" s="58" t="n">
        <v>45528</v>
      </c>
      <c r="C783" s="57" t="n">
        <f aca="false">YEAR(B783)</f>
        <v>2024</v>
      </c>
      <c r="D783" s="57" t="n">
        <f aca="false">MONTH(B783)</f>
        <v>8</v>
      </c>
      <c r="E783" s="57" t="s">
        <v>168</v>
      </c>
      <c r="F783" s="57" t="s">
        <v>81</v>
      </c>
      <c r="G783" s="57" t="s">
        <v>54</v>
      </c>
      <c r="H783" s="57" t="s">
        <v>55</v>
      </c>
      <c r="I783" s="59" t="n">
        <v>1</v>
      </c>
      <c r="J783" s="60" t="n">
        <v>64</v>
      </c>
      <c r="K783" s="60" t="n">
        <v>25</v>
      </c>
      <c r="L783" s="61" t="n">
        <f aca="false">I783*J783</f>
        <v>64</v>
      </c>
      <c r="M783" s="61" t="n">
        <f aca="false">L783-I783*K783</f>
        <v>39</v>
      </c>
      <c r="N783" s="57" t="n">
        <f aca="false">IF(COUNTIFS(E$2:E783,E783,C$2:C783,C783)=1,1,0)</f>
        <v>0</v>
      </c>
      <c r="O783" s="57" t="n">
        <f aca="false">IF(COUNTIFS(E$2:E783,E783,C$2:C783,C783,D$2:D783,D783)=1,1,0)</f>
        <v>1</v>
      </c>
      <c r="P783" s="57" t="n">
        <f aca="false">IF(AND(C783=Calc!$C$3,OR(Calc!$C$4=0,D783=Calc!$C$4)),ROW(),0)</f>
        <v>0</v>
      </c>
    </row>
    <row r="784" customFormat="false" ht="15" hidden="false" customHeight="false" outlineLevel="0" collapsed="false">
      <c r="A784" s="57" t="s">
        <v>1203</v>
      </c>
      <c r="B784" s="58" t="n">
        <v>45528</v>
      </c>
      <c r="C784" s="57" t="n">
        <f aca="false">YEAR(B784)</f>
        <v>2024</v>
      </c>
      <c r="D784" s="57" t="n">
        <f aca="false">MONTH(B784)</f>
        <v>8</v>
      </c>
      <c r="E784" s="57" t="s">
        <v>193</v>
      </c>
      <c r="F784" s="57" t="s">
        <v>78</v>
      </c>
      <c r="G784" s="57" t="s">
        <v>35</v>
      </c>
      <c r="H784" s="57" t="s">
        <v>36</v>
      </c>
      <c r="I784" s="59" t="n">
        <v>3</v>
      </c>
      <c r="J784" s="60" t="n">
        <v>179</v>
      </c>
      <c r="K784" s="60" t="n">
        <v>92</v>
      </c>
      <c r="L784" s="61" t="n">
        <f aca="false">I784*J784</f>
        <v>537</v>
      </c>
      <c r="M784" s="61" t="n">
        <f aca="false">L784-I784*K784</f>
        <v>261</v>
      </c>
      <c r="N784" s="57" t="n">
        <f aca="false">IF(COUNTIFS(E$2:E784,E784,C$2:C784,C784)=1,1,0)</f>
        <v>0</v>
      </c>
      <c r="O784" s="57" t="n">
        <f aca="false">IF(COUNTIFS(E$2:E784,E784,C$2:C784,C784,D$2:D784,D784)=1,1,0)</f>
        <v>0</v>
      </c>
      <c r="P784" s="57" t="n">
        <f aca="false">IF(AND(C784=Calc!$C$3,OR(Calc!$C$4=0,D784=Calc!$C$4)),ROW(),0)</f>
        <v>0</v>
      </c>
    </row>
    <row r="785" customFormat="false" ht="15" hidden="false" customHeight="false" outlineLevel="0" collapsed="false">
      <c r="A785" s="57" t="s">
        <v>1204</v>
      </c>
      <c r="B785" s="58" t="n">
        <v>45529</v>
      </c>
      <c r="C785" s="57" t="n">
        <f aca="false">YEAR(B785)</f>
        <v>2024</v>
      </c>
      <c r="D785" s="57" t="n">
        <f aca="false">MONTH(B785)</f>
        <v>8</v>
      </c>
      <c r="E785" s="57" t="s">
        <v>978</v>
      </c>
      <c r="F785" s="57" t="s">
        <v>75</v>
      </c>
      <c r="G785" s="57" t="s">
        <v>40</v>
      </c>
      <c r="H785" s="57" t="s">
        <v>39</v>
      </c>
      <c r="I785" s="59" t="n">
        <v>1</v>
      </c>
      <c r="J785" s="60" t="n">
        <v>54</v>
      </c>
      <c r="K785" s="60" t="n">
        <v>19</v>
      </c>
      <c r="L785" s="61" t="n">
        <f aca="false">I785*J785</f>
        <v>54</v>
      </c>
      <c r="M785" s="61" t="n">
        <f aca="false">L785-I785*K785</f>
        <v>35</v>
      </c>
      <c r="N785" s="57" t="n">
        <f aca="false">IF(COUNTIFS(E$2:E785,E785,C$2:C785,C785)=1,1,0)</f>
        <v>0</v>
      </c>
      <c r="O785" s="57" t="n">
        <f aca="false">IF(COUNTIFS(E$2:E785,E785,C$2:C785,C785,D$2:D785,D785)=1,1,0)</f>
        <v>0</v>
      </c>
      <c r="P785" s="57" t="n">
        <f aca="false">IF(AND(C785=Calc!$C$3,OR(Calc!$C$4=0,D785=Calc!$C$4)),ROW(),0)</f>
        <v>0</v>
      </c>
    </row>
    <row r="786" customFormat="false" ht="15" hidden="false" customHeight="false" outlineLevel="0" collapsed="false">
      <c r="A786" s="57" t="s">
        <v>1205</v>
      </c>
      <c r="B786" s="58" t="n">
        <v>45529</v>
      </c>
      <c r="C786" s="57" t="n">
        <f aca="false">YEAR(B786)</f>
        <v>2024</v>
      </c>
      <c r="D786" s="57" t="n">
        <f aca="false">MONTH(B786)</f>
        <v>8</v>
      </c>
      <c r="E786" s="57" t="s">
        <v>1206</v>
      </c>
      <c r="F786" s="57" t="s">
        <v>75</v>
      </c>
      <c r="G786" s="57" t="s">
        <v>40</v>
      </c>
      <c r="H786" s="57" t="s">
        <v>39</v>
      </c>
      <c r="I786" s="59" t="n">
        <v>2</v>
      </c>
      <c r="J786" s="60" t="n">
        <v>54</v>
      </c>
      <c r="K786" s="60" t="n">
        <v>19</v>
      </c>
      <c r="L786" s="61" t="n">
        <f aca="false">I786*J786</f>
        <v>108</v>
      </c>
      <c r="M786" s="61" t="n">
        <f aca="false">L786-I786*K786</f>
        <v>70</v>
      </c>
      <c r="N786" s="57" t="n">
        <f aca="false">IF(COUNTIFS(E$2:E786,E786,C$2:C786,C786)=1,1,0)</f>
        <v>1</v>
      </c>
      <c r="O786" s="57" t="n">
        <f aca="false">IF(COUNTIFS(E$2:E786,E786,C$2:C786,C786,D$2:D786,D786)=1,1,0)</f>
        <v>1</v>
      </c>
      <c r="P786" s="57" t="n">
        <f aca="false">IF(AND(C786=Calc!$C$3,OR(Calc!$C$4=0,D786=Calc!$C$4)),ROW(),0)</f>
        <v>0</v>
      </c>
    </row>
    <row r="787" customFormat="false" ht="15" hidden="false" customHeight="false" outlineLevel="0" collapsed="false">
      <c r="A787" s="57" t="s">
        <v>1207</v>
      </c>
      <c r="B787" s="58" t="n">
        <v>45529</v>
      </c>
      <c r="C787" s="57" t="n">
        <f aca="false">YEAR(B787)</f>
        <v>2024</v>
      </c>
      <c r="D787" s="57" t="n">
        <f aca="false">MONTH(B787)</f>
        <v>8</v>
      </c>
      <c r="E787" s="57" t="s">
        <v>245</v>
      </c>
      <c r="F787" s="57" t="s">
        <v>72</v>
      </c>
      <c r="G787" s="57" t="s">
        <v>45</v>
      </c>
      <c r="H787" s="57" t="s">
        <v>46</v>
      </c>
      <c r="I787" s="59" t="n">
        <v>1</v>
      </c>
      <c r="J787" s="60" t="n">
        <v>149</v>
      </c>
      <c r="K787" s="60" t="n">
        <v>71</v>
      </c>
      <c r="L787" s="61" t="n">
        <f aca="false">I787*J787</f>
        <v>149</v>
      </c>
      <c r="M787" s="61" t="n">
        <f aca="false">L787-I787*K787</f>
        <v>78</v>
      </c>
      <c r="N787" s="57" t="n">
        <f aca="false">IF(COUNTIFS(E$2:E787,E787,C$2:C787,C787)=1,1,0)</f>
        <v>0</v>
      </c>
      <c r="O787" s="57" t="n">
        <f aca="false">IF(COUNTIFS(E$2:E787,E787,C$2:C787,C787,D$2:D787,D787)=1,1,0)</f>
        <v>1</v>
      </c>
      <c r="P787" s="57" t="n">
        <f aca="false">IF(AND(C787=Calc!$C$3,OR(Calc!$C$4=0,D787=Calc!$C$4)),ROW(),0)</f>
        <v>0</v>
      </c>
    </row>
    <row r="788" customFormat="false" ht="15" hidden="false" customHeight="false" outlineLevel="0" collapsed="false">
      <c r="A788" s="57" t="s">
        <v>1208</v>
      </c>
      <c r="B788" s="58" t="n">
        <v>45529</v>
      </c>
      <c r="C788" s="57" t="n">
        <f aca="false">YEAR(B788)</f>
        <v>2024</v>
      </c>
      <c r="D788" s="57" t="n">
        <f aca="false">MONTH(B788)</f>
        <v>8</v>
      </c>
      <c r="E788" s="57" t="s">
        <v>140</v>
      </c>
      <c r="F788" s="57" t="s">
        <v>75</v>
      </c>
      <c r="G788" s="57" t="s">
        <v>40</v>
      </c>
      <c r="H788" s="57" t="s">
        <v>43</v>
      </c>
      <c r="I788" s="59" t="n">
        <v>2</v>
      </c>
      <c r="J788" s="60" t="n">
        <v>29</v>
      </c>
      <c r="K788" s="60" t="n">
        <v>9</v>
      </c>
      <c r="L788" s="61" t="n">
        <f aca="false">I788*J788</f>
        <v>58</v>
      </c>
      <c r="M788" s="61" t="n">
        <f aca="false">L788-I788*K788</f>
        <v>40</v>
      </c>
      <c r="N788" s="57" t="n">
        <f aca="false">IF(COUNTIFS(E$2:E788,E788,C$2:C788,C788)=1,1,0)</f>
        <v>0</v>
      </c>
      <c r="O788" s="57" t="n">
        <f aca="false">IF(COUNTIFS(E$2:E788,E788,C$2:C788,C788,D$2:D788,D788)=1,1,0)</f>
        <v>0</v>
      </c>
      <c r="P788" s="57" t="n">
        <f aca="false">IF(AND(C788=Calc!$C$3,OR(Calc!$C$4=0,D788=Calc!$C$4)),ROW(),0)</f>
        <v>0</v>
      </c>
    </row>
    <row r="789" customFormat="false" ht="15" hidden="false" customHeight="false" outlineLevel="0" collapsed="false">
      <c r="A789" s="57" t="s">
        <v>1209</v>
      </c>
      <c r="B789" s="58" t="n">
        <v>45530</v>
      </c>
      <c r="C789" s="57" t="n">
        <f aca="false">YEAR(B789)</f>
        <v>2024</v>
      </c>
      <c r="D789" s="57" t="n">
        <f aca="false">MONTH(B789)</f>
        <v>8</v>
      </c>
      <c r="E789" s="57" t="s">
        <v>326</v>
      </c>
      <c r="F789" s="57" t="s">
        <v>78</v>
      </c>
      <c r="G789" s="57" t="s">
        <v>35</v>
      </c>
      <c r="H789" s="57" t="s">
        <v>34</v>
      </c>
      <c r="I789" s="59" t="n">
        <v>1</v>
      </c>
      <c r="J789" s="60" t="n">
        <v>89</v>
      </c>
      <c r="K789" s="60" t="n">
        <v>41</v>
      </c>
      <c r="L789" s="61" t="n">
        <f aca="false">I789*J789</f>
        <v>89</v>
      </c>
      <c r="M789" s="61" t="n">
        <f aca="false">L789-I789*K789</f>
        <v>48</v>
      </c>
      <c r="N789" s="57" t="n">
        <f aca="false">IF(COUNTIFS(E$2:E789,E789,C$2:C789,C789)=1,1,0)</f>
        <v>0</v>
      </c>
      <c r="O789" s="57" t="n">
        <f aca="false">IF(COUNTIFS(E$2:E789,E789,C$2:C789,C789,D$2:D789,D789)=1,1,0)</f>
        <v>1</v>
      </c>
      <c r="P789" s="57" t="n">
        <f aca="false">IF(AND(C789=Calc!$C$3,OR(Calc!$C$4=0,D789=Calc!$C$4)),ROW(),0)</f>
        <v>0</v>
      </c>
    </row>
    <row r="790" customFormat="false" ht="15" hidden="false" customHeight="false" outlineLevel="0" collapsed="false">
      <c r="A790" s="57" t="s">
        <v>1210</v>
      </c>
      <c r="B790" s="58" t="n">
        <v>45530</v>
      </c>
      <c r="C790" s="57" t="n">
        <f aca="false">YEAR(B790)</f>
        <v>2024</v>
      </c>
      <c r="D790" s="57" t="n">
        <f aca="false">MONTH(B790)</f>
        <v>8</v>
      </c>
      <c r="E790" s="57" t="s">
        <v>80</v>
      </c>
      <c r="F790" s="57" t="s">
        <v>81</v>
      </c>
      <c r="G790" s="57" t="s">
        <v>35</v>
      </c>
      <c r="H790" s="57" t="s">
        <v>34</v>
      </c>
      <c r="I790" s="59" t="n">
        <v>1</v>
      </c>
      <c r="J790" s="60" t="n">
        <v>89</v>
      </c>
      <c r="K790" s="60" t="n">
        <v>41</v>
      </c>
      <c r="L790" s="61" t="n">
        <f aca="false">I790*J790</f>
        <v>89</v>
      </c>
      <c r="M790" s="61" t="n">
        <f aca="false">L790-I790*K790</f>
        <v>48</v>
      </c>
      <c r="N790" s="57" t="n">
        <f aca="false">IF(COUNTIFS(E$2:E790,E790,C$2:C790,C790)=1,1,0)</f>
        <v>0</v>
      </c>
      <c r="O790" s="57" t="n">
        <f aca="false">IF(COUNTIFS(E$2:E790,E790,C$2:C790,C790,D$2:D790,D790)=1,1,0)</f>
        <v>1</v>
      </c>
      <c r="P790" s="57" t="n">
        <f aca="false">IF(AND(C790=Calc!$C$3,OR(Calc!$C$4=0,D790=Calc!$C$4)),ROW(),0)</f>
        <v>0</v>
      </c>
    </row>
    <row r="791" customFormat="false" ht="15" hidden="false" customHeight="false" outlineLevel="0" collapsed="false">
      <c r="A791" s="57" t="s">
        <v>1211</v>
      </c>
      <c r="B791" s="58" t="n">
        <v>45531</v>
      </c>
      <c r="C791" s="57" t="n">
        <f aca="false">YEAR(B791)</f>
        <v>2024</v>
      </c>
      <c r="D791" s="57" t="n">
        <f aca="false">MONTH(B791)</f>
        <v>8</v>
      </c>
      <c r="E791" s="57" t="s">
        <v>133</v>
      </c>
      <c r="F791" s="57" t="s">
        <v>72</v>
      </c>
      <c r="G791" s="57" t="s">
        <v>50</v>
      </c>
      <c r="H791" s="57" t="s">
        <v>52</v>
      </c>
      <c r="I791" s="59" t="n">
        <v>1</v>
      </c>
      <c r="J791" s="60" t="n">
        <v>45</v>
      </c>
      <c r="K791" s="60" t="n">
        <v>14</v>
      </c>
      <c r="L791" s="61" t="n">
        <f aca="false">I791*J791</f>
        <v>45</v>
      </c>
      <c r="M791" s="61" t="n">
        <f aca="false">L791-I791*K791</f>
        <v>31</v>
      </c>
      <c r="N791" s="57" t="n">
        <f aca="false">IF(COUNTIFS(E$2:E791,E791,C$2:C791,C791)=1,1,0)</f>
        <v>0</v>
      </c>
      <c r="O791" s="57" t="n">
        <f aca="false">IF(COUNTIFS(E$2:E791,E791,C$2:C791,C791,D$2:D791,D791)=1,1,0)</f>
        <v>1</v>
      </c>
      <c r="P791" s="57" t="n">
        <f aca="false">IF(AND(C791=Calc!$C$3,OR(Calc!$C$4=0,D791=Calc!$C$4)),ROW(),0)</f>
        <v>0</v>
      </c>
    </row>
    <row r="792" customFormat="false" ht="15" hidden="false" customHeight="false" outlineLevel="0" collapsed="false">
      <c r="A792" s="57" t="s">
        <v>1212</v>
      </c>
      <c r="B792" s="58" t="n">
        <v>45531</v>
      </c>
      <c r="C792" s="57" t="n">
        <f aca="false">YEAR(B792)</f>
        <v>2024</v>
      </c>
      <c r="D792" s="57" t="n">
        <f aca="false">MONTH(B792)</f>
        <v>8</v>
      </c>
      <c r="E792" s="57" t="s">
        <v>390</v>
      </c>
      <c r="F792" s="57" t="s">
        <v>72</v>
      </c>
      <c r="G792" s="57" t="s">
        <v>40</v>
      </c>
      <c r="H792" s="57" t="s">
        <v>41</v>
      </c>
      <c r="I792" s="59" t="n">
        <v>2</v>
      </c>
      <c r="J792" s="60" t="n">
        <v>46</v>
      </c>
      <c r="K792" s="60" t="n">
        <v>16</v>
      </c>
      <c r="L792" s="61" t="n">
        <f aca="false">I792*J792</f>
        <v>92</v>
      </c>
      <c r="M792" s="61" t="n">
        <f aca="false">L792-I792*K792</f>
        <v>60</v>
      </c>
      <c r="N792" s="57" t="n">
        <f aca="false">IF(COUNTIFS(E$2:E792,E792,C$2:C792,C792)=1,1,0)</f>
        <v>0</v>
      </c>
      <c r="O792" s="57" t="n">
        <f aca="false">IF(COUNTIFS(E$2:E792,E792,C$2:C792,C792,D$2:D792,D792)=1,1,0)</f>
        <v>0</v>
      </c>
      <c r="P792" s="57" t="n">
        <f aca="false">IF(AND(C792=Calc!$C$3,OR(Calc!$C$4=0,D792=Calc!$C$4)),ROW(),0)</f>
        <v>0</v>
      </c>
    </row>
    <row r="793" customFormat="false" ht="15" hidden="false" customHeight="false" outlineLevel="0" collapsed="false">
      <c r="A793" s="57" t="s">
        <v>1213</v>
      </c>
      <c r="B793" s="58" t="n">
        <v>45531</v>
      </c>
      <c r="C793" s="57" t="n">
        <f aca="false">YEAR(B793)</f>
        <v>2024</v>
      </c>
      <c r="D793" s="57" t="n">
        <f aca="false">MONTH(B793)</f>
        <v>8</v>
      </c>
      <c r="E793" s="57" t="s">
        <v>558</v>
      </c>
      <c r="F793" s="57" t="s">
        <v>81</v>
      </c>
      <c r="G793" s="57" t="s">
        <v>40</v>
      </c>
      <c r="H793" s="57" t="s">
        <v>41</v>
      </c>
      <c r="I793" s="59" t="n">
        <v>1</v>
      </c>
      <c r="J793" s="60" t="n">
        <v>46</v>
      </c>
      <c r="K793" s="60" t="n">
        <v>16</v>
      </c>
      <c r="L793" s="61" t="n">
        <f aca="false">I793*J793</f>
        <v>46</v>
      </c>
      <c r="M793" s="61" t="n">
        <f aca="false">L793-I793*K793</f>
        <v>30</v>
      </c>
      <c r="N793" s="57" t="n">
        <f aca="false">IF(COUNTIFS(E$2:E793,E793,C$2:C793,C793)=1,1,0)</f>
        <v>0</v>
      </c>
      <c r="O793" s="57" t="n">
        <f aca="false">IF(COUNTIFS(E$2:E793,E793,C$2:C793,C793,D$2:D793,D793)=1,1,0)</f>
        <v>1</v>
      </c>
      <c r="P793" s="57" t="n">
        <f aca="false">IF(AND(C793=Calc!$C$3,OR(Calc!$C$4=0,D793=Calc!$C$4)),ROW(),0)</f>
        <v>0</v>
      </c>
    </row>
    <row r="794" customFormat="false" ht="15" hidden="false" customHeight="false" outlineLevel="0" collapsed="false">
      <c r="A794" s="57" t="s">
        <v>1214</v>
      </c>
      <c r="B794" s="58" t="n">
        <v>45531</v>
      </c>
      <c r="C794" s="57" t="n">
        <f aca="false">YEAR(B794)</f>
        <v>2024</v>
      </c>
      <c r="D794" s="57" t="n">
        <f aca="false">MONTH(B794)</f>
        <v>8</v>
      </c>
      <c r="E794" s="57" t="s">
        <v>292</v>
      </c>
      <c r="F794" s="57" t="s">
        <v>72</v>
      </c>
      <c r="G794" s="57" t="s">
        <v>35</v>
      </c>
      <c r="H794" s="57" t="s">
        <v>38</v>
      </c>
      <c r="I794" s="59" t="n">
        <v>2</v>
      </c>
      <c r="J794" s="60" t="n">
        <v>49</v>
      </c>
      <c r="K794" s="60" t="n">
        <v>22</v>
      </c>
      <c r="L794" s="61" t="n">
        <f aca="false">I794*J794</f>
        <v>98</v>
      </c>
      <c r="M794" s="61" t="n">
        <f aca="false">L794-I794*K794</f>
        <v>54</v>
      </c>
      <c r="N794" s="57" t="n">
        <f aca="false">IF(COUNTIFS(E$2:E794,E794,C$2:C794,C794)=1,1,0)</f>
        <v>0</v>
      </c>
      <c r="O794" s="57" t="n">
        <f aca="false">IF(COUNTIFS(E$2:E794,E794,C$2:C794,C794,D$2:D794,D794)=1,1,0)</f>
        <v>0</v>
      </c>
      <c r="P794" s="57" t="n">
        <f aca="false">IF(AND(C794=Calc!$C$3,OR(Calc!$C$4=0,D794=Calc!$C$4)),ROW(),0)</f>
        <v>0</v>
      </c>
    </row>
    <row r="795" customFormat="false" ht="15" hidden="false" customHeight="false" outlineLevel="0" collapsed="false">
      <c r="A795" s="57" t="s">
        <v>1215</v>
      </c>
      <c r="B795" s="58" t="n">
        <v>45532</v>
      </c>
      <c r="C795" s="57" t="n">
        <f aca="false">YEAR(B795)</f>
        <v>2024</v>
      </c>
      <c r="D795" s="57" t="n">
        <f aca="false">MONTH(B795)</f>
        <v>8</v>
      </c>
      <c r="E795" s="57" t="s">
        <v>1216</v>
      </c>
      <c r="F795" s="57" t="s">
        <v>75</v>
      </c>
      <c r="G795" s="57" t="s">
        <v>35</v>
      </c>
      <c r="H795" s="57" t="s">
        <v>36</v>
      </c>
      <c r="I795" s="59" t="n">
        <v>1</v>
      </c>
      <c r="J795" s="60" t="n">
        <v>179</v>
      </c>
      <c r="K795" s="60" t="n">
        <v>92</v>
      </c>
      <c r="L795" s="61" t="n">
        <f aca="false">I795*J795</f>
        <v>179</v>
      </c>
      <c r="M795" s="61" t="n">
        <f aca="false">L795-I795*K795</f>
        <v>87</v>
      </c>
      <c r="N795" s="57" t="n">
        <f aca="false">IF(COUNTIFS(E$2:E795,E795,C$2:C795,C795)=1,1,0)</f>
        <v>1</v>
      </c>
      <c r="O795" s="57" t="n">
        <f aca="false">IF(COUNTIFS(E$2:E795,E795,C$2:C795,C795,D$2:D795,D795)=1,1,0)</f>
        <v>1</v>
      </c>
      <c r="P795" s="57" t="n">
        <f aca="false">IF(AND(C795=Calc!$C$3,OR(Calc!$C$4=0,D795=Calc!$C$4)),ROW(),0)</f>
        <v>0</v>
      </c>
    </row>
    <row r="796" customFormat="false" ht="15" hidden="false" customHeight="false" outlineLevel="0" collapsed="false">
      <c r="A796" s="57" t="s">
        <v>1217</v>
      </c>
      <c r="B796" s="58" t="n">
        <v>45532</v>
      </c>
      <c r="C796" s="57" t="n">
        <f aca="false">YEAR(B796)</f>
        <v>2024</v>
      </c>
      <c r="D796" s="57" t="n">
        <f aca="false">MONTH(B796)</f>
        <v>8</v>
      </c>
      <c r="E796" s="57" t="s">
        <v>1218</v>
      </c>
      <c r="F796" s="57" t="s">
        <v>81</v>
      </c>
      <c r="G796" s="57" t="s">
        <v>35</v>
      </c>
      <c r="H796" s="57" t="s">
        <v>37</v>
      </c>
      <c r="I796" s="59" t="n">
        <v>1</v>
      </c>
      <c r="J796" s="60" t="n">
        <v>59</v>
      </c>
      <c r="K796" s="60" t="n">
        <v>27</v>
      </c>
      <c r="L796" s="61" t="n">
        <f aca="false">I796*J796</f>
        <v>59</v>
      </c>
      <c r="M796" s="61" t="n">
        <f aca="false">L796-I796*K796</f>
        <v>32</v>
      </c>
      <c r="N796" s="57" t="n">
        <f aca="false">IF(COUNTIFS(E$2:E796,E796,C$2:C796,C796)=1,1,0)</f>
        <v>1</v>
      </c>
      <c r="O796" s="57" t="n">
        <f aca="false">IF(COUNTIFS(E$2:E796,E796,C$2:C796,C796,D$2:D796,D796)=1,1,0)</f>
        <v>1</v>
      </c>
      <c r="P796" s="57" t="n">
        <f aca="false">IF(AND(C796=Calc!$C$3,OR(Calc!$C$4=0,D796=Calc!$C$4)),ROW(),0)</f>
        <v>0</v>
      </c>
    </row>
    <row r="797" customFormat="false" ht="15" hidden="false" customHeight="false" outlineLevel="0" collapsed="false">
      <c r="A797" s="57" t="s">
        <v>1219</v>
      </c>
      <c r="B797" s="58" t="n">
        <v>45533</v>
      </c>
      <c r="C797" s="57" t="n">
        <f aca="false">YEAR(B797)</f>
        <v>2024</v>
      </c>
      <c r="D797" s="57" t="n">
        <f aca="false">MONTH(B797)</f>
        <v>8</v>
      </c>
      <c r="E797" s="57" t="s">
        <v>173</v>
      </c>
      <c r="F797" s="57" t="s">
        <v>69</v>
      </c>
      <c r="G797" s="57" t="s">
        <v>45</v>
      </c>
      <c r="H797" s="57" t="s">
        <v>44</v>
      </c>
      <c r="I797" s="59" t="n">
        <v>1</v>
      </c>
      <c r="J797" s="60" t="n">
        <v>119</v>
      </c>
      <c r="K797" s="60" t="n">
        <v>63</v>
      </c>
      <c r="L797" s="61" t="n">
        <f aca="false">I797*J797</f>
        <v>119</v>
      </c>
      <c r="M797" s="61" t="n">
        <f aca="false">L797-I797*K797</f>
        <v>56</v>
      </c>
      <c r="N797" s="57" t="n">
        <f aca="false">IF(COUNTIFS(E$2:E797,E797,C$2:C797,C797)=1,1,0)</f>
        <v>0</v>
      </c>
      <c r="O797" s="57" t="n">
        <f aca="false">IF(COUNTIFS(E$2:E797,E797,C$2:C797,C797,D$2:D797,D797)=1,1,0)</f>
        <v>0</v>
      </c>
      <c r="P797" s="57" t="n">
        <f aca="false">IF(AND(C797=Calc!$C$3,OR(Calc!$C$4=0,D797=Calc!$C$4)),ROW(),0)</f>
        <v>0</v>
      </c>
    </row>
    <row r="798" customFormat="false" ht="15" hidden="false" customHeight="false" outlineLevel="0" collapsed="false">
      <c r="A798" s="57" t="s">
        <v>1220</v>
      </c>
      <c r="B798" s="58" t="n">
        <v>45533</v>
      </c>
      <c r="C798" s="57" t="n">
        <f aca="false">YEAR(B798)</f>
        <v>2024</v>
      </c>
      <c r="D798" s="57" t="n">
        <f aca="false">MONTH(B798)</f>
        <v>8</v>
      </c>
      <c r="E798" s="57" t="s">
        <v>140</v>
      </c>
      <c r="F798" s="57" t="s">
        <v>75</v>
      </c>
      <c r="G798" s="57" t="s">
        <v>35</v>
      </c>
      <c r="H798" s="57" t="s">
        <v>37</v>
      </c>
      <c r="I798" s="59" t="n">
        <v>2</v>
      </c>
      <c r="J798" s="60" t="n">
        <v>59</v>
      </c>
      <c r="K798" s="60" t="n">
        <v>27</v>
      </c>
      <c r="L798" s="61" t="n">
        <f aca="false">I798*J798</f>
        <v>118</v>
      </c>
      <c r="M798" s="61" t="n">
        <f aca="false">L798-I798*K798</f>
        <v>64</v>
      </c>
      <c r="N798" s="57" t="n">
        <f aca="false">IF(COUNTIFS(E$2:E798,E798,C$2:C798,C798)=1,1,0)</f>
        <v>0</v>
      </c>
      <c r="O798" s="57" t="n">
        <f aca="false">IF(COUNTIFS(E$2:E798,E798,C$2:C798,C798,D$2:D798,D798)=1,1,0)</f>
        <v>0</v>
      </c>
      <c r="P798" s="57" t="n">
        <f aca="false">IF(AND(C798=Calc!$C$3,OR(Calc!$C$4=0,D798=Calc!$C$4)),ROW(),0)</f>
        <v>0</v>
      </c>
    </row>
    <row r="799" customFormat="false" ht="15" hidden="false" customHeight="false" outlineLevel="0" collapsed="false">
      <c r="A799" s="57" t="s">
        <v>1221</v>
      </c>
      <c r="B799" s="58" t="n">
        <v>45533</v>
      </c>
      <c r="C799" s="57" t="n">
        <f aca="false">YEAR(B799)</f>
        <v>2024</v>
      </c>
      <c r="D799" s="57" t="n">
        <f aca="false">MONTH(B799)</f>
        <v>8</v>
      </c>
      <c r="E799" s="57" t="s">
        <v>235</v>
      </c>
      <c r="F799" s="57" t="s">
        <v>69</v>
      </c>
      <c r="G799" s="57" t="s">
        <v>45</v>
      </c>
      <c r="H799" s="57" t="s">
        <v>47</v>
      </c>
      <c r="I799" s="59" t="n">
        <v>1</v>
      </c>
      <c r="J799" s="60" t="n">
        <v>34</v>
      </c>
      <c r="K799" s="60" t="n">
        <v>12</v>
      </c>
      <c r="L799" s="61" t="n">
        <f aca="false">I799*J799</f>
        <v>34</v>
      </c>
      <c r="M799" s="61" t="n">
        <f aca="false">L799-I799*K799</f>
        <v>22</v>
      </c>
      <c r="N799" s="57" t="n">
        <f aca="false">IF(COUNTIFS(E$2:E799,E799,C$2:C799,C799)=1,1,0)</f>
        <v>0</v>
      </c>
      <c r="O799" s="57" t="n">
        <f aca="false">IF(COUNTIFS(E$2:E799,E799,C$2:C799,C799,D$2:D799,D799)=1,1,0)</f>
        <v>0</v>
      </c>
      <c r="P799" s="57" t="n">
        <f aca="false">IF(AND(C799=Calc!$C$3,OR(Calc!$C$4=0,D799=Calc!$C$4)),ROW(),0)</f>
        <v>0</v>
      </c>
    </row>
    <row r="800" customFormat="false" ht="15" hidden="false" customHeight="false" outlineLevel="0" collapsed="false">
      <c r="A800" s="57" t="s">
        <v>1222</v>
      </c>
      <c r="B800" s="58" t="n">
        <v>45533</v>
      </c>
      <c r="C800" s="57" t="n">
        <f aca="false">YEAR(B800)</f>
        <v>2024</v>
      </c>
      <c r="D800" s="57" t="n">
        <f aca="false">MONTH(B800)</f>
        <v>8</v>
      </c>
      <c r="E800" s="57" t="s">
        <v>756</v>
      </c>
      <c r="F800" s="57" t="s">
        <v>69</v>
      </c>
      <c r="G800" s="57" t="s">
        <v>45</v>
      </c>
      <c r="H800" s="57" t="s">
        <v>46</v>
      </c>
      <c r="I800" s="59" t="n">
        <v>1</v>
      </c>
      <c r="J800" s="60" t="n">
        <v>149</v>
      </c>
      <c r="K800" s="60" t="n">
        <v>71</v>
      </c>
      <c r="L800" s="61" t="n">
        <f aca="false">I800*J800</f>
        <v>149</v>
      </c>
      <c r="M800" s="61" t="n">
        <f aca="false">L800-I800*K800</f>
        <v>78</v>
      </c>
      <c r="N800" s="57" t="n">
        <f aca="false">IF(COUNTIFS(E$2:E800,E800,C$2:C800,C800)=1,1,0)</f>
        <v>0</v>
      </c>
      <c r="O800" s="57" t="n">
        <f aca="false">IF(COUNTIFS(E$2:E800,E800,C$2:C800,C800,D$2:D800,D800)=1,1,0)</f>
        <v>1</v>
      </c>
      <c r="P800" s="57" t="n">
        <f aca="false">IF(AND(C800=Calc!$C$3,OR(Calc!$C$4=0,D800=Calc!$C$4)),ROW(),0)</f>
        <v>0</v>
      </c>
    </row>
    <row r="801" customFormat="false" ht="15" hidden="false" customHeight="false" outlineLevel="0" collapsed="false">
      <c r="A801" s="57" t="s">
        <v>1223</v>
      </c>
      <c r="B801" s="58" t="n">
        <v>45533</v>
      </c>
      <c r="C801" s="57" t="n">
        <f aca="false">YEAR(B801)</f>
        <v>2024</v>
      </c>
      <c r="D801" s="57" t="n">
        <f aca="false">MONTH(B801)</f>
        <v>8</v>
      </c>
      <c r="E801" s="57" t="s">
        <v>225</v>
      </c>
      <c r="F801" s="57" t="s">
        <v>72</v>
      </c>
      <c r="G801" s="57" t="s">
        <v>35</v>
      </c>
      <c r="H801" s="57" t="s">
        <v>34</v>
      </c>
      <c r="I801" s="59" t="n">
        <v>1</v>
      </c>
      <c r="J801" s="60" t="n">
        <v>89</v>
      </c>
      <c r="K801" s="60" t="n">
        <v>41</v>
      </c>
      <c r="L801" s="61" t="n">
        <f aca="false">I801*J801</f>
        <v>89</v>
      </c>
      <c r="M801" s="61" t="n">
        <f aca="false">L801-I801*K801</f>
        <v>48</v>
      </c>
      <c r="N801" s="57" t="n">
        <f aca="false">IF(COUNTIFS(E$2:E801,E801,C$2:C801,C801)=1,1,0)</f>
        <v>0</v>
      </c>
      <c r="O801" s="57" t="n">
        <f aca="false">IF(COUNTIFS(E$2:E801,E801,C$2:C801,C801,D$2:D801,D801)=1,1,0)</f>
        <v>1</v>
      </c>
      <c r="P801" s="57" t="n">
        <f aca="false">IF(AND(C801=Calc!$C$3,OR(Calc!$C$4=0,D801=Calc!$C$4)),ROW(),0)</f>
        <v>0</v>
      </c>
    </row>
    <row r="802" customFormat="false" ht="15" hidden="false" customHeight="false" outlineLevel="0" collapsed="false">
      <c r="A802" s="57" t="s">
        <v>1224</v>
      </c>
      <c r="B802" s="58" t="n">
        <v>45534</v>
      </c>
      <c r="C802" s="57" t="n">
        <f aca="false">YEAR(B802)</f>
        <v>2024</v>
      </c>
      <c r="D802" s="57" t="n">
        <f aca="false">MONTH(B802)</f>
        <v>8</v>
      </c>
      <c r="E802" s="57" t="s">
        <v>430</v>
      </c>
      <c r="F802" s="57" t="s">
        <v>72</v>
      </c>
      <c r="G802" s="57" t="s">
        <v>40</v>
      </c>
      <c r="H802" s="57" t="s">
        <v>43</v>
      </c>
      <c r="I802" s="59" t="n">
        <v>1</v>
      </c>
      <c r="J802" s="60" t="n">
        <v>29</v>
      </c>
      <c r="K802" s="60" t="n">
        <v>9</v>
      </c>
      <c r="L802" s="61" t="n">
        <f aca="false">I802*J802</f>
        <v>29</v>
      </c>
      <c r="M802" s="61" t="n">
        <f aca="false">L802-I802*K802</f>
        <v>20</v>
      </c>
      <c r="N802" s="57" t="n">
        <f aca="false">IF(COUNTIFS(E$2:E802,E802,C$2:C802,C802)=1,1,0)</f>
        <v>0</v>
      </c>
      <c r="O802" s="57" t="n">
        <f aca="false">IF(COUNTIFS(E$2:E802,E802,C$2:C802,C802,D$2:D802,D802)=1,1,0)</f>
        <v>1</v>
      </c>
      <c r="P802" s="57" t="n">
        <f aca="false">IF(AND(C802=Calc!$C$3,OR(Calc!$C$4=0,D802=Calc!$C$4)),ROW(),0)</f>
        <v>0</v>
      </c>
    </row>
    <row r="803" customFormat="false" ht="15" hidden="false" customHeight="false" outlineLevel="0" collapsed="false">
      <c r="A803" s="57" t="s">
        <v>1225</v>
      </c>
      <c r="B803" s="58" t="n">
        <v>45534</v>
      </c>
      <c r="C803" s="57" t="n">
        <f aca="false">YEAR(B803)</f>
        <v>2024</v>
      </c>
      <c r="D803" s="57" t="n">
        <f aca="false">MONTH(B803)</f>
        <v>8</v>
      </c>
      <c r="E803" s="57" t="s">
        <v>256</v>
      </c>
      <c r="F803" s="57" t="s">
        <v>69</v>
      </c>
      <c r="G803" s="57" t="s">
        <v>35</v>
      </c>
      <c r="H803" s="57" t="s">
        <v>38</v>
      </c>
      <c r="I803" s="59" t="n">
        <v>1</v>
      </c>
      <c r="J803" s="60" t="n">
        <v>49</v>
      </c>
      <c r="K803" s="60" t="n">
        <v>22</v>
      </c>
      <c r="L803" s="61" t="n">
        <f aca="false">I803*J803</f>
        <v>49</v>
      </c>
      <c r="M803" s="61" t="n">
        <f aca="false">L803-I803*K803</f>
        <v>27</v>
      </c>
      <c r="N803" s="57" t="n">
        <f aca="false">IF(COUNTIFS(E$2:E803,E803,C$2:C803,C803)=1,1,0)</f>
        <v>0</v>
      </c>
      <c r="O803" s="57" t="n">
        <f aca="false">IF(COUNTIFS(E$2:E803,E803,C$2:C803,C803,D$2:D803,D803)=1,1,0)</f>
        <v>1</v>
      </c>
      <c r="P803" s="57" t="n">
        <f aca="false">IF(AND(C803=Calc!$C$3,OR(Calc!$C$4=0,D803=Calc!$C$4)),ROW(),0)</f>
        <v>0</v>
      </c>
    </row>
    <row r="804" customFormat="false" ht="15" hidden="false" customHeight="false" outlineLevel="0" collapsed="false">
      <c r="A804" s="57" t="s">
        <v>1226</v>
      </c>
      <c r="B804" s="58" t="n">
        <v>45534</v>
      </c>
      <c r="C804" s="57" t="n">
        <f aca="false">YEAR(B804)</f>
        <v>2024</v>
      </c>
      <c r="D804" s="57" t="n">
        <f aca="false">MONTH(B804)</f>
        <v>8</v>
      </c>
      <c r="E804" s="57" t="s">
        <v>185</v>
      </c>
      <c r="F804" s="57" t="s">
        <v>81</v>
      </c>
      <c r="G804" s="57" t="s">
        <v>35</v>
      </c>
      <c r="H804" s="57" t="s">
        <v>37</v>
      </c>
      <c r="I804" s="59" t="n">
        <v>2</v>
      </c>
      <c r="J804" s="60" t="n">
        <v>59</v>
      </c>
      <c r="K804" s="60" t="n">
        <v>27</v>
      </c>
      <c r="L804" s="61" t="n">
        <f aca="false">I804*J804</f>
        <v>118</v>
      </c>
      <c r="M804" s="61" t="n">
        <f aca="false">L804-I804*K804</f>
        <v>64</v>
      </c>
      <c r="N804" s="57" t="n">
        <f aca="false">IF(COUNTIFS(E$2:E804,E804,C$2:C804,C804)=1,1,0)</f>
        <v>0</v>
      </c>
      <c r="O804" s="57" t="n">
        <f aca="false">IF(COUNTIFS(E$2:E804,E804,C$2:C804,C804,D$2:D804,D804)=1,1,0)</f>
        <v>1</v>
      </c>
      <c r="P804" s="57" t="n">
        <f aca="false">IF(AND(C804=Calc!$C$3,OR(Calc!$C$4=0,D804=Calc!$C$4)),ROW(),0)</f>
        <v>0</v>
      </c>
    </row>
    <row r="805" customFormat="false" ht="15" hidden="false" customHeight="false" outlineLevel="0" collapsed="false">
      <c r="A805" s="57" t="s">
        <v>1227</v>
      </c>
      <c r="B805" s="58" t="n">
        <v>45535</v>
      </c>
      <c r="C805" s="57" t="n">
        <f aca="false">YEAR(B805)</f>
        <v>2024</v>
      </c>
      <c r="D805" s="57" t="n">
        <f aca="false">MONTH(B805)</f>
        <v>8</v>
      </c>
      <c r="E805" s="57" t="s">
        <v>112</v>
      </c>
      <c r="F805" s="57" t="s">
        <v>81</v>
      </c>
      <c r="G805" s="57" t="s">
        <v>35</v>
      </c>
      <c r="H805" s="57" t="s">
        <v>34</v>
      </c>
      <c r="I805" s="59" t="n">
        <v>1</v>
      </c>
      <c r="J805" s="60" t="n">
        <v>89</v>
      </c>
      <c r="K805" s="60" t="n">
        <v>41</v>
      </c>
      <c r="L805" s="61" t="n">
        <f aca="false">I805*J805</f>
        <v>89</v>
      </c>
      <c r="M805" s="61" t="n">
        <f aca="false">L805-I805*K805</f>
        <v>48</v>
      </c>
      <c r="N805" s="57" t="n">
        <f aca="false">IF(COUNTIFS(E$2:E805,E805,C$2:C805,C805)=1,1,0)</f>
        <v>0</v>
      </c>
      <c r="O805" s="57" t="n">
        <f aca="false">IF(COUNTIFS(E$2:E805,E805,C$2:C805,C805,D$2:D805,D805)=1,1,0)</f>
        <v>1</v>
      </c>
      <c r="P805" s="57" t="n">
        <f aca="false">IF(AND(C805=Calc!$C$3,OR(Calc!$C$4=0,D805=Calc!$C$4)),ROW(),0)</f>
        <v>0</v>
      </c>
    </row>
    <row r="806" customFormat="false" ht="15" hidden="false" customHeight="false" outlineLevel="0" collapsed="false">
      <c r="A806" s="57" t="s">
        <v>1228</v>
      </c>
      <c r="B806" s="58" t="n">
        <v>45535</v>
      </c>
      <c r="C806" s="57" t="n">
        <f aca="false">YEAR(B806)</f>
        <v>2024</v>
      </c>
      <c r="D806" s="57" t="n">
        <f aca="false">MONTH(B806)</f>
        <v>8</v>
      </c>
      <c r="E806" s="57" t="s">
        <v>87</v>
      </c>
      <c r="F806" s="57" t="s">
        <v>72</v>
      </c>
      <c r="G806" s="57" t="s">
        <v>35</v>
      </c>
      <c r="H806" s="57" t="s">
        <v>34</v>
      </c>
      <c r="I806" s="59" t="n">
        <v>1</v>
      </c>
      <c r="J806" s="60" t="n">
        <v>89</v>
      </c>
      <c r="K806" s="60" t="n">
        <v>41</v>
      </c>
      <c r="L806" s="61" t="n">
        <f aca="false">I806*J806</f>
        <v>89</v>
      </c>
      <c r="M806" s="61" t="n">
        <f aca="false">L806-I806*K806</f>
        <v>48</v>
      </c>
      <c r="N806" s="57" t="n">
        <f aca="false">IF(COUNTIFS(E$2:E806,E806,C$2:C806,C806)=1,1,0)</f>
        <v>0</v>
      </c>
      <c r="O806" s="57" t="n">
        <f aca="false">IF(COUNTIFS(E$2:E806,E806,C$2:C806,C806,D$2:D806,D806)=1,1,0)</f>
        <v>1</v>
      </c>
      <c r="P806" s="57" t="n">
        <f aca="false">IF(AND(C806=Calc!$C$3,OR(Calc!$C$4=0,D806=Calc!$C$4)),ROW(),0)</f>
        <v>0</v>
      </c>
    </row>
    <row r="807" customFormat="false" ht="15" hidden="false" customHeight="false" outlineLevel="0" collapsed="false">
      <c r="A807" s="57" t="s">
        <v>1229</v>
      </c>
      <c r="B807" s="58" t="n">
        <v>45535</v>
      </c>
      <c r="C807" s="57" t="n">
        <f aca="false">YEAR(B807)</f>
        <v>2024</v>
      </c>
      <c r="D807" s="57" t="n">
        <f aca="false">MONTH(B807)</f>
        <v>8</v>
      </c>
      <c r="E807" s="57" t="s">
        <v>372</v>
      </c>
      <c r="F807" s="57" t="s">
        <v>81</v>
      </c>
      <c r="G807" s="57" t="s">
        <v>40</v>
      </c>
      <c r="H807" s="57" t="s">
        <v>43</v>
      </c>
      <c r="I807" s="59" t="n">
        <v>1</v>
      </c>
      <c r="J807" s="60" t="n">
        <v>29</v>
      </c>
      <c r="K807" s="60" t="n">
        <v>9</v>
      </c>
      <c r="L807" s="61" t="n">
        <f aca="false">I807*J807</f>
        <v>29</v>
      </c>
      <c r="M807" s="61" t="n">
        <f aca="false">L807-I807*K807</f>
        <v>20</v>
      </c>
      <c r="N807" s="57" t="n">
        <f aca="false">IF(COUNTIFS(E$2:E807,E807,C$2:C807,C807)=1,1,0)</f>
        <v>0</v>
      </c>
      <c r="O807" s="57" t="n">
        <f aca="false">IF(COUNTIFS(E$2:E807,E807,C$2:C807,C807,D$2:D807,D807)=1,1,0)</f>
        <v>0</v>
      </c>
      <c r="P807" s="57" t="n">
        <f aca="false">IF(AND(C807=Calc!$C$3,OR(Calc!$C$4=0,D807=Calc!$C$4)),ROW(),0)</f>
        <v>0</v>
      </c>
    </row>
    <row r="808" customFormat="false" ht="15" hidden="false" customHeight="false" outlineLevel="0" collapsed="false">
      <c r="A808" s="57" t="s">
        <v>1230</v>
      </c>
      <c r="B808" s="58" t="n">
        <v>45535</v>
      </c>
      <c r="C808" s="57" t="n">
        <f aca="false">YEAR(B808)</f>
        <v>2024</v>
      </c>
      <c r="D808" s="57" t="n">
        <f aca="false">MONTH(B808)</f>
        <v>8</v>
      </c>
      <c r="E808" s="57" t="s">
        <v>275</v>
      </c>
      <c r="F808" s="57" t="s">
        <v>75</v>
      </c>
      <c r="G808" s="57" t="s">
        <v>40</v>
      </c>
      <c r="H808" s="57" t="s">
        <v>39</v>
      </c>
      <c r="I808" s="59" t="n">
        <v>1</v>
      </c>
      <c r="J808" s="60" t="n">
        <v>54</v>
      </c>
      <c r="K808" s="60" t="n">
        <v>19</v>
      </c>
      <c r="L808" s="61" t="n">
        <f aca="false">I808*J808</f>
        <v>54</v>
      </c>
      <c r="M808" s="61" t="n">
        <f aca="false">L808-I808*K808</f>
        <v>35</v>
      </c>
      <c r="N808" s="57" t="n">
        <f aca="false">IF(COUNTIFS(E$2:E808,E808,C$2:C808,C808)=1,1,0)</f>
        <v>0</v>
      </c>
      <c r="O808" s="57" t="n">
        <f aca="false">IF(COUNTIFS(E$2:E808,E808,C$2:C808,C808,D$2:D808,D808)=1,1,0)</f>
        <v>1</v>
      </c>
      <c r="P808" s="57" t="n">
        <f aca="false">IF(AND(C808=Calc!$C$3,OR(Calc!$C$4=0,D808=Calc!$C$4)),ROW(),0)</f>
        <v>0</v>
      </c>
    </row>
    <row r="809" customFormat="false" ht="15" hidden="false" customHeight="false" outlineLevel="0" collapsed="false">
      <c r="A809" s="57" t="s">
        <v>1231</v>
      </c>
      <c r="B809" s="58" t="n">
        <v>45536</v>
      </c>
      <c r="C809" s="57" t="n">
        <f aca="false">YEAR(B809)</f>
        <v>2024</v>
      </c>
      <c r="D809" s="57" t="n">
        <f aca="false">MONTH(B809)</f>
        <v>9</v>
      </c>
      <c r="E809" s="57" t="s">
        <v>229</v>
      </c>
      <c r="F809" s="57" t="s">
        <v>81</v>
      </c>
      <c r="G809" s="57" t="s">
        <v>35</v>
      </c>
      <c r="H809" s="57" t="s">
        <v>38</v>
      </c>
      <c r="I809" s="59" t="n">
        <v>1</v>
      </c>
      <c r="J809" s="60" t="n">
        <v>49</v>
      </c>
      <c r="K809" s="60" t="n">
        <v>22</v>
      </c>
      <c r="L809" s="61" t="n">
        <f aca="false">I809*J809</f>
        <v>49</v>
      </c>
      <c r="M809" s="61" t="n">
        <f aca="false">L809-I809*K809</f>
        <v>27</v>
      </c>
      <c r="N809" s="57" t="n">
        <f aca="false">IF(COUNTIFS(E$2:E809,E809,C$2:C809,C809)=1,1,0)</f>
        <v>0</v>
      </c>
      <c r="O809" s="57" t="n">
        <f aca="false">IF(COUNTIFS(E$2:E809,E809,C$2:C809,C809,D$2:D809,D809)=1,1,0)</f>
        <v>1</v>
      </c>
      <c r="P809" s="57" t="n">
        <f aca="false">IF(AND(C809=Calc!$C$3,OR(Calc!$C$4=0,D809=Calc!$C$4)),ROW(),0)</f>
        <v>0</v>
      </c>
    </row>
    <row r="810" customFormat="false" ht="15" hidden="false" customHeight="false" outlineLevel="0" collapsed="false">
      <c r="A810" s="57" t="s">
        <v>1232</v>
      </c>
      <c r="B810" s="58" t="n">
        <v>45536</v>
      </c>
      <c r="C810" s="57" t="n">
        <f aca="false">YEAR(B810)</f>
        <v>2024</v>
      </c>
      <c r="D810" s="57" t="n">
        <f aca="false">MONTH(B810)</f>
        <v>9</v>
      </c>
      <c r="E810" s="57" t="s">
        <v>370</v>
      </c>
      <c r="F810" s="57" t="s">
        <v>75</v>
      </c>
      <c r="G810" s="57" t="s">
        <v>35</v>
      </c>
      <c r="H810" s="57" t="s">
        <v>38</v>
      </c>
      <c r="I810" s="59" t="n">
        <v>2</v>
      </c>
      <c r="J810" s="60" t="n">
        <v>49</v>
      </c>
      <c r="K810" s="60" t="n">
        <v>22</v>
      </c>
      <c r="L810" s="61" t="n">
        <f aca="false">I810*J810</f>
        <v>98</v>
      </c>
      <c r="M810" s="61" t="n">
        <f aca="false">L810-I810*K810</f>
        <v>54</v>
      </c>
      <c r="N810" s="57" t="n">
        <f aca="false">IF(COUNTIFS(E$2:E810,E810,C$2:C810,C810)=1,1,0)</f>
        <v>0</v>
      </c>
      <c r="O810" s="57" t="n">
        <f aca="false">IF(COUNTIFS(E$2:E810,E810,C$2:C810,C810,D$2:D810,D810)=1,1,0)</f>
        <v>1</v>
      </c>
      <c r="P810" s="57" t="n">
        <f aca="false">IF(AND(C810=Calc!$C$3,OR(Calc!$C$4=0,D810=Calc!$C$4)),ROW(),0)</f>
        <v>0</v>
      </c>
    </row>
    <row r="811" customFormat="false" ht="15" hidden="false" customHeight="false" outlineLevel="0" collapsed="false">
      <c r="A811" s="57" t="s">
        <v>1233</v>
      </c>
      <c r="B811" s="58" t="n">
        <v>45536</v>
      </c>
      <c r="C811" s="57" t="n">
        <f aca="false">YEAR(B811)</f>
        <v>2024</v>
      </c>
      <c r="D811" s="57" t="n">
        <f aca="false">MONTH(B811)</f>
        <v>9</v>
      </c>
      <c r="E811" s="57" t="s">
        <v>1234</v>
      </c>
      <c r="F811" s="57" t="s">
        <v>78</v>
      </c>
      <c r="G811" s="57" t="s">
        <v>54</v>
      </c>
      <c r="H811" s="57" t="s">
        <v>53</v>
      </c>
      <c r="I811" s="59" t="n">
        <v>2</v>
      </c>
      <c r="J811" s="60" t="n">
        <v>39</v>
      </c>
      <c r="K811" s="60" t="n">
        <v>13</v>
      </c>
      <c r="L811" s="61" t="n">
        <f aca="false">I811*J811</f>
        <v>78</v>
      </c>
      <c r="M811" s="61" t="n">
        <f aca="false">L811-I811*K811</f>
        <v>52</v>
      </c>
      <c r="N811" s="57" t="n">
        <f aca="false">IF(COUNTIFS(E$2:E811,E811,C$2:C811,C811)=1,1,0)</f>
        <v>1</v>
      </c>
      <c r="O811" s="57" t="n">
        <f aca="false">IF(COUNTIFS(E$2:E811,E811,C$2:C811,C811,D$2:D811,D811)=1,1,0)</f>
        <v>1</v>
      </c>
      <c r="P811" s="57" t="n">
        <f aca="false">IF(AND(C811=Calc!$C$3,OR(Calc!$C$4=0,D811=Calc!$C$4)),ROW(),0)</f>
        <v>0</v>
      </c>
    </row>
    <row r="812" customFormat="false" ht="15" hidden="false" customHeight="false" outlineLevel="0" collapsed="false">
      <c r="A812" s="57" t="s">
        <v>1235</v>
      </c>
      <c r="B812" s="58" t="n">
        <v>45536</v>
      </c>
      <c r="C812" s="57" t="n">
        <f aca="false">YEAR(B812)</f>
        <v>2024</v>
      </c>
      <c r="D812" s="57" t="n">
        <f aca="false">MONTH(B812)</f>
        <v>9</v>
      </c>
      <c r="E812" s="57" t="s">
        <v>372</v>
      </c>
      <c r="F812" s="57" t="s">
        <v>81</v>
      </c>
      <c r="G812" s="57" t="s">
        <v>40</v>
      </c>
      <c r="H812" s="57" t="s">
        <v>42</v>
      </c>
      <c r="I812" s="59" t="n">
        <v>2</v>
      </c>
      <c r="J812" s="60" t="n">
        <v>79</v>
      </c>
      <c r="K812" s="60" t="n">
        <v>31</v>
      </c>
      <c r="L812" s="61" t="n">
        <f aca="false">I812*J812</f>
        <v>158</v>
      </c>
      <c r="M812" s="61" t="n">
        <f aca="false">L812-I812*K812</f>
        <v>96</v>
      </c>
      <c r="N812" s="57" t="n">
        <f aca="false">IF(COUNTIFS(E$2:E812,E812,C$2:C812,C812)=1,1,0)</f>
        <v>0</v>
      </c>
      <c r="O812" s="57" t="n">
        <f aca="false">IF(COUNTIFS(E$2:E812,E812,C$2:C812,C812,D$2:D812,D812)=1,1,0)</f>
        <v>1</v>
      </c>
      <c r="P812" s="57" t="n">
        <f aca="false">IF(AND(C812=Calc!$C$3,OR(Calc!$C$4=0,D812=Calc!$C$4)),ROW(),0)</f>
        <v>0</v>
      </c>
    </row>
    <row r="813" customFormat="false" ht="15" hidden="false" customHeight="false" outlineLevel="0" collapsed="false">
      <c r="A813" s="57" t="s">
        <v>1236</v>
      </c>
      <c r="B813" s="58" t="n">
        <v>45537</v>
      </c>
      <c r="C813" s="57" t="n">
        <f aca="false">YEAR(B813)</f>
        <v>2024</v>
      </c>
      <c r="D813" s="57" t="n">
        <f aca="false">MONTH(B813)</f>
        <v>9</v>
      </c>
      <c r="E813" s="57" t="s">
        <v>1237</v>
      </c>
      <c r="F813" s="57" t="s">
        <v>78</v>
      </c>
      <c r="G813" s="57" t="s">
        <v>45</v>
      </c>
      <c r="H813" s="57" t="s">
        <v>46</v>
      </c>
      <c r="I813" s="59" t="n">
        <v>1</v>
      </c>
      <c r="J813" s="60" t="n">
        <v>149</v>
      </c>
      <c r="K813" s="60" t="n">
        <v>71</v>
      </c>
      <c r="L813" s="61" t="n">
        <f aca="false">I813*J813</f>
        <v>149</v>
      </c>
      <c r="M813" s="61" t="n">
        <f aca="false">L813-I813*K813</f>
        <v>78</v>
      </c>
      <c r="N813" s="57" t="n">
        <f aca="false">IF(COUNTIFS(E$2:E813,E813,C$2:C813,C813)=1,1,0)</f>
        <v>1</v>
      </c>
      <c r="O813" s="57" t="n">
        <f aca="false">IF(COUNTIFS(E$2:E813,E813,C$2:C813,C813,D$2:D813,D813)=1,1,0)</f>
        <v>1</v>
      </c>
      <c r="P813" s="57" t="n">
        <f aca="false">IF(AND(C813=Calc!$C$3,OR(Calc!$C$4=0,D813=Calc!$C$4)),ROW(),0)</f>
        <v>0</v>
      </c>
    </row>
    <row r="814" customFormat="false" ht="15" hidden="false" customHeight="false" outlineLevel="0" collapsed="false">
      <c r="A814" s="57" t="s">
        <v>1238</v>
      </c>
      <c r="B814" s="58" t="n">
        <v>45537</v>
      </c>
      <c r="C814" s="57" t="n">
        <f aca="false">YEAR(B814)</f>
        <v>2024</v>
      </c>
      <c r="D814" s="57" t="n">
        <f aca="false">MONTH(B814)</f>
        <v>9</v>
      </c>
      <c r="E814" s="57" t="s">
        <v>1049</v>
      </c>
      <c r="F814" s="57" t="s">
        <v>81</v>
      </c>
      <c r="G814" s="57" t="s">
        <v>54</v>
      </c>
      <c r="H814" s="57" t="s">
        <v>53</v>
      </c>
      <c r="I814" s="59" t="n">
        <v>1</v>
      </c>
      <c r="J814" s="60" t="n">
        <v>39</v>
      </c>
      <c r="K814" s="60" t="n">
        <v>13</v>
      </c>
      <c r="L814" s="61" t="n">
        <f aca="false">I814*J814</f>
        <v>39</v>
      </c>
      <c r="M814" s="61" t="n">
        <f aca="false">L814-I814*K814</f>
        <v>26</v>
      </c>
      <c r="N814" s="57" t="n">
        <f aca="false">IF(COUNTIFS(E$2:E814,E814,C$2:C814,C814)=1,1,0)</f>
        <v>0</v>
      </c>
      <c r="O814" s="57" t="n">
        <f aca="false">IF(COUNTIFS(E$2:E814,E814,C$2:C814,C814,D$2:D814,D814)=1,1,0)</f>
        <v>1</v>
      </c>
      <c r="P814" s="57" t="n">
        <f aca="false">IF(AND(C814=Calc!$C$3,OR(Calc!$C$4=0,D814=Calc!$C$4)),ROW(),0)</f>
        <v>0</v>
      </c>
    </row>
    <row r="815" customFormat="false" ht="15" hidden="false" customHeight="false" outlineLevel="0" collapsed="false">
      <c r="A815" s="57" t="s">
        <v>1239</v>
      </c>
      <c r="B815" s="58" t="n">
        <v>45538</v>
      </c>
      <c r="C815" s="57" t="n">
        <f aca="false">YEAR(B815)</f>
        <v>2024</v>
      </c>
      <c r="D815" s="57" t="n">
        <f aca="false">MONTH(B815)</f>
        <v>9</v>
      </c>
      <c r="E815" s="57" t="s">
        <v>1240</v>
      </c>
      <c r="F815" s="57" t="s">
        <v>69</v>
      </c>
      <c r="G815" s="57" t="s">
        <v>35</v>
      </c>
      <c r="H815" s="57" t="s">
        <v>36</v>
      </c>
      <c r="I815" s="59" t="n">
        <v>1</v>
      </c>
      <c r="J815" s="60" t="n">
        <v>179</v>
      </c>
      <c r="K815" s="60" t="n">
        <v>92</v>
      </c>
      <c r="L815" s="61" t="n">
        <f aca="false">I815*J815</f>
        <v>179</v>
      </c>
      <c r="M815" s="61" t="n">
        <f aca="false">L815-I815*K815</f>
        <v>87</v>
      </c>
      <c r="N815" s="57" t="n">
        <f aca="false">IF(COUNTIFS(E$2:E815,E815,C$2:C815,C815)=1,1,0)</f>
        <v>1</v>
      </c>
      <c r="O815" s="57" t="n">
        <f aca="false">IF(COUNTIFS(E$2:E815,E815,C$2:C815,C815,D$2:D815,D815)=1,1,0)</f>
        <v>1</v>
      </c>
      <c r="P815" s="57" t="n">
        <f aca="false">IF(AND(C815=Calc!$C$3,OR(Calc!$C$4=0,D815=Calc!$C$4)),ROW(),0)</f>
        <v>0</v>
      </c>
    </row>
    <row r="816" customFormat="false" ht="15" hidden="false" customHeight="false" outlineLevel="0" collapsed="false">
      <c r="A816" s="57" t="s">
        <v>1241</v>
      </c>
      <c r="B816" s="58" t="n">
        <v>45538</v>
      </c>
      <c r="C816" s="57" t="n">
        <f aca="false">YEAR(B816)</f>
        <v>2024</v>
      </c>
      <c r="D816" s="57" t="n">
        <f aca="false">MONTH(B816)</f>
        <v>9</v>
      </c>
      <c r="E816" s="57" t="s">
        <v>140</v>
      </c>
      <c r="F816" s="57" t="s">
        <v>75</v>
      </c>
      <c r="G816" s="57" t="s">
        <v>45</v>
      </c>
      <c r="H816" s="57" t="s">
        <v>46</v>
      </c>
      <c r="I816" s="59" t="n">
        <v>1</v>
      </c>
      <c r="J816" s="60" t="n">
        <v>149</v>
      </c>
      <c r="K816" s="60" t="n">
        <v>71</v>
      </c>
      <c r="L816" s="61" t="n">
        <f aca="false">I816*J816</f>
        <v>149</v>
      </c>
      <c r="M816" s="61" t="n">
        <f aca="false">L816-I816*K816</f>
        <v>78</v>
      </c>
      <c r="N816" s="57" t="n">
        <f aca="false">IF(COUNTIFS(E$2:E816,E816,C$2:C816,C816)=1,1,0)</f>
        <v>0</v>
      </c>
      <c r="O816" s="57" t="n">
        <f aca="false">IF(COUNTIFS(E$2:E816,E816,C$2:C816,C816,D$2:D816,D816)=1,1,0)</f>
        <v>1</v>
      </c>
      <c r="P816" s="57" t="n">
        <f aca="false">IF(AND(C816=Calc!$C$3,OR(Calc!$C$4=0,D816=Calc!$C$4)),ROW(),0)</f>
        <v>0</v>
      </c>
    </row>
    <row r="817" customFormat="false" ht="15" hidden="false" customHeight="false" outlineLevel="0" collapsed="false">
      <c r="A817" s="57" t="s">
        <v>1242</v>
      </c>
      <c r="B817" s="58" t="n">
        <v>45538</v>
      </c>
      <c r="C817" s="57" t="n">
        <f aca="false">YEAR(B817)</f>
        <v>2024</v>
      </c>
      <c r="D817" s="57" t="n">
        <f aca="false">MONTH(B817)</f>
        <v>9</v>
      </c>
      <c r="E817" s="57" t="s">
        <v>510</v>
      </c>
      <c r="F817" s="57" t="s">
        <v>78</v>
      </c>
      <c r="G817" s="57" t="s">
        <v>35</v>
      </c>
      <c r="H817" s="57" t="s">
        <v>37</v>
      </c>
      <c r="I817" s="59" t="n">
        <v>1</v>
      </c>
      <c r="J817" s="60" t="n">
        <v>59</v>
      </c>
      <c r="K817" s="60" t="n">
        <v>27</v>
      </c>
      <c r="L817" s="61" t="n">
        <f aca="false">I817*J817</f>
        <v>59</v>
      </c>
      <c r="M817" s="61" t="n">
        <f aca="false">L817-I817*K817</f>
        <v>32</v>
      </c>
      <c r="N817" s="57" t="n">
        <f aca="false">IF(COUNTIFS(E$2:E817,E817,C$2:C817,C817)=1,1,0)</f>
        <v>0</v>
      </c>
      <c r="O817" s="57" t="n">
        <f aca="false">IF(COUNTIFS(E$2:E817,E817,C$2:C817,C817,D$2:D817,D817)=1,1,0)</f>
        <v>1</v>
      </c>
      <c r="P817" s="57" t="n">
        <f aca="false">IF(AND(C817=Calc!$C$3,OR(Calc!$C$4=0,D817=Calc!$C$4)),ROW(),0)</f>
        <v>0</v>
      </c>
    </row>
    <row r="818" customFormat="false" ht="15" hidden="false" customHeight="false" outlineLevel="0" collapsed="false">
      <c r="A818" s="57" t="s">
        <v>1243</v>
      </c>
      <c r="B818" s="58" t="n">
        <v>45539</v>
      </c>
      <c r="C818" s="57" t="n">
        <f aca="false">YEAR(B818)</f>
        <v>2024</v>
      </c>
      <c r="D818" s="57" t="n">
        <f aca="false">MONTH(B818)</f>
        <v>9</v>
      </c>
      <c r="E818" s="57" t="s">
        <v>1244</v>
      </c>
      <c r="F818" s="57" t="s">
        <v>81</v>
      </c>
      <c r="G818" s="57" t="s">
        <v>40</v>
      </c>
      <c r="H818" s="57" t="s">
        <v>39</v>
      </c>
      <c r="I818" s="59" t="n">
        <v>1</v>
      </c>
      <c r="J818" s="60" t="n">
        <v>54</v>
      </c>
      <c r="K818" s="60" t="n">
        <v>19</v>
      </c>
      <c r="L818" s="61" t="n">
        <f aca="false">I818*J818</f>
        <v>54</v>
      </c>
      <c r="M818" s="61" t="n">
        <f aca="false">L818-I818*K818</f>
        <v>35</v>
      </c>
      <c r="N818" s="57" t="n">
        <f aca="false">IF(COUNTIFS(E$2:E818,E818,C$2:C818,C818)=1,1,0)</f>
        <v>1</v>
      </c>
      <c r="O818" s="57" t="n">
        <f aca="false">IF(COUNTIFS(E$2:E818,E818,C$2:C818,C818,D$2:D818,D818)=1,1,0)</f>
        <v>1</v>
      </c>
      <c r="P818" s="57" t="n">
        <f aca="false">IF(AND(C818=Calc!$C$3,OR(Calc!$C$4=0,D818=Calc!$C$4)),ROW(),0)</f>
        <v>0</v>
      </c>
    </row>
    <row r="819" customFormat="false" ht="15" hidden="false" customHeight="false" outlineLevel="0" collapsed="false">
      <c r="A819" s="57" t="s">
        <v>1245</v>
      </c>
      <c r="B819" s="58" t="n">
        <v>45539</v>
      </c>
      <c r="C819" s="57" t="n">
        <f aca="false">YEAR(B819)</f>
        <v>2024</v>
      </c>
      <c r="D819" s="57" t="n">
        <f aca="false">MONTH(B819)</f>
        <v>9</v>
      </c>
      <c r="E819" s="57" t="s">
        <v>856</v>
      </c>
      <c r="F819" s="57" t="s">
        <v>75</v>
      </c>
      <c r="G819" s="57" t="s">
        <v>35</v>
      </c>
      <c r="H819" s="57" t="s">
        <v>38</v>
      </c>
      <c r="I819" s="59" t="n">
        <v>1</v>
      </c>
      <c r="J819" s="60" t="n">
        <v>49</v>
      </c>
      <c r="K819" s="60" t="n">
        <v>22</v>
      </c>
      <c r="L819" s="61" t="n">
        <f aca="false">I819*J819</f>
        <v>49</v>
      </c>
      <c r="M819" s="61" t="n">
        <f aca="false">L819-I819*K819</f>
        <v>27</v>
      </c>
      <c r="N819" s="57" t="n">
        <f aca="false">IF(COUNTIFS(E$2:E819,E819,C$2:C819,C819)=1,1,0)</f>
        <v>0</v>
      </c>
      <c r="O819" s="57" t="n">
        <f aca="false">IF(COUNTIFS(E$2:E819,E819,C$2:C819,C819,D$2:D819,D819)=1,1,0)</f>
        <v>1</v>
      </c>
      <c r="P819" s="57" t="n">
        <f aca="false">IF(AND(C819=Calc!$C$3,OR(Calc!$C$4=0,D819=Calc!$C$4)),ROW(),0)</f>
        <v>0</v>
      </c>
    </row>
    <row r="820" customFormat="false" ht="15" hidden="false" customHeight="false" outlineLevel="0" collapsed="false">
      <c r="A820" s="57" t="s">
        <v>1246</v>
      </c>
      <c r="B820" s="58" t="n">
        <v>45540</v>
      </c>
      <c r="C820" s="57" t="n">
        <f aca="false">YEAR(B820)</f>
        <v>2024</v>
      </c>
      <c r="D820" s="57" t="n">
        <f aca="false">MONTH(B820)</f>
        <v>9</v>
      </c>
      <c r="E820" s="57" t="s">
        <v>390</v>
      </c>
      <c r="F820" s="57" t="s">
        <v>72</v>
      </c>
      <c r="G820" s="57" t="s">
        <v>45</v>
      </c>
      <c r="H820" s="57" t="s">
        <v>44</v>
      </c>
      <c r="I820" s="59" t="n">
        <v>1</v>
      </c>
      <c r="J820" s="60" t="n">
        <v>119</v>
      </c>
      <c r="K820" s="60" t="n">
        <v>63</v>
      </c>
      <c r="L820" s="61" t="n">
        <f aca="false">I820*J820</f>
        <v>119</v>
      </c>
      <c r="M820" s="61" t="n">
        <f aca="false">L820-I820*K820</f>
        <v>56</v>
      </c>
      <c r="N820" s="57" t="n">
        <f aca="false">IF(COUNTIFS(E$2:E820,E820,C$2:C820,C820)=1,1,0)</f>
        <v>0</v>
      </c>
      <c r="O820" s="57" t="n">
        <f aca="false">IF(COUNTIFS(E$2:E820,E820,C$2:C820,C820,D$2:D820,D820)=1,1,0)</f>
        <v>1</v>
      </c>
      <c r="P820" s="57" t="n">
        <f aca="false">IF(AND(C820=Calc!$C$3,OR(Calc!$C$4=0,D820=Calc!$C$4)),ROW(),0)</f>
        <v>0</v>
      </c>
    </row>
    <row r="821" customFormat="false" ht="15" hidden="false" customHeight="false" outlineLevel="0" collapsed="false">
      <c r="A821" s="57" t="s">
        <v>1247</v>
      </c>
      <c r="B821" s="58" t="n">
        <v>45540</v>
      </c>
      <c r="C821" s="57" t="n">
        <f aca="false">YEAR(B821)</f>
        <v>2024</v>
      </c>
      <c r="D821" s="57" t="n">
        <f aca="false">MONTH(B821)</f>
        <v>9</v>
      </c>
      <c r="E821" s="57" t="s">
        <v>71</v>
      </c>
      <c r="F821" s="57" t="s">
        <v>72</v>
      </c>
      <c r="G821" s="57" t="s">
        <v>35</v>
      </c>
      <c r="H821" s="57" t="s">
        <v>36</v>
      </c>
      <c r="I821" s="59" t="n">
        <v>1</v>
      </c>
      <c r="J821" s="60" t="n">
        <v>179</v>
      </c>
      <c r="K821" s="60" t="n">
        <v>92</v>
      </c>
      <c r="L821" s="61" t="n">
        <f aca="false">I821*J821</f>
        <v>179</v>
      </c>
      <c r="M821" s="61" t="n">
        <f aca="false">L821-I821*K821</f>
        <v>87</v>
      </c>
      <c r="N821" s="57" t="n">
        <f aca="false">IF(COUNTIFS(E$2:E821,E821,C$2:C821,C821)=1,1,0)</f>
        <v>0</v>
      </c>
      <c r="O821" s="57" t="n">
        <f aca="false">IF(COUNTIFS(E$2:E821,E821,C$2:C821,C821,D$2:D821,D821)=1,1,0)</f>
        <v>1</v>
      </c>
      <c r="P821" s="57" t="n">
        <f aca="false">IF(AND(C821=Calc!$C$3,OR(Calc!$C$4=0,D821=Calc!$C$4)),ROW(),0)</f>
        <v>0</v>
      </c>
    </row>
    <row r="822" customFormat="false" ht="15" hidden="false" customHeight="false" outlineLevel="0" collapsed="false">
      <c r="A822" s="57" t="s">
        <v>1248</v>
      </c>
      <c r="B822" s="58" t="n">
        <v>45540</v>
      </c>
      <c r="C822" s="57" t="n">
        <f aca="false">YEAR(B822)</f>
        <v>2024</v>
      </c>
      <c r="D822" s="57" t="n">
        <f aca="false">MONTH(B822)</f>
        <v>9</v>
      </c>
      <c r="E822" s="57" t="s">
        <v>461</v>
      </c>
      <c r="F822" s="57" t="s">
        <v>78</v>
      </c>
      <c r="G822" s="57" t="s">
        <v>45</v>
      </c>
      <c r="H822" s="57" t="s">
        <v>46</v>
      </c>
      <c r="I822" s="59" t="n">
        <v>1</v>
      </c>
      <c r="J822" s="60" t="n">
        <v>149</v>
      </c>
      <c r="K822" s="60" t="n">
        <v>71</v>
      </c>
      <c r="L822" s="61" t="n">
        <f aca="false">I822*J822</f>
        <v>149</v>
      </c>
      <c r="M822" s="61" t="n">
        <f aca="false">L822-I822*K822</f>
        <v>78</v>
      </c>
      <c r="N822" s="57" t="n">
        <f aca="false">IF(COUNTIFS(E$2:E822,E822,C$2:C822,C822)=1,1,0)</f>
        <v>0</v>
      </c>
      <c r="O822" s="57" t="n">
        <f aca="false">IF(COUNTIFS(E$2:E822,E822,C$2:C822,C822,D$2:D822,D822)=1,1,0)</f>
        <v>1</v>
      </c>
      <c r="P822" s="57" t="n">
        <f aca="false">IF(AND(C822=Calc!$C$3,OR(Calc!$C$4=0,D822=Calc!$C$4)),ROW(),0)</f>
        <v>0</v>
      </c>
    </row>
    <row r="823" customFormat="false" ht="15" hidden="false" customHeight="false" outlineLevel="0" collapsed="false">
      <c r="A823" s="57" t="s">
        <v>1249</v>
      </c>
      <c r="B823" s="58" t="n">
        <v>45541</v>
      </c>
      <c r="C823" s="57" t="n">
        <f aca="false">YEAR(B823)</f>
        <v>2024</v>
      </c>
      <c r="D823" s="57" t="n">
        <f aca="false">MONTH(B823)</f>
        <v>9</v>
      </c>
      <c r="E823" s="57" t="s">
        <v>173</v>
      </c>
      <c r="F823" s="57" t="s">
        <v>69</v>
      </c>
      <c r="G823" s="57" t="s">
        <v>40</v>
      </c>
      <c r="H823" s="57" t="s">
        <v>43</v>
      </c>
      <c r="I823" s="59" t="n">
        <v>1</v>
      </c>
      <c r="J823" s="60" t="n">
        <v>29</v>
      </c>
      <c r="K823" s="60" t="n">
        <v>9</v>
      </c>
      <c r="L823" s="61" t="n">
        <f aca="false">I823*J823</f>
        <v>29</v>
      </c>
      <c r="M823" s="61" t="n">
        <f aca="false">L823-I823*K823</f>
        <v>20</v>
      </c>
      <c r="N823" s="57" t="n">
        <f aca="false">IF(COUNTIFS(E$2:E823,E823,C$2:C823,C823)=1,1,0)</f>
        <v>0</v>
      </c>
      <c r="O823" s="57" t="n">
        <f aca="false">IF(COUNTIFS(E$2:E823,E823,C$2:C823,C823,D$2:D823,D823)=1,1,0)</f>
        <v>1</v>
      </c>
      <c r="P823" s="57" t="n">
        <f aca="false">IF(AND(C823=Calc!$C$3,OR(Calc!$C$4=0,D823=Calc!$C$4)),ROW(),0)</f>
        <v>0</v>
      </c>
    </row>
    <row r="824" customFormat="false" ht="15" hidden="false" customHeight="false" outlineLevel="0" collapsed="false">
      <c r="A824" s="57" t="s">
        <v>1250</v>
      </c>
      <c r="B824" s="58" t="n">
        <v>45541</v>
      </c>
      <c r="C824" s="57" t="n">
        <f aca="false">YEAR(B824)</f>
        <v>2024</v>
      </c>
      <c r="D824" s="57" t="n">
        <f aca="false">MONTH(B824)</f>
        <v>9</v>
      </c>
      <c r="E824" s="57" t="s">
        <v>743</v>
      </c>
      <c r="F824" s="57" t="s">
        <v>69</v>
      </c>
      <c r="G824" s="57" t="s">
        <v>40</v>
      </c>
      <c r="H824" s="57" t="s">
        <v>39</v>
      </c>
      <c r="I824" s="59" t="n">
        <v>1</v>
      </c>
      <c r="J824" s="60" t="n">
        <v>54</v>
      </c>
      <c r="K824" s="60" t="n">
        <v>19</v>
      </c>
      <c r="L824" s="61" t="n">
        <f aca="false">I824*J824</f>
        <v>54</v>
      </c>
      <c r="M824" s="61" t="n">
        <f aca="false">L824-I824*K824</f>
        <v>35</v>
      </c>
      <c r="N824" s="57" t="n">
        <f aca="false">IF(COUNTIFS(E$2:E824,E824,C$2:C824,C824)=1,1,0)</f>
        <v>0</v>
      </c>
      <c r="O824" s="57" t="n">
        <f aca="false">IF(COUNTIFS(E$2:E824,E824,C$2:C824,C824,D$2:D824,D824)=1,1,0)</f>
        <v>1</v>
      </c>
      <c r="P824" s="57" t="n">
        <f aca="false">IF(AND(C824=Calc!$C$3,OR(Calc!$C$4=0,D824=Calc!$C$4)),ROW(),0)</f>
        <v>0</v>
      </c>
    </row>
    <row r="825" customFormat="false" ht="15" hidden="false" customHeight="false" outlineLevel="0" collapsed="false">
      <c r="A825" s="57" t="s">
        <v>1251</v>
      </c>
      <c r="B825" s="58" t="n">
        <v>45541</v>
      </c>
      <c r="C825" s="57" t="n">
        <f aca="false">YEAR(B825)</f>
        <v>2024</v>
      </c>
      <c r="D825" s="57" t="n">
        <f aca="false">MONTH(B825)</f>
        <v>9</v>
      </c>
      <c r="E825" s="57" t="s">
        <v>150</v>
      </c>
      <c r="F825" s="57" t="s">
        <v>69</v>
      </c>
      <c r="G825" s="57" t="s">
        <v>35</v>
      </c>
      <c r="H825" s="57" t="s">
        <v>36</v>
      </c>
      <c r="I825" s="59" t="n">
        <v>1</v>
      </c>
      <c r="J825" s="60" t="n">
        <v>179</v>
      </c>
      <c r="K825" s="60" t="n">
        <v>92</v>
      </c>
      <c r="L825" s="61" t="n">
        <f aca="false">I825*J825</f>
        <v>179</v>
      </c>
      <c r="M825" s="61" t="n">
        <f aca="false">L825-I825*K825</f>
        <v>87</v>
      </c>
      <c r="N825" s="57" t="n">
        <f aca="false">IF(COUNTIFS(E$2:E825,E825,C$2:C825,C825)=1,1,0)</f>
        <v>0</v>
      </c>
      <c r="O825" s="57" t="n">
        <f aca="false">IF(COUNTIFS(E$2:E825,E825,C$2:C825,C825,D$2:D825,D825)=1,1,0)</f>
        <v>1</v>
      </c>
      <c r="P825" s="57" t="n">
        <f aca="false">IF(AND(C825=Calc!$C$3,OR(Calc!$C$4=0,D825=Calc!$C$4)),ROW(),0)</f>
        <v>0</v>
      </c>
    </row>
    <row r="826" customFormat="false" ht="15" hidden="false" customHeight="false" outlineLevel="0" collapsed="false">
      <c r="A826" s="57" t="s">
        <v>1252</v>
      </c>
      <c r="B826" s="58" t="n">
        <v>45541</v>
      </c>
      <c r="C826" s="57" t="n">
        <f aca="false">YEAR(B826)</f>
        <v>2024</v>
      </c>
      <c r="D826" s="57" t="n">
        <f aca="false">MONTH(B826)</f>
        <v>9</v>
      </c>
      <c r="E826" s="57" t="s">
        <v>1253</v>
      </c>
      <c r="F826" s="57" t="s">
        <v>78</v>
      </c>
      <c r="G826" s="57" t="s">
        <v>40</v>
      </c>
      <c r="H826" s="57" t="s">
        <v>42</v>
      </c>
      <c r="I826" s="59" t="n">
        <v>2</v>
      </c>
      <c r="J826" s="60" t="n">
        <v>79</v>
      </c>
      <c r="K826" s="60" t="n">
        <v>31</v>
      </c>
      <c r="L826" s="61" t="n">
        <f aca="false">I826*J826</f>
        <v>158</v>
      </c>
      <c r="M826" s="61" t="n">
        <f aca="false">L826-I826*K826</f>
        <v>96</v>
      </c>
      <c r="N826" s="57" t="n">
        <f aca="false">IF(COUNTIFS(E$2:E826,E826,C$2:C826,C826)=1,1,0)</f>
        <v>1</v>
      </c>
      <c r="O826" s="57" t="n">
        <f aca="false">IF(COUNTIFS(E$2:E826,E826,C$2:C826,C826,D$2:D826,D826)=1,1,0)</f>
        <v>1</v>
      </c>
      <c r="P826" s="57" t="n">
        <f aca="false">IF(AND(C826=Calc!$C$3,OR(Calc!$C$4=0,D826=Calc!$C$4)),ROW(),0)</f>
        <v>0</v>
      </c>
    </row>
    <row r="827" customFormat="false" ht="15" hidden="false" customHeight="false" outlineLevel="0" collapsed="false">
      <c r="A827" s="57" t="s">
        <v>1254</v>
      </c>
      <c r="B827" s="58" t="n">
        <v>45541</v>
      </c>
      <c r="C827" s="57" t="n">
        <f aca="false">YEAR(B827)</f>
        <v>2024</v>
      </c>
      <c r="D827" s="57" t="n">
        <f aca="false">MONTH(B827)</f>
        <v>9</v>
      </c>
      <c r="E827" s="57" t="s">
        <v>836</v>
      </c>
      <c r="F827" s="57" t="s">
        <v>69</v>
      </c>
      <c r="G827" s="57" t="s">
        <v>45</v>
      </c>
      <c r="H827" s="57" t="s">
        <v>47</v>
      </c>
      <c r="I827" s="59" t="n">
        <v>1</v>
      </c>
      <c r="J827" s="60" t="n">
        <v>34</v>
      </c>
      <c r="K827" s="60" t="n">
        <v>12</v>
      </c>
      <c r="L827" s="61" t="n">
        <f aca="false">I827*J827</f>
        <v>34</v>
      </c>
      <c r="M827" s="61" t="n">
        <f aca="false">L827-I827*K827</f>
        <v>22</v>
      </c>
      <c r="N827" s="57" t="n">
        <f aca="false">IF(COUNTIFS(E$2:E827,E827,C$2:C827,C827)=1,1,0)</f>
        <v>0</v>
      </c>
      <c r="O827" s="57" t="n">
        <f aca="false">IF(COUNTIFS(E$2:E827,E827,C$2:C827,C827,D$2:D827,D827)=1,1,0)</f>
        <v>1</v>
      </c>
      <c r="P827" s="57" t="n">
        <f aca="false">IF(AND(C827=Calc!$C$3,OR(Calc!$C$4=0,D827=Calc!$C$4)),ROW(),0)</f>
        <v>0</v>
      </c>
    </row>
    <row r="828" customFormat="false" ht="15" hidden="false" customHeight="false" outlineLevel="0" collapsed="false">
      <c r="A828" s="57" t="s">
        <v>1255</v>
      </c>
      <c r="B828" s="58" t="n">
        <v>45541</v>
      </c>
      <c r="C828" s="57" t="n">
        <f aca="false">YEAR(B828)</f>
        <v>2024</v>
      </c>
      <c r="D828" s="57" t="n">
        <f aca="false">MONTH(B828)</f>
        <v>9</v>
      </c>
      <c r="E828" s="57" t="s">
        <v>477</v>
      </c>
      <c r="F828" s="57" t="s">
        <v>78</v>
      </c>
      <c r="G828" s="57" t="s">
        <v>50</v>
      </c>
      <c r="H828" s="57" t="s">
        <v>51</v>
      </c>
      <c r="I828" s="59" t="n">
        <v>1</v>
      </c>
      <c r="J828" s="60" t="n">
        <v>69</v>
      </c>
      <c r="K828" s="60" t="n">
        <v>29</v>
      </c>
      <c r="L828" s="61" t="n">
        <f aca="false">I828*J828</f>
        <v>69</v>
      </c>
      <c r="M828" s="61" t="n">
        <f aca="false">L828-I828*K828</f>
        <v>40</v>
      </c>
      <c r="N828" s="57" t="n">
        <f aca="false">IF(COUNTIFS(E$2:E828,E828,C$2:C828,C828)=1,1,0)</f>
        <v>0</v>
      </c>
      <c r="O828" s="57" t="n">
        <f aca="false">IF(COUNTIFS(E$2:E828,E828,C$2:C828,C828,D$2:D828,D828)=1,1,0)</f>
        <v>1</v>
      </c>
      <c r="P828" s="57" t="n">
        <f aca="false">IF(AND(C828=Calc!$C$3,OR(Calc!$C$4=0,D828=Calc!$C$4)),ROW(),0)</f>
        <v>0</v>
      </c>
    </row>
    <row r="829" customFormat="false" ht="15" hidden="false" customHeight="false" outlineLevel="0" collapsed="false">
      <c r="A829" s="57" t="s">
        <v>1256</v>
      </c>
      <c r="B829" s="58" t="n">
        <v>45541</v>
      </c>
      <c r="C829" s="57" t="n">
        <f aca="false">YEAR(B829)</f>
        <v>2024</v>
      </c>
      <c r="D829" s="57" t="n">
        <f aca="false">MONTH(B829)</f>
        <v>9</v>
      </c>
      <c r="E829" s="57" t="s">
        <v>1257</v>
      </c>
      <c r="F829" s="57" t="s">
        <v>69</v>
      </c>
      <c r="G829" s="57" t="s">
        <v>35</v>
      </c>
      <c r="H829" s="57" t="s">
        <v>36</v>
      </c>
      <c r="I829" s="59" t="n">
        <v>1</v>
      </c>
      <c r="J829" s="60" t="n">
        <v>179</v>
      </c>
      <c r="K829" s="60" t="n">
        <v>92</v>
      </c>
      <c r="L829" s="61" t="n">
        <f aca="false">I829*J829</f>
        <v>179</v>
      </c>
      <c r="M829" s="61" t="n">
        <f aca="false">L829-I829*K829</f>
        <v>87</v>
      </c>
      <c r="N829" s="57" t="n">
        <f aca="false">IF(COUNTIFS(E$2:E829,E829,C$2:C829,C829)=1,1,0)</f>
        <v>1</v>
      </c>
      <c r="O829" s="57" t="n">
        <f aca="false">IF(COUNTIFS(E$2:E829,E829,C$2:C829,C829,D$2:D829,D829)=1,1,0)</f>
        <v>1</v>
      </c>
      <c r="P829" s="57" t="n">
        <f aca="false">IF(AND(C829=Calc!$C$3,OR(Calc!$C$4=0,D829=Calc!$C$4)),ROW(),0)</f>
        <v>0</v>
      </c>
    </row>
    <row r="830" customFormat="false" ht="15" hidden="false" customHeight="false" outlineLevel="0" collapsed="false">
      <c r="A830" s="57" t="s">
        <v>1258</v>
      </c>
      <c r="B830" s="58" t="n">
        <v>45542</v>
      </c>
      <c r="C830" s="57" t="n">
        <f aca="false">YEAR(B830)</f>
        <v>2024</v>
      </c>
      <c r="D830" s="57" t="n">
        <f aca="false">MONTH(B830)</f>
        <v>9</v>
      </c>
      <c r="E830" s="57" t="s">
        <v>1092</v>
      </c>
      <c r="F830" s="57" t="s">
        <v>75</v>
      </c>
      <c r="G830" s="57" t="s">
        <v>45</v>
      </c>
      <c r="H830" s="57" t="s">
        <v>48</v>
      </c>
      <c r="I830" s="59" t="n">
        <v>1</v>
      </c>
      <c r="J830" s="60" t="n">
        <v>99</v>
      </c>
      <c r="K830" s="60" t="n">
        <v>38</v>
      </c>
      <c r="L830" s="61" t="n">
        <f aca="false">I830*J830</f>
        <v>99</v>
      </c>
      <c r="M830" s="61" t="n">
        <f aca="false">L830-I830*K830</f>
        <v>61</v>
      </c>
      <c r="N830" s="57" t="n">
        <f aca="false">IF(COUNTIFS(E$2:E830,E830,C$2:C830,C830)=1,1,0)</f>
        <v>0</v>
      </c>
      <c r="O830" s="57" t="n">
        <f aca="false">IF(COUNTIFS(E$2:E830,E830,C$2:C830,C830,D$2:D830,D830)=1,1,0)</f>
        <v>1</v>
      </c>
      <c r="P830" s="57" t="n">
        <f aca="false">IF(AND(C830=Calc!$C$3,OR(Calc!$C$4=0,D830=Calc!$C$4)),ROW(),0)</f>
        <v>0</v>
      </c>
    </row>
    <row r="831" customFormat="false" ht="15" hidden="false" customHeight="false" outlineLevel="0" collapsed="false">
      <c r="A831" s="57" t="s">
        <v>1259</v>
      </c>
      <c r="B831" s="58" t="n">
        <v>45542</v>
      </c>
      <c r="C831" s="57" t="n">
        <f aca="false">YEAR(B831)</f>
        <v>2024</v>
      </c>
      <c r="D831" s="57" t="n">
        <f aca="false">MONTH(B831)</f>
        <v>9</v>
      </c>
      <c r="E831" s="57" t="s">
        <v>1260</v>
      </c>
      <c r="F831" s="57" t="s">
        <v>72</v>
      </c>
      <c r="G831" s="57" t="s">
        <v>40</v>
      </c>
      <c r="H831" s="57" t="s">
        <v>43</v>
      </c>
      <c r="I831" s="59" t="n">
        <v>1</v>
      </c>
      <c r="J831" s="60" t="n">
        <v>29</v>
      </c>
      <c r="K831" s="60" t="n">
        <v>9</v>
      </c>
      <c r="L831" s="61" t="n">
        <f aca="false">I831*J831</f>
        <v>29</v>
      </c>
      <c r="M831" s="61" t="n">
        <f aca="false">L831-I831*K831</f>
        <v>20</v>
      </c>
      <c r="N831" s="57" t="n">
        <f aca="false">IF(COUNTIFS(E$2:E831,E831,C$2:C831,C831)=1,1,0)</f>
        <v>1</v>
      </c>
      <c r="O831" s="57" t="n">
        <f aca="false">IF(COUNTIFS(E$2:E831,E831,C$2:C831,C831,D$2:D831,D831)=1,1,0)</f>
        <v>1</v>
      </c>
      <c r="P831" s="57" t="n">
        <f aca="false">IF(AND(C831=Calc!$C$3,OR(Calc!$C$4=0,D831=Calc!$C$4)),ROW(),0)</f>
        <v>0</v>
      </c>
    </row>
    <row r="832" customFormat="false" ht="15" hidden="false" customHeight="false" outlineLevel="0" collapsed="false">
      <c r="A832" s="57" t="s">
        <v>1261</v>
      </c>
      <c r="B832" s="58" t="n">
        <v>45542</v>
      </c>
      <c r="C832" s="57" t="n">
        <f aca="false">YEAR(B832)</f>
        <v>2024</v>
      </c>
      <c r="D832" s="57" t="n">
        <f aca="false">MONTH(B832)</f>
        <v>9</v>
      </c>
      <c r="E832" s="57" t="s">
        <v>300</v>
      </c>
      <c r="F832" s="57" t="s">
        <v>81</v>
      </c>
      <c r="G832" s="57" t="s">
        <v>35</v>
      </c>
      <c r="H832" s="57" t="s">
        <v>38</v>
      </c>
      <c r="I832" s="59" t="n">
        <v>1</v>
      </c>
      <c r="J832" s="60" t="n">
        <v>49</v>
      </c>
      <c r="K832" s="60" t="n">
        <v>22</v>
      </c>
      <c r="L832" s="61" t="n">
        <f aca="false">I832*J832</f>
        <v>49</v>
      </c>
      <c r="M832" s="61" t="n">
        <f aca="false">L832-I832*K832</f>
        <v>27</v>
      </c>
      <c r="N832" s="57" t="n">
        <f aca="false">IF(COUNTIFS(E$2:E832,E832,C$2:C832,C832)=1,1,0)</f>
        <v>0</v>
      </c>
      <c r="O832" s="57" t="n">
        <f aca="false">IF(COUNTIFS(E$2:E832,E832,C$2:C832,C832,D$2:D832,D832)=1,1,0)</f>
        <v>1</v>
      </c>
      <c r="P832" s="57" t="n">
        <f aca="false">IF(AND(C832=Calc!$C$3,OR(Calc!$C$4=0,D832=Calc!$C$4)),ROW(),0)</f>
        <v>0</v>
      </c>
    </row>
    <row r="833" customFormat="false" ht="15" hidden="false" customHeight="false" outlineLevel="0" collapsed="false">
      <c r="A833" s="57" t="s">
        <v>1262</v>
      </c>
      <c r="B833" s="58" t="n">
        <v>45543</v>
      </c>
      <c r="C833" s="57" t="n">
        <f aca="false">YEAR(B833)</f>
        <v>2024</v>
      </c>
      <c r="D833" s="57" t="n">
        <f aca="false">MONTH(B833)</f>
        <v>9</v>
      </c>
      <c r="E833" s="57" t="s">
        <v>725</v>
      </c>
      <c r="F833" s="57" t="s">
        <v>69</v>
      </c>
      <c r="G833" s="57" t="s">
        <v>45</v>
      </c>
      <c r="H833" s="57" t="s">
        <v>46</v>
      </c>
      <c r="I833" s="59" t="n">
        <v>2</v>
      </c>
      <c r="J833" s="60" t="n">
        <v>149</v>
      </c>
      <c r="K833" s="60" t="n">
        <v>71</v>
      </c>
      <c r="L833" s="61" t="n">
        <f aca="false">I833*J833</f>
        <v>298</v>
      </c>
      <c r="M833" s="61" t="n">
        <f aca="false">L833-I833*K833</f>
        <v>156</v>
      </c>
      <c r="N833" s="57" t="n">
        <f aca="false">IF(COUNTIFS(E$2:E833,E833,C$2:C833,C833)=1,1,0)</f>
        <v>0</v>
      </c>
      <c r="O833" s="57" t="n">
        <f aca="false">IF(COUNTIFS(E$2:E833,E833,C$2:C833,C833,D$2:D833,D833)=1,1,0)</f>
        <v>1</v>
      </c>
      <c r="P833" s="57" t="n">
        <f aca="false">IF(AND(C833=Calc!$C$3,OR(Calc!$C$4=0,D833=Calc!$C$4)),ROW(),0)</f>
        <v>0</v>
      </c>
    </row>
    <row r="834" customFormat="false" ht="15" hidden="false" customHeight="false" outlineLevel="0" collapsed="false">
      <c r="A834" s="57" t="s">
        <v>1263</v>
      </c>
      <c r="B834" s="58" t="n">
        <v>45543</v>
      </c>
      <c r="C834" s="57" t="n">
        <f aca="false">YEAR(B834)</f>
        <v>2024</v>
      </c>
      <c r="D834" s="57" t="n">
        <f aca="false">MONTH(B834)</f>
        <v>9</v>
      </c>
      <c r="E834" s="57" t="s">
        <v>386</v>
      </c>
      <c r="F834" s="57" t="s">
        <v>78</v>
      </c>
      <c r="G834" s="57" t="s">
        <v>35</v>
      </c>
      <c r="H834" s="57" t="s">
        <v>36</v>
      </c>
      <c r="I834" s="59" t="n">
        <v>1</v>
      </c>
      <c r="J834" s="60" t="n">
        <v>179</v>
      </c>
      <c r="K834" s="60" t="n">
        <v>92</v>
      </c>
      <c r="L834" s="61" t="n">
        <f aca="false">I834*J834</f>
        <v>179</v>
      </c>
      <c r="M834" s="61" t="n">
        <f aca="false">L834-I834*K834</f>
        <v>87</v>
      </c>
      <c r="N834" s="57" t="n">
        <f aca="false">IF(COUNTIFS(E$2:E834,E834,C$2:C834,C834)=1,1,0)</f>
        <v>0</v>
      </c>
      <c r="O834" s="57" t="n">
        <f aca="false">IF(COUNTIFS(E$2:E834,E834,C$2:C834,C834,D$2:D834,D834)=1,1,0)</f>
        <v>1</v>
      </c>
      <c r="P834" s="57" t="n">
        <f aca="false">IF(AND(C834=Calc!$C$3,OR(Calc!$C$4=0,D834=Calc!$C$4)),ROW(),0)</f>
        <v>0</v>
      </c>
    </row>
    <row r="835" customFormat="false" ht="15" hidden="false" customHeight="false" outlineLevel="0" collapsed="false">
      <c r="A835" s="57" t="s">
        <v>1264</v>
      </c>
      <c r="B835" s="58" t="n">
        <v>45543</v>
      </c>
      <c r="C835" s="57" t="n">
        <f aca="false">YEAR(B835)</f>
        <v>2024</v>
      </c>
      <c r="D835" s="57" t="n">
        <f aca="false">MONTH(B835)</f>
        <v>9</v>
      </c>
      <c r="E835" s="57" t="s">
        <v>404</v>
      </c>
      <c r="F835" s="57" t="s">
        <v>75</v>
      </c>
      <c r="G835" s="57" t="s">
        <v>35</v>
      </c>
      <c r="H835" s="57" t="s">
        <v>34</v>
      </c>
      <c r="I835" s="59" t="n">
        <v>1</v>
      </c>
      <c r="J835" s="60" t="n">
        <v>89</v>
      </c>
      <c r="K835" s="60" t="n">
        <v>41</v>
      </c>
      <c r="L835" s="61" t="n">
        <f aca="false">I835*J835</f>
        <v>89</v>
      </c>
      <c r="M835" s="61" t="n">
        <f aca="false">L835-I835*K835</f>
        <v>48</v>
      </c>
      <c r="N835" s="57" t="n">
        <f aca="false">IF(COUNTIFS(E$2:E835,E835,C$2:C835,C835)=1,1,0)</f>
        <v>0</v>
      </c>
      <c r="O835" s="57" t="n">
        <f aca="false">IF(COUNTIFS(E$2:E835,E835,C$2:C835,C835,D$2:D835,D835)=1,1,0)</f>
        <v>1</v>
      </c>
      <c r="P835" s="57" t="n">
        <f aca="false">IF(AND(C835=Calc!$C$3,OR(Calc!$C$4=0,D835=Calc!$C$4)),ROW(),0)</f>
        <v>0</v>
      </c>
    </row>
    <row r="836" customFormat="false" ht="15" hidden="false" customHeight="false" outlineLevel="0" collapsed="false">
      <c r="A836" s="57" t="s">
        <v>1265</v>
      </c>
      <c r="B836" s="58" t="n">
        <v>45543</v>
      </c>
      <c r="C836" s="57" t="n">
        <f aca="false">YEAR(B836)</f>
        <v>2024</v>
      </c>
      <c r="D836" s="57" t="n">
        <f aca="false">MONTH(B836)</f>
        <v>9</v>
      </c>
      <c r="E836" s="57" t="s">
        <v>1266</v>
      </c>
      <c r="F836" s="57" t="s">
        <v>72</v>
      </c>
      <c r="G836" s="57" t="s">
        <v>40</v>
      </c>
      <c r="H836" s="57" t="s">
        <v>42</v>
      </c>
      <c r="I836" s="59" t="n">
        <v>3</v>
      </c>
      <c r="J836" s="60" t="n">
        <v>79</v>
      </c>
      <c r="K836" s="60" t="n">
        <v>31</v>
      </c>
      <c r="L836" s="61" t="n">
        <f aca="false">I836*J836</f>
        <v>237</v>
      </c>
      <c r="M836" s="61" t="n">
        <f aca="false">L836-I836*K836</f>
        <v>144</v>
      </c>
      <c r="N836" s="57" t="n">
        <f aca="false">IF(COUNTIFS(E$2:E836,E836,C$2:C836,C836)=1,1,0)</f>
        <v>1</v>
      </c>
      <c r="O836" s="57" t="n">
        <f aca="false">IF(COUNTIFS(E$2:E836,E836,C$2:C836,C836,D$2:D836,D836)=1,1,0)</f>
        <v>1</v>
      </c>
      <c r="P836" s="57" t="n">
        <f aca="false">IF(AND(C836=Calc!$C$3,OR(Calc!$C$4=0,D836=Calc!$C$4)),ROW(),0)</f>
        <v>0</v>
      </c>
    </row>
    <row r="837" customFormat="false" ht="15" hidden="false" customHeight="false" outlineLevel="0" collapsed="false">
      <c r="A837" s="57" t="s">
        <v>1267</v>
      </c>
      <c r="B837" s="58" t="n">
        <v>45544</v>
      </c>
      <c r="C837" s="57" t="n">
        <f aca="false">YEAR(B837)</f>
        <v>2024</v>
      </c>
      <c r="D837" s="57" t="n">
        <f aca="false">MONTH(B837)</f>
        <v>9</v>
      </c>
      <c r="E837" s="57" t="s">
        <v>229</v>
      </c>
      <c r="F837" s="57" t="s">
        <v>81</v>
      </c>
      <c r="G837" s="57" t="s">
        <v>35</v>
      </c>
      <c r="H837" s="57" t="s">
        <v>38</v>
      </c>
      <c r="I837" s="59" t="n">
        <v>2</v>
      </c>
      <c r="J837" s="60" t="n">
        <v>49</v>
      </c>
      <c r="K837" s="60" t="n">
        <v>22</v>
      </c>
      <c r="L837" s="61" t="n">
        <f aca="false">I837*J837</f>
        <v>98</v>
      </c>
      <c r="M837" s="61" t="n">
        <f aca="false">L837-I837*K837</f>
        <v>54</v>
      </c>
      <c r="N837" s="57" t="n">
        <f aca="false">IF(COUNTIFS(E$2:E837,E837,C$2:C837,C837)=1,1,0)</f>
        <v>0</v>
      </c>
      <c r="O837" s="57" t="n">
        <f aca="false">IF(COUNTIFS(E$2:E837,E837,C$2:C837,C837,D$2:D837,D837)=1,1,0)</f>
        <v>0</v>
      </c>
      <c r="P837" s="57" t="n">
        <f aca="false">IF(AND(C837=Calc!$C$3,OR(Calc!$C$4=0,D837=Calc!$C$4)),ROW(),0)</f>
        <v>0</v>
      </c>
    </row>
    <row r="838" customFormat="false" ht="15" hidden="false" customHeight="false" outlineLevel="0" collapsed="false">
      <c r="A838" s="57" t="s">
        <v>1268</v>
      </c>
      <c r="B838" s="58" t="n">
        <v>45544</v>
      </c>
      <c r="C838" s="57" t="n">
        <f aca="false">YEAR(B838)</f>
        <v>2024</v>
      </c>
      <c r="D838" s="57" t="n">
        <f aca="false">MONTH(B838)</f>
        <v>9</v>
      </c>
      <c r="E838" s="57" t="s">
        <v>779</v>
      </c>
      <c r="F838" s="57" t="s">
        <v>75</v>
      </c>
      <c r="G838" s="57" t="s">
        <v>40</v>
      </c>
      <c r="H838" s="57" t="s">
        <v>41</v>
      </c>
      <c r="I838" s="59" t="n">
        <v>1</v>
      </c>
      <c r="J838" s="60" t="n">
        <v>46</v>
      </c>
      <c r="K838" s="60" t="n">
        <v>16</v>
      </c>
      <c r="L838" s="61" t="n">
        <f aca="false">I838*J838</f>
        <v>46</v>
      </c>
      <c r="M838" s="61" t="n">
        <f aca="false">L838-I838*K838</f>
        <v>30</v>
      </c>
      <c r="N838" s="57" t="n">
        <f aca="false">IF(COUNTIFS(E$2:E838,E838,C$2:C838,C838)=1,1,0)</f>
        <v>0</v>
      </c>
      <c r="O838" s="57" t="n">
        <f aca="false">IF(COUNTIFS(E$2:E838,E838,C$2:C838,C838,D$2:D838,D838)=1,1,0)</f>
        <v>1</v>
      </c>
      <c r="P838" s="57" t="n">
        <f aca="false">IF(AND(C838=Calc!$C$3,OR(Calc!$C$4=0,D838=Calc!$C$4)),ROW(),0)</f>
        <v>0</v>
      </c>
    </row>
    <row r="839" customFormat="false" ht="15" hidden="false" customHeight="false" outlineLevel="0" collapsed="false">
      <c r="A839" s="57" t="s">
        <v>1269</v>
      </c>
      <c r="B839" s="58" t="n">
        <v>45544</v>
      </c>
      <c r="C839" s="57" t="n">
        <f aca="false">YEAR(B839)</f>
        <v>2024</v>
      </c>
      <c r="D839" s="57" t="n">
        <f aca="false">MONTH(B839)</f>
        <v>9</v>
      </c>
      <c r="E839" s="57" t="s">
        <v>122</v>
      </c>
      <c r="F839" s="57" t="s">
        <v>81</v>
      </c>
      <c r="G839" s="57" t="s">
        <v>54</v>
      </c>
      <c r="H839" s="57" t="s">
        <v>53</v>
      </c>
      <c r="I839" s="59" t="n">
        <v>1</v>
      </c>
      <c r="J839" s="60" t="n">
        <v>39</v>
      </c>
      <c r="K839" s="60" t="n">
        <v>13</v>
      </c>
      <c r="L839" s="61" t="n">
        <f aca="false">I839*J839</f>
        <v>39</v>
      </c>
      <c r="M839" s="61" t="n">
        <f aca="false">L839-I839*K839</f>
        <v>26</v>
      </c>
      <c r="N839" s="57" t="n">
        <f aca="false">IF(COUNTIFS(E$2:E839,E839,C$2:C839,C839)=1,1,0)</f>
        <v>0</v>
      </c>
      <c r="O839" s="57" t="n">
        <f aca="false">IF(COUNTIFS(E$2:E839,E839,C$2:C839,C839,D$2:D839,D839)=1,1,0)</f>
        <v>1</v>
      </c>
      <c r="P839" s="57" t="n">
        <f aca="false">IF(AND(C839=Calc!$C$3,OR(Calc!$C$4=0,D839=Calc!$C$4)),ROW(),0)</f>
        <v>0</v>
      </c>
    </row>
    <row r="840" customFormat="false" ht="15" hidden="false" customHeight="false" outlineLevel="0" collapsed="false">
      <c r="A840" s="57" t="s">
        <v>1270</v>
      </c>
      <c r="B840" s="58" t="n">
        <v>45544</v>
      </c>
      <c r="C840" s="57" t="n">
        <f aca="false">YEAR(B840)</f>
        <v>2024</v>
      </c>
      <c r="D840" s="57" t="n">
        <f aca="false">MONTH(B840)</f>
        <v>9</v>
      </c>
      <c r="E840" s="57" t="s">
        <v>646</v>
      </c>
      <c r="F840" s="57" t="s">
        <v>81</v>
      </c>
      <c r="G840" s="57" t="s">
        <v>50</v>
      </c>
      <c r="H840" s="57" t="s">
        <v>49</v>
      </c>
      <c r="I840" s="59" t="n">
        <v>1</v>
      </c>
      <c r="J840" s="60" t="n">
        <v>32</v>
      </c>
      <c r="K840" s="60" t="n">
        <v>7</v>
      </c>
      <c r="L840" s="61" t="n">
        <f aca="false">I840*J840</f>
        <v>32</v>
      </c>
      <c r="M840" s="61" t="n">
        <f aca="false">L840-I840*K840</f>
        <v>25</v>
      </c>
      <c r="N840" s="57" t="n">
        <f aca="false">IF(COUNTIFS(E$2:E840,E840,C$2:C840,C840)=1,1,0)</f>
        <v>0</v>
      </c>
      <c r="O840" s="57" t="n">
        <f aca="false">IF(COUNTIFS(E$2:E840,E840,C$2:C840,C840,D$2:D840,D840)=1,1,0)</f>
        <v>1</v>
      </c>
      <c r="P840" s="57" t="n">
        <f aca="false">IF(AND(C840=Calc!$C$3,OR(Calc!$C$4=0,D840=Calc!$C$4)),ROW(),0)</f>
        <v>0</v>
      </c>
    </row>
    <row r="841" customFormat="false" ht="15" hidden="false" customHeight="false" outlineLevel="0" collapsed="false">
      <c r="A841" s="57" t="s">
        <v>1271</v>
      </c>
      <c r="B841" s="58" t="n">
        <v>45545</v>
      </c>
      <c r="C841" s="57" t="n">
        <f aca="false">YEAR(B841)</f>
        <v>2024</v>
      </c>
      <c r="D841" s="57" t="n">
        <f aca="false">MONTH(B841)</f>
        <v>9</v>
      </c>
      <c r="E841" s="57" t="s">
        <v>1114</v>
      </c>
      <c r="F841" s="57" t="s">
        <v>75</v>
      </c>
      <c r="G841" s="57" t="s">
        <v>35</v>
      </c>
      <c r="H841" s="57" t="s">
        <v>36</v>
      </c>
      <c r="I841" s="59" t="n">
        <v>1</v>
      </c>
      <c r="J841" s="60" t="n">
        <v>179</v>
      </c>
      <c r="K841" s="60" t="n">
        <v>92</v>
      </c>
      <c r="L841" s="61" t="n">
        <f aca="false">I841*J841</f>
        <v>179</v>
      </c>
      <c r="M841" s="61" t="n">
        <f aca="false">L841-I841*K841</f>
        <v>87</v>
      </c>
      <c r="N841" s="57" t="n">
        <f aca="false">IF(COUNTIFS(E$2:E841,E841,C$2:C841,C841)=1,1,0)</f>
        <v>0</v>
      </c>
      <c r="O841" s="57" t="n">
        <f aca="false">IF(COUNTIFS(E$2:E841,E841,C$2:C841,C841,D$2:D841,D841)=1,1,0)</f>
        <v>1</v>
      </c>
      <c r="P841" s="57" t="n">
        <f aca="false">IF(AND(C841=Calc!$C$3,OR(Calc!$C$4=0,D841=Calc!$C$4)),ROW(),0)</f>
        <v>0</v>
      </c>
    </row>
    <row r="842" customFormat="false" ht="15" hidden="false" customHeight="false" outlineLevel="0" collapsed="false">
      <c r="A842" s="57" t="s">
        <v>1272</v>
      </c>
      <c r="B842" s="58" t="n">
        <v>45545</v>
      </c>
      <c r="C842" s="57" t="n">
        <f aca="false">YEAR(B842)</f>
        <v>2024</v>
      </c>
      <c r="D842" s="57" t="n">
        <f aca="false">MONTH(B842)</f>
        <v>9</v>
      </c>
      <c r="E842" s="57" t="s">
        <v>302</v>
      </c>
      <c r="F842" s="57" t="s">
        <v>81</v>
      </c>
      <c r="G842" s="57" t="s">
        <v>35</v>
      </c>
      <c r="H842" s="57" t="s">
        <v>36</v>
      </c>
      <c r="I842" s="59" t="n">
        <v>1</v>
      </c>
      <c r="J842" s="60" t="n">
        <v>179</v>
      </c>
      <c r="K842" s="60" t="n">
        <v>92</v>
      </c>
      <c r="L842" s="61" t="n">
        <f aca="false">I842*J842</f>
        <v>179</v>
      </c>
      <c r="M842" s="61" t="n">
        <f aca="false">L842-I842*K842</f>
        <v>87</v>
      </c>
      <c r="N842" s="57" t="n">
        <f aca="false">IF(COUNTIFS(E$2:E842,E842,C$2:C842,C842)=1,1,0)</f>
        <v>0</v>
      </c>
      <c r="O842" s="57" t="n">
        <f aca="false">IF(COUNTIFS(E$2:E842,E842,C$2:C842,C842,D$2:D842,D842)=1,1,0)</f>
        <v>1</v>
      </c>
      <c r="P842" s="57" t="n">
        <f aca="false">IF(AND(C842=Calc!$C$3,OR(Calc!$C$4=0,D842=Calc!$C$4)),ROW(),0)</f>
        <v>0</v>
      </c>
    </row>
    <row r="843" customFormat="false" ht="15" hidden="false" customHeight="false" outlineLevel="0" collapsed="false">
      <c r="A843" s="57" t="s">
        <v>1273</v>
      </c>
      <c r="B843" s="58" t="n">
        <v>45545</v>
      </c>
      <c r="C843" s="57" t="n">
        <f aca="false">YEAR(B843)</f>
        <v>2024</v>
      </c>
      <c r="D843" s="57" t="n">
        <f aca="false">MONTH(B843)</f>
        <v>9</v>
      </c>
      <c r="E843" s="57" t="s">
        <v>185</v>
      </c>
      <c r="F843" s="57" t="s">
        <v>81</v>
      </c>
      <c r="G843" s="57" t="s">
        <v>35</v>
      </c>
      <c r="H843" s="57" t="s">
        <v>36</v>
      </c>
      <c r="I843" s="59" t="n">
        <v>1</v>
      </c>
      <c r="J843" s="60" t="n">
        <v>179</v>
      </c>
      <c r="K843" s="60" t="n">
        <v>92</v>
      </c>
      <c r="L843" s="61" t="n">
        <f aca="false">I843*J843</f>
        <v>179</v>
      </c>
      <c r="M843" s="61" t="n">
        <f aca="false">L843-I843*K843</f>
        <v>87</v>
      </c>
      <c r="N843" s="57" t="n">
        <f aca="false">IF(COUNTIFS(E$2:E843,E843,C$2:C843,C843)=1,1,0)</f>
        <v>0</v>
      </c>
      <c r="O843" s="57" t="n">
        <f aca="false">IF(COUNTIFS(E$2:E843,E843,C$2:C843,C843,D$2:D843,D843)=1,1,0)</f>
        <v>1</v>
      </c>
      <c r="P843" s="57" t="n">
        <f aca="false">IF(AND(C843=Calc!$C$3,OR(Calc!$C$4=0,D843=Calc!$C$4)),ROW(),0)</f>
        <v>0</v>
      </c>
    </row>
    <row r="844" customFormat="false" ht="15" hidden="false" customHeight="false" outlineLevel="0" collapsed="false">
      <c r="A844" s="57" t="s">
        <v>1274</v>
      </c>
      <c r="B844" s="58" t="n">
        <v>45545</v>
      </c>
      <c r="C844" s="57" t="n">
        <f aca="false">YEAR(B844)</f>
        <v>2024</v>
      </c>
      <c r="D844" s="57" t="n">
        <f aca="false">MONTH(B844)</f>
        <v>9</v>
      </c>
      <c r="E844" s="57" t="s">
        <v>1275</v>
      </c>
      <c r="F844" s="57" t="s">
        <v>72</v>
      </c>
      <c r="G844" s="57" t="s">
        <v>35</v>
      </c>
      <c r="H844" s="57" t="s">
        <v>34</v>
      </c>
      <c r="I844" s="59" t="n">
        <v>1</v>
      </c>
      <c r="J844" s="60" t="n">
        <v>89</v>
      </c>
      <c r="K844" s="60" t="n">
        <v>41</v>
      </c>
      <c r="L844" s="61" t="n">
        <f aca="false">I844*J844</f>
        <v>89</v>
      </c>
      <c r="M844" s="61" t="n">
        <f aca="false">L844-I844*K844</f>
        <v>48</v>
      </c>
      <c r="N844" s="57" t="n">
        <f aca="false">IF(COUNTIFS(E$2:E844,E844,C$2:C844,C844)=1,1,0)</f>
        <v>1</v>
      </c>
      <c r="O844" s="57" t="n">
        <f aca="false">IF(COUNTIFS(E$2:E844,E844,C$2:C844,C844,D$2:D844,D844)=1,1,0)</f>
        <v>1</v>
      </c>
      <c r="P844" s="57" t="n">
        <f aca="false">IF(AND(C844=Calc!$C$3,OR(Calc!$C$4=0,D844=Calc!$C$4)),ROW(),0)</f>
        <v>0</v>
      </c>
    </row>
    <row r="845" customFormat="false" ht="15" hidden="false" customHeight="false" outlineLevel="0" collapsed="false">
      <c r="A845" s="57" t="s">
        <v>1276</v>
      </c>
      <c r="B845" s="58" t="n">
        <v>45546</v>
      </c>
      <c r="C845" s="57" t="n">
        <f aca="false">YEAR(B845)</f>
        <v>2024</v>
      </c>
      <c r="D845" s="57" t="n">
        <f aca="false">MONTH(B845)</f>
        <v>9</v>
      </c>
      <c r="E845" s="57" t="s">
        <v>1277</v>
      </c>
      <c r="F845" s="57" t="s">
        <v>72</v>
      </c>
      <c r="G845" s="57" t="s">
        <v>50</v>
      </c>
      <c r="H845" s="57" t="s">
        <v>52</v>
      </c>
      <c r="I845" s="59" t="n">
        <v>1</v>
      </c>
      <c r="J845" s="60" t="n">
        <v>45</v>
      </c>
      <c r="K845" s="60" t="n">
        <v>14</v>
      </c>
      <c r="L845" s="61" t="n">
        <f aca="false">I845*J845</f>
        <v>45</v>
      </c>
      <c r="M845" s="61" t="n">
        <f aca="false">L845-I845*K845</f>
        <v>31</v>
      </c>
      <c r="N845" s="57" t="n">
        <f aca="false">IF(COUNTIFS(E$2:E845,E845,C$2:C845,C845)=1,1,0)</f>
        <v>1</v>
      </c>
      <c r="O845" s="57" t="n">
        <f aca="false">IF(COUNTIFS(E$2:E845,E845,C$2:C845,C845,D$2:D845,D845)=1,1,0)</f>
        <v>1</v>
      </c>
      <c r="P845" s="57" t="n">
        <f aca="false">IF(AND(C845=Calc!$C$3,OR(Calc!$C$4=0,D845=Calc!$C$4)),ROW(),0)</f>
        <v>0</v>
      </c>
    </row>
    <row r="846" customFormat="false" ht="15" hidden="false" customHeight="false" outlineLevel="0" collapsed="false">
      <c r="A846" s="57" t="s">
        <v>1278</v>
      </c>
      <c r="B846" s="58" t="n">
        <v>45546</v>
      </c>
      <c r="C846" s="57" t="n">
        <f aca="false">YEAR(B846)</f>
        <v>2024</v>
      </c>
      <c r="D846" s="57" t="n">
        <f aca="false">MONTH(B846)</f>
        <v>9</v>
      </c>
      <c r="E846" s="57" t="s">
        <v>428</v>
      </c>
      <c r="F846" s="57" t="s">
        <v>78</v>
      </c>
      <c r="G846" s="57" t="s">
        <v>45</v>
      </c>
      <c r="H846" s="57" t="s">
        <v>46</v>
      </c>
      <c r="I846" s="59" t="n">
        <v>1</v>
      </c>
      <c r="J846" s="60" t="n">
        <v>149</v>
      </c>
      <c r="K846" s="60" t="n">
        <v>71</v>
      </c>
      <c r="L846" s="61" t="n">
        <f aca="false">I846*J846</f>
        <v>149</v>
      </c>
      <c r="M846" s="61" t="n">
        <f aca="false">L846-I846*K846</f>
        <v>78</v>
      </c>
      <c r="N846" s="57" t="n">
        <f aca="false">IF(COUNTIFS(E$2:E846,E846,C$2:C846,C846)=1,1,0)</f>
        <v>0</v>
      </c>
      <c r="O846" s="57" t="n">
        <f aca="false">IF(COUNTIFS(E$2:E846,E846,C$2:C846,C846,D$2:D846,D846)=1,1,0)</f>
        <v>1</v>
      </c>
      <c r="P846" s="57" t="n">
        <f aca="false">IF(AND(C846=Calc!$C$3,OR(Calc!$C$4=0,D846=Calc!$C$4)),ROW(),0)</f>
        <v>0</v>
      </c>
    </row>
    <row r="847" customFormat="false" ht="15" hidden="false" customHeight="false" outlineLevel="0" collapsed="false">
      <c r="A847" s="57" t="s">
        <v>1279</v>
      </c>
      <c r="B847" s="58" t="n">
        <v>45546</v>
      </c>
      <c r="C847" s="57" t="n">
        <f aca="false">YEAR(B847)</f>
        <v>2024</v>
      </c>
      <c r="D847" s="57" t="n">
        <f aca="false">MONTH(B847)</f>
        <v>9</v>
      </c>
      <c r="E847" s="57" t="s">
        <v>486</v>
      </c>
      <c r="F847" s="57" t="s">
        <v>75</v>
      </c>
      <c r="G847" s="57" t="s">
        <v>35</v>
      </c>
      <c r="H847" s="57" t="s">
        <v>38</v>
      </c>
      <c r="I847" s="59" t="n">
        <v>1</v>
      </c>
      <c r="J847" s="60" t="n">
        <v>49</v>
      </c>
      <c r="K847" s="60" t="n">
        <v>22</v>
      </c>
      <c r="L847" s="61" t="n">
        <f aca="false">I847*J847</f>
        <v>49</v>
      </c>
      <c r="M847" s="61" t="n">
        <f aca="false">L847-I847*K847</f>
        <v>27</v>
      </c>
      <c r="N847" s="57" t="n">
        <f aca="false">IF(COUNTIFS(E$2:E847,E847,C$2:C847,C847)=1,1,0)</f>
        <v>0</v>
      </c>
      <c r="O847" s="57" t="n">
        <f aca="false">IF(COUNTIFS(E$2:E847,E847,C$2:C847,C847,D$2:D847,D847)=1,1,0)</f>
        <v>1</v>
      </c>
      <c r="P847" s="57" t="n">
        <f aca="false">IF(AND(C847=Calc!$C$3,OR(Calc!$C$4=0,D847=Calc!$C$4)),ROW(),0)</f>
        <v>0</v>
      </c>
    </row>
    <row r="848" customFormat="false" ht="15" hidden="false" customHeight="false" outlineLevel="0" collapsed="false">
      <c r="A848" s="57" t="s">
        <v>1280</v>
      </c>
      <c r="B848" s="58" t="n">
        <v>45546</v>
      </c>
      <c r="C848" s="57" t="n">
        <f aca="false">YEAR(B848)</f>
        <v>2024</v>
      </c>
      <c r="D848" s="57" t="n">
        <f aca="false">MONTH(B848)</f>
        <v>9</v>
      </c>
      <c r="E848" s="57" t="s">
        <v>884</v>
      </c>
      <c r="F848" s="57" t="s">
        <v>72</v>
      </c>
      <c r="G848" s="57" t="s">
        <v>40</v>
      </c>
      <c r="H848" s="57" t="s">
        <v>42</v>
      </c>
      <c r="I848" s="59" t="n">
        <v>1</v>
      </c>
      <c r="J848" s="60" t="n">
        <v>79</v>
      </c>
      <c r="K848" s="60" t="n">
        <v>31</v>
      </c>
      <c r="L848" s="61" t="n">
        <f aca="false">I848*J848</f>
        <v>79</v>
      </c>
      <c r="M848" s="61" t="n">
        <f aca="false">L848-I848*K848</f>
        <v>48</v>
      </c>
      <c r="N848" s="57" t="n">
        <f aca="false">IF(COUNTIFS(E$2:E848,E848,C$2:C848,C848)=1,1,0)</f>
        <v>0</v>
      </c>
      <c r="O848" s="57" t="n">
        <f aca="false">IF(COUNTIFS(E$2:E848,E848,C$2:C848,C848,D$2:D848,D848)=1,1,0)</f>
        <v>1</v>
      </c>
      <c r="P848" s="57" t="n">
        <f aca="false">IF(AND(C848=Calc!$C$3,OR(Calc!$C$4=0,D848=Calc!$C$4)),ROW(),0)</f>
        <v>0</v>
      </c>
    </row>
    <row r="849" customFormat="false" ht="15" hidden="false" customHeight="false" outlineLevel="0" collapsed="false">
      <c r="A849" s="57" t="s">
        <v>1281</v>
      </c>
      <c r="B849" s="58" t="n">
        <v>45547</v>
      </c>
      <c r="C849" s="57" t="n">
        <f aca="false">YEAR(B849)</f>
        <v>2024</v>
      </c>
      <c r="D849" s="57" t="n">
        <f aca="false">MONTH(B849)</f>
        <v>9</v>
      </c>
      <c r="E849" s="57" t="s">
        <v>1032</v>
      </c>
      <c r="F849" s="57" t="s">
        <v>75</v>
      </c>
      <c r="G849" s="57" t="s">
        <v>35</v>
      </c>
      <c r="H849" s="57" t="s">
        <v>38</v>
      </c>
      <c r="I849" s="59" t="n">
        <v>1</v>
      </c>
      <c r="J849" s="60" t="n">
        <v>49</v>
      </c>
      <c r="K849" s="60" t="n">
        <v>22</v>
      </c>
      <c r="L849" s="61" t="n">
        <f aca="false">I849*J849</f>
        <v>49</v>
      </c>
      <c r="M849" s="61" t="n">
        <f aca="false">L849-I849*K849</f>
        <v>27</v>
      </c>
      <c r="N849" s="57" t="n">
        <f aca="false">IF(COUNTIFS(E$2:E849,E849,C$2:C849,C849)=1,1,0)</f>
        <v>0</v>
      </c>
      <c r="O849" s="57" t="n">
        <f aca="false">IF(COUNTIFS(E$2:E849,E849,C$2:C849,C849,D$2:D849,D849)=1,1,0)</f>
        <v>1</v>
      </c>
      <c r="P849" s="57" t="n">
        <f aca="false">IF(AND(C849=Calc!$C$3,OR(Calc!$C$4=0,D849=Calc!$C$4)),ROW(),0)</f>
        <v>0</v>
      </c>
    </row>
    <row r="850" customFormat="false" ht="15" hidden="false" customHeight="false" outlineLevel="0" collapsed="false">
      <c r="A850" s="57" t="s">
        <v>1282</v>
      </c>
      <c r="B850" s="58" t="n">
        <v>45547</v>
      </c>
      <c r="C850" s="57" t="n">
        <f aca="false">YEAR(B850)</f>
        <v>2024</v>
      </c>
      <c r="D850" s="57" t="n">
        <f aca="false">MONTH(B850)</f>
        <v>9</v>
      </c>
      <c r="E850" s="57" t="s">
        <v>836</v>
      </c>
      <c r="F850" s="57" t="s">
        <v>69</v>
      </c>
      <c r="G850" s="57" t="s">
        <v>35</v>
      </c>
      <c r="H850" s="57" t="s">
        <v>34</v>
      </c>
      <c r="I850" s="59" t="n">
        <v>1</v>
      </c>
      <c r="J850" s="60" t="n">
        <v>89</v>
      </c>
      <c r="K850" s="60" t="n">
        <v>41</v>
      </c>
      <c r="L850" s="61" t="n">
        <f aca="false">I850*J850</f>
        <v>89</v>
      </c>
      <c r="M850" s="61" t="n">
        <f aca="false">L850-I850*K850</f>
        <v>48</v>
      </c>
      <c r="N850" s="57" t="n">
        <f aca="false">IF(COUNTIFS(E$2:E850,E850,C$2:C850,C850)=1,1,0)</f>
        <v>0</v>
      </c>
      <c r="O850" s="57" t="n">
        <f aca="false">IF(COUNTIFS(E$2:E850,E850,C$2:C850,C850,D$2:D850,D850)=1,1,0)</f>
        <v>0</v>
      </c>
      <c r="P850" s="57" t="n">
        <f aca="false">IF(AND(C850=Calc!$C$3,OR(Calc!$C$4=0,D850=Calc!$C$4)),ROW(),0)</f>
        <v>0</v>
      </c>
    </row>
    <row r="851" customFormat="false" ht="15" hidden="false" customHeight="false" outlineLevel="0" collapsed="false">
      <c r="A851" s="57" t="s">
        <v>1283</v>
      </c>
      <c r="B851" s="58" t="n">
        <v>45547</v>
      </c>
      <c r="C851" s="57" t="n">
        <f aca="false">YEAR(B851)</f>
        <v>2024</v>
      </c>
      <c r="D851" s="57" t="n">
        <f aca="false">MONTH(B851)</f>
        <v>9</v>
      </c>
      <c r="E851" s="57" t="s">
        <v>641</v>
      </c>
      <c r="F851" s="57" t="s">
        <v>75</v>
      </c>
      <c r="G851" s="57" t="s">
        <v>35</v>
      </c>
      <c r="H851" s="57" t="s">
        <v>37</v>
      </c>
      <c r="I851" s="59" t="n">
        <v>1</v>
      </c>
      <c r="J851" s="60" t="n">
        <v>59</v>
      </c>
      <c r="K851" s="60" t="n">
        <v>27</v>
      </c>
      <c r="L851" s="61" t="n">
        <f aca="false">I851*J851</f>
        <v>59</v>
      </c>
      <c r="M851" s="61" t="n">
        <f aca="false">L851-I851*K851</f>
        <v>32</v>
      </c>
      <c r="N851" s="57" t="n">
        <f aca="false">IF(COUNTIFS(E$2:E851,E851,C$2:C851,C851)=1,1,0)</f>
        <v>0</v>
      </c>
      <c r="O851" s="57" t="n">
        <f aca="false">IF(COUNTIFS(E$2:E851,E851,C$2:C851,C851,D$2:D851,D851)=1,1,0)</f>
        <v>1</v>
      </c>
      <c r="P851" s="57" t="n">
        <f aca="false">IF(AND(C851=Calc!$C$3,OR(Calc!$C$4=0,D851=Calc!$C$4)),ROW(),0)</f>
        <v>0</v>
      </c>
    </row>
    <row r="852" customFormat="false" ht="15" hidden="false" customHeight="false" outlineLevel="0" collapsed="false">
      <c r="A852" s="57" t="s">
        <v>1284</v>
      </c>
      <c r="B852" s="58" t="n">
        <v>45548</v>
      </c>
      <c r="C852" s="57" t="n">
        <f aca="false">YEAR(B852)</f>
        <v>2024</v>
      </c>
      <c r="D852" s="57" t="n">
        <f aca="false">MONTH(B852)</f>
        <v>9</v>
      </c>
      <c r="E852" s="57" t="s">
        <v>1266</v>
      </c>
      <c r="F852" s="57" t="s">
        <v>72</v>
      </c>
      <c r="G852" s="57" t="s">
        <v>35</v>
      </c>
      <c r="H852" s="57" t="s">
        <v>38</v>
      </c>
      <c r="I852" s="59" t="n">
        <v>1</v>
      </c>
      <c r="J852" s="60" t="n">
        <v>49</v>
      </c>
      <c r="K852" s="60" t="n">
        <v>22</v>
      </c>
      <c r="L852" s="61" t="n">
        <f aca="false">I852*J852</f>
        <v>49</v>
      </c>
      <c r="M852" s="61" t="n">
        <f aca="false">L852-I852*K852</f>
        <v>27</v>
      </c>
      <c r="N852" s="57" t="n">
        <f aca="false">IF(COUNTIFS(E$2:E852,E852,C$2:C852,C852)=1,1,0)</f>
        <v>0</v>
      </c>
      <c r="O852" s="57" t="n">
        <f aca="false">IF(COUNTIFS(E$2:E852,E852,C$2:C852,C852,D$2:D852,D852)=1,1,0)</f>
        <v>0</v>
      </c>
      <c r="P852" s="57" t="n">
        <f aca="false">IF(AND(C852=Calc!$C$3,OR(Calc!$C$4=0,D852=Calc!$C$4)),ROW(),0)</f>
        <v>0</v>
      </c>
    </row>
    <row r="853" customFormat="false" ht="15" hidden="false" customHeight="false" outlineLevel="0" collapsed="false">
      <c r="A853" s="57" t="s">
        <v>1285</v>
      </c>
      <c r="B853" s="58" t="n">
        <v>45548</v>
      </c>
      <c r="C853" s="57" t="n">
        <f aca="false">YEAR(B853)</f>
        <v>2024</v>
      </c>
      <c r="D853" s="57" t="n">
        <f aca="false">MONTH(B853)</f>
        <v>9</v>
      </c>
      <c r="E853" s="57" t="s">
        <v>446</v>
      </c>
      <c r="F853" s="57" t="s">
        <v>75</v>
      </c>
      <c r="G853" s="57" t="s">
        <v>35</v>
      </c>
      <c r="H853" s="57" t="s">
        <v>36</v>
      </c>
      <c r="I853" s="59" t="n">
        <v>1</v>
      </c>
      <c r="J853" s="60" t="n">
        <v>179</v>
      </c>
      <c r="K853" s="60" t="n">
        <v>92</v>
      </c>
      <c r="L853" s="61" t="n">
        <f aca="false">I853*J853</f>
        <v>179</v>
      </c>
      <c r="M853" s="61" t="n">
        <f aca="false">L853-I853*K853</f>
        <v>87</v>
      </c>
      <c r="N853" s="57" t="n">
        <f aca="false">IF(COUNTIFS(E$2:E853,E853,C$2:C853,C853)=1,1,0)</f>
        <v>0</v>
      </c>
      <c r="O853" s="57" t="n">
        <f aca="false">IF(COUNTIFS(E$2:E853,E853,C$2:C853,C853,D$2:D853,D853)=1,1,0)</f>
        <v>1</v>
      </c>
      <c r="P853" s="57" t="n">
        <f aca="false">IF(AND(C853=Calc!$C$3,OR(Calc!$C$4=0,D853=Calc!$C$4)),ROW(),0)</f>
        <v>0</v>
      </c>
    </row>
    <row r="854" customFormat="false" ht="15" hidden="false" customHeight="false" outlineLevel="0" collapsed="false">
      <c r="A854" s="57" t="s">
        <v>1286</v>
      </c>
      <c r="B854" s="58" t="n">
        <v>45548</v>
      </c>
      <c r="C854" s="57" t="n">
        <f aca="false">YEAR(B854)</f>
        <v>2024</v>
      </c>
      <c r="D854" s="57" t="n">
        <f aca="false">MONTH(B854)</f>
        <v>9</v>
      </c>
      <c r="E854" s="57" t="s">
        <v>275</v>
      </c>
      <c r="F854" s="57" t="s">
        <v>75</v>
      </c>
      <c r="G854" s="57" t="s">
        <v>35</v>
      </c>
      <c r="H854" s="57" t="s">
        <v>38</v>
      </c>
      <c r="I854" s="59" t="n">
        <v>1</v>
      </c>
      <c r="J854" s="60" t="n">
        <v>49</v>
      </c>
      <c r="K854" s="60" t="n">
        <v>22</v>
      </c>
      <c r="L854" s="61" t="n">
        <f aca="false">I854*J854</f>
        <v>49</v>
      </c>
      <c r="M854" s="61" t="n">
        <f aca="false">L854-I854*K854</f>
        <v>27</v>
      </c>
      <c r="N854" s="57" t="n">
        <f aca="false">IF(COUNTIFS(E$2:E854,E854,C$2:C854,C854)=1,1,0)</f>
        <v>0</v>
      </c>
      <c r="O854" s="57" t="n">
        <f aca="false">IF(COUNTIFS(E$2:E854,E854,C$2:C854,C854,D$2:D854,D854)=1,1,0)</f>
        <v>1</v>
      </c>
      <c r="P854" s="57" t="n">
        <f aca="false">IF(AND(C854=Calc!$C$3,OR(Calc!$C$4=0,D854=Calc!$C$4)),ROW(),0)</f>
        <v>0</v>
      </c>
    </row>
    <row r="855" customFormat="false" ht="15" hidden="false" customHeight="false" outlineLevel="0" collapsed="false">
      <c r="A855" s="57" t="s">
        <v>1287</v>
      </c>
      <c r="B855" s="58" t="n">
        <v>45548</v>
      </c>
      <c r="C855" s="57" t="n">
        <f aca="false">YEAR(B855)</f>
        <v>2024</v>
      </c>
      <c r="D855" s="57" t="n">
        <f aca="false">MONTH(B855)</f>
        <v>9</v>
      </c>
      <c r="E855" s="57" t="s">
        <v>80</v>
      </c>
      <c r="F855" s="57" t="s">
        <v>81</v>
      </c>
      <c r="G855" s="57" t="s">
        <v>35</v>
      </c>
      <c r="H855" s="57" t="s">
        <v>36</v>
      </c>
      <c r="I855" s="59" t="n">
        <v>1</v>
      </c>
      <c r="J855" s="60" t="n">
        <v>179</v>
      </c>
      <c r="K855" s="60" t="n">
        <v>92</v>
      </c>
      <c r="L855" s="61" t="n">
        <f aca="false">I855*J855</f>
        <v>179</v>
      </c>
      <c r="M855" s="61" t="n">
        <f aca="false">L855-I855*K855</f>
        <v>87</v>
      </c>
      <c r="N855" s="57" t="n">
        <f aca="false">IF(COUNTIFS(E$2:E855,E855,C$2:C855,C855)=1,1,0)</f>
        <v>0</v>
      </c>
      <c r="O855" s="57" t="n">
        <f aca="false">IF(COUNTIFS(E$2:E855,E855,C$2:C855,C855,D$2:D855,D855)=1,1,0)</f>
        <v>1</v>
      </c>
      <c r="P855" s="57" t="n">
        <f aca="false">IF(AND(C855=Calc!$C$3,OR(Calc!$C$4=0,D855=Calc!$C$4)),ROW(),0)</f>
        <v>0</v>
      </c>
    </row>
    <row r="856" customFormat="false" ht="15" hidden="false" customHeight="false" outlineLevel="0" collapsed="false">
      <c r="A856" s="57" t="s">
        <v>1288</v>
      </c>
      <c r="B856" s="58" t="n">
        <v>45549</v>
      </c>
      <c r="C856" s="57" t="n">
        <f aca="false">YEAR(B856)</f>
        <v>2024</v>
      </c>
      <c r="D856" s="57" t="n">
        <f aca="false">MONTH(B856)</f>
        <v>9</v>
      </c>
      <c r="E856" s="57" t="s">
        <v>758</v>
      </c>
      <c r="F856" s="57" t="s">
        <v>72</v>
      </c>
      <c r="G856" s="57" t="s">
        <v>40</v>
      </c>
      <c r="H856" s="57" t="s">
        <v>41</v>
      </c>
      <c r="I856" s="59" t="n">
        <v>1</v>
      </c>
      <c r="J856" s="60" t="n">
        <v>46</v>
      </c>
      <c r="K856" s="60" t="n">
        <v>16</v>
      </c>
      <c r="L856" s="61" t="n">
        <f aca="false">I856*J856</f>
        <v>46</v>
      </c>
      <c r="M856" s="61" t="n">
        <f aca="false">L856-I856*K856</f>
        <v>30</v>
      </c>
      <c r="N856" s="57" t="n">
        <f aca="false">IF(COUNTIFS(E$2:E856,E856,C$2:C856,C856)=1,1,0)</f>
        <v>0</v>
      </c>
      <c r="O856" s="57" t="n">
        <f aca="false">IF(COUNTIFS(E$2:E856,E856,C$2:C856,C856,D$2:D856,D856)=1,1,0)</f>
        <v>1</v>
      </c>
      <c r="P856" s="57" t="n">
        <f aca="false">IF(AND(C856=Calc!$C$3,OR(Calc!$C$4=0,D856=Calc!$C$4)),ROW(),0)</f>
        <v>0</v>
      </c>
    </row>
    <row r="857" customFormat="false" ht="15" hidden="false" customHeight="false" outlineLevel="0" collapsed="false">
      <c r="A857" s="57" t="s">
        <v>1289</v>
      </c>
      <c r="B857" s="58" t="n">
        <v>45549</v>
      </c>
      <c r="C857" s="57" t="n">
        <f aca="false">YEAR(B857)</f>
        <v>2024</v>
      </c>
      <c r="D857" s="57" t="n">
        <f aca="false">MONTH(B857)</f>
        <v>9</v>
      </c>
      <c r="E857" s="57" t="s">
        <v>1290</v>
      </c>
      <c r="F857" s="57" t="s">
        <v>75</v>
      </c>
      <c r="G857" s="57" t="s">
        <v>40</v>
      </c>
      <c r="H857" s="57" t="s">
        <v>43</v>
      </c>
      <c r="I857" s="59" t="n">
        <v>2</v>
      </c>
      <c r="J857" s="60" t="n">
        <v>29</v>
      </c>
      <c r="K857" s="60" t="n">
        <v>9</v>
      </c>
      <c r="L857" s="61" t="n">
        <f aca="false">I857*J857</f>
        <v>58</v>
      </c>
      <c r="M857" s="61" t="n">
        <f aca="false">L857-I857*K857</f>
        <v>40</v>
      </c>
      <c r="N857" s="57" t="n">
        <f aca="false">IF(COUNTIFS(E$2:E857,E857,C$2:C857,C857)=1,1,0)</f>
        <v>1</v>
      </c>
      <c r="O857" s="57" t="n">
        <f aca="false">IF(COUNTIFS(E$2:E857,E857,C$2:C857,C857,D$2:D857,D857)=1,1,0)</f>
        <v>1</v>
      </c>
      <c r="P857" s="57" t="n">
        <f aca="false">IF(AND(C857=Calc!$C$3,OR(Calc!$C$4=0,D857=Calc!$C$4)),ROW(),0)</f>
        <v>0</v>
      </c>
    </row>
    <row r="858" customFormat="false" ht="15" hidden="false" customHeight="false" outlineLevel="0" collapsed="false">
      <c r="A858" s="57" t="s">
        <v>1291</v>
      </c>
      <c r="B858" s="58" t="n">
        <v>45549</v>
      </c>
      <c r="C858" s="57" t="n">
        <f aca="false">YEAR(B858)</f>
        <v>2024</v>
      </c>
      <c r="D858" s="57" t="n">
        <f aca="false">MONTH(B858)</f>
        <v>9</v>
      </c>
      <c r="E858" s="57" t="s">
        <v>1292</v>
      </c>
      <c r="F858" s="57" t="s">
        <v>69</v>
      </c>
      <c r="G858" s="57" t="s">
        <v>45</v>
      </c>
      <c r="H858" s="57" t="s">
        <v>46</v>
      </c>
      <c r="I858" s="59" t="n">
        <v>2</v>
      </c>
      <c r="J858" s="60" t="n">
        <v>149</v>
      </c>
      <c r="K858" s="60" t="n">
        <v>71</v>
      </c>
      <c r="L858" s="61" t="n">
        <f aca="false">I858*J858</f>
        <v>298</v>
      </c>
      <c r="M858" s="61" t="n">
        <f aca="false">L858-I858*K858</f>
        <v>156</v>
      </c>
      <c r="N858" s="57" t="n">
        <f aca="false">IF(COUNTIFS(E$2:E858,E858,C$2:C858,C858)=1,1,0)</f>
        <v>1</v>
      </c>
      <c r="O858" s="57" t="n">
        <f aca="false">IF(COUNTIFS(E$2:E858,E858,C$2:C858,C858,D$2:D858,D858)=1,1,0)</f>
        <v>1</v>
      </c>
      <c r="P858" s="57" t="n">
        <f aca="false">IF(AND(C858=Calc!$C$3,OR(Calc!$C$4=0,D858=Calc!$C$4)),ROW(),0)</f>
        <v>0</v>
      </c>
    </row>
    <row r="859" customFormat="false" ht="15" hidden="false" customHeight="false" outlineLevel="0" collapsed="false">
      <c r="A859" s="57" t="s">
        <v>1293</v>
      </c>
      <c r="B859" s="58" t="n">
        <v>45549</v>
      </c>
      <c r="C859" s="57" t="n">
        <f aca="false">YEAR(B859)</f>
        <v>2024</v>
      </c>
      <c r="D859" s="57" t="n">
        <f aca="false">MONTH(B859)</f>
        <v>9</v>
      </c>
      <c r="E859" s="57" t="s">
        <v>1294</v>
      </c>
      <c r="F859" s="57" t="s">
        <v>81</v>
      </c>
      <c r="G859" s="57" t="s">
        <v>35</v>
      </c>
      <c r="H859" s="57" t="s">
        <v>38</v>
      </c>
      <c r="I859" s="59" t="n">
        <v>1</v>
      </c>
      <c r="J859" s="60" t="n">
        <v>49</v>
      </c>
      <c r="K859" s="60" t="n">
        <v>22</v>
      </c>
      <c r="L859" s="61" t="n">
        <f aca="false">I859*J859</f>
        <v>49</v>
      </c>
      <c r="M859" s="61" t="n">
        <f aca="false">L859-I859*K859</f>
        <v>27</v>
      </c>
      <c r="N859" s="57" t="n">
        <f aca="false">IF(COUNTIFS(E$2:E859,E859,C$2:C859,C859)=1,1,0)</f>
        <v>1</v>
      </c>
      <c r="O859" s="57" t="n">
        <f aca="false">IF(COUNTIFS(E$2:E859,E859,C$2:C859,C859,D$2:D859,D859)=1,1,0)</f>
        <v>1</v>
      </c>
      <c r="P859" s="57" t="n">
        <f aca="false">IF(AND(C859=Calc!$C$3,OR(Calc!$C$4=0,D859=Calc!$C$4)),ROW(),0)</f>
        <v>0</v>
      </c>
    </row>
    <row r="860" customFormat="false" ht="15" hidden="false" customHeight="false" outlineLevel="0" collapsed="false">
      <c r="A860" s="57" t="s">
        <v>1295</v>
      </c>
      <c r="B860" s="58" t="n">
        <v>45550</v>
      </c>
      <c r="C860" s="57" t="n">
        <f aca="false">YEAR(B860)</f>
        <v>2024</v>
      </c>
      <c r="D860" s="57" t="n">
        <f aca="false">MONTH(B860)</f>
        <v>9</v>
      </c>
      <c r="E860" s="57" t="s">
        <v>525</v>
      </c>
      <c r="F860" s="57" t="s">
        <v>78</v>
      </c>
      <c r="G860" s="57" t="s">
        <v>35</v>
      </c>
      <c r="H860" s="57" t="s">
        <v>36</v>
      </c>
      <c r="I860" s="59" t="n">
        <v>1</v>
      </c>
      <c r="J860" s="60" t="n">
        <v>179</v>
      </c>
      <c r="K860" s="60" t="n">
        <v>92</v>
      </c>
      <c r="L860" s="61" t="n">
        <f aca="false">I860*J860</f>
        <v>179</v>
      </c>
      <c r="M860" s="61" t="n">
        <f aca="false">L860-I860*K860</f>
        <v>87</v>
      </c>
      <c r="N860" s="57" t="n">
        <f aca="false">IF(COUNTIFS(E$2:E860,E860,C$2:C860,C860)=1,1,0)</f>
        <v>0</v>
      </c>
      <c r="O860" s="57" t="n">
        <f aca="false">IF(COUNTIFS(E$2:E860,E860,C$2:C860,C860,D$2:D860,D860)=1,1,0)</f>
        <v>1</v>
      </c>
      <c r="P860" s="57" t="n">
        <f aca="false">IF(AND(C860=Calc!$C$3,OR(Calc!$C$4=0,D860=Calc!$C$4)),ROW(),0)</f>
        <v>0</v>
      </c>
    </row>
    <row r="861" customFormat="false" ht="15" hidden="false" customHeight="false" outlineLevel="0" collapsed="false">
      <c r="A861" s="57" t="s">
        <v>1296</v>
      </c>
      <c r="B861" s="58" t="n">
        <v>45550</v>
      </c>
      <c r="C861" s="57" t="n">
        <f aca="false">YEAR(B861)</f>
        <v>2024</v>
      </c>
      <c r="D861" s="57" t="n">
        <f aca="false">MONTH(B861)</f>
        <v>9</v>
      </c>
      <c r="E861" s="57" t="s">
        <v>342</v>
      </c>
      <c r="F861" s="57" t="s">
        <v>78</v>
      </c>
      <c r="G861" s="57" t="s">
        <v>45</v>
      </c>
      <c r="H861" s="57" t="s">
        <v>46</v>
      </c>
      <c r="I861" s="59" t="n">
        <v>1</v>
      </c>
      <c r="J861" s="60" t="n">
        <v>149</v>
      </c>
      <c r="K861" s="60" t="n">
        <v>71</v>
      </c>
      <c r="L861" s="61" t="n">
        <f aca="false">I861*J861</f>
        <v>149</v>
      </c>
      <c r="M861" s="61" t="n">
        <f aca="false">L861-I861*K861</f>
        <v>78</v>
      </c>
      <c r="N861" s="57" t="n">
        <f aca="false">IF(COUNTIFS(E$2:E861,E861,C$2:C861,C861)=1,1,0)</f>
        <v>0</v>
      </c>
      <c r="O861" s="57" t="n">
        <f aca="false">IF(COUNTIFS(E$2:E861,E861,C$2:C861,C861,D$2:D861,D861)=1,1,0)</f>
        <v>1</v>
      </c>
      <c r="P861" s="57" t="n">
        <f aca="false">IF(AND(C861=Calc!$C$3,OR(Calc!$C$4=0,D861=Calc!$C$4)),ROW(),0)</f>
        <v>0</v>
      </c>
    </row>
    <row r="862" customFormat="false" ht="15" hidden="false" customHeight="false" outlineLevel="0" collapsed="false">
      <c r="A862" s="57" t="s">
        <v>1297</v>
      </c>
      <c r="B862" s="58" t="n">
        <v>45550</v>
      </c>
      <c r="C862" s="57" t="n">
        <f aca="false">YEAR(B862)</f>
        <v>2024</v>
      </c>
      <c r="D862" s="57" t="n">
        <f aca="false">MONTH(B862)</f>
        <v>9</v>
      </c>
      <c r="E862" s="57" t="s">
        <v>309</v>
      </c>
      <c r="F862" s="57" t="s">
        <v>81</v>
      </c>
      <c r="G862" s="57" t="s">
        <v>50</v>
      </c>
      <c r="H862" s="57" t="s">
        <v>51</v>
      </c>
      <c r="I862" s="59" t="n">
        <v>1</v>
      </c>
      <c r="J862" s="60" t="n">
        <v>69</v>
      </c>
      <c r="K862" s="60" t="n">
        <v>29</v>
      </c>
      <c r="L862" s="61" t="n">
        <f aca="false">I862*J862</f>
        <v>69</v>
      </c>
      <c r="M862" s="61" t="n">
        <f aca="false">L862-I862*K862</f>
        <v>40</v>
      </c>
      <c r="N862" s="57" t="n">
        <f aca="false">IF(COUNTIFS(E$2:E862,E862,C$2:C862,C862)=1,1,0)</f>
        <v>0</v>
      </c>
      <c r="O862" s="57" t="n">
        <f aca="false">IF(COUNTIFS(E$2:E862,E862,C$2:C862,C862,D$2:D862,D862)=1,1,0)</f>
        <v>1</v>
      </c>
      <c r="P862" s="57" t="n">
        <f aca="false">IF(AND(C862=Calc!$C$3,OR(Calc!$C$4=0,D862=Calc!$C$4)),ROW(),0)</f>
        <v>0</v>
      </c>
    </row>
    <row r="863" customFormat="false" ht="15" hidden="false" customHeight="false" outlineLevel="0" collapsed="false">
      <c r="A863" s="57" t="s">
        <v>1298</v>
      </c>
      <c r="B863" s="58" t="n">
        <v>45550</v>
      </c>
      <c r="C863" s="57" t="n">
        <f aca="false">YEAR(B863)</f>
        <v>2024</v>
      </c>
      <c r="D863" s="57" t="n">
        <f aca="false">MONTH(B863)</f>
        <v>9</v>
      </c>
      <c r="E863" s="57" t="s">
        <v>479</v>
      </c>
      <c r="F863" s="57" t="s">
        <v>72</v>
      </c>
      <c r="G863" s="57" t="s">
        <v>40</v>
      </c>
      <c r="H863" s="57" t="s">
        <v>41</v>
      </c>
      <c r="I863" s="59" t="n">
        <v>1</v>
      </c>
      <c r="J863" s="60" t="n">
        <v>46</v>
      </c>
      <c r="K863" s="60" t="n">
        <v>16</v>
      </c>
      <c r="L863" s="61" t="n">
        <f aca="false">I863*J863</f>
        <v>46</v>
      </c>
      <c r="M863" s="61" t="n">
        <f aca="false">L863-I863*K863</f>
        <v>30</v>
      </c>
      <c r="N863" s="57" t="n">
        <f aca="false">IF(COUNTIFS(E$2:E863,E863,C$2:C863,C863)=1,1,0)</f>
        <v>0</v>
      </c>
      <c r="O863" s="57" t="n">
        <f aca="false">IF(COUNTIFS(E$2:E863,E863,C$2:C863,C863,D$2:D863,D863)=1,1,0)</f>
        <v>1</v>
      </c>
      <c r="P863" s="57" t="n">
        <f aca="false">IF(AND(C863=Calc!$C$3,OR(Calc!$C$4=0,D863=Calc!$C$4)),ROW(),0)</f>
        <v>0</v>
      </c>
    </row>
    <row r="864" customFormat="false" ht="15" hidden="false" customHeight="false" outlineLevel="0" collapsed="false">
      <c r="A864" s="57" t="s">
        <v>1299</v>
      </c>
      <c r="B864" s="58" t="n">
        <v>45550</v>
      </c>
      <c r="C864" s="57" t="n">
        <f aca="false">YEAR(B864)</f>
        <v>2024</v>
      </c>
      <c r="D864" s="57" t="n">
        <f aca="false">MONTH(B864)</f>
        <v>9</v>
      </c>
      <c r="E864" s="57" t="s">
        <v>231</v>
      </c>
      <c r="F864" s="57" t="s">
        <v>72</v>
      </c>
      <c r="G864" s="57" t="s">
        <v>45</v>
      </c>
      <c r="H864" s="57" t="s">
        <v>47</v>
      </c>
      <c r="I864" s="59" t="n">
        <v>2</v>
      </c>
      <c r="J864" s="60" t="n">
        <v>34</v>
      </c>
      <c r="K864" s="60" t="n">
        <v>12</v>
      </c>
      <c r="L864" s="61" t="n">
        <f aca="false">I864*J864</f>
        <v>68</v>
      </c>
      <c r="M864" s="61" t="n">
        <f aca="false">L864-I864*K864</f>
        <v>44</v>
      </c>
      <c r="N864" s="57" t="n">
        <f aca="false">IF(COUNTIFS(E$2:E864,E864,C$2:C864,C864)=1,1,0)</f>
        <v>0</v>
      </c>
      <c r="O864" s="57" t="n">
        <f aca="false">IF(COUNTIFS(E$2:E864,E864,C$2:C864,C864,D$2:D864,D864)=1,1,0)</f>
        <v>1</v>
      </c>
      <c r="P864" s="57" t="n">
        <f aca="false">IF(AND(C864=Calc!$C$3,OR(Calc!$C$4=0,D864=Calc!$C$4)),ROW(),0)</f>
        <v>0</v>
      </c>
    </row>
    <row r="865" customFormat="false" ht="15" hidden="false" customHeight="false" outlineLevel="0" collapsed="false">
      <c r="A865" s="57" t="s">
        <v>1300</v>
      </c>
      <c r="B865" s="58" t="n">
        <v>45551</v>
      </c>
      <c r="C865" s="57" t="n">
        <f aca="false">YEAR(B865)</f>
        <v>2024</v>
      </c>
      <c r="D865" s="57" t="n">
        <f aca="false">MONTH(B865)</f>
        <v>9</v>
      </c>
      <c r="E865" s="57" t="s">
        <v>193</v>
      </c>
      <c r="F865" s="57" t="s">
        <v>78</v>
      </c>
      <c r="G865" s="57" t="s">
        <v>40</v>
      </c>
      <c r="H865" s="57" t="s">
        <v>43</v>
      </c>
      <c r="I865" s="59" t="n">
        <v>1</v>
      </c>
      <c r="J865" s="60" t="n">
        <v>29</v>
      </c>
      <c r="K865" s="60" t="n">
        <v>9</v>
      </c>
      <c r="L865" s="61" t="n">
        <f aca="false">I865*J865</f>
        <v>29</v>
      </c>
      <c r="M865" s="61" t="n">
        <f aca="false">L865-I865*K865</f>
        <v>20</v>
      </c>
      <c r="N865" s="57" t="n">
        <f aca="false">IF(COUNTIFS(E$2:E865,E865,C$2:C865,C865)=1,1,0)</f>
        <v>0</v>
      </c>
      <c r="O865" s="57" t="n">
        <f aca="false">IF(COUNTIFS(E$2:E865,E865,C$2:C865,C865,D$2:D865,D865)=1,1,0)</f>
        <v>1</v>
      </c>
      <c r="P865" s="57" t="n">
        <f aca="false">IF(AND(C865=Calc!$C$3,OR(Calc!$C$4=0,D865=Calc!$C$4)),ROW(),0)</f>
        <v>0</v>
      </c>
    </row>
    <row r="866" customFormat="false" ht="15" hidden="false" customHeight="false" outlineLevel="0" collapsed="false">
      <c r="A866" s="57" t="s">
        <v>1301</v>
      </c>
      <c r="B866" s="58" t="n">
        <v>45551</v>
      </c>
      <c r="C866" s="57" t="n">
        <f aca="false">YEAR(B866)</f>
        <v>2024</v>
      </c>
      <c r="D866" s="57" t="n">
        <f aca="false">MONTH(B866)</f>
        <v>9</v>
      </c>
      <c r="E866" s="57" t="s">
        <v>1302</v>
      </c>
      <c r="F866" s="57" t="s">
        <v>81</v>
      </c>
      <c r="G866" s="57" t="s">
        <v>35</v>
      </c>
      <c r="H866" s="57" t="s">
        <v>38</v>
      </c>
      <c r="I866" s="59" t="n">
        <v>1</v>
      </c>
      <c r="J866" s="60" t="n">
        <v>49</v>
      </c>
      <c r="K866" s="60" t="n">
        <v>22</v>
      </c>
      <c r="L866" s="61" t="n">
        <f aca="false">I866*J866</f>
        <v>49</v>
      </c>
      <c r="M866" s="61" t="n">
        <f aca="false">L866-I866*K866</f>
        <v>27</v>
      </c>
      <c r="N866" s="57" t="n">
        <f aca="false">IF(COUNTIFS(E$2:E866,E866,C$2:C866,C866)=1,1,0)</f>
        <v>1</v>
      </c>
      <c r="O866" s="57" t="n">
        <f aca="false">IF(COUNTIFS(E$2:E866,E866,C$2:C866,C866,D$2:D866,D866)=1,1,0)</f>
        <v>1</v>
      </c>
      <c r="P866" s="57" t="n">
        <f aca="false">IF(AND(C866=Calc!$C$3,OR(Calc!$C$4=0,D866=Calc!$C$4)),ROW(),0)</f>
        <v>0</v>
      </c>
    </row>
    <row r="867" customFormat="false" ht="15" hidden="false" customHeight="false" outlineLevel="0" collapsed="false">
      <c r="A867" s="57" t="s">
        <v>1303</v>
      </c>
      <c r="B867" s="58" t="n">
        <v>45552</v>
      </c>
      <c r="C867" s="57" t="n">
        <f aca="false">YEAR(B867)</f>
        <v>2024</v>
      </c>
      <c r="D867" s="57" t="n">
        <f aca="false">MONTH(B867)</f>
        <v>9</v>
      </c>
      <c r="E867" s="57" t="s">
        <v>1304</v>
      </c>
      <c r="F867" s="57" t="s">
        <v>78</v>
      </c>
      <c r="G867" s="57" t="s">
        <v>45</v>
      </c>
      <c r="H867" s="57" t="s">
        <v>48</v>
      </c>
      <c r="I867" s="59" t="n">
        <v>2</v>
      </c>
      <c r="J867" s="60" t="n">
        <v>99</v>
      </c>
      <c r="K867" s="60" t="n">
        <v>38</v>
      </c>
      <c r="L867" s="61" t="n">
        <f aca="false">I867*J867</f>
        <v>198</v>
      </c>
      <c r="M867" s="61" t="n">
        <f aca="false">L867-I867*K867</f>
        <v>122</v>
      </c>
      <c r="N867" s="57" t="n">
        <f aca="false">IF(COUNTIFS(E$2:E867,E867,C$2:C867,C867)=1,1,0)</f>
        <v>1</v>
      </c>
      <c r="O867" s="57" t="n">
        <f aca="false">IF(COUNTIFS(E$2:E867,E867,C$2:C867,C867,D$2:D867,D867)=1,1,0)</f>
        <v>1</v>
      </c>
      <c r="P867" s="57" t="n">
        <f aca="false">IF(AND(C867=Calc!$C$3,OR(Calc!$C$4=0,D867=Calc!$C$4)),ROW(),0)</f>
        <v>0</v>
      </c>
    </row>
    <row r="868" customFormat="false" ht="15" hidden="false" customHeight="false" outlineLevel="0" collapsed="false">
      <c r="A868" s="57" t="s">
        <v>1305</v>
      </c>
      <c r="B868" s="58" t="n">
        <v>45552</v>
      </c>
      <c r="C868" s="57" t="n">
        <f aca="false">YEAR(B868)</f>
        <v>2024</v>
      </c>
      <c r="D868" s="57" t="n">
        <f aca="false">MONTH(B868)</f>
        <v>9</v>
      </c>
      <c r="E868" s="57" t="s">
        <v>148</v>
      </c>
      <c r="F868" s="57" t="s">
        <v>78</v>
      </c>
      <c r="G868" s="57" t="s">
        <v>50</v>
      </c>
      <c r="H868" s="57" t="s">
        <v>49</v>
      </c>
      <c r="I868" s="59" t="n">
        <v>1</v>
      </c>
      <c r="J868" s="60" t="n">
        <v>32</v>
      </c>
      <c r="K868" s="60" t="n">
        <v>7</v>
      </c>
      <c r="L868" s="61" t="n">
        <f aca="false">I868*J868</f>
        <v>32</v>
      </c>
      <c r="M868" s="61" t="n">
        <f aca="false">L868-I868*K868</f>
        <v>25</v>
      </c>
      <c r="N868" s="57" t="n">
        <f aca="false">IF(COUNTIFS(E$2:E868,E868,C$2:C868,C868)=1,1,0)</f>
        <v>0</v>
      </c>
      <c r="O868" s="57" t="n">
        <f aca="false">IF(COUNTIFS(E$2:E868,E868,C$2:C868,C868,D$2:D868,D868)=1,1,0)</f>
        <v>1</v>
      </c>
      <c r="P868" s="57" t="n">
        <f aca="false">IF(AND(C868=Calc!$C$3,OR(Calc!$C$4=0,D868=Calc!$C$4)),ROW(),0)</f>
        <v>0</v>
      </c>
    </row>
    <row r="869" customFormat="false" ht="15" hidden="false" customHeight="false" outlineLevel="0" collapsed="false">
      <c r="A869" s="57" t="s">
        <v>1306</v>
      </c>
      <c r="B869" s="58" t="n">
        <v>45552</v>
      </c>
      <c r="C869" s="57" t="n">
        <f aca="false">YEAR(B869)</f>
        <v>2024</v>
      </c>
      <c r="D869" s="57" t="n">
        <f aca="false">MONTH(B869)</f>
        <v>9</v>
      </c>
      <c r="E869" s="57" t="s">
        <v>1307</v>
      </c>
      <c r="F869" s="57" t="s">
        <v>78</v>
      </c>
      <c r="G869" s="57" t="s">
        <v>35</v>
      </c>
      <c r="H869" s="57" t="s">
        <v>37</v>
      </c>
      <c r="I869" s="59" t="n">
        <v>1</v>
      </c>
      <c r="J869" s="60" t="n">
        <v>59</v>
      </c>
      <c r="K869" s="60" t="n">
        <v>27</v>
      </c>
      <c r="L869" s="61" t="n">
        <f aca="false">I869*J869</f>
        <v>59</v>
      </c>
      <c r="M869" s="61" t="n">
        <f aca="false">L869-I869*K869</f>
        <v>32</v>
      </c>
      <c r="N869" s="57" t="n">
        <f aca="false">IF(COUNTIFS(E$2:E869,E869,C$2:C869,C869)=1,1,0)</f>
        <v>1</v>
      </c>
      <c r="O869" s="57" t="n">
        <f aca="false">IF(COUNTIFS(E$2:E869,E869,C$2:C869,C869,D$2:D869,D869)=1,1,0)</f>
        <v>1</v>
      </c>
      <c r="P869" s="57" t="n">
        <f aca="false">IF(AND(C869=Calc!$C$3,OR(Calc!$C$4=0,D869=Calc!$C$4)),ROW(),0)</f>
        <v>0</v>
      </c>
    </row>
    <row r="870" customFormat="false" ht="15" hidden="false" customHeight="false" outlineLevel="0" collapsed="false">
      <c r="A870" s="57" t="s">
        <v>1308</v>
      </c>
      <c r="B870" s="58" t="n">
        <v>45552</v>
      </c>
      <c r="C870" s="57" t="n">
        <f aca="false">YEAR(B870)</f>
        <v>2024</v>
      </c>
      <c r="D870" s="57" t="n">
        <f aca="false">MONTH(B870)</f>
        <v>9</v>
      </c>
      <c r="E870" s="57" t="s">
        <v>1309</v>
      </c>
      <c r="F870" s="57" t="s">
        <v>81</v>
      </c>
      <c r="G870" s="57" t="s">
        <v>40</v>
      </c>
      <c r="H870" s="57" t="s">
        <v>39</v>
      </c>
      <c r="I870" s="59" t="n">
        <v>1</v>
      </c>
      <c r="J870" s="60" t="n">
        <v>54</v>
      </c>
      <c r="K870" s="60" t="n">
        <v>19</v>
      </c>
      <c r="L870" s="61" t="n">
        <f aca="false">I870*J870</f>
        <v>54</v>
      </c>
      <c r="M870" s="61" t="n">
        <f aca="false">L870-I870*K870</f>
        <v>35</v>
      </c>
      <c r="N870" s="57" t="n">
        <f aca="false">IF(COUNTIFS(E$2:E870,E870,C$2:C870,C870)=1,1,0)</f>
        <v>1</v>
      </c>
      <c r="O870" s="57" t="n">
        <f aca="false">IF(COUNTIFS(E$2:E870,E870,C$2:C870,C870,D$2:D870,D870)=1,1,0)</f>
        <v>1</v>
      </c>
      <c r="P870" s="57" t="n">
        <f aca="false">IF(AND(C870=Calc!$C$3,OR(Calc!$C$4=0,D870=Calc!$C$4)),ROW(),0)</f>
        <v>0</v>
      </c>
    </row>
    <row r="871" customFormat="false" ht="15" hidden="false" customHeight="false" outlineLevel="0" collapsed="false">
      <c r="A871" s="57" t="s">
        <v>1310</v>
      </c>
      <c r="B871" s="58" t="n">
        <v>45553</v>
      </c>
      <c r="C871" s="57" t="n">
        <f aca="false">YEAR(B871)</f>
        <v>2024</v>
      </c>
      <c r="D871" s="57" t="n">
        <f aca="false">MONTH(B871)</f>
        <v>9</v>
      </c>
      <c r="E871" s="57" t="s">
        <v>1309</v>
      </c>
      <c r="F871" s="57" t="s">
        <v>81</v>
      </c>
      <c r="G871" s="57" t="s">
        <v>54</v>
      </c>
      <c r="H871" s="57" t="s">
        <v>56</v>
      </c>
      <c r="I871" s="59" t="n">
        <v>1</v>
      </c>
      <c r="J871" s="60" t="n">
        <v>42</v>
      </c>
      <c r="K871" s="60" t="n">
        <v>17</v>
      </c>
      <c r="L871" s="61" t="n">
        <f aca="false">I871*J871</f>
        <v>42</v>
      </c>
      <c r="M871" s="61" t="n">
        <f aca="false">L871-I871*K871</f>
        <v>25</v>
      </c>
      <c r="N871" s="57" t="n">
        <f aca="false">IF(COUNTIFS(E$2:E871,E871,C$2:C871,C871)=1,1,0)</f>
        <v>0</v>
      </c>
      <c r="O871" s="57" t="n">
        <f aca="false">IF(COUNTIFS(E$2:E871,E871,C$2:C871,C871,D$2:D871,D871)=1,1,0)</f>
        <v>0</v>
      </c>
      <c r="P871" s="57" t="n">
        <f aca="false">IF(AND(C871=Calc!$C$3,OR(Calc!$C$4=0,D871=Calc!$C$4)),ROW(),0)</f>
        <v>0</v>
      </c>
    </row>
    <row r="872" customFormat="false" ht="15" hidden="false" customHeight="false" outlineLevel="0" collapsed="false">
      <c r="A872" s="57" t="s">
        <v>1311</v>
      </c>
      <c r="B872" s="58" t="n">
        <v>45553</v>
      </c>
      <c r="C872" s="57" t="n">
        <f aca="false">YEAR(B872)</f>
        <v>2024</v>
      </c>
      <c r="D872" s="57" t="n">
        <f aca="false">MONTH(B872)</f>
        <v>9</v>
      </c>
      <c r="E872" s="57" t="s">
        <v>235</v>
      </c>
      <c r="F872" s="57" t="s">
        <v>69</v>
      </c>
      <c r="G872" s="57" t="s">
        <v>35</v>
      </c>
      <c r="H872" s="57" t="s">
        <v>37</v>
      </c>
      <c r="I872" s="59" t="n">
        <v>1</v>
      </c>
      <c r="J872" s="60" t="n">
        <v>59</v>
      </c>
      <c r="K872" s="60" t="n">
        <v>27</v>
      </c>
      <c r="L872" s="61" t="n">
        <f aca="false">I872*J872</f>
        <v>59</v>
      </c>
      <c r="M872" s="61" t="n">
        <f aca="false">L872-I872*K872</f>
        <v>32</v>
      </c>
      <c r="N872" s="57" t="n">
        <f aca="false">IF(COUNTIFS(E$2:E872,E872,C$2:C872,C872)=1,1,0)</f>
        <v>0</v>
      </c>
      <c r="O872" s="57" t="n">
        <f aca="false">IF(COUNTIFS(E$2:E872,E872,C$2:C872,C872,D$2:D872,D872)=1,1,0)</f>
        <v>1</v>
      </c>
      <c r="P872" s="57" t="n">
        <f aca="false">IF(AND(C872=Calc!$C$3,OR(Calc!$C$4=0,D872=Calc!$C$4)),ROW(),0)</f>
        <v>0</v>
      </c>
    </row>
    <row r="873" customFormat="false" ht="15" hidden="false" customHeight="false" outlineLevel="0" collapsed="false">
      <c r="A873" s="57" t="s">
        <v>1312</v>
      </c>
      <c r="B873" s="58" t="n">
        <v>45553</v>
      </c>
      <c r="C873" s="57" t="n">
        <f aca="false">YEAR(B873)</f>
        <v>2024</v>
      </c>
      <c r="D873" s="57" t="n">
        <f aca="false">MONTH(B873)</f>
        <v>9</v>
      </c>
      <c r="E873" s="57" t="s">
        <v>1313</v>
      </c>
      <c r="F873" s="57" t="s">
        <v>75</v>
      </c>
      <c r="G873" s="57" t="s">
        <v>35</v>
      </c>
      <c r="H873" s="57" t="s">
        <v>37</v>
      </c>
      <c r="I873" s="59" t="n">
        <v>1</v>
      </c>
      <c r="J873" s="60" t="n">
        <v>59</v>
      </c>
      <c r="K873" s="60" t="n">
        <v>27</v>
      </c>
      <c r="L873" s="61" t="n">
        <f aca="false">I873*J873</f>
        <v>59</v>
      </c>
      <c r="M873" s="61" t="n">
        <f aca="false">L873-I873*K873</f>
        <v>32</v>
      </c>
      <c r="N873" s="57" t="n">
        <f aca="false">IF(COUNTIFS(E$2:E873,E873,C$2:C873,C873)=1,1,0)</f>
        <v>1</v>
      </c>
      <c r="O873" s="57" t="n">
        <f aca="false">IF(COUNTIFS(E$2:E873,E873,C$2:C873,C873,D$2:D873,D873)=1,1,0)</f>
        <v>1</v>
      </c>
      <c r="P873" s="57" t="n">
        <f aca="false">IF(AND(C873=Calc!$C$3,OR(Calc!$C$4=0,D873=Calc!$C$4)),ROW(),0)</f>
        <v>0</v>
      </c>
    </row>
    <row r="874" customFormat="false" ht="15" hidden="false" customHeight="false" outlineLevel="0" collapsed="false">
      <c r="A874" s="57" t="s">
        <v>1314</v>
      </c>
      <c r="B874" s="58" t="n">
        <v>45553</v>
      </c>
      <c r="C874" s="57" t="n">
        <f aca="false">YEAR(B874)</f>
        <v>2024</v>
      </c>
      <c r="D874" s="57" t="n">
        <f aca="false">MONTH(B874)</f>
        <v>9</v>
      </c>
      <c r="E874" s="57" t="s">
        <v>321</v>
      </c>
      <c r="F874" s="57" t="s">
        <v>81</v>
      </c>
      <c r="G874" s="57" t="s">
        <v>35</v>
      </c>
      <c r="H874" s="57" t="s">
        <v>36</v>
      </c>
      <c r="I874" s="59" t="n">
        <v>1</v>
      </c>
      <c r="J874" s="60" t="n">
        <v>179</v>
      </c>
      <c r="K874" s="60" t="n">
        <v>92</v>
      </c>
      <c r="L874" s="61" t="n">
        <f aca="false">I874*J874</f>
        <v>179</v>
      </c>
      <c r="M874" s="61" t="n">
        <f aca="false">L874-I874*K874</f>
        <v>87</v>
      </c>
      <c r="N874" s="57" t="n">
        <f aca="false">IF(COUNTIFS(E$2:E874,E874,C$2:C874,C874)=1,1,0)</f>
        <v>0</v>
      </c>
      <c r="O874" s="57" t="n">
        <f aca="false">IF(COUNTIFS(E$2:E874,E874,C$2:C874,C874,D$2:D874,D874)=1,1,0)</f>
        <v>1</v>
      </c>
      <c r="P874" s="57" t="n">
        <f aca="false">IF(AND(C874=Calc!$C$3,OR(Calc!$C$4=0,D874=Calc!$C$4)),ROW(),0)</f>
        <v>0</v>
      </c>
    </row>
    <row r="875" customFormat="false" ht="15" hidden="false" customHeight="false" outlineLevel="0" collapsed="false">
      <c r="A875" s="57" t="s">
        <v>1315</v>
      </c>
      <c r="B875" s="58" t="n">
        <v>45553</v>
      </c>
      <c r="C875" s="57" t="n">
        <f aca="false">YEAR(B875)</f>
        <v>2024</v>
      </c>
      <c r="D875" s="57" t="n">
        <f aca="false">MONTH(B875)</f>
        <v>9</v>
      </c>
      <c r="E875" s="57" t="s">
        <v>761</v>
      </c>
      <c r="F875" s="57" t="s">
        <v>75</v>
      </c>
      <c r="G875" s="57" t="s">
        <v>40</v>
      </c>
      <c r="H875" s="57" t="s">
        <v>41</v>
      </c>
      <c r="I875" s="59" t="n">
        <v>2</v>
      </c>
      <c r="J875" s="60" t="n">
        <v>46</v>
      </c>
      <c r="K875" s="60" t="n">
        <v>16</v>
      </c>
      <c r="L875" s="61" t="n">
        <f aca="false">I875*J875</f>
        <v>92</v>
      </c>
      <c r="M875" s="61" t="n">
        <f aca="false">L875-I875*K875</f>
        <v>60</v>
      </c>
      <c r="N875" s="57" t="n">
        <f aca="false">IF(COUNTIFS(E$2:E875,E875,C$2:C875,C875)=1,1,0)</f>
        <v>0</v>
      </c>
      <c r="O875" s="57" t="n">
        <f aca="false">IF(COUNTIFS(E$2:E875,E875,C$2:C875,C875,D$2:D875,D875)=1,1,0)</f>
        <v>1</v>
      </c>
      <c r="P875" s="57" t="n">
        <f aca="false">IF(AND(C875=Calc!$C$3,OR(Calc!$C$4=0,D875=Calc!$C$4)),ROW(),0)</f>
        <v>0</v>
      </c>
    </row>
    <row r="876" customFormat="false" ht="15" hidden="false" customHeight="false" outlineLevel="0" collapsed="false">
      <c r="A876" s="57" t="s">
        <v>1316</v>
      </c>
      <c r="B876" s="58" t="n">
        <v>45554</v>
      </c>
      <c r="C876" s="57" t="n">
        <f aca="false">YEAR(B876)</f>
        <v>2024</v>
      </c>
      <c r="D876" s="57" t="n">
        <f aca="false">MONTH(B876)</f>
        <v>9</v>
      </c>
      <c r="E876" s="57" t="s">
        <v>626</v>
      </c>
      <c r="F876" s="57" t="s">
        <v>69</v>
      </c>
      <c r="G876" s="57" t="s">
        <v>50</v>
      </c>
      <c r="H876" s="57" t="s">
        <v>49</v>
      </c>
      <c r="I876" s="59" t="n">
        <v>1</v>
      </c>
      <c r="J876" s="60" t="n">
        <v>32</v>
      </c>
      <c r="K876" s="60" t="n">
        <v>7</v>
      </c>
      <c r="L876" s="61" t="n">
        <f aca="false">I876*J876</f>
        <v>32</v>
      </c>
      <c r="M876" s="61" t="n">
        <f aca="false">L876-I876*K876</f>
        <v>25</v>
      </c>
      <c r="N876" s="57" t="n">
        <f aca="false">IF(COUNTIFS(E$2:E876,E876,C$2:C876,C876)=1,1,0)</f>
        <v>0</v>
      </c>
      <c r="O876" s="57" t="n">
        <f aca="false">IF(COUNTIFS(E$2:E876,E876,C$2:C876,C876,D$2:D876,D876)=1,1,0)</f>
        <v>1</v>
      </c>
      <c r="P876" s="57" t="n">
        <f aca="false">IF(AND(C876=Calc!$C$3,OR(Calc!$C$4=0,D876=Calc!$C$4)),ROW(),0)</f>
        <v>0</v>
      </c>
    </row>
    <row r="877" customFormat="false" ht="15" hidden="false" customHeight="false" outlineLevel="0" collapsed="false">
      <c r="A877" s="57" t="s">
        <v>1317</v>
      </c>
      <c r="B877" s="58" t="n">
        <v>45554</v>
      </c>
      <c r="C877" s="57" t="n">
        <f aca="false">YEAR(B877)</f>
        <v>2024</v>
      </c>
      <c r="D877" s="57" t="n">
        <f aca="false">MONTH(B877)</f>
        <v>9</v>
      </c>
      <c r="E877" s="57" t="s">
        <v>1318</v>
      </c>
      <c r="F877" s="57" t="s">
        <v>81</v>
      </c>
      <c r="G877" s="57" t="s">
        <v>54</v>
      </c>
      <c r="H877" s="57" t="s">
        <v>53</v>
      </c>
      <c r="I877" s="59" t="n">
        <v>1</v>
      </c>
      <c r="J877" s="60" t="n">
        <v>39</v>
      </c>
      <c r="K877" s="60" t="n">
        <v>13</v>
      </c>
      <c r="L877" s="61" t="n">
        <f aca="false">I877*J877</f>
        <v>39</v>
      </c>
      <c r="M877" s="61" t="n">
        <f aca="false">L877-I877*K877</f>
        <v>26</v>
      </c>
      <c r="N877" s="57" t="n">
        <f aca="false">IF(COUNTIFS(E$2:E877,E877,C$2:C877,C877)=1,1,0)</f>
        <v>1</v>
      </c>
      <c r="O877" s="57" t="n">
        <f aca="false">IF(COUNTIFS(E$2:E877,E877,C$2:C877,C877,D$2:D877,D877)=1,1,0)</f>
        <v>1</v>
      </c>
      <c r="P877" s="57" t="n">
        <f aca="false">IF(AND(C877=Calc!$C$3,OR(Calc!$C$4=0,D877=Calc!$C$4)),ROW(),0)</f>
        <v>0</v>
      </c>
    </row>
    <row r="878" customFormat="false" ht="15" hidden="false" customHeight="false" outlineLevel="0" collapsed="false">
      <c r="A878" s="57" t="s">
        <v>1319</v>
      </c>
      <c r="B878" s="58" t="n">
        <v>45554</v>
      </c>
      <c r="C878" s="57" t="n">
        <f aca="false">YEAR(B878)</f>
        <v>2024</v>
      </c>
      <c r="D878" s="57" t="n">
        <f aca="false">MONTH(B878)</f>
        <v>9</v>
      </c>
      <c r="E878" s="57" t="s">
        <v>424</v>
      </c>
      <c r="F878" s="57" t="s">
        <v>78</v>
      </c>
      <c r="G878" s="57" t="s">
        <v>45</v>
      </c>
      <c r="H878" s="57" t="s">
        <v>46</v>
      </c>
      <c r="I878" s="59" t="n">
        <v>3</v>
      </c>
      <c r="J878" s="60" t="n">
        <v>149</v>
      </c>
      <c r="K878" s="60" t="n">
        <v>71</v>
      </c>
      <c r="L878" s="61" t="n">
        <f aca="false">I878*J878</f>
        <v>447</v>
      </c>
      <c r="M878" s="61" t="n">
        <f aca="false">L878-I878*K878</f>
        <v>234</v>
      </c>
      <c r="N878" s="57" t="n">
        <f aca="false">IF(COUNTIFS(E$2:E878,E878,C$2:C878,C878)=1,1,0)</f>
        <v>0</v>
      </c>
      <c r="O878" s="57" t="n">
        <f aca="false">IF(COUNTIFS(E$2:E878,E878,C$2:C878,C878,D$2:D878,D878)=1,1,0)</f>
        <v>1</v>
      </c>
      <c r="P878" s="57" t="n">
        <f aca="false">IF(AND(C878=Calc!$C$3,OR(Calc!$C$4=0,D878=Calc!$C$4)),ROW(),0)</f>
        <v>0</v>
      </c>
    </row>
    <row r="879" customFormat="false" ht="15" hidden="false" customHeight="false" outlineLevel="0" collapsed="false">
      <c r="A879" s="57" t="s">
        <v>1320</v>
      </c>
      <c r="B879" s="58" t="n">
        <v>45555</v>
      </c>
      <c r="C879" s="57" t="n">
        <f aca="false">YEAR(B879)</f>
        <v>2024</v>
      </c>
      <c r="D879" s="57" t="n">
        <f aca="false">MONTH(B879)</f>
        <v>9</v>
      </c>
      <c r="E879" s="57" t="s">
        <v>170</v>
      </c>
      <c r="F879" s="57" t="s">
        <v>69</v>
      </c>
      <c r="G879" s="57" t="s">
        <v>40</v>
      </c>
      <c r="H879" s="57" t="s">
        <v>43</v>
      </c>
      <c r="I879" s="59" t="n">
        <v>2</v>
      </c>
      <c r="J879" s="60" t="n">
        <v>29</v>
      </c>
      <c r="K879" s="60" t="n">
        <v>9</v>
      </c>
      <c r="L879" s="61" t="n">
        <f aca="false">I879*J879</f>
        <v>58</v>
      </c>
      <c r="M879" s="61" t="n">
        <f aca="false">L879-I879*K879</f>
        <v>40</v>
      </c>
      <c r="N879" s="57" t="n">
        <f aca="false">IF(COUNTIFS(E$2:E879,E879,C$2:C879,C879)=1,1,0)</f>
        <v>0</v>
      </c>
      <c r="O879" s="57" t="n">
        <f aca="false">IF(COUNTIFS(E$2:E879,E879,C$2:C879,C879,D$2:D879,D879)=1,1,0)</f>
        <v>1</v>
      </c>
      <c r="P879" s="57" t="n">
        <f aca="false">IF(AND(C879=Calc!$C$3,OR(Calc!$C$4=0,D879=Calc!$C$4)),ROW(),0)</f>
        <v>0</v>
      </c>
    </row>
    <row r="880" customFormat="false" ht="15" hidden="false" customHeight="false" outlineLevel="0" collapsed="false">
      <c r="A880" s="57" t="s">
        <v>1321</v>
      </c>
      <c r="B880" s="58" t="n">
        <v>45555</v>
      </c>
      <c r="C880" s="57" t="n">
        <f aca="false">YEAR(B880)</f>
        <v>2024</v>
      </c>
      <c r="D880" s="57" t="n">
        <f aca="false">MONTH(B880)</f>
        <v>9</v>
      </c>
      <c r="E880" s="57" t="s">
        <v>580</v>
      </c>
      <c r="F880" s="57" t="s">
        <v>75</v>
      </c>
      <c r="G880" s="57" t="s">
        <v>40</v>
      </c>
      <c r="H880" s="57" t="s">
        <v>39</v>
      </c>
      <c r="I880" s="59" t="n">
        <v>2</v>
      </c>
      <c r="J880" s="60" t="n">
        <v>54</v>
      </c>
      <c r="K880" s="60" t="n">
        <v>19</v>
      </c>
      <c r="L880" s="61" t="n">
        <f aca="false">I880*J880</f>
        <v>108</v>
      </c>
      <c r="M880" s="61" t="n">
        <f aca="false">L880-I880*K880</f>
        <v>70</v>
      </c>
      <c r="N880" s="57" t="n">
        <f aca="false">IF(COUNTIFS(E$2:E880,E880,C$2:C880,C880)=1,1,0)</f>
        <v>0</v>
      </c>
      <c r="O880" s="57" t="n">
        <f aca="false">IF(COUNTIFS(E$2:E880,E880,C$2:C880,C880,D$2:D880,D880)=1,1,0)</f>
        <v>1</v>
      </c>
      <c r="P880" s="57" t="n">
        <f aca="false">IF(AND(C880=Calc!$C$3,OR(Calc!$C$4=0,D880=Calc!$C$4)),ROW(),0)</f>
        <v>0</v>
      </c>
    </row>
    <row r="881" customFormat="false" ht="15" hidden="false" customHeight="false" outlineLevel="0" collapsed="false">
      <c r="A881" s="57" t="s">
        <v>1322</v>
      </c>
      <c r="B881" s="58" t="n">
        <v>45555</v>
      </c>
      <c r="C881" s="57" t="n">
        <f aca="false">YEAR(B881)</f>
        <v>2024</v>
      </c>
      <c r="D881" s="57" t="n">
        <f aca="false">MONTH(B881)</f>
        <v>9</v>
      </c>
      <c r="E881" s="57" t="s">
        <v>240</v>
      </c>
      <c r="F881" s="57" t="s">
        <v>75</v>
      </c>
      <c r="G881" s="57" t="s">
        <v>40</v>
      </c>
      <c r="H881" s="57" t="s">
        <v>39</v>
      </c>
      <c r="I881" s="59" t="n">
        <v>1</v>
      </c>
      <c r="J881" s="60" t="n">
        <v>54</v>
      </c>
      <c r="K881" s="60" t="n">
        <v>19</v>
      </c>
      <c r="L881" s="61" t="n">
        <f aca="false">I881*J881</f>
        <v>54</v>
      </c>
      <c r="M881" s="61" t="n">
        <f aca="false">L881-I881*K881</f>
        <v>35</v>
      </c>
      <c r="N881" s="57" t="n">
        <f aca="false">IF(COUNTIFS(E$2:E881,E881,C$2:C881,C881)=1,1,0)</f>
        <v>0</v>
      </c>
      <c r="O881" s="57" t="n">
        <f aca="false">IF(COUNTIFS(E$2:E881,E881,C$2:C881,C881,D$2:D881,D881)=1,1,0)</f>
        <v>1</v>
      </c>
      <c r="P881" s="57" t="n">
        <f aca="false">IF(AND(C881=Calc!$C$3,OR(Calc!$C$4=0,D881=Calc!$C$4)),ROW(),0)</f>
        <v>0</v>
      </c>
    </row>
    <row r="882" customFormat="false" ht="15" hidden="false" customHeight="false" outlineLevel="0" collapsed="false">
      <c r="A882" s="57" t="s">
        <v>1323</v>
      </c>
      <c r="B882" s="58" t="n">
        <v>45556</v>
      </c>
      <c r="C882" s="57" t="n">
        <f aca="false">YEAR(B882)</f>
        <v>2024</v>
      </c>
      <c r="D882" s="57" t="n">
        <f aca="false">MONTH(B882)</f>
        <v>9</v>
      </c>
      <c r="E882" s="57" t="s">
        <v>455</v>
      </c>
      <c r="F882" s="57" t="s">
        <v>69</v>
      </c>
      <c r="G882" s="57" t="s">
        <v>35</v>
      </c>
      <c r="H882" s="57" t="s">
        <v>38</v>
      </c>
      <c r="I882" s="59" t="n">
        <v>2</v>
      </c>
      <c r="J882" s="60" t="n">
        <v>49</v>
      </c>
      <c r="K882" s="60" t="n">
        <v>22</v>
      </c>
      <c r="L882" s="61" t="n">
        <f aca="false">I882*J882</f>
        <v>98</v>
      </c>
      <c r="M882" s="61" t="n">
        <f aca="false">L882-I882*K882</f>
        <v>54</v>
      </c>
      <c r="N882" s="57" t="n">
        <f aca="false">IF(COUNTIFS(E$2:E882,E882,C$2:C882,C882)=1,1,0)</f>
        <v>0</v>
      </c>
      <c r="O882" s="57" t="n">
        <f aca="false">IF(COUNTIFS(E$2:E882,E882,C$2:C882,C882,D$2:D882,D882)=1,1,0)</f>
        <v>1</v>
      </c>
      <c r="P882" s="57" t="n">
        <f aca="false">IF(AND(C882=Calc!$C$3,OR(Calc!$C$4=0,D882=Calc!$C$4)),ROW(),0)</f>
        <v>0</v>
      </c>
    </row>
    <row r="883" customFormat="false" ht="15" hidden="false" customHeight="false" outlineLevel="0" collapsed="false">
      <c r="A883" s="57" t="s">
        <v>1324</v>
      </c>
      <c r="B883" s="58" t="n">
        <v>45556</v>
      </c>
      <c r="C883" s="57" t="n">
        <f aca="false">YEAR(B883)</f>
        <v>2024</v>
      </c>
      <c r="D883" s="57" t="n">
        <f aca="false">MONTH(B883)</f>
        <v>9</v>
      </c>
      <c r="E883" s="57" t="s">
        <v>112</v>
      </c>
      <c r="F883" s="57" t="s">
        <v>81</v>
      </c>
      <c r="G883" s="57" t="s">
        <v>50</v>
      </c>
      <c r="H883" s="57" t="s">
        <v>52</v>
      </c>
      <c r="I883" s="59" t="n">
        <v>1</v>
      </c>
      <c r="J883" s="60" t="n">
        <v>45</v>
      </c>
      <c r="K883" s="60" t="n">
        <v>14</v>
      </c>
      <c r="L883" s="61" t="n">
        <f aca="false">I883*J883</f>
        <v>45</v>
      </c>
      <c r="M883" s="61" t="n">
        <f aca="false">L883-I883*K883</f>
        <v>31</v>
      </c>
      <c r="N883" s="57" t="n">
        <f aca="false">IF(COUNTIFS(E$2:E883,E883,C$2:C883,C883)=1,1,0)</f>
        <v>0</v>
      </c>
      <c r="O883" s="57" t="n">
        <f aca="false">IF(COUNTIFS(E$2:E883,E883,C$2:C883,C883,D$2:D883,D883)=1,1,0)</f>
        <v>1</v>
      </c>
      <c r="P883" s="57" t="n">
        <f aca="false">IF(AND(C883=Calc!$C$3,OR(Calc!$C$4=0,D883=Calc!$C$4)),ROW(),0)</f>
        <v>0</v>
      </c>
    </row>
    <row r="884" customFormat="false" ht="15" hidden="false" customHeight="false" outlineLevel="0" collapsed="false">
      <c r="A884" s="57" t="s">
        <v>1325</v>
      </c>
      <c r="B884" s="58" t="n">
        <v>45557</v>
      </c>
      <c r="C884" s="57" t="n">
        <f aca="false">YEAR(B884)</f>
        <v>2024</v>
      </c>
      <c r="D884" s="57" t="n">
        <f aca="false">MONTH(B884)</f>
        <v>9</v>
      </c>
      <c r="E884" s="57" t="s">
        <v>1326</v>
      </c>
      <c r="F884" s="57" t="s">
        <v>69</v>
      </c>
      <c r="G884" s="57" t="s">
        <v>45</v>
      </c>
      <c r="H884" s="57" t="s">
        <v>48</v>
      </c>
      <c r="I884" s="59" t="n">
        <v>2</v>
      </c>
      <c r="J884" s="60" t="n">
        <v>99</v>
      </c>
      <c r="K884" s="60" t="n">
        <v>38</v>
      </c>
      <c r="L884" s="61" t="n">
        <f aca="false">I884*J884</f>
        <v>198</v>
      </c>
      <c r="M884" s="61" t="n">
        <f aca="false">L884-I884*K884</f>
        <v>122</v>
      </c>
      <c r="N884" s="57" t="n">
        <f aca="false">IF(COUNTIFS(E$2:E884,E884,C$2:C884,C884)=1,1,0)</f>
        <v>1</v>
      </c>
      <c r="O884" s="57" t="n">
        <f aca="false">IF(COUNTIFS(E$2:E884,E884,C$2:C884,C884,D$2:D884,D884)=1,1,0)</f>
        <v>1</v>
      </c>
      <c r="P884" s="57" t="n">
        <f aca="false">IF(AND(C884=Calc!$C$3,OR(Calc!$C$4=0,D884=Calc!$C$4)),ROW(),0)</f>
        <v>0</v>
      </c>
    </row>
    <row r="885" customFormat="false" ht="15" hidden="false" customHeight="false" outlineLevel="0" collapsed="false">
      <c r="A885" s="57" t="s">
        <v>1327</v>
      </c>
      <c r="B885" s="58" t="n">
        <v>45557</v>
      </c>
      <c r="C885" s="57" t="n">
        <f aca="false">YEAR(B885)</f>
        <v>2024</v>
      </c>
      <c r="D885" s="57" t="n">
        <f aca="false">MONTH(B885)</f>
        <v>9</v>
      </c>
      <c r="E885" s="57" t="s">
        <v>409</v>
      </c>
      <c r="F885" s="57" t="s">
        <v>75</v>
      </c>
      <c r="G885" s="57" t="s">
        <v>45</v>
      </c>
      <c r="H885" s="57" t="s">
        <v>48</v>
      </c>
      <c r="I885" s="59" t="n">
        <v>1</v>
      </c>
      <c r="J885" s="60" t="n">
        <v>99</v>
      </c>
      <c r="K885" s="60" t="n">
        <v>38</v>
      </c>
      <c r="L885" s="61" t="n">
        <f aca="false">I885*J885</f>
        <v>99</v>
      </c>
      <c r="M885" s="61" t="n">
        <f aca="false">L885-I885*K885</f>
        <v>61</v>
      </c>
      <c r="N885" s="57" t="n">
        <f aca="false">IF(COUNTIFS(E$2:E885,E885,C$2:C885,C885)=1,1,0)</f>
        <v>0</v>
      </c>
      <c r="O885" s="57" t="n">
        <f aca="false">IF(COUNTIFS(E$2:E885,E885,C$2:C885,C885,D$2:D885,D885)=1,1,0)</f>
        <v>1</v>
      </c>
      <c r="P885" s="57" t="n">
        <f aca="false">IF(AND(C885=Calc!$C$3,OR(Calc!$C$4=0,D885=Calc!$C$4)),ROW(),0)</f>
        <v>0</v>
      </c>
    </row>
    <row r="886" customFormat="false" ht="15" hidden="false" customHeight="false" outlineLevel="0" collapsed="false">
      <c r="A886" s="57" t="s">
        <v>1328</v>
      </c>
      <c r="B886" s="58" t="n">
        <v>45557</v>
      </c>
      <c r="C886" s="57" t="n">
        <f aca="false">YEAR(B886)</f>
        <v>2024</v>
      </c>
      <c r="D886" s="57" t="n">
        <f aca="false">MONTH(B886)</f>
        <v>9</v>
      </c>
      <c r="E886" s="57" t="s">
        <v>1329</v>
      </c>
      <c r="F886" s="57" t="s">
        <v>69</v>
      </c>
      <c r="G886" s="57" t="s">
        <v>45</v>
      </c>
      <c r="H886" s="57" t="s">
        <v>47</v>
      </c>
      <c r="I886" s="59" t="n">
        <v>1</v>
      </c>
      <c r="J886" s="60" t="n">
        <v>34</v>
      </c>
      <c r="K886" s="60" t="n">
        <v>12</v>
      </c>
      <c r="L886" s="61" t="n">
        <f aca="false">I886*J886</f>
        <v>34</v>
      </c>
      <c r="M886" s="61" t="n">
        <f aca="false">L886-I886*K886</f>
        <v>22</v>
      </c>
      <c r="N886" s="57" t="n">
        <f aca="false">IF(COUNTIFS(E$2:E886,E886,C$2:C886,C886)=1,1,0)</f>
        <v>1</v>
      </c>
      <c r="O886" s="57" t="n">
        <f aca="false">IF(COUNTIFS(E$2:E886,E886,C$2:C886,C886,D$2:D886,D886)=1,1,0)</f>
        <v>1</v>
      </c>
      <c r="P886" s="57" t="n">
        <f aca="false">IF(AND(C886=Calc!$C$3,OR(Calc!$C$4=0,D886=Calc!$C$4)),ROW(),0)</f>
        <v>0</v>
      </c>
    </row>
    <row r="887" customFormat="false" ht="15" hidden="false" customHeight="false" outlineLevel="0" collapsed="false">
      <c r="A887" s="57" t="s">
        <v>1330</v>
      </c>
      <c r="B887" s="58" t="n">
        <v>45557</v>
      </c>
      <c r="C887" s="57" t="n">
        <f aca="false">YEAR(B887)</f>
        <v>2024</v>
      </c>
      <c r="D887" s="57" t="n">
        <f aca="false">MONTH(B887)</f>
        <v>9</v>
      </c>
      <c r="E887" s="57" t="s">
        <v>836</v>
      </c>
      <c r="F887" s="57" t="s">
        <v>69</v>
      </c>
      <c r="G887" s="57" t="s">
        <v>40</v>
      </c>
      <c r="H887" s="57" t="s">
        <v>43</v>
      </c>
      <c r="I887" s="59" t="n">
        <v>2</v>
      </c>
      <c r="J887" s="60" t="n">
        <v>29</v>
      </c>
      <c r="K887" s="60" t="n">
        <v>9</v>
      </c>
      <c r="L887" s="61" t="n">
        <f aca="false">I887*J887</f>
        <v>58</v>
      </c>
      <c r="M887" s="61" t="n">
        <f aca="false">L887-I887*K887</f>
        <v>40</v>
      </c>
      <c r="N887" s="57" t="n">
        <f aca="false">IF(COUNTIFS(E$2:E887,E887,C$2:C887,C887)=1,1,0)</f>
        <v>0</v>
      </c>
      <c r="O887" s="57" t="n">
        <f aca="false">IF(COUNTIFS(E$2:E887,E887,C$2:C887,C887,D$2:D887,D887)=1,1,0)</f>
        <v>0</v>
      </c>
      <c r="P887" s="57" t="n">
        <f aca="false">IF(AND(C887=Calc!$C$3,OR(Calc!$C$4=0,D887=Calc!$C$4)),ROW(),0)</f>
        <v>0</v>
      </c>
    </row>
    <row r="888" customFormat="false" ht="15" hidden="false" customHeight="false" outlineLevel="0" collapsed="false">
      <c r="A888" s="57" t="s">
        <v>1331</v>
      </c>
      <c r="B888" s="58" t="n">
        <v>45558</v>
      </c>
      <c r="C888" s="57" t="n">
        <f aca="false">YEAR(B888)</f>
        <v>2024</v>
      </c>
      <c r="D888" s="57" t="n">
        <f aca="false">MONTH(B888)</f>
        <v>9</v>
      </c>
      <c r="E888" s="57" t="s">
        <v>144</v>
      </c>
      <c r="F888" s="57" t="s">
        <v>78</v>
      </c>
      <c r="G888" s="57" t="s">
        <v>35</v>
      </c>
      <c r="H888" s="57" t="s">
        <v>36</v>
      </c>
      <c r="I888" s="59" t="n">
        <v>1</v>
      </c>
      <c r="J888" s="60" t="n">
        <v>179</v>
      </c>
      <c r="K888" s="60" t="n">
        <v>92</v>
      </c>
      <c r="L888" s="61" t="n">
        <f aca="false">I888*J888</f>
        <v>179</v>
      </c>
      <c r="M888" s="61" t="n">
        <f aca="false">L888-I888*K888</f>
        <v>87</v>
      </c>
      <c r="N888" s="57" t="n">
        <f aca="false">IF(COUNTIFS(E$2:E888,E888,C$2:C888,C888)=1,1,0)</f>
        <v>0</v>
      </c>
      <c r="O888" s="57" t="n">
        <f aca="false">IF(COUNTIFS(E$2:E888,E888,C$2:C888,C888,D$2:D888,D888)=1,1,0)</f>
        <v>1</v>
      </c>
      <c r="P888" s="57" t="n">
        <f aca="false">IF(AND(C888=Calc!$C$3,OR(Calc!$C$4=0,D888=Calc!$C$4)),ROW(),0)</f>
        <v>0</v>
      </c>
    </row>
    <row r="889" customFormat="false" ht="15" hidden="false" customHeight="false" outlineLevel="0" collapsed="false">
      <c r="A889" s="57" t="s">
        <v>1332</v>
      </c>
      <c r="B889" s="58" t="n">
        <v>45558</v>
      </c>
      <c r="C889" s="57" t="n">
        <f aca="false">YEAR(B889)</f>
        <v>2024</v>
      </c>
      <c r="D889" s="57" t="n">
        <f aca="false">MONTH(B889)</f>
        <v>9</v>
      </c>
      <c r="E889" s="57" t="s">
        <v>309</v>
      </c>
      <c r="F889" s="57" t="s">
        <v>81</v>
      </c>
      <c r="G889" s="57" t="s">
        <v>35</v>
      </c>
      <c r="H889" s="57" t="s">
        <v>36</v>
      </c>
      <c r="I889" s="59" t="n">
        <v>1</v>
      </c>
      <c r="J889" s="60" t="n">
        <v>179</v>
      </c>
      <c r="K889" s="60" t="n">
        <v>92</v>
      </c>
      <c r="L889" s="61" t="n">
        <f aca="false">I889*J889</f>
        <v>179</v>
      </c>
      <c r="M889" s="61" t="n">
        <f aca="false">L889-I889*K889</f>
        <v>87</v>
      </c>
      <c r="N889" s="57" t="n">
        <f aca="false">IF(COUNTIFS(E$2:E889,E889,C$2:C889,C889)=1,1,0)</f>
        <v>0</v>
      </c>
      <c r="O889" s="57" t="n">
        <f aca="false">IF(COUNTIFS(E$2:E889,E889,C$2:C889,C889,D$2:D889,D889)=1,1,0)</f>
        <v>0</v>
      </c>
      <c r="P889" s="57" t="n">
        <f aca="false">IF(AND(C889=Calc!$C$3,OR(Calc!$C$4=0,D889=Calc!$C$4)),ROW(),0)</f>
        <v>0</v>
      </c>
    </row>
    <row r="890" customFormat="false" ht="15" hidden="false" customHeight="false" outlineLevel="0" collapsed="false">
      <c r="A890" s="57" t="s">
        <v>1333</v>
      </c>
      <c r="B890" s="58" t="n">
        <v>45558</v>
      </c>
      <c r="C890" s="57" t="n">
        <f aca="false">YEAR(B890)</f>
        <v>2024</v>
      </c>
      <c r="D890" s="57" t="n">
        <f aca="false">MONTH(B890)</f>
        <v>9</v>
      </c>
      <c r="E890" s="57" t="s">
        <v>1318</v>
      </c>
      <c r="F890" s="57" t="s">
        <v>81</v>
      </c>
      <c r="G890" s="57" t="s">
        <v>45</v>
      </c>
      <c r="H890" s="57" t="s">
        <v>44</v>
      </c>
      <c r="I890" s="59" t="n">
        <v>1</v>
      </c>
      <c r="J890" s="60" t="n">
        <v>119</v>
      </c>
      <c r="K890" s="60" t="n">
        <v>63</v>
      </c>
      <c r="L890" s="61" t="n">
        <f aca="false">I890*J890</f>
        <v>119</v>
      </c>
      <c r="M890" s="61" t="n">
        <f aca="false">L890-I890*K890</f>
        <v>56</v>
      </c>
      <c r="N890" s="57" t="n">
        <f aca="false">IF(COUNTIFS(E$2:E890,E890,C$2:C890,C890)=1,1,0)</f>
        <v>0</v>
      </c>
      <c r="O890" s="57" t="n">
        <f aca="false">IF(COUNTIFS(E$2:E890,E890,C$2:C890,C890,D$2:D890,D890)=1,1,0)</f>
        <v>0</v>
      </c>
      <c r="P890" s="57" t="n">
        <f aca="false">IF(AND(C890=Calc!$C$3,OR(Calc!$C$4=0,D890=Calc!$C$4)),ROW(),0)</f>
        <v>0</v>
      </c>
    </row>
    <row r="891" customFormat="false" ht="15" hidden="false" customHeight="false" outlineLevel="0" collapsed="false">
      <c r="A891" s="57" t="s">
        <v>1334</v>
      </c>
      <c r="B891" s="58" t="n">
        <v>45558</v>
      </c>
      <c r="C891" s="57" t="n">
        <f aca="false">YEAR(B891)</f>
        <v>2024</v>
      </c>
      <c r="D891" s="57" t="n">
        <f aca="false">MONTH(B891)</f>
        <v>9</v>
      </c>
      <c r="E891" s="57" t="s">
        <v>843</v>
      </c>
      <c r="F891" s="57" t="s">
        <v>75</v>
      </c>
      <c r="G891" s="57" t="s">
        <v>35</v>
      </c>
      <c r="H891" s="57" t="s">
        <v>36</v>
      </c>
      <c r="I891" s="59" t="n">
        <v>1</v>
      </c>
      <c r="J891" s="60" t="n">
        <v>179</v>
      </c>
      <c r="K891" s="60" t="n">
        <v>92</v>
      </c>
      <c r="L891" s="61" t="n">
        <f aca="false">I891*J891</f>
        <v>179</v>
      </c>
      <c r="M891" s="61" t="n">
        <f aca="false">L891-I891*K891</f>
        <v>87</v>
      </c>
      <c r="N891" s="57" t="n">
        <f aca="false">IF(COUNTIFS(E$2:E891,E891,C$2:C891,C891)=1,1,0)</f>
        <v>0</v>
      </c>
      <c r="O891" s="57" t="n">
        <f aca="false">IF(COUNTIFS(E$2:E891,E891,C$2:C891,C891,D$2:D891,D891)=1,1,0)</f>
        <v>1</v>
      </c>
      <c r="P891" s="57" t="n">
        <f aca="false">IF(AND(C891=Calc!$C$3,OR(Calc!$C$4=0,D891=Calc!$C$4)),ROW(),0)</f>
        <v>0</v>
      </c>
    </row>
    <row r="892" customFormat="false" ht="15" hidden="false" customHeight="false" outlineLevel="0" collapsed="false">
      <c r="A892" s="57" t="s">
        <v>1335</v>
      </c>
      <c r="B892" s="58" t="n">
        <v>45559</v>
      </c>
      <c r="C892" s="57" t="n">
        <f aca="false">YEAR(B892)</f>
        <v>2024</v>
      </c>
      <c r="D892" s="57" t="n">
        <f aca="false">MONTH(B892)</f>
        <v>9</v>
      </c>
      <c r="E892" s="57" t="s">
        <v>97</v>
      </c>
      <c r="F892" s="57" t="s">
        <v>78</v>
      </c>
      <c r="G892" s="57" t="s">
        <v>35</v>
      </c>
      <c r="H892" s="57" t="s">
        <v>36</v>
      </c>
      <c r="I892" s="59" t="n">
        <v>1</v>
      </c>
      <c r="J892" s="60" t="n">
        <v>179</v>
      </c>
      <c r="K892" s="60" t="n">
        <v>92</v>
      </c>
      <c r="L892" s="61" t="n">
        <f aca="false">I892*J892</f>
        <v>179</v>
      </c>
      <c r="M892" s="61" t="n">
        <f aca="false">L892-I892*K892</f>
        <v>87</v>
      </c>
      <c r="N892" s="57" t="n">
        <f aca="false">IF(COUNTIFS(E$2:E892,E892,C$2:C892,C892)=1,1,0)</f>
        <v>0</v>
      </c>
      <c r="O892" s="57" t="n">
        <f aca="false">IF(COUNTIFS(E$2:E892,E892,C$2:C892,C892,D$2:D892,D892)=1,1,0)</f>
        <v>1</v>
      </c>
      <c r="P892" s="57" t="n">
        <f aca="false">IF(AND(C892=Calc!$C$3,OR(Calc!$C$4=0,D892=Calc!$C$4)),ROW(),0)</f>
        <v>0</v>
      </c>
    </row>
    <row r="893" customFormat="false" ht="15" hidden="false" customHeight="false" outlineLevel="0" collapsed="false">
      <c r="A893" s="57" t="s">
        <v>1336</v>
      </c>
      <c r="B893" s="58" t="n">
        <v>45559</v>
      </c>
      <c r="C893" s="57" t="n">
        <f aca="false">YEAR(B893)</f>
        <v>2024</v>
      </c>
      <c r="D893" s="57" t="n">
        <f aca="false">MONTH(B893)</f>
        <v>9</v>
      </c>
      <c r="E893" s="57" t="s">
        <v>728</v>
      </c>
      <c r="F893" s="57" t="s">
        <v>78</v>
      </c>
      <c r="G893" s="57" t="s">
        <v>35</v>
      </c>
      <c r="H893" s="57" t="s">
        <v>36</v>
      </c>
      <c r="I893" s="59" t="n">
        <v>1</v>
      </c>
      <c r="J893" s="60" t="n">
        <v>179</v>
      </c>
      <c r="K893" s="60" t="n">
        <v>92</v>
      </c>
      <c r="L893" s="61" t="n">
        <f aca="false">I893*J893</f>
        <v>179</v>
      </c>
      <c r="M893" s="61" t="n">
        <f aca="false">L893-I893*K893</f>
        <v>87</v>
      </c>
      <c r="N893" s="57" t="n">
        <f aca="false">IF(COUNTIFS(E$2:E893,E893,C$2:C893,C893)=1,1,0)</f>
        <v>0</v>
      </c>
      <c r="O893" s="57" t="n">
        <f aca="false">IF(COUNTIFS(E$2:E893,E893,C$2:C893,C893,D$2:D893,D893)=1,1,0)</f>
        <v>1</v>
      </c>
      <c r="P893" s="57" t="n">
        <f aca="false">IF(AND(C893=Calc!$C$3,OR(Calc!$C$4=0,D893=Calc!$C$4)),ROW(),0)</f>
        <v>0</v>
      </c>
    </row>
    <row r="894" customFormat="false" ht="15" hidden="false" customHeight="false" outlineLevel="0" collapsed="false">
      <c r="A894" s="57" t="s">
        <v>1337</v>
      </c>
      <c r="B894" s="58" t="n">
        <v>45559</v>
      </c>
      <c r="C894" s="57" t="n">
        <f aca="false">YEAR(B894)</f>
        <v>2024</v>
      </c>
      <c r="D894" s="57" t="n">
        <f aca="false">MONTH(B894)</f>
        <v>9</v>
      </c>
      <c r="E894" s="57" t="s">
        <v>1338</v>
      </c>
      <c r="F894" s="57" t="s">
        <v>69</v>
      </c>
      <c r="G894" s="57" t="s">
        <v>40</v>
      </c>
      <c r="H894" s="57" t="s">
        <v>43</v>
      </c>
      <c r="I894" s="59" t="n">
        <v>1</v>
      </c>
      <c r="J894" s="60" t="n">
        <v>29</v>
      </c>
      <c r="K894" s="60" t="n">
        <v>9</v>
      </c>
      <c r="L894" s="61" t="n">
        <f aca="false">I894*J894</f>
        <v>29</v>
      </c>
      <c r="M894" s="61" t="n">
        <f aca="false">L894-I894*K894</f>
        <v>20</v>
      </c>
      <c r="N894" s="57" t="n">
        <f aca="false">IF(COUNTIFS(E$2:E894,E894,C$2:C894,C894)=1,1,0)</f>
        <v>1</v>
      </c>
      <c r="O894" s="57" t="n">
        <f aca="false">IF(COUNTIFS(E$2:E894,E894,C$2:C894,C894,D$2:D894,D894)=1,1,0)</f>
        <v>1</v>
      </c>
      <c r="P894" s="57" t="n">
        <f aca="false">IF(AND(C894=Calc!$C$3,OR(Calc!$C$4=0,D894=Calc!$C$4)),ROW(),0)</f>
        <v>0</v>
      </c>
    </row>
    <row r="895" customFormat="false" ht="15" hidden="false" customHeight="false" outlineLevel="0" collapsed="false">
      <c r="A895" s="57" t="s">
        <v>1339</v>
      </c>
      <c r="B895" s="58" t="n">
        <v>45559</v>
      </c>
      <c r="C895" s="57" t="n">
        <f aca="false">YEAR(B895)</f>
        <v>2024</v>
      </c>
      <c r="D895" s="57" t="n">
        <f aca="false">MONTH(B895)</f>
        <v>9</v>
      </c>
      <c r="E895" s="57" t="s">
        <v>275</v>
      </c>
      <c r="F895" s="57" t="s">
        <v>75</v>
      </c>
      <c r="G895" s="57" t="s">
        <v>45</v>
      </c>
      <c r="H895" s="57" t="s">
        <v>44</v>
      </c>
      <c r="I895" s="59" t="n">
        <v>1</v>
      </c>
      <c r="J895" s="60" t="n">
        <v>119</v>
      </c>
      <c r="K895" s="60" t="n">
        <v>63</v>
      </c>
      <c r="L895" s="61" t="n">
        <f aca="false">I895*J895</f>
        <v>119</v>
      </c>
      <c r="M895" s="61" t="n">
        <f aca="false">L895-I895*K895</f>
        <v>56</v>
      </c>
      <c r="N895" s="57" t="n">
        <f aca="false">IF(COUNTIFS(E$2:E895,E895,C$2:C895,C895)=1,1,0)</f>
        <v>0</v>
      </c>
      <c r="O895" s="57" t="n">
        <f aca="false">IF(COUNTIFS(E$2:E895,E895,C$2:C895,C895,D$2:D895,D895)=1,1,0)</f>
        <v>0</v>
      </c>
      <c r="P895" s="57" t="n">
        <f aca="false">IF(AND(C895=Calc!$C$3,OR(Calc!$C$4=0,D895=Calc!$C$4)),ROW(),0)</f>
        <v>0</v>
      </c>
    </row>
    <row r="896" customFormat="false" ht="15" hidden="false" customHeight="false" outlineLevel="0" collapsed="false">
      <c r="A896" s="57" t="s">
        <v>1340</v>
      </c>
      <c r="B896" s="58" t="n">
        <v>45560</v>
      </c>
      <c r="C896" s="57" t="n">
        <f aca="false">YEAR(B896)</f>
        <v>2024</v>
      </c>
      <c r="D896" s="57" t="n">
        <f aca="false">MONTH(B896)</f>
        <v>9</v>
      </c>
      <c r="E896" s="57" t="s">
        <v>265</v>
      </c>
      <c r="F896" s="57" t="s">
        <v>78</v>
      </c>
      <c r="G896" s="57" t="s">
        <v>45</v>
      </c>
      <c r="H896" s="57" t="s">
        <v>46</v>
      </c>
      <c r="I896" s="59" t="n">
        <v>1</v>
      </c>
      <c r="J896" s="60" t="n">
        <v>149</v>
      </c>
      <c r="K896" s="60" t="n">
        <v>71</v>
      </c>
      <c r="L896" s="61" t="n">
        <f aca="false">I896*J896</f>
        <v>149</v>
      </c>
      <c r="M896" s="61" t="n">
        <f aca="false">L896-I896*K896</f>
        <v>78</v>
      </c>
      <c r="N896" s="57" t="n">
        <f aca="false">IF(COUNTIFS(E$2:E896,E896,C$2:C896,C896)=1,1,0)</f>
        <v>0</v>
      </c>
      <c r="O896" s="57" t="n">
        <f aca="false">IF(COUNTIFS(E$2:E896,E896,C$2:C896,C896,D$2:D896,D896)=1,1,0)</f>
        <v>1</v>
      </c>
      <c r="P896" s="57" t="n">
        <f aca="false">IF(AND(C896=Calc!$C$3,OR(Calc!$C$4=0,D896=Calc!$C$4)),ROW(),0)</f>
        <v>0</v>
      </c>
    </row>
    <row r="897" customFormat="false" ht="15" hidden="false" customHeight="false" outlineLevel="0" collapsed="false">
      <c r="A897" s="57" t="s">
        <v>1341</v>
      </c>
      <c r="B897" s="58" t="n">
        <v>45560</v>
      </c>
      <c r="C897" s="57" t="n">
        <f aca="false">YEAR(B897)</f>
        <v>2024</v>
      </c>
      <c r="D897" s="57" t="n">
        <f aca="false">MONTH(B897)</f>
        <v>9</v>
      </c>
      <c r="E897" s="57" t="s">
        <v>1342</v>
      </c>
      <c r="F897" s="57" t="s">
        <v>72</v>
      </c>
      <c r="G897" s="57" t="s">
        <v>50</v>
      </c>
      <c r="H897" s="57" t="s">
        <v>51</v>
      </c>
      <c r="I897" s="59" t="n">
        <v>1</v>
      </c>
      <c r="J897" s="60" t="n">
        <v>69</v>
      </c>
      <c r="K897" s="60" t="n">
        <v>29</v>
      </c>
      <c r="L897" s="61" t="n">
        <f aca="false">I897*J897</f>
        <v>69</v>
      </c>
      <c r="M897" s="61" t="n">
        <f aca="false">L897-I897*K897</f>
        <v>40</v>
      </c>
      <c r="N897" s="57" t="n">
        <f aca="false">IF(COUNTIFS(E$2:E897,E897,C$2:C897,C897)=1,1,0)</f>
        <v>1</v>
      </c>
      <c r="O897" s="57" t="n">
        <f aca="false">IF(COUNTIFS(E$2:E897,E897,C$2:C897,C897,D$2:D897,D897)=1,1,0)</f>
        <v>1</v>
      </c>
      <c r="P897" s="57" t="n">
        <f aca="false">IF(AND(C897=Calc!$C$3,OR(Calc!$C$4=0,D897=Calc!$C$4)),ROW(),0)</f>
        <v>0</v>
      </c>
    </row>
    <row r="898" customFormat="false" ht="15" hidden="false" customHeight="false" outlineLevel="0" collapsed="false">
      <c r="A898" s="57" t="s">
        <v>1343</v>
      </c>
      <c r="B898" s="58" t="n">
        <v>45561</v>
      </c>
      <c r="C898" s="57" t="n">
        <f aca="false">YEAR(B898)</f>
        <v>2024</v>
      </c>
      <c r="D898" s="57" t="n">
        <f aca="false">MONTH(B898)</f>
        <v>9</v>
      </c>
      <c r="E898" s="57" t="s">
        <v>125</v>
      </c>
      <c r="F898" s="57" t="s">
        <v>69</v>
      </c>
      <c r="G898" s="57" t="s">
        <v>40</v>
      </c>
      <c r="H898" s="57" t="s">
        <v>41</v>
      </c>
      <c r="I898" s="59" t="n">
        <v>1</v>
      </c>
      <c r="J898" s="60" t="n">
        <v>46</v>
      </c>
      <c r="K898" s="60" t="n">
        <v>16</v>
      </c>
      <c r="L898" s="61" t="n">
        <f aca="false">I898*J898</f>
        <v>46</v>
      </c>
      <c r="M898" s="61" t="n">
        <f aca="false">L898-I898*K898</f>
        <v>30</v>
      </c>
      <c r="N898" s="57" t="n">
        <f aca="false">IF(COUNTIFS(E$2:E898,E898,C$2:C898,C898)=1,1,0)</f>
        <v>0</v>
      </c>
      <c r="O898" s="57" t="n">
        <f aca="false">IF(COUNTIFS(E$2:E898,E898,C$2:C898,C898,D$2:D898,D898)=1,1,0)</f>
        <v>1</v>
      </c>
      <c r="P898" s="57" t="n">
        <f aca="false">IF(AND(C898=Calc!$C$3,OR(Calc!$C$4=0,D898=Calc!$C$4)),ROW(),0)</f>
        <v>0</v>
      </c>
    </row>
    <row r="899" customFormat="false" ht="15" hidden="false" customHeight="false" outlineLevel="0" collapsed="false">
      <c r="A899" s="57" t="s">
        <v>1344</v>
      </c>
      <c r="B899" s="58" t="n">
        <v>45561</v>
      </c>
      <c r="C899" s="57" t="n">
        <f aca="false">YEAR(B899)</f>
        <v>2024</v>
      </c>
      <c r="D899" s="57" t="n">
        <f aca="false">MONTH(B899)</f>
        <v>9</v>
      </c>
      <c r="E899" s="57" t="s">
        <v>566</v>
      </c>
      <c r="F899" s="57" t="s">
        <v>69</v>
      </c>
      <c r="G899" s="57" t="s">
        <v>40</v>
      </c>
      <c r="H899" s="57" t="s">
        <v>42</v>
      </c>
      <c r="I899" s="59" t="n">
        <v>1</v>
      </c>
      <c r="J899" s="60" t="n">
        <v>79</v>
      </c>
      <c r="K899" s="60" t="n">
        <v>31</v>
      </c>
      <c r="L899" s="61" t="n">
        <f aca="false">I899*J899</f>
        <v>79</v>
      </c>
      <c r="M899" s="61" t="n">
        <f aca="false">L899-I899*K899</f>
        <v>48</v>
      </c>
      <c r="N899" s="57" t="n">
        <f aca="false">IF(COUNTIFS(E$2:E899,E899,C$2:C899,C899)=1,1,0)</f>
        <v>0</v>
      </c>
      <c r="O899" s="57" t="n">
        <f aca="false">IF(COUNTIFS(E$2:E899,E899,C$2:C899,C899,D$2:D899,D899)=1,1,0)</f>
        <v>1</v>
      </c>
      <c r="P899" s="57" t="n">
        <f aca="false">IF(AND(C899=Calc!$C$3,OR(Calc!$C$4=0,D899=Calc!$C$4)),ROW(),0)</f>
        <v>0</v>
      </c>
    </row>
    <row r="900" customFormat="false" ht="15" hidden="false" customHeight="false" outlineLevel="0" collapsed="false">
      <c r="A900" s="57" t="s">
        <v>1345</v>
      </c>
      <c r="B900" s="58" t="n">
        <v>45561</v>
      </c>
      <c r="C900" s="57" t="n">
        <f aca="false">YEAR(B900)</f>
        <v>2024</v>
      </c>
      <c r="D900" s="57" t="n">
        <f aca="false">MONTH(B900)</f>
        <v>9</v>
      </c>
      <c r="E900" s="57" t="s">
        <v>97</v>
      </c>
      <c r="F900" s="57" t="s">
        <v>78</v>
      </c>
      <c r="G900" s="57" t="s">
        <v>45</v>
      </c>
      <c r="H900" s="57" t="s">
        <v>46</v>
      </c>
      <c r="I900" s="59" t="n">
        <v>1</v>
      </c>
      <c r="J900" s="60" t="n">
        <v>149</v>
      </c>
      <c r="K900" s="60" t="n">
        <v>71</v>
      </c>
      <c r="L900" s="61" t="n">
        <f aca="false">I900*J900</f>
        <v>149</v>
      </c>
      <c r="M900" s="61" t="n">
        <f aca="false">L900-I900*K900</f>
        <v>78</v>
      </c>
      <c r="N900" s="57" t="n">
        <f aca="false">IF(COUNTIFS(E$2:E900,E900,C$2:C900,C900)=1,1,0)</f>
        <v>0</v>
      </c>
      <c r="O900" s="57" t="n">
        <f aca="false">IF(COUNTIFS(E$2:E900,E900,C$2:C900,C900,D$2:D900,D900)=1,1,0)</f>
        <v>0</v>
      </c>
      <c r="P900" s="57" t="n">
        <f aca="false">IF(AND(C900=Calc!$C$3,OR(Calc!$C$4=0,D900=Calc!$C$4)),ROW(),0)</f>
        <v>0</v>
      </c>
    </row>
    <row r="901" customFormat="false" ht="15" hidden="false" customHeight="false" outlineLevel="0" collapsed="false">
      <c r="A901" s="57" t="s">
        <v>1346</v>
      </c>
      <c r="B901" s="58" t="n">
        <v>45562</v>
      </c>
      <c r="C901" s="57" t="n">
        <f aca="false">YEAR(B901)</f>
        <v>2024</v>
      </c>
      <c r="D901" s="57" t="n">
        <f aca="false">MONTH(B901)</f>
        <v>9</v>
      </c>
      <c r="E901" s="57" t="s">
        <v>508</v>
      </c>
      <c r="F901" s="57" t="s">
        <v>81</v>
      </c>
      <c r="G901" s="57" t="s">
        <v>40</v>
      </c>
      <c r="H901" s="57" t="s">
        <v>43</v>
      </c>
      <c r="I901" s="59" t="n">
        <v>1</v>
      </c>
      <c r="J901" s="60" t="n">
        <v>29</v>
      </c>
      <c r="K901" s="60" t="n">
        <v>9</v>
      </c>
      <c r="L901" s="61" t="n">
        <f aca="false">I901*J901</f>
        <v>29</v>
      </c>
      <c r="M901" s="61" t="n">
        <f aca="false">L901-I901*K901</f>
        <v>20</v>
      </c>
      <c r="N901" s="57" t="n">
        <f aca="false">IF(COUNTIFS(E$2:E901,E901,C$2:C901,C901)=1,1,0)</f>
        <v>0</v>
      </c>
      <c r="O901" s="57" t="n">
        <f aca="false">IF(COUNTIFS(E$2:E901,E901,C$2:C901,C901,D$2:D901,D901)=1,1,0)</f>
        <v>1</v>
      </c>
      <c r="P901" s="57" t="n">
        <f aca="false">IF(AND(C901=Calc!$C$3,OR(Calc!$C$4=0,D901=Calc!$C$4)),ROW(),0)</f>
        <v>0</v>
      </c>
    </row>
    <row r="902" customFormat="false" ht="15" hidden="false" customHeight="false" outlineLevel="0" collapsed="false">
      <c r="A902" s="57" t="s">
        <v>1347</v>
      </c>
      <c r="B902" s="58" t="n">
        <v>45562</v>
      </c>
      <c r="C902" s="57" t="n">
        <f aca="false">YEAR(B902)</f>
        <v>2024</v>
      </c>
      <c r="D902" s="57" t="n">
        <f aca="false">MONTH(B902)</f>
        <v>9</v>
      </c>
      <c r="E902" s="57" t="s">
        <v>374</v>
      </c>
      <c r="F902" s="57" t="s">
        <v>69</v>
      </c>
      <c r="G902" s="57" t="s">
        <v>35</v>
      </c>
      <c r="H902" s="57" t="s">
        <v>34</v>
      </c>
      <c r="I902" s="59" t="n">
        <v>1</v>
      </c>
      <c r="J902" s="60" t="n">
        <v>89</v>
      </c>
      <c r="K902" s="60" t="n">
        <v>41</v>
      </c>
      <c r="L902" s="61" t="n">
        <f aca="false">I902*J902</f>
        <v>89</v>
      </c>
      <c r="M902" s="61" t="n">
        <f aca="false">L902-I902*K902</f>
        <v>48</v>
      </c>
      <c r="N902" s="57" t="n">
        <f aca="false">IF(COUNTIFS(E$2:E902,E902,C$2:C902,C902)=1,1,0)</f>
        <v>0</v>
      </c>
      <c r="O902" s="57" t="n">
        <f aca="false">IF(COUNTIFS(E$2:E902,E902,C$2:C902,C902,D$2:D902,D902)=1,1,0)</f>
        <v>1</v>
      </c>
      <c r="P902" s="57" t="n">
        <f aca="false">IF(AND(C902=Calc!$C$3,OR(Calc!$C$4=0,D902=Calc!$C$4)),ROW(),0)</f>
        <v>0</v>
      </c>
    </row>
    <row r="903" customFormat="false" ht="15" hidden="false" customHeight="false" outlineLevel="0" collapsed="false">
      <c r="A903" s="57" t="s">
        <v>1348</v>
      </c>
      <c r="B903" s="58" t="n">
        <v>45562</v>
      </c>
      <c r="C903" s="57" t="n">
        <f aca="false">YEAR(B903)</f>
        <v>2024</v>
      </c>
      <c r="D903" s="57" t="n">
        <f aca="false">MONTH(B903)</f>
        <v>9</v>
      </c>
      <c r="E903" s="57" t="s">
        <v>580</v>
      </c>
      <c r="F903" s="57" t="s">
        <v>75</v>
      </c>
      <c r="G903" s="57" t="s">
        <v>40</v>
      </c>
      <c r="H903" s="57" t="s">
        <v>42</v>
      </c>
      <c r="I903" s="59" t="n">
        <v>1</v>
      </c>
      <c r="J903" s="60" t="n">
        <v>79</v>
      </c>
      <c r="K903" s="60" t="n">
        <v>31</v>
      </c>
      <c r="L903" s="61" t="n">
        <f aca="false">I903*J903</f>
        <v>79</v>
      </c>
      <c r="M903" s="61" t="n">
        <f aca="false">L903-I903*K903</f>
        <v>48</v>
      </c>
      <c r="N903" s="57" t="n">
        <f aca="false">IF(COUNTIFS(E$2:E903,E903,C$2:C903,C903)=1,1,0)</f>
        <v>0</v>
      </c>
      <c r="O903" s="57" t="n">
        <f aca="false">IF(COUNTIFS(E$2:E903,E903,C$2:C903,C903,D$2:D903,D903)=1,1,0)</f>
        <v>0</v>
      </c>
      <c r="P903" s="57" t="n">
        <f aca="false">IF(AND(C903=Calc!$C$3,OR(Calc!$C$4=0,D903=Calc!$C$4)),ROW(),0)</f>
        <v>0</v>
      </c>
    </row>
    <row r="904" customFormat="false" ht="15" hidden="false" customHeight="false" outlineLevel="0" collapsed="false">
      <c r="A904" s="57" t="s">
        <v>1349</v>
      </c>
      <c r="B904" s="58" t="n">
        <v>45563</v>
      </c>
      <c r="C904" s="57" t="n">
        <f aca="false">YEAR(B904)</f>
        <v>2024</v>
      </c>
      <c r="D904" s="57" t="n">
        <f aca="false">MONTH(B904)</f>
        <v>9</v>
      </c>
      <c r="E904" s="57" t="s">
        <v>240</v>
      </c>
      <c r="F904" s="57" t="s">
        <v>75</v>
      </c>
      <c r="G904" s="57" t="s">
        <v>45</v>
      </c>
      <c r="H904" s="57" t="s">
        <v>48</v>
      </c>
      <c r="I904" s="59" t="n">
        <v>2</v>
      </c>
      <c r="J904" s="60" t="n">
        <v>99</v>
      </c>
      <c r="K904" s="60" t="n">
        <v>38</v>
      </c>
      <c r="L904" s="61" t="n">
        <f aca="false">I904*J904</f>
        <v>198</v>
      </c>
      <c r="M904" s="61" t="n">
        <f aca="false">L904-I904*K904</f>
        <v>122</v>
      </c>
      <c r="N904" s="57" t="n">
        <f aca="false">IF(COUNTIFS(E$2:E904,E904,C$2:C904,C904)=1,1,0)</f>
        <v>0</v>
      </c>
      <c r="O904" s="57" t="n">
        <f aca="false">IF(COUNTIFS(E$2:E904,E904,C$2:C904,C904,D$2:D904,D904)=1,1,0)</f>
        <v>0</v>
      </c>
      <c r="P904" s="57" t="n">
        <f aca="false">IF(AND(C904=Calc!$C$3,OR(Calc!$C$4=0,D904=Calc!$C$4)),ROW(),0)</f>
        <v>0</v>
      </c>
    </row>
    <row r="905" customFormat="false" ht="15" hidden="false" customHeight="false" outlineLevel="0" collapsed="false">
      <c r="A905" s="57" t="s">
        <v>1350</v>
      </c>
      <c r="B905" s="58" t="n">
        <v>45563</v>
      </c>
      <c r="C905" s="57" t="n">
        <f aca="false">YEAR(B905)</f>
        <v>2024</v>
      </c>
      <c r="D905" s="57" t="n">
        <f aca="false">MONTH(B905)</f>
        <v>9</v>
      </c>
      <c r="E905" s="57" t="s">
        <v>1351</v>
      </c>
      <c r="F905" s="57" t="s">
        <v>81</v>
      </c>
      <c r="G905" s="57" t="s">
        <v>45</v>
      </c>
      <c r="H905" s="57" t="s">
        <v>46</v>
      </c>
      <c r="I905" s="59" t="n">
        <v>1</v>
      </c>
      <c r="J905" s="60" t="n">
        <v>149</v>
      </c>
      <c r="K905" s="60" t="n">
        <v>71</v>
      </c>
      <c r="L905" s="61" t="n">
        <f aca="false">I905*J905</f>
        <v>149</v>
      </c>
      <c r="M905" s="61" t="n">
        <f aca="false">L905-I905*K905</f>
        <v>78</v>
      </c>
      <c r="N905" s="57" t="n">
        <f aca="false">IF(COUNTIFS(E$2:E905,E905,C$2:C905,C905)=1,1,0)</f>
        <v>1</v>
      </c>
      <c r="O905" s="57" t="n">
        <f aca="false">IF(COUNTIFS(E$2:E905,E905,C$2:C905,C905,D$2:D905,D905)=1,1,0)</f>
        <v>1</v>
      </c>
      <c r="P905" s="57" t="n">
        <f aca="false">IF(AND(C905=Calc!$C$3,OR(Calc!$C$4=0,D905=Calc!$C$4)),ROW(),0)</f>
        <v>0</v>
      </c>
    </row>
    <row r="906" customFormat="false" ht="15" hidden="false" customHeight="false" outlineLevel="0" collapsed="false">
      <c r="A906" s="57" t="s">
        <v>1352</v>
      </c>
      <c r="B906" s="58" t="n">
        <v>45563</v>
      </c>
      <c r="C906" s="57" t="n">
        <f aca="false">YEAR(B906)</f>
        <v>2024</v>
      </c>
      <c r="D906" s="57" t="n">
        <f aca="false">MONTH(B906)</f>
        <v>9</v>
      </c>
      <c r="E906" s="57" t="s">
        <v>486</v>
      </c>
      <c r="F906" s="57" t="s">
        <v>75</v>
      </c>
      <c r="G906" s="57" t="s">
        <v>35</v>
      </c>
      <c r="H906" s="57" t="s">
        <v>37</v>
      </c>
      <c r="I906" s="59" t="n">
        <v>1</v>
      </c>
      <c r="J906" s="60" t="n">
        <v>59</v>
      </c>
      <c r="K906" s="60" t="n">
        <v>27</v>
      </c>
      <c r="L906" s="61" t="n">
        <f aca="false">I906*J906</f>
        <v>59</v>
      </c>
      <c r="M906" s="61" t="n">
        <f aca="false">L906-I906*K906</f>
        <v>32</v>
      </c>
      <c r="N906" s="57" t="n">
        <f aca="false">IF(COUNTIFS(E$2:E906,E906,C$2:C906,C906)=1,1,0)</f>
        <v>0</v>
      </c>
      <c r="O906" s="57" t="n">
        <f aca="false">IF(COUNTIFS(E$2:E906,E906,C$2:C906,C906,D$2:D906,D906)=1,1,0)</f>
        <v>0</v>
      </c>
      <c r="P906" s="57" t="n">
        <f aca="false">IF(AND(C906=Calc!$C$3,OR(Calc!$C$4=0,D906=Calc!$C$4)),ROW(),0)</f>
        <v>0</v>
      </c>
    </row>
    <row r="907" customFormat="false" ht="15" hidden="false" customHeight="false" outlineLevel="0" collapsed="false">
      <c r="A907" s="57" t="s">
        <v>1353</v>
      </c>
      <c r="B907" s="58" t="n">
        <v>45563</v>
      </c>
      <c r="C907" s="57" t="n">
        <f aca="false">YEAR(B907)</f>
        <v>2024</v>
      </c>
      <c r="D907" s="57" t="n">
        <f aca="false">MONTH(B907)</f>
        <v>9</v>
      </c>
      <c r="E907" s="57" t="s">
        <v>133</v>
      </c>
      <c r="F907" s="57" t="s">
        <v>72</v>
      </c>
      <c r="G907" s="57" t="s">
        <v>35</v>
      </c>
      <c r="H907" s="57" t="s">
        <v>38</v>
      </c>
      <c r="I907" s="59" t="n">
        <v>1</v>
      </c>
      <c r="J907" s="60" t="n">
        <v>49</v>
      </c>
      <c r="K907" s="60" t="n">
        <v>22</v>
      </c>
      <c r="L907" s="61" t="n">
        <f aca="false">I907*J907</f>
        <v>49</v>
      </c>
      <c r="M907" s="61" t="n">
        <f aca="false">L907-I907*K907</f>
        <v>27</v>
      </c>
      <c r="N907" s="57" t="n">
        <f aca="false">IF(COUNTIFS(E$2:E907,E907,C$2:C907,C907)=1,1,0)</f>
        <v>0</v>
      </c>
      <c r="O907" s="57" t="n">
        <f aca="false">IF(COUNTIFS(E$2:E907,E907,C$2:C907,C907,D$2:D907,D907)=1,1,0)</f>
        <v>1</v>
      </c>
      <c r="P907" s="57" t="n">
        <f aca="false">IF(AND(C907=Calc!$C$3,OR(Calc!$C$4=0,D907=Calc!$C$4)),ROW(),0)</f>
        <v>0</v>
      </c>
    </row>
    <row r="908" customFormat="false" ht="15" hidden="false" customHeight="false" outlineLevel="0" collapsed="false">
      <c r="A908" s="57" t="s">
        <v>1354</v>
      </c>
      <c r="B908" s="58" t="n">
        <v>45564</v>
      </c>
      <c r="C908" s="57" t="n">
        <f aca="false">YEAR(B908)</f>
        <v>2024</v>
      </c>
      <c r="D908" s="57" t="n">
        <f aca="false">MONTH(B908)</f>
        <v>9</v>
      </c>
      <c r="E908" s="57" t="s">
        <v>973</v>
      </c>
      <c r="F908" s="57" t="s">
        <v>78</v>
      </c>
      <c r="G908" s="57" t="s">
        <v>45</v>
      </c>
      <c r="H908" s="57" t="s">
        <v>48</v>
      </c>
      <c r="I908" s="59" t="n">
        <v>1</v>
      </c>
      <c r="J908" s="60" t="n">
        <v>99</v>
      </c>
      <c r="K908" s="60" t="n">
        <v>38</v>
      </c>
      <c r="L908" s="61" t="n">
        <f aca="false">I908*J908</f>
        <v>99</v>
      </c>
      <c r="M908" s="61" t="n">
        <f aca="false">L908-I908*K908</f>
        <v>61</v>
      </c>
      <c r="N908" s="57" t="n">
        <f aca="false">IF(COUNTIFS(E$2:E908,E908,C$2:C908,C908)=1,1,0)</f>
        <v>0</v>
      </c>
      <c r="O908" s="57" t="n">
        <f aca="false">IF(COUNTIFS(E$2:E908,E908,C$2:C908,C908,D$2:D908,D908)=1,1,0)</f>
        <v>1</v>
      </c>
      <c r="P908" s="57" t="n">
        <f aca="false">IF(AND(C908=Calc!$C$3,OR(Calc!$C$4=0,D908=Calc!$C$4)),ROW(),0)</f>
        <v>0</v>
      </c>
    </row>
    <row r="909" customFormat="false" ht="15" hidden="false" customHeight="false" outlineLevel="0" collapsed="false">
      <c r="A909" s="57" t="s">
        <v>1355</v>
      </c>
      <c r="B909" s="58" t="n">
        <v>45564</v>
      </c>
      <c r="C909" s="57" t="n">
        <f aca="false">YEAR(B909)</f>
        <v>2024</v>
      </c>
      <c r="D909" s="57" t="n">
        <f aca="false">MONTH(B909)</f>
        <v>9</v>
      </c>
      <c r="E909" s="57" t="s">
        <v>770</v>
      </c>
      <c r="F909" s="57" t="s">
        <v>78</v>
      </c>
      <c r="G909" s="57" t="s">
        <v>40</v>
      </c>
      <c r="H909" s="57" t="s">
        <v>41</v>
      </c>
      <c r="I909" s="59" t="n">
        <v>1</v>
      </c>
      <c r="J909" s="60" t="n">
        <v>46</v>
      </c>
      <c r="K909" s="60" t="n">
        <v>16</v>
      </c>
      <c r="L909" s="61" t="n">
        <f aca="false">I909*J909</f>
        <v>46</v>
      </c>
      <c r="M909" s="61" t="n">
        <f aca="false">L909-I909*K909</f>
        <v>30</v>
      </c>
      <c r="N909" s="57" t="n">
        <f aca="false">IF(COUNTIFS(E$2:E909,E909,C$2:C909,C909)=1,1,0)</f>
        <v>0</v>
      </c>
      <c r="O909" s="57" t="n">
        <f aca="false">IF(COUNTIFS(E$2:E909,E909,C$2:C909,C909,D$2:D909,D909)=1,1,0)</f>
        <v>1</v>
      </c>
      <c r="P909" s="57" t="n">
        <f aca="false">IF(AND(C909=Calc!$C$3,OR(Calc!$C$4=0,D909=Calc!$C$4)),ROW(),0)</f>
        <v>0</v>
      </c>
    </row>
    <row r="910" customFormat="false" ht="15" hidden="false" customHeight="false" outlineLevel="0" collapsed="false">
      <c r="A910" s="57" t="s">
        <v>1356</v>
      </c>
      <c r="B910" s="58" t="n">
        <v>45565</v>
      </c>
      <c r="C910" s="57" t="n">
        <f aca="false">YEAR(B910)</f>
        <v>2024</v>
      </c>
      <c r="D910" s="57" t="n">
        <f aca="false">MONTH(B910)</f>
        <v>9</v>
      </c>
      <c r="E910" s="57" t="s">
        <v>347</v>
      </c>
      <c r="F910" s="57" t="s">
        <v>72</v>
      </c>
      <c r="G910" s="57" t="s">
        <v>40</v>
      </c>
      <c r="H910" s="57" t="s">
        <v>41</v>
      </c>
      <c r="I910" s="59" t="n">
        <v>1</v>
      </c>
      <c r="J910" s="60" t="n">
        <v>46</v>
      </c>
      <c r="K910" s="60" t="n">
        <v>16</v>
      </c>
      <c r="L910" s="61" t="n">
        <f aca="false">I910*J910</f>
        <v>46</v>
      </c>
      <c r="M910" s="61" t="n">
        <f aca="false">L910-I910*K910</f>
        <v>30</v>
      </c>
      <c r="N910" s="57" t="n">
        <f aca="false">IF(COUNTIFS(E$2:E910,E910,C$2:C910,C910)=1,1,0)</f>
        <v>0</v>
      </c>
      <c r="O910" s="57" t="n">
        <f aca="false">IF(COUNTIFS(E$2:E910,E910,C$2:C910,C910,D$2:D910,D910)=1,1,0)</f>
        <v>1</v>
      </c>
      <c r="P910" s="57" t="n">
        <f aca="false">IF(AND(C910=Calc!$C$3,OR(Calc!$C$4=0,D910=Calc!$C$4)),ROW(),0)</f>
        <v>0</v>
      </c>
    </row>
    <row r="911" customFormat="false" ht="15" hidden="false" customHeight="false" outlineLevel="0" collapsed="false">
      <c r="A911" s="57" t="s">
        <v>1357</v>
      </c>
      <c r="B911" s="58" t="n">
        <v>45565</v>
      </c>
      <c r="C911" s="57" t="n">
        <f aca="false">YEAR(B911)</f>
        <v>2024</v>
      </c>
      <c r="D911" s="57" t="n">
        <f aca="false">MONTH(B911)</f>
        <v>9</v>
      </c>
      <c r="E911" s="57" t="s">
        <v>1358</v>
      </c>
      <c r="F911" s="57" t="s">
        <v>72</v>
      </c>
      <c r="G911" s="57" t="s">
        <v>50</v>
      </c>
      <c r="H911" s="57" t="s">
        <v>49</v>
      </c>
      <c r="I911" s="59" t="n">
        <v>2</v>
      </c>
      <c r="J911" s="60" t="n">
        <v>32</v>
      </c>
      <c r="K911" s="60" t="n">
        <v>7</v>
      </c>
      <c r="L911" s="61" t="n">
        <f aca="false">I911*J911</f>
        <v>64</v>
      </c>
      <c r="M911" s="61" t="n">
        <f aca="false">L911-I911*K911</f>
        <v>50</v>
      </c>
      <c r="N911" s="57" t="n">
        <f aca="false">IF(COUNTIFS(E$2:E911,E911,C$2:C911,C911)=1,1,0)</f>
        <v>1</v>
      </c>
      <c r="O911" s="57" t="n">
        <f aca="false">IF(COUNTIFS(E$2:E911,E911,C$2:C911,C911,D$2:D911,D911)=1,1,0)</f>
        <v>1</v>
      </c>
      <c r="P911" s="57" t="n">
        <f aca="false">IF(AND(C911=Calc!$C$3,OR(Calc!$C$4=0,D911=Calc!$C$4)),ROW(),0)</f>
        <v>0</v>
      </c>
    </row>
    <row r="912" customFormat="false" ht="15" hidden="false" customHeight="false" outlineLevel="0" collapsed="false">
      <c r="A912" s="57" t="s">
        <v>1359</v>
      </c>
      <c r="B912" s="58" t="n">
        <v>45565</v>
      </c>
      <c r="C912" s="57" t="n">
        <f aca="false">YEAR(B912)</f>
        <v>2024</v>
      </c>
      <c r="D912" s="57" t="n">
        <f aca="false">MONTH(B912)</f>
        <v>9</v>
      </c>
      <c r="E912" s="57" t="s">
        <v>363</v>
      </c>
      <c r="F912" s="57" t="s">
        <v>81</v>
      </c>
      <c r="G912" s="57" t="s">
        <v>35</v>
      </c>
      <c r="H912" s="57" t="s">
        <v>38</v>
      </c>
      <c r="I912" s="59" t="n">
        <v>1</v>
      </c>
      <c r="J912" s="60" t="n">
        <v>49</v>
      </c>
      <c r="K912" s="60" t="n">
        <v>22</v>
      </c>
      <c r="L912" s="61" t="n">
        <f aca="false">I912*J912</f>
        <v>49</v>
      </c>
      <c r="M912" s="61" t="n">
        <f aca="false">L912-I912*K912</f>
        <v>27</v>
      </c>
      <c r="N912" s="57" t="n">
        <f aca="false">IF(COUNTIFS(E$2:E912,E912,C$2:C912,C912)=1,1,0)</f>
        <v>0</v>
      </c>
      <c r="O912" s="57" t="n">
        <f aca="false">IF(COUNTIFS(E$2:E912,E912,C$2:C912,C912,D$2:D912,D912)=1,1,0)</f>
        <v>1</v>
      </c>
      <c r="P912" s="57" t="n">
        <f aca="false">IF(AND(C912=Calc!$C$3,OR(Calc!$C$4=0,D912=Calc!$C$4)),ROW(),0)</f>
        <v>0</v>
      </c>
    </row>
    <row r="913" customFormat="false" ht="15" hidden="false" customHeight="false" outlineLevel="0" collapsed="false">
      <c r="A913" s="57" t="s">
        <v>1360</v>
      </c>
      <c r="B913" s="58" t="n">
        <v>45565</v>
      </c>
      <c r="C913" s="57" t="n">
        <f aca="false">YEAR(B913)</f>
        <v>2024</v>
      </c>
      <c r="D913" s="57" t="n">
        <f aca="false">MONTH(B913)</f>
        <v>9</v>
      </c>
      <c r="E913" s="57" t="s">
        <v>965</v>
      </c>
      <c r="F913" s="57" t="s">
        <v>72</v>
      </c>
      <c r="G913" s="57" t="s">
        <v>35</v>
      </c>
      <c r="H913" s="57" t="s">
        <v>37</v>
      </c>
      <c r="I913" s="59" t="n">
        <v>1</v>
      </c>
      <c r="J913" s="60" t="n">
        <v>59</v>
      </c>
      <c r="K913" s="60" t="n">
        <v>27</v>
      </c>
      <c r="L913" s="61" t="n">
        <f aca="false">I913*J913</f>
        <v>59</v>
      </c>
      <c r="M913" s="61" t="n">
        <f aca="false">L913-I913*K913</f>
        <v>32</v>
      </c>
      <c r="N913" s="57" t="n">
        <f aca="false">IF(COUNTIFS(E$2:E913,E913,C$2:C913,C913)=1,1,0)</f>
        <v>0</v>
      </c>
      <c r="O913" s="57" t="n">
        <f aca="false">IF(COUNTIFS(E$2:E913,E913,C$2:C913,C913,D$2:D913,D913)=1,1,0)</f>
        <v>1</v>
      </c>
      <c r="P913" s="57" t="n">
        <f aca="false">IF(AND(C913=Calc!$C$3,OR(Calc!$C$4=0,D913=Calc!$C$4)),ROW(),0)</f>
        <v>0</v>
      </c>
    </row>
    <row r="914" customFormat="false" ht="15" hidden="false" customHeight="false" outlineLevel="0" collapsed="false">
      <c r="A914" s="57" t="s">
        <v>1361</v>
      </c>
      <c r="B914" s="58" t="n">
        <v>45566</v>
      </c>
      <c r="C914" s="57" t="n">
        <f aca="false">YEAR(B914)</f>
        <v>2024</v>
      </c>
      <c r="D914" s="57" t="n">
        <f aca="false">MONTH(B914)</f>
        <v>10</v>
      </c>
      <c r="E914" s="57" t="s">
        <v>761</v>
      </c>
      <c r="F914" s="57" t="s">
        <v>75</v>
      </c>
      <c r="G914" s="57" t="s">
        <v>35</v>
      </c>
      <c r="H914" s="57" t="s">
        <v>37</v>
      </c>
      <c r="I914" s="59" t="n">
        <v>1</v>
      </c>
      <c r="J914" s="60" t="n">
        <v>59</v>
      </c>
      <c r="K914" s="60" t="n">
        <v>27</v>
      </c>
      <c r="L914" s="61" t="n">
        <f aca="false">I914*J914</f>
        <v>59</v>
      </c>
      <c r="M914" s="61" t="n">
        <f aca="false">L914-I914*K914</f>
        <v>32</v>
      </c>
      <c r="N914" s="57" t="n">
        <f aca="false">IF(COUNTIFS(E$2:E914,E914,C$2:C914,C914)=1,1,0)</f>
        <v>0</v>
      </c>
      <c r="O914" s="57" t="n">
        <f aca="false">IF(COUNTIFS(E$2:E914,E914,C$2:C914,C914,D$2:D914,D914)=1,1,0)</f>
        <v>1</v>
      </c>
      <c r="P914" s="57" t="n">
        <f aca="false">IF(AND(C914=Calc!$C$3,OR(Calc!$C$4=0,D914=Calc!$C$4)),ROW(),0)</f>
        <v>0</v>
      </c>
    </row>
    <row r="915" customFormat="false" ht="15" hidden="false" customHeight="false" outlineLevel="0" collapsed="false">
      <c r="A915" s="57" t="s">
        <v>1362</v>
      </c>
      <c r="B915" s="58" t="n">
        <v>45566</v>
      </c>
      <c r="C915" s="57" t="n">
        <f aca="false">YEAR(B915)</f>
        <v>2024</v>
      </c>
      <c r="D915" s="57" t="n">
        <f aca="false">MONTH(B915)</f>
        <v>10</v>
      </c>
      <c r="E915" s="57" t="s">
        <v>502</v>
      </c>
      <c r="F915" s="57" t="s">
        <v>72</v>
      </c>
      <c r="G915" s="57" t="s">
        <v>45</v>
      </c>
      <c r="H915" s="57" t="s">
        <v>48</v>
      </c>
      <c r="I915" s="59" t="n">
        <v>1</v>
      </c>
      <c r="J915" s="60" t="n">
        <v>99</v>
      </c>
      <c r="K915" s="60" t="n">
        <v>38</v>
      </c>
      <c r="L915" s="61" t="n">
        <f aca="false">I915*J915</f>
        <v>99</v>
      </c>
      <c r="M915" s="61" t="n">
        <f aca="false">L915-I915*K915</f>
        <v>61</v>
      </c>
      <c r="N915" s="57" t="n">
        <f aca="false">IF(COUNTIFS(E$2:E915,E915,C$2:C915,C915)=1,1,0)</f>
        <v>0</v>
      </c>
      <c r="O915" s="57" t="n">
        <f aca="false">IF(COUNTIFS(E$2:E915,E915,C$2:C915,C915,D$2:D915,D915)=1,1,0)</f>
        <v>1</v>
      </c>
      <c r="P915" s="57" t="n">
        <f aca="false">IF(AND(C915=Calc!$C$3,OR(Calc!$C$4=0,D915=Calc!$C$4)),ROW(),0)</f>
        <v>0</v>
      </c>
    </row>
    <row r="916" customFormat="false" ht="15" hidden="false" customHeight="false" outlineLevel="0" collapsed="false">
      <c r="A916" s="57" t="s">
        <v>1363</v>
      </c>
      <c r="B916" s="58" t="n">
        <v>45566</v>
      </c>
      <c r="C916" s="57" t="n">
        <f aca="false">YEAR(B916)</f>
        <v>2024</v>
      </c>
      <c r="D916" s="57" t="n">
        <f aca="false">MONTH(B916)</f>
        <v>10</v>
      </c>
      <c r="E916" s="57" t="s">
        <v>85</v>
      </c>
      <c r="F916" s="57" t="s">
        <v>69</v>
      </c>
      <c r="G916" s="57" t="s">
        <v>40</v>
      </c>
      <c r="H916" s="57" t="s">
        <v>43</v>
      </c>
      <c r="I916" s="59" t="n">
        <v>2</v>
      </c>
      <c r="J916" s="60" t="n">
        <v>29</v>
      </c>
      <c r="K916" s="60" t="n">
        <v>9</v>
      </c>
      <c r="L916" s="61" t="n">
        <f aca="false">I916*J916</f>
        <v>58</v>
      </c>
      <c r="M916" s="61" t="n">
        <f aca="false">L916-I916*K916</f>
        <v>40</v>
      </c>
      <c r="N916" s="57" t="n">
        <f aca="false">IF(COUNTIFS(E$2:E916,E916,C$2:C916,C916)=1,1,0)</f>
        <v>0</v>
      </c>
      <c r="O916" s="57" t="n">
        <f aca="false">IF(COUNTIFS(E$2:E916,E916,C$2:C916,C916,D$2:D916,D916)=1,1,0)</f>
        <v>1</v>
      </c>
      <c r="P916" s="57" t="n">
        <f aca="false">IF(AND(C916=Calc!$C$3,OR(Calc!$C$4=0,D916=Calc!$C$4)),ROW(),0)</f>
        <v>0</v>
      </c>
    </row>
    <row r="917" customFormat="false" ht="15" hidden="false" customHeight="false" outlineLevel="0" collapsed="false">
      <c r="A917" s="57" t="s">
        <v>1364</v>
      </c>
      <c r="B917" s="58" t="n">
        <v>45566</v>
      </c>
      <c r="C917" s="57" t="n">
        <f aca="false">YEAR(B917)</f>
        <v>2024</v>
      </c>
      <c r="D917" s="57" t="n">
        <f aca="false">MONTH(B917)</f>
        <v>10</v>
      </c>
      <c r="E917" s="57" t="s">
        <v>672</v>
      </c>
      <c r="F917" s="57" t="s">
        <v>72</v>
      </c>
      <c r="G917" s="57" t="s">
        <v>40</v>
      </c>
      <c r="H917" s="57" t="s">
        <v>39</v>
      </c>
      <c r="I917" s="59" t="n">
        <v>2</v>
      </c>
      <c r="J917" s="60" t="n">
        <v>54</v>
      </c>
      <c r="K917" s="60" t="n">
        <v>19</v>
      </c>
      <c r="L917" s="61" t="n">
        <f aca="false">I917*J917</f>
        <v>108</v>
      </c>
      <c r="M917" s="61" t="n">
        <f aca="false">L917-I917*K917</f>
        <v>70</v>
      </c>
      <c r="N917" s="57" t="n">
        <f aca="false">IF(COUNTIFS(E$2:E917,E917,C$2:C917,C917)=1,1,0)</f>
        <v>0</v>
      </c>
      <c r="O917" s="57" t="n">
        <f aca="false">IF(COUNTIFS(E$2:E917,E917,C$2:C917,C917,D$2:D917,D917)=1,1,0)</f>
        <v>1</v>
      </c>
      <c r="P917" s="57" t="n">
        <f aca="false">IF(AND(C917=Calc!$C$3,OR(Calc!$C$4=0,D917=Calc!$C$4)),ROW(),0)</f>
        <v>0</v>
      </c>
    </row>
    <row r="918" customFormat="false" ht="15" hidden="false" customHeight="false" outlineLevel="0" collapsed="false">
      <c r="A918" s="57" t="s">
        <v>1365</v>
      </c>
      <c r="B918" s="58" t="n">
        <v>45566</v>
      </c>
      <c r="C918" s="57" t="n">
        <f aca="false">YEAR(B918)</f>
        <v>2024</v>
      </c>
      <c r="D918" s="57" t="n">
        <f aca="false">MONTH(B918)</f>
        <v>10</v>
      </c>
      <c r="E918" s="57" t="s">
        <v>269</v>
      </c>
      <c r="F918" s="57" t="s">
        <v>81</v>
      </c>
      <c r="G918" s="57" t="s">
        <v>35</v>
      </c>
      <c r="H918" s="57" t="s">
        <v>34</v>
      </c>
      <c r="I918" s="59" t="n">
        <v>1</v>
      </c>
      <c r="J918" s="60" t="n">
        <v>89</v>
      </c>
      <c r="K918" s="60" t="n">
        <v>41</v>
      </c>
      <c r="L918" s="61" t="n">
        <f aca="false">I918*J918</f>
        <v>89</v>
      </c>
      <c r="M918" s="61" t="n">
        <f aca="false">L918-I918*K918</f>
        <v>48</v>
      </c>
      <c r="N918" s="57" t="n">
        <f aca="false">IF(COUNTIFS(E$2:E918,E918,C$2:C918,C918)=1,1,0)</f>
        <v>0</v>
      </c>
      <c r="O918" s="57" t="n">
        <f aca="false">IF(COUNTIFS(E$2:E918,E918,C$2:C918,C918,D$2:D918,D918)=1,1,0)</f>
        <v>1</v>
      </c>
      <c r="P918" s="57" t="n">
        <f aca="false">IF(AND(C918=Calc!$C$3,OR(Calc!$C$4=0,D918=Calc!$C$4)),ROW(),0)</f>
        <v>0</v>
      </c>
    </row>
    <row r="919" customFormat="false" ht="15" hidden="false" customHeight="false" outlineLevel="0" collapsed="false">
      <c r="A919" s="57" t="s">
        <v>1366</v>
      </c>
      <c r="B919" s="58" t="n">
        <v>45567</v>
      </c>
      <c r="C919" s="57" t="n">
        <f aca="false">YEAR(B919)</f>
        <v>2024</v>
      </c>
      <c r="D919" s="57" t="n">
        <f aca="false">MONTH(B919)</f>
        <v>10</v>
      </c>
      <c r="E919" s="57" t="s">
        <v>309</v>
      </c>
      <c r="F919" s="57" t="s">
        <v>81</v>
      </c>
      <c r="G919" s="57" t="s">
        <v>45</v>
      </c>
      <c r="H919" s="57" t="s">
        <v>47</v>
      </c>
      <c r="I919" s="59" t="n">
        <v>1</v>
      </c>
      <c r="J919" s="60" t="n">
        <v>34</v>
      </c>
      <c r="K919" s="60" t="n">
        <v>12</v>
      </c>
      <c r="L919" s="61" t="n">
        <f aca="false">I919*J919</f>
        <v>34</v>
      </c>
      <c r="M919" s="61" t="n">
        <f aca="false">L919-I919*K919</f>
        <v>22</v>
      </c>
      <c r="N919" s="57" t="n">
        <f aca="false">IF(COUNTIFS(E$2:E919,E919,C$2:C919,C919)=1,1,0)</f>
        <v>0</v>
      </c>
      <c r="O919" s="57" t="n">
        <f aca="false">IF(COUNTIFS(E$2:E919,E919,C$2:C919,C919,D$2:D919,D919)=1,1,0)</f>
        <v>1</v>
      </c>
      <c r="P919" s="57" t="n">
        <f aca="false">IF(AND(C919=Calc!$C$3,OR(Calc!$C$4=0,D919=Calc!$C$4)),ROW(),0)</f>
        <v>0</v>
      </c>
    </row>
    <row r="920" customFormat="false" ht="15" hidden="false" customHeight="false" outlineLevel="0" collapsed="false">
      <c r="A920" s="57" t="s">
        <v>1367</v>
      </c>
      <c r="B920" s="58" t="n">
        <v>45567</v>
      </c>
      <c r="C920" s="57" t="n">
        <f aca="false">YEAR(B920)</f>
        <v>2024</v>
      </c>
      <c r="D920" s="57" t="n">
        <f aca="false">MONTH(B920)</f>
        <v>10</v>
      </c>
      <c r="E920" s="57" t="s">
        <v>95</v>
      </c>
      <c r="F920" s="57" t="s">
        <v>75</v>
      </c>
      <c r="G920" s="57" t="s">
        <v>50</v>
      </c>
      <c r="H920" s="57" t="s">
        <v>51</v>
      </c>
      <c r="I920" s="59" t="n">
        <v>1</v>
      </c>
      <c r="J920" s="60" t="n">
        <v>69</v>
      </c>
      <c r="K920" s="60" t="n">
        <v>29</v>
      </c>
      <c r="L920" s="61" t="n">
        <f aca="false">I920*J920</f>
        <v>69</v>
      </c>
      <c r="M920" s="61" t="n">
        <f aca="false">L920-I920*K920</f>
        <v>40</v>
      </c>
      <c r="N920" s="57" t="n">
        <f aca="false">IF(COUNTIFS(E$2:E920,E920,C$2:C920,C920)=1,1,0)</f>
        <v>0</v>
      </c>
      <c r="O920" s="57" t="n">
        <f aca="false">IF(COUNTIFS(E$2:E920,E920,C$2:C920,C920,D$2:D920,D920)=1,1,0)</f>
        <v>1</v>
      </c>
      <c r="P920" s="57" t="n">
        <f aca="false">IF(AND(C920=Calc!$C$3,OR(Calc!$C$4=0,D920=Calc!$C$4)),ROW(),0)</f>
        <v>0</v>
      </c>
    </row>
    <row r="921" customFormat="false" ht="15" hidden="false" customHeight="false" outlineLevel="0" collapsed="false">
      <c r="A921" s="57" t="s">
        <v>1368</v>
      </c>
      <c r="B921" s="58" t="n">
        <v>45567</v>
      </c>
      <c r="C921" s="57" t="n">
        <f aca="false">YEAR(B921)</f>
        <v>2024</v>
      </c>
      <c r="D921" s="57" t="n">
        <f aca="false">MONTH(B921)</f>
        <v>10</v>
      </c>
      <c r="E921" s="57" t="s">
        <v>1216</v>
      </c>
      <c r="F921" s="57" t="s">
        <v>75</v>
      </c>
      <c r="G921" s="57" t="s">
        <v>45</v>
      </c>
      <c r="H921" s="57" t="s">
        <v>47</v>
      </c>
      <c r="I921" s="59" t="n">
        <v>3</v>
      </c>
      <c r="J921" s="60" t="n">
        <v>34</v>
      </c>
      <c r="K921" s="60" t="n">
        <v>12</v>
      </c>
      <c r="L921" s="61" t="n">
        <f aca="false">I921*J921</f>
        <v>102</v>
      </c>
      <c r="M921" s="61" t="n">
        <f aca="false">L921-I921*K921</f>
        <v>66</v>
      </c>
      <c r="N921" s="57" t="n">
        <f aca="false">IF(COUNTIFS(E$2:E921,E921,C$2:C921,C921)=1,1,0)</f>
        <v>0</v>
      </c>
      <c r="O921" s="57" t="n">
        <f aca="false">IF(COUNTIFS(E$2:E921,E921,C$2:C921,C921,D$2:D921,D921)=1,1,0)</f>
        <v>1</v>
      </c>
      <c r="P921" s="57" t="n">
        <f aca="false">IF(AND(C921=Calc!$C$3,OR(Calc!$C$4=0,D921=Calc!$C$4)),ROW(),0)</f>
        <v>0</v>
      </c>
    </row>
    <row r="922" customFormat="false" ht="15" hidden="false" customHeight="false" outlineLevel="0" collapsed="false">
      <c r="A922" s="57" t="s">
        <v>1369</v>
      </c>
      <c r="B922" s="58" t="n">
        <v>45567</v>
      </c>
      <c r="C922" s="57" t="n">
        <f aca="false">YEAR(B922)</f>
        <v>2024</v>
      </c>
      <c r="D922" s="57" t="n">
        <f aca="false">MONTH(B922)</f>
        <v>10</v>
      </c>
      <c r="E922" s="57" t="s">
        <v>261</v>
      </c>
      <c r="F922" s="57" t="s">
        <v>75</v>
      </c>
      <c r="G922" s="57" t="s">
        <v>35</v>
      </c>
      <c r="H922" s="57" t="s">
        <v>36</v>
      </c>
      <c r="I922" s="59" t="n">
        <v>1</v>
      </c>
      <c r="J922" s="60" t="n">
        <v>179</v>
      </c>
      <c r="K922" s="60" t="n">
        <v>92</v>
      </c>
      <c r="L922" s="61" t="n">
        <f aca="false">I922*J922</f>
        <v>179</v>
      </c>
      <c r="M922" s="61" t="n">
        <f aca="false">L922-I922*K922</f>
        <v>87</v>
      </c>
      <c r="N922" s="57" t="n">
        <f aca="false">IF(COUNTIFS(E$2:E922,E922,C$2:C922,C922)=1,1,0)</f>
        <v>0</v>
      </c>
      <c r="O922" s="57" t="n">
        <f aca="false">IF(COUNTIFS(E$2:E922,E922,C$2:C922,C922,D$2:D922,D922)=1,1,0)</f>
        <v>1</v>
      </c>
      <c r="P922" s="57" t="n">
        <f aca="false">IF(AND(C922=Calc!$C$3,OR(Calc!$C$4=0,D922=Calc!$C$4)),ROW(),0)</f>
        <v>0</v>
      </c>
    </row>
    <row r="923" customFormat="false" ht="15" hidden="false" customHeight="false" outlineLevel="0" collapsed="false">
      <c r="A923" s="57" t="s">
        <v>1370</v>
      </c>
      <c r="B923" s="58" t="n">
        <v>45568</v>
      </c>
      <c r="C923" s="57" t="n">
        <f aca="false">YEAR(B923)</f>
        <v>2024</v>
      </c>
      <c r="D923" s="57" t="n">
        <f aca="false">MONTH(B923)</f>
        <v>10</v>
      </c>
      <c r="E923" s="57" t="s">
        <v>646</v>
      </c>
      <c r="F923" s="57" t="s">
        <v>81</v>
      </c>
      <c r="G923" s="57" t="s">
        <v>35</v>
      </c>
      <c r="H923" s="57" t="s">
        <v>38</v>
      </c>
      <c r="I923" s="59" t="n">
        <v>1</v>
      </c>
      <c r="J923" s="60" t="n">
        <v>49</v>
      </c>
      <c r="K923" s="60" t="n">
        <v>22</v>
      </c>
      <c r="L923" s="61" t="n">
        <f aca="false">I923*J923</f>
        <v>49</v>
      </c>
      <c r="M923" s="61" t="n">
        <f aca="false">L923-I923*K923</f>
        <v>27</v>
      </c>
      <c r="N923" s="57" t="n">
        <f aca="false">IF(COUNTIFS(E$2:E923,E923,C$2:C923,C923)=1,1,0)</f>
        <v>0</v>
      </c>
      <c r="O923" s="57" t="n">
        <f aca="false">IF(COUNTIFS(E$2:E923,E923,C$2:C923,C923,D$2:D923,D923)=1,1,0)</f>
        <v>1</v>
      </c>
      <c r="P923" s="57" t="n">
        <f aca="false">IF(AND(C923=Calc!$C$3,OR(Calc!$C$4=0,D923=Calc!$C$4)),ROW(),0)</f>
        <v>0</v>
      </c>
    </row>
    <row r="924" customFormat="false" ht="15" hidden="false" customHeight="false" outlineLevel="0" collapsed="false">
      <c r="A924" s="57" t="s">
        <v>1371</v>
      </c>
      <c r="B924" s="58" t="n">
        <v>45568</v>
      </c>
      <c r="C924" s="57" t="n">
        <f aca="false">YEAR(B924)</f>
        <v>2024</v>
      </c>
      <c r="D924" s="57" t="n">
        <f aca="false">MONTH(B924)</f>
        <v>10</v>
      </c>
      <c r="E924" s="57" t="s">
        <v>120</v>
      </c>
      <c r="F924" s="57" t="s">
        <v>78</v>
      </c>
      <c r="G924" s="57" t="s">
        <v>40</v>
      </c>
      <c r="H924" s="57" t="s">
        <v>43</v>
      </c>
      <c r="I924" s="59" t="n">
        <v>1</v>
      </c>
      <c r="J924" s="60" t="n">
        <v>29</v>
      </c>
      <c r="K924" s="60" t="n">
        <v>9</v>
      </c>
      <c r="L924" s="61" t="n">
        <f aca="false">I924*J924</f>
        <v>29</v>
      </c>
      <c r="M924" s="61" t="n">
        <f aca="false">L924-I924*K924</f>
        <v>20</v>
      </c>
      <c r="N924" s="57" t="n">
        <f aca="false">IF(COUNTIFS(E$2:E924,E924,C$2:C924,C924)=1,1,0)</f>
        <v>0</v>
      </c>
      <c r="O924" s="57" t="n">
        <f aca="false">IF(COUNTIFS(E$2:E924,E924,C$2:C924,C924,D$2:D924,D924)=1,1,0)</f>
        <v>1</v>
      </c>
      <c r="P924" s="57" t="n">
        <f aca="false">IF(AND(C924=Calc!$C$3,OR(Calc!$C$4=0,D924=Calc!$C$4)),ROW(),0)</f>
        <v>0</v>
      </c>
    </row>
    <row r="925" customFormat="false" ht="15" hidden="false" customHeight="false" outlineLevel="0" collapsed="false">
      <c r="A925" s="57" t="s">
        <v>1372</v>
      </c>
      <c r="B925" s="58" t="n">
        <v>45568</v>
      </c>
      <c r="C925" s="57" t="n">
        <f aca="false">YEAR(B925)</f>
        <v>2024</v>
      </c>
      <c r="D925" s="57" t="n">
        <f aca="false">MONTH(B925)</f>
        <v>10</v>
      </c>
      <c r="E925" s="57" t="s">
        <v>380</v>
      </c>
      <c r="F925" s="57" t="s">
        <v>69</v>
      </c>
      <c r="G925" s="57" t="s">
        <v>35</v>
      </c>
      <c r="H925" s="57" t="s">
        <v>36</v>
      </c>
      <c r="I925" s="59" t="n">
        <v>1</v>
      </c>
      <c r="J925" s="60" t="n">
        <v>179</v>
      </c>
      <c r="K925" s="60" t="n">
        <v>92</v>
      </c>
      <c r="L925" s="61" t="n">
        <f aca="false">I925*J925</f>
        <v>179</v>
      </c>
      <c r="M925" s="61" t="n">
        <f aca="false">L925-I925*K925</f>
        <v>87</v>
      </c>
      <c r="N925" s="57" t="n">
        <f aca="false">IF(COUNTIFS(E$2:E925,E925,C$2:C925,C925)=1,1,0)</f>
        <v>0</v>
      </c>
      <c r="O925" s="57" t="n">
        <f aca="false">IF(COUNTIFS(E$2:E925,E925,C$2:C925,C925,D$2:D925,D925)=1,1,0)</f>
        <v>1</v>
      </c>
      <c r="P925" s="57" t="n">
        <f aca="false">IF(AND(C925=Calc!$C$3,OR(Calc!$C$4=0,D925=Calc!$C$4)),ROW(),0)</f>
        <v>0</v>
      </c>
    </row>
    <row r="926" customFormat="false" ht="15" hidden="false" customHeight="false" outlineLevel="0" collapsed="false">
      <c r="A926" s="57" t="s">
        <v>1373</v>
      </c>
      <c r="B926" s="58" t="n">
        <v>45568</v>
      </c>
      <c r="C926" s="57" t="n">
        <f aca="false">YEAR(B926)</f>
        <v>2024</v>
      </c>
      <c r="D926" s="57" t="n">
        <f aca="false">MONTH(B926)</f>
        <v>10</v>
      </c>
      <c r="E926" s="57" t="s">
        <v>424</v>
      </c>
      <c r="F926" s="57" t="s">
        <v>78</v>
      </c>
      <c r="G926" s="57" t="s">
        <v>40</v>
      </c>
      <c r="H926" s="57" t="s">
        <v>39</v>
      </c>
      <c r="I926" s="59" t="n">
        <v>1</v>
      </c>
      <c r="J926" s="60" t="n">
        <v>54</v>
      </c>
      <c r="K926" s="60" t="n">
        <v>19</v>
      </c>
      <c r="L926" s="61" t="n">
        <f aca="false">I926*J926</f>
        <v>54</v>
      </c>
      <c r="M926" s="61" t="n">
        <f aca="false">L926-I926*K926</f>
        <v>35</v>
      </c>
      <c r="N926" s="57" t="n">
        <f aca="false">IF(COUNTIFS(E$2:E926,E926,C$2:C926,C926)=1,1,0)</f>
        <v>0</v>
      </c>
      <c r="O926" s="57" t="n">
        <f aca="false">IF(COUNTIFS(E$2:E926,E926,C$2:C926,C926,D$2:D926,D926)=1,1,0)</f>
        <v>1</v>
      </c>
      <c r="P926" s="57" t="n">
        <f aca="false">IF(AND(C926=Calc!$C$3,OR(Calc!$C$4=0,D926=Calc!$C$4)),ROW(),0)</f>
        <v>0</v>
      </c>
    </row>
    <row r="927" customFormat="false" ht="15" hidden="false" customHeight="false" outlineLevel="0" collapsed="false">
      <c r="A927" s="57" t="s">
        <v>1374</v>
      </c>
      <c r="B927" s="58" t="n">
        <v>45569</v>
      </c>
      <c r="C927" s="57" t="n">
        <f aca="false">YEAR(B927)</f>
        <v>2024</v>
      </c>
      <c r="D927" s="57" t="n">
        <f aca="false">MONTH(B927)</f>
        <v>10</v>
      </c>
      <c r="E927" s="57" t="s">
        <v>277</v>
      </c>
      <c r="F927" s="57" t="s">
        <v>75</v>
      </c>
      <c r="G927" s="57" t="s">
        <v>45</v>
      </c>
      <c r="H927" s="57" t="s">
        <v>48</v>
      </c>
      <c r="I927" s="59" t="n">
        <v>1</v>
      </c>
      <c r="J927" s="60" t="n">
        <v>99</v>
      </c>
      <c r="K927" s="60" t="n">
        <v>38</v>
      </c>
      <c r="L927" s="61" t="n">
        <f aca="false">I927*J927</f>
        <v>99</v>
      </c>
      <c r="M927" s="61" t="n">
        <f aca="false">L927-I927*K927</f>
        <v>61</v>
      </c>
      <c r="N927" s="57" t="n">
        <f aca="false">IF(COUNTIFS(E$2:E927,E927,C$2:C927,C927)=1,1,0)</f>
        <v>0</v>
      </c>
      <c r="O927" s="57" t="n">
        <f aca="false">IF(COUNTIFS(E$2:E927,E927,C$2:C927,C927,D$2:D927,D927)=1,1,0)</f>
        <v>1</v>
      </c>
      <c r="P927" s="57" t="n">
        <f aca="false">IF(AND(C927=Calc!$C$3,OR(Calc!$C$4=0,D927=Calc!$C$4)),ROW(),0)</f>
        <v>0</v>
      </c>
    </row>
    <row r="928" customFormat="false" ht="15" hidden="false" customHeight="false" outlineLevel="0" collapsed="false">
      <c r="A928" s="57" t="s">
        <v>1375</v>
      </c>
      <c r="B928" s="58" t="n">
        <v>45569</v>
      </c>
      <c r="C928" s="57" t="n">
        <f aca="false">YEAR(B928)</f>
        <v>2024</v>
      </c>
      <c r="D928" s="57" t="n">
        <f aca="false">MONTH(B928)</f>
        <v>10</v>
      </c>
      <c r="E928" s="57" t="s">
        <v>500</v>
      </c>
      <c r="F928" s="57" t="s">
        <v>72</v>
      </c>
      <c r="G928" s="57" t="s">
        <v>45</v>
      </c>
      <c r="H928" s="57" t="s">
        <v>46</v>
      </c>
      <c r="I928" s="59" t="n">
        <v>2</v>
      </c>
      <c r="J928" s="60" t="n">
        <v>149</v>
      </c>
      <c r="K928" s="60" t="n">
        <v>71</v>
      </c>
      <c r="L928" s="61" t="n">
        <f aca="false">I928*J928</f>
        <v>298</v>
      </c>
      <c r="M928" s="61" t="n">
        <f aca="false">L928-I928*K928</f>
        <v>156</v>
      </c>
      <c r="N928" s="57" t="n">
        <f aca="false">IF(COUNTIFS(E$2:E928,E928,C$2:C928,C928)=1,1,0)</f>
        <v>0</v>
      </c>
      <c r="O928" s="57" t="n">
        <f aca="false">IF(COUNTIFS(E$2:E928,E928,C$2:C928,C928,D$2:D928,D928)=1,1,0)</f>
        <v>1</v>
      </c>
      <c r="P928" s="57" t="n">
        <f aca="false">IF(AND(C928=Calc!$C$3,OR(Calc!$C$4=0,D928=Calc!$C$4)),ROW(),0)</f>
        <v>0</v>
      </c>
    </row>
    <row r="929" customFormat="false" ht="15" hidden="false" customHeight="false" outlineLevel="0" collapsed="false">
      <c r="A929" s="57" t="s">
        <v>1376</v>
      </c>
      <c r="B929" s="58" t="n">
        <v>45569</v>
      </c>
      <c r="C929" s="57" t="n">
        <f aca="false">YEAR(B929)</f>
        <v>2024</v>
      </c>
      <c r="D929" s="57" t="n">
        <f aca="false">MONTH(B929)</f>
        <v>10</v>
      </c>
      <c r="E929" s="57" t="s">
        <v>399</v>
      </c>
      <c r="F929" s="57" t="s">
        <v>69</v>
      </c>
      <c r="G929" s="57" t="s">
        <v>50</v>
      </c>
      <c r="H929" s="57" t="s">
        <v>49</v>
      </c>
      <c r="I929" s="59" t="n">
        <v>1</v>
      </c>
      <c r="J929" s="60" t="n">
        <v>32</v>
      </c>
      <c r="K929" s="60" t="n">
        <v>7</v>
      </c>
      <c r="L929" s="61" t="n">
        <f aca="false">I929*J929</f>
        <v>32</v>
      </c>
      <c r="M929" s="61" t="n">
        <f aca="false">L929-I929*K929</f>
        <v>25</v>
      </c>
      <c r="N929" s="57" t="n">
        <f aca="false">IF(COUNTIFS(E$2:E929,E929,C$2:C929,C929)=1,1,0)</f>
        <v>0</v>
      </c>
      <c r="O929" s="57" t="n">
        <f aca="false">IF(COUNTIFS(E$2:E929,E929,C$2:C929,C929,D$2:D929,D929)=1,1,0)</f>
        <v>1</v>
      </c>
      <c r="P929" s="57" t="n">
        <f aca="false">IF(AND(C929=Calc!$C$3,OR(Calc!$C$4=0,D929=Calc!$C$4)),ROW(),0)</f>
        <v>0</v>
      </c>
    </row>
    <row r="930" customFormat="false" ht="15" hidden="false" customHeight="false" outlineLevel="0" collapsed="false">
      <c r="A930" s="57" t="s">
        <v>1377</v>
      </c>
      <c r="B930" s="58" t="n">
        <v>45569</v>
      </c>
      <c r="C930" s="57" t="n">
        <f aca="false">YEAR(B930)</f>
        <v>2024</v>
      </c>
      <c r="D930" s="57" t="n">
        <f aca="false">MONTH(B930)</f>
        <v>10</v>
      </c>
      <c r="E930" s="57" t="s">
        <v>309</v>
      </c>
      <c r="F930" s="57" t="s">
        <v>81</v>
      </c>
      <c r="G930" s="57" t="s">
        <v>35</v>
      </c>
      <c r="H930" s="57" t="s">
        <v>37</v>
      </c>
      <c r="I930" s="59" t="n">
        <v>1</v>
      </c>
      <c r="J930" s="60" t="n">
        <v>59</v>
      </c>
      <c r="K930" s="60" t="n">
        <v>27</v>
      </c>
      <c r="L930" s="61" t="n">
        <f aca="false">I930*J930</f>
        <v>59</v>
      </c>
      <c r="M930" s="61" t="n">
        <f aca="false">L930-I930*K930</f>
        <v>32</v>
      </c>
      <c r="N930" s="57" t="n">
        <f aca="false">IF(COUNTIFS(E$2:E930,E930,C$2:C930,C930)=1,1,0)</f>
        <v>0</v>
      </c>
      <c r="O930" s="57" t="n">
        <f aca="false">IF(COUNTIFS(E$2:E930,E930,C$2:C930,C930,D$2:D930,D930)=1,1,0)</f>
        <v>0</v>
      </c>
      <c r="P930" s="57" t="n">
        <f aca="false">IF(AND(C930=Calc!$C$3,OR(Calc!$C$4=0,D930=Calc!$C$4)),ROW(),0)</f>
        <v>0</v>
      </c>
    </row>
    <row r="931" customFormat="false" ht="15" hidden="false" customHeight="false" outlineLevel="0" collapsed="false">
      <c r="A931" s="57" t="s">
        <v>1378</v>
      </c>
      <c r="B931" s="58" t="n">
        <v>45570</v>
      </c>
      <c r="C931" s="57" t="n">
        <f aca="false">YEAR(B931)</f>
        <v>2024</v>
      </c>
      <c r="D931" s="57" t="n">
        <f aca="false">MONTH(B931)</f>
        <v>10</v>
      </c>
      <c r="E931" s="57" t="s">
        <v>311</v>
      </c>
      <c r="F931" s="57" t="s">
        <v>69</v>
      </c>
      <c r="G931" s="57" t="s">
        <v>40</v>
      </c>
      <c r="H931" s="57" t="s">
        <v>39</v>
      </c>
      <c r="I931" s="59" t="n">
        <v>1</v>
      </c>
      <c r="J931" s="60" t="n">
        <v>54</v>
      </c>
      <c r="K931" s="60" t="n">
        <v>19</v>
      </c>
      <c r="L931" s="61" t="n">
        <f aca="false">I931*J931</f>
        <v>54</v>
      </c>
      <c r="M931" s="61" t="n">
        <f aca="false">L931-I931*K931</f>
        <v>35</v>
      </c>
      <c r="N931" s="57" t="n">
        <f aca="false">IF(COUNTIFS(E$2:E931,E931,C$2:C931,C931)=1,1,0)</f>
        <v>0</v>
      </c>
      <c r="O931" s="57" t="n">
        <f aca="false">IF(COUNTIFS(E$2:E931,E931,C$2:C931,C931,D$2:D931,D931)=1,1,0)</f>
        <v>1</v>
      </c>
      <c r="P931" s="57" t="n">
        <f aca="false">IF(AND(C931=Calc!$C$3,OR(Calc!$C$4=0,D931=Calc!$C$4)),ROW(),0)</f>
        <v>0</v>
      </c>
    </row>
    <row r="932" customFormat="false" ht="15" hidden="false" customHeight="false" outlineLevel="0" collapsed="false">
      <c r="A932" s="57" t="s">
        <v>1379</v>
      </c>
      <c r="B932" s="58" t="n">
        <v>45570</v>
      </c>
      <c r="C932" s="57" t="n">
        <f aca="false">YEAR(B932)</f>
        <v>2024</v>
      </c>
      <c r="D932" s="57" t="n">
        <f aca="false">MONTH(B932)</f>
        <v>10</v>
      </c>
      <c r="E932" s="57" t="s">
        <v>89</v>
      </c>
      <c r="F932" s="57" t="s">
        <v>81</v>
      </c>
      <c r="G932" s="57" t="s">
        <v>45</v>
      </c>
      <c r="H932" s="57" t="s">
        <v>48</v>
      </c>
      <c r="I932" s="59" t="n">
        <v>1</v>
      </c>
      <c r="J932" s="60" t="n">
        <v>99</v>
      </c>
      <c r="K932" s="60" t="n">
        <v>38</v>
      </c>
      <c r="L932" s="61" t="n">
        <f aca="false">I932*J932</f>
        <v>99</v>
      </c>
      <c r="M932" s="61" t="n">
        <f aca="false">L932-I932*K932</f>
        <v>61</v>
      </c>
      <c r="N932" s="57" t="n">
        <f aca="false">IF(COUNTIFS(E$2:E932,E932,C$2:C932,C932)=1,1,0)</f>
        <v>0</v>
      </c>
      <c r="O932" s="57" t="n">
        <f aca="false">IF(COUNTIFS(E$2:E932,E932,C$2:C932,C932,D$2:D932,D932)=1,1,0)</f>
        <v>1</v>
      </c>
      <c r="P932" s="57" t="n">
        <f aca="false">IF(AND(C932=Calc!$C$3,OR(Calc!$C$4=0,D932=Calc!$C$4)),ROW(),0)</f>
        <v>0</v>
      </c>
    </row>
    <row r="933" customFormat="false" ht="15" hidden="false" customHeight="false" outlineLevel="0" collapsed="false">
      <c r="A933" s="57" t="s">
        <v>1380</v>
      </c>
      <c r="B933" s="58" t="n">
        <v>45570</v>
      </c>
      <c r="C933" s="57" t="n">
        <f aca="false">YEAR(B933)</f>
        <v>2024</v>
      </c>
      <c r="D933" s="57" t="n">
        <f aca="false">MONTH(B933)</f>
        <v>10</v>
      </c>
      <c r="E933" s="57" t="s">
        <v>104</v>
      </c>
      <c r="F933" s="57" t="s">
        <v>78</v>
      </c>
      <c r="G933" s="57" t="s">
        <v>45</v>
      </c>
      <c r="H933" s="57" t="s">
        <v>44</v>
      </c>
      <c r="I933" s="59" t="n">
        <v>1</v>
      </c>
      <c r="J933" s="60" t="n">
        <v>119</v>
      </c>
      <c r="K933" s="60" t="n">
        <v>63</v>
      </c>
      <c r="L933" s="61" t="n">
        <f aca="false">I933*J933</f>
        <v>119</v>
      </c>
      <c r="M933" s="61" t="n">
        <f aca="false">L933-I933*K933</f>
        <v>56</v>
      </c>
      <c r="N933" s="57" t="n">
        <f aca="false">IF(COUNTIFS(E$2:E933,E933,C$2:C933,C933)=1,1,0)</f>
        <v>0</v>
      </c>
      <c r="O933" s="57" t="n">
        <f aca="false">IF(COUNTIFS(E$2:E933,E933,C$2:C933,C933,D$2:D933,D933)=1,1,0)</f>
        <v>1</v>
      </c>
      <c r="P933" s="57" t="n">
        <f aca="false">IF(AND(C933=Calc!$C$3,OR(Calc!$C$4=0,D933=Calc!$C$4)),ROW(),0)</f>
        <v>0</v>
      </c>
    </row>
    <row r="934" customFormat="false" ht="15" hidden="false" customHeight="false" outlineLevel="0" collapsed="false">
      <c r="A934" s="57" t="s">
        <v>1381</v>
      </c>
      <c r="B934" s="58" t="n">
        <v>45570</v>
      </c>
      <c r="C934" s="57" t="n">
        <f aca="false">YEAR(B934)</f>
        <v>2024</v>
      </c>
      <c r="D934" s="57" t="n">
        <f aca="false">MONTH(B934)</f>
        <v>10</v>
      </c>
      <c r="E934" s="57" t="s">
        <v>1382</v>
      </c>
      <c r="F934" s="57" t="s">
        <v>81</v>
      </c>
      <c r="G934" s="57" t="s">
        <v>45</v>
      </c>
      <c r="H934" s="57" t="s">
        <v>44</v>
      </c>
      <c r="I934" s="59" t="n">
        <v>1</v>
      </c>
      <c r="J934" s="60" t="n">
        <v>119</v>
      </c>
      <c r="K934" s="60" t="n">
        <v>63</v>
      </c>
      <c r="L934" s="61" t="n">
        <f aca="false">I934*J934</f>
        <v>119</v>
      </c>
      <c r="M934" s="61" t="n">
        <f aca="false">L934-I934*K934</f>
        <v>56</v>
      </c>
      <c r="N934" s="57" t="n">
        <f aca="false">IF(COUNTIFS(E$2:E934,E934,C$2:C934,C934)=1,1,0)</f>
        <v>1</v>
      </c>
      <c r="O934" s="57" t="n">
        <f aca="false">IF(COUNTIFS(E$2:E934,E934,C$2:C934,C934,D$2:D934,D934)=1,1,0)</f>
        <v>1</v>
      </c>
      <c r="P934" s="57" t="n">
        <f aca="false">IF(AND(C934=Calc!$C$3,OR(Calc!$C$4=0,D934=Calc!$C$4)),ROW(),0)</f>
        <v>0</v>
      </c>
    </row>
    <row r="935" customFormat="false" ht="15" hidden="false" customHeight="false" outlineLevel="0" collapsed="false">
      <c r="A935" s="57" t="s">
        <v>1383</v>
      </c>
      <c r="B935" s="58" t="n">
        <v>45571</v>
      </c>
      <c r="C935" s="57" t="n">
        <f aca="false">YEAR(B935)</f>
        <v>2024</v>
      </c>
      <c r="D935" s="57" t="n">
        <f aca="false">MONTH(B935)</f>
        <v>10</v>
      </c>
      <c r="E935" s="57" t="s">
        <v>601</v>
      </c>
      <c r="F935" s="57" t="s">
        <v>78</v>
      </c>
      <c r="G935" s="57" t="s">
        <v>45</v>
      </c>
      <c r="H935" s="57" t="s">
        <v>44</v>
      </c>
      <c r="I935" s="59" t="n">
        <v>1</v>
      </c>
      <c r="J935" s="60" t="n">
        <v>119</v>
      </c>
      <c r="K935" s="60" t="n">
        <v>63</v>
      </c>
      <c r="L935" s="61" t="n">
        <f aca="false">I935*J935</f>
        <v>119</v>
      </c>
      <c r="M935" s="61" t="n">
        <f aca="false">L935-I935*K935</f>
        <v>56</v>
      </c>
      <c r="N935" s="57" t="n">
        <f aca="false">IF(COUNTIFS(E$2:E935,E935,C$2:C935,C935)=1,1,0)</f>
        <v>0</v>
      </c>
      <c r="O935" s="57" t="n">
        <f aca="false">IF(COUNTIFS(E$2:E935,E935,C$2:C935,C935,D$2:D935,D935)=1,1,0)</f>
        <v>1</v>
      </c>
      <c r="P935" s="57" t="n">
        <f aca="false">IF(AND(C935=Calc!$C$3,OR(Calc!$C$4=0,D935=Calc!$C$4)),ROW(),0)</f>
        <v>0</v>
      </c>
    </row>
    <row r="936" customFormat="false" ht="15" hidden="false" customHeight="false" outlineLevel="0" collapsed="false">
      <c r="A936" s="57" t="s">
        <v>1384</v>
      </c>
      <c r="B936" s="58" t="n">
        <v>45571</v>
      </c>
      <c r="C936" s="57" t="n">
        <f aca="false">YEAR(B936)</f>
        <v>2024</v>
      </c>
      <c r="D936" s="57" t="n">
        <f aca="false">MONTH(B936)</f>
        <v>10</v>
      </c>
      <c r="E936" s="57" t="s">
        <v>1240</v>
      </c>
      <c r="F936" s="57" t="s">
        <v>69</v>
      </c>
      <c r="G936" s="57" t="s">
        <v>35</v>
      </c>
      <c r="H936" s="57" t="s">
        <v>36</v>
      </c>
      <c r="I936" s="59" t="n">
        <v>1</v>
      </c>
      <c r="J936" s="60" t="n">
        <v>179</v>
      </c>
      <c r="K936" s="60" t="n">
        <v>92</v>
      </c>
      <c r="L936" s="61" t="n">
        <f aca="false">I936*J936</f>
        <v>179</v>
      </c>
      <c r="M936" s="61" t="n">
        <f aca="false">L936-I936*K936</f>
        <v>87</v>
      </c>
      <c r="N936" s="57" t="n">
        <f aca="false">IF(COUNTIFS(E$2:E936,E936,C$2:C936,C936)=1,1,0)</f>
        <v>0</v>
      </c>
      <c r="O936" s="57" t="n">
        <f aca="false">IF(COUNTIFS(E$2:E936,E936,C$2:C936,C936,D$2:D936,D936)=1,1,0)</f>
        <v>1</v>
      </c>
      <c r="P936" s="57" t="n">
        <f aca="false">IF(AND(C936=Calc!$C$3,OR(Calc!$C$4=0,D936=Calc!$C$4)),ROW(),0)</f>
        <v>0</v>
      </c>
    </row>
    <row r="937" customFormat="false" ht="15" hidden="false" customHeight="false" outlineLevel="0" collapsed="false">
      <c r="A937" s="57" t="s">
        <v>1385</v>
      </c>
      <c r="B937" s="58" t="n">
        <v>45571</v>
      </c>
      <c r="C937" s="57" t="n">
        <f aca="false">YEAR(B937)</f>
        <v>2024</v>
      </c>
      <c r="D937" s="57" t="n">
        <f aca="false">MONTH(B937)</f>
        <v>10</v>
      </c>
      <c r="E937" s="57" t="s">
        <v>199</v>
      </c>
      <c r="F937" s="57" t="s">
        <v>72</v>
      </c>
      <c r="G937" s="57" t="s">
        <v>40</v>
      </c>
      <c r="H937" s="57" t="s">
        <v>42</v>
      </c>
      <c r="I937" s="59" t="n">
        <v>1</v>
      </c>
      <c r="J937" s="60" t="n">
        <v>79</v>
      </c>
      <c r="K937" s="60" t="n">
        <v>31</v>
      </c>
      <c r="L937" s="61" t="n">
        <f aca="false">I937*J937</f>
        <v>79</v>
      </c>
      <c r="M937" s="61" t="n">
        <f aca="false">L937-I937*K937</f>
        <v>48</v>
      </c>
      <c r="N937" s="57" t="n">
        <f aca="false">IF(COUNTIFS(E$2:E937,E937,C$2:C937,C937)=1,1,0)</f>
        <v>0</v>
      </c>
      <c r="O937" s="57" t="n">
        <f aca="false">IF(COUNTIFS(E$2:E937,E937,C$2:C937,C937,D$2:D937,D937)=1,1,0)</f>
        <v>1</v>
      </c>
      <c r="P937" s="57" t="n">
        <f aca="false">IF(AND(C937=Calc!$C$3,OR(Calc!$C$4=0,D937=Calc!$C$4)),ROW(),0)</f>
        <v>0</v>
      </c>
    </row>
    <row r="938" customFormat="false" ht="15" hidden="false" customHeight="false" outlineLevel="0" collapsed="false">
      <c r="A938" s="57" t="s">
        <v>1386</v>
      </c>
      <c r="B938" s="58" t="n">
        <v>45571</v>
      </c>
      <c r="C938" s="57" t="n">
        <f aca="false">YEAR(B938)</f>
        <v>2024</v>
      </c>
      <c r="D938" s="57" t="n">
        <f aca="false">MONTH(B938)</f>
        <v>10</v>
      </c>
      <c r="E938" s="57" t="s">
        <v>1387</v>
      </c>
      <c r="F938" s="57" t="s">
        <v>72</v>
      </c>
      <c r="G938" s="57" t="s">
        <v>35</v>
      </c>
      <c r="H938" s="57" t="s">
        <v>38</v>
      </c>
      <c r="I938" s="59" t="n">
        <v>1</v>
      </c>
      <c r="J938" s="60" t="n">
        <v>49</v>
      </c>
      <c r="K938" s="60" t="n">
        <v>22</v>
      </c>
      <c r="L938" s="61" t="n">
        <f aca="false">I938*J938</f>
        <v>49</v>
      </c>
      <c r="M938" s="61" t="n">
        <f aca="false">L938-I938*K938</f>
        <v>27</v>
      </c>
      <c r="N938" s="57" t="n">
        <f aca="false">IF(COUNTIFS(E$2:E938,E938,C$2:C938,C938)=1,1,0)</f>
        <v>1</v>
      </c>
      <c r="O938" s="57" t="n">
        <f aca="false">IF(COUNTIFS(E$2:E938,E938,C$2:C938,C938,D$2:D938,D938)=1,1,0)</f>
        <v>1</v>
      </c>
      <c r="P938" s="57" t="n">
        <f aca="false">IF(AND(C938=Calc!$C$3,OR(Calc!$C$4=0,D938=Calc!$C$4)),ROW(),0)</f>
        <v>0</v>
      </c>
    </row>
    <row r="939" customFormat="false" ht="15" hidden="false" customHeight="false" outlineLevel="0" collapsed="false">
      <c r="A939" s="57" t="s">
        <v>1388</v>
      </c>
      <c r="B939" s="58" t="n">
        <v>45572</v>
      </c>
      <c r="C939" s="57" t="n">
        <f aca="false">YEAR(B939)</f>
        <v>2024</v>
      </c>
      <c r="D939" s="57" t="n">
        <f aca="false">MONTH(B939)</f>
        <v>10</v>
      </c>
      <c r="E939" s="57" t="s">
        <v>1389</v>
      </c>
      <c r="F939" s="57" t="s">
        <v>78</v>
      </c>
      <c r="G939" s="57" t="s">
        <v>35</v>
      </c>
      <c r="H939" s="57" t="s">
        <v>36</v>
      </c>
      <c r="I939" s="59" t="n">
        <v>1</v>
      </c>
      <c r="J939" s="60" t="n">
        <v>179</v>
      </c>
      <c r="K939" s="60" t="n">
        <v>92</v>
      </c>
      <c r="L939" s="61" t="n">
        <f aca="false">I939*J939</f>
        <v>179</v>
      </c>
      <c r="M939" s="61" t="n">
        <f aca="false">L939-I939*K939</f>
        <v>87</v>
      </c>
      <c r="N939" s="57" t="n">
        <f aca="false">IF(COUNTIFS(E$2:E939,E939,C$2:C939,C939)=1,1,0)</f>
        <v>1</v>
      </c>
      <c r="O939" s="57" t="n">
        <f aca="false">IF(COUNTIFS(E$2:E939,E939,C$2:C939,C939,D$2:D939,D939)=1,1,0)</f>
        <v>1</v>
      </c>
      <c r="P939" s="57" t="n">
        <f aca="false">IF(AND(C939=Calc!$C$3,OR(Calc!$C$4=0,D939=Calc!$C$4)),ROW(),0)</f>
        <v>0</v>
      </c>
    </row>
    <row r="940" customFormat="false" ht="15" hidden="false" customHeight="false" outlineLevel="0" collapsed="false">
      <c r="A940" s="57" t="s">
        <v>1390</v>
      </c>
      <c r="B940" s="58" t="n">
        <v>45572</v>
      </c>
      <c r="C940" s="57" t="n">
        <f aca="false">YEAR(B940)</f>
        <v>2024</v>
      </c>
      <c r="D940" s="57" t="n">
        <f aca="false">MONTH(B940)</f>
        <v>10</v>
      </c>
      <c r="E940" s="57" t="s">
        <v>446</v>
      </c>
      <c r="F940" s="57" t="s">
        <v>75</v>
      </c>
      <c r="G940" s="57" t="s">
        <v>35</v>
      </c>
      <c r="H940" s="57" t="s">
        <v>34</v>
      </c>
      <c r="I940" s="59" t="n">
        <v>1</v>
      </c>
      <c r="J940" s="60" t="n">
        <v>89</v>
      </c>
      <c r="K940" s="60" t="n">
        <v>41</v>
      </c>
      <c r="L940" s="61" t="n">
        <f aca="false">I940*J940</f>
        <v>89</v>
      </c>
      <c r="M940" s="61" t="n">
        <f aca="false">L940-I940*K940</f>
        <v>48</v>
      </c>
      <c r="N940" s="57" t="n">
        <f aca="false">IF(COUNTIFS(E$2:E940,E940,C$2:C940,C940)=1,1,0)</f>
        <v>0</v>
      </c>
      <c r="O940" s="57" t="n">
        <f aca="false">IF(COUNTIFS(E$2:E940,E940,C$2:C940,C940,D$2:D940,D940)=1,1,0)</f>
        <v>1</v>
      </c>
      <c r="P940" s="57" t="n">
        <f aca="false">IF(AND(C940=Calc!$C$3,OR(Calc!$C$4=0,D940=Calc!$C$4)),ROW(),0)</f>
        <v>0</v>
      </c>
    </row>
    <row r="941" customFormat="false" ht="15" hidden="false" customHeight="false" outlineLevel="0" collapsed="false">
      <c r="A941" s="57" t="s">
        <v>1391</v>
      </c>
      <c r="B941" s="58" t="n">
        <v>45572</v>
      </c>
      <c r="C941" s="57" t="n">
        <f aca="false">YEAR(B941)</f>
        <v>2024</v>
      </c>
      <c r="D941" s="57" t="n">
        <f aca="false">MONTH(B941)</f>
        <v>10</v>
      </c>
      <c r="E941" s="57" t="s">
        <v>1392</v>
      </c>
      <c r="F941" s="57" t="s">
        <v>78</v>
      </c>
      <c r="G941" s="57" t="s">
        <v>45</v>
      </c>
      <c r="H941" s="57" t="s">
        <v>47</v>
      </c>
      <c r="I941" s="59" t="n">
        <v>1</v>
      </c>
      <c r="J941" s="60" t="n">
        <v>34</v>
      </c>
      <c r="K941" s="60" t="n">
        <v>12</v>
      </c>
      <c r="L941" s="61" t="n">
        <f aca="false">I941*J941</f>
        <v>34</v>
      </c>
      <c r="M941" s="61" t="n">
        <f aca="false">L941-I941*K941</f>
        <v>22</v>
      </c>
      <c r="N941" s="57" t="n">
        <f aca="false">IF(COUNTIFS(E$2:E941,E941,C$2:C941,C941)=1,1,0)</f>
        <v>1</v>
      </c>
      <c r="O941" s="57" t="n">
        <f aca="false">IF(COUNTIFS(E$2:E941,E941,C$2:C941,C941,D$2:D941,D941)=1,1,0)</f>
        <v>1</v>
      </c>
      <c r="P941" s="57" t="n">
        <f aca="false">IF(AND(C941=Calc!$C$3,OR(Calc!$C$4=0,D941=Calc!$C$4)),ROW(),0)</f>
        <v>0</v>
      </c>
    </row>
    <row r="942" customFormat="false" ht="15" hidden="false" customHeight="false" outlineLevel="0" collapsed="false">
      <c r="A942" s="57" t="s">
        <v>1393</v>
      </c>
      <c r="B942" s="58" t="n">
        <v>45572</v>
      </c>
      <c r="C942" s="57" t="n">
        <f aca="false">YEAR(B942)</f>
        <v>2024</v>
      </c>
      <c r="D942" s="57" t="n">
        <f aca="false">MONTH(B942)</f>
        <v>10</v>
      </c>
      <c r="E942" s="57" t="s">
        <v>71</v>
      </c>
      <c r="F942" s="57" t="s">
        <v>72</v>
      </c>
      <c r="G942" s="57" t="s">
        <v>35</v>
      </c>
      <c r="H942" s="57" t="s">
        <v>34</v>
      </c>
      <c r="I942" s="59" t="n">
        <v>1</v>
      </c>
      <c r="J942" s="60" t="n">
        <v>89</v>
      </c>
      <c r="K942" s="60" t="n">
        <v>41</v>
      </c>
      <c r="L942" s="61" t="n">
        <f aca="false">I942*J942</f>
        <v>89</v>
      </c>
      <c r="M942" s="61" t="n">
        <f aca="false">L942-I942*K942</f>
        <v>48</v>
      </c>
      <c r="N942" s="57" t="n">
        <f aca="false">IF(COUNTIFS(E$2:E942,E942,C$2:C942,C942)=1,1,0)</f>
        <v>0</v>
      </c>
      <c r="O942" s="57" t="n">
        <f aca="false">IF(COUNTIFS(E$2:E942,E942,C$2:C942,C942,D$2:D942,D942)=1,1,0)</f>
        <v>1</v>
      </c>
      <c r="P942" s="57" t="n">
        <f aca="false">IF(AND(C942=Calc!$C$3,OR(Calc!$C$4=0,D942=Calc!$C$4)),ROW(),0)</f>
        <v>0</v>
      </c>
    </row>
    <row r="943" customFormat="false" ht="15" hidden="false" customHeight="false" outlineLevel="0" collapsed="false">
      <c r="A943" s="57" t="s">
        <v>1394</v>
      </c>
      <c r="B943" s="58" t="n">
        <v>45573</v>
      </c>
      <c r="C943" s="57" t="n">
        <f aca="false">YEAR(B943)</f>
        <v>2024</v>
      </c>
      <c r="D943" s="57" t="n">
        <f aca="false">MONTH(B943)</f>
        <v>10</v>
      </c>
      <c r="E943" s="57" t="s">
        <v>1395</v>
      </c>
      <c r="F943" s="57" t="s">
        <v>75</v>
      </c>
      <c r="G943" s="57" t="s">
        <v>54</v>
      </c>
      <c r="H943" s="57" t="s">
        <v>55</v>
      </c>
      <c r="I943" s="59" t="n">
        <v>1</v>
      </c>
      <c r="J943" s="60" t="n">
        <v>64</v>
      </c>
      <c r="K943" s="60" t="n">
        <v>25</v>
      </c>
      <c r="L943" s="61" t="n">
        <f aca="false">I943*J943</f>
        <v>64</v>
      </c>
      <c r="M943" s="61" t="n">
        <f aca="false">L943-I943*K943</f>
        <v>39</v>
      </c>
      <c r="N943" s="57" t="n">
        <f aca="false">IF(COUNTIFS(E$2:E943,E943,C$2:C943,C943)=1,1,0)</f>
        <v>1</v>
      </c>
      <c r="O943" s="57" t="n">
        <f aca="false">IF(COUNTIFS(E$2:E943,E943,C$2:C943,C943,D$2:D943,D943)=1,1,0)</f>
        <v>1</v>
      </c>
      <c r="P943" s="57" t="n">
        <f aca="false">IF(AND(C943=Calc!$C$3,OR(Calc!$C$4=0,D943=Calc!$C$4)),ROW(),0)</f>
        <v>0</v>
      </c>
    </row>
    <row r="944" customFormat="false" ht="15" hidden="false" customHeight="false" outlineLevel="0" collapsed="false">
      <c r="A944" s="57" t="s">
        <v>1396</v>
      </c>
      <c r="B944" s="58" t="n">
        <v>45573</v>
      </c>
      <c r="C944" s="57" t="n">
        <f aca="false">YEAR(B944)</f>
        <v>2024</v>
      </c>
      <c r="D944" s="57" t="n">
        <f aca="false">MONTH(B944)</f>
        <v>10</v>
      </c>
      <c r="E944" s="57" t="s">
        <v>133</v>
      </c>
      <c r="F944" s="57" t="s">
        <v>72</v>
      </c>
      <c r="G944" s="57" t="s">
        <v>35</v>
      </c>
      <c r="H944" s="57" t="s">
        <v>34</v>
      </c>
      <c r="I944" s="59" t="n">
        <v>2</v>
      </c>
      <c r="J944" s="60" t="n">
        <v>89</v>
      </c>
      <c r="K944" s="60" t="n">
        <v>41</v>
      </c>
      <c r="L944" s="61" t="n">
        <f aca="false">I944*J944</f>
        <v>178</v>
      </c>
      <c r="M944" s="61" t="n">
        <f aca="false">L944-I944*K944</f>
        <v>96</v>
      </c>
      <c r="N944" s="57" t="n">
        <f aca="false">IF(COUNTIFS(E$2:E944,E944,C$2:C944,C944)=1,1,0)</f>
        <v>0</v>
      </c>
      <c r="O944" s="57" t="n">
        <f aca="false">IF(COUNTIFS(E$2:E944,E944,C$2:C944,C944,D$2:D944,D944)=1,1,0)</f>
        <v>1</v>
      </c>
      <c r="P944" s="57" t="n">
        <f aca="false">IF(AND(C944=Calc!$C$3,OR(Calc!$C$4=0,D944=Calc!$C$4)),ROW(),0)</f>
        <v>0</v>
      </c>
    </row>
    <row r="945" customFormat="false" ht="15" hidden="false" customHeight="false" outlineLevel="0" collapsed="false">
      <c r="A945" s="57" t="s">
        <v>1397</v>
      </c>
      <c r="B945" s="58" t="n">
        <v>45573</v>
      </c>
      <c r="C945" s="57" t="n">
        <f aca="false">YEAR(B945)</f>
        <v>2024</v>
      </c>
      <c r="D945" s="57" t="n">
        <f aca="false">MONTH(B945)</f>
        <v>10</v>
      </c>
      <c r="E945" s="57" t="s">
        <v>1398</v>
      </c>
      <c r="F945" s="57" t="s">
        <v>69</v>
      </c>
      <c r="G945" s="57" t="s">
        <v>45</v>
      </c>
      <c r="H945" s="57" t="s">
        <v>44</v>
      </c>
      <c r="I945" s="59" t="n">
        <v>3</v>
      </c>
      <c r="J945" s="60" t="n">
        <v>119</v>
      </c>
      <c r="K945" s="60" t="n">
        <v>63</v>
      </c>
      <c r="L945" s="61" t="n">
        <f aca="false">I945*J945</f>
        <v>357</v>
      </c>
      <c r="M945" s="61" t="n">
        <f aca="false">L945-I945*K945</f>
        <v>168</v>
      </c>
      <c r="N945" s="57" t="n">
        <f aca="false">IF(COUNTIFS(E$2:E945,E945,C$2:C945,C945)=1,1,0)</f>
        <v>1</v>
      </c>
      <c r="O945" s="57" t="n">
        <f aca="false">IF(COUNTIFS(E$2:E945,E945,C$2:C945,C945,D$2:D945,D945)=1,1,0)</f>
        <v>1</v>
      </c>
      <c r="P945" s="57" t="n">
        <f aca="false">IF(AND(C945=Calc!$C$3,OR(Calc!$C$4=0,D945=Calc!$C$4)),ROW(),0)</f>
        <v>0</v>
      </c>
    </row>
    <row r="946" customFormat="false" ht="15" hidden="false" customHeight="false" outlineLevel="0" collapsed="false">
      <c r="A946" s="57" t="s">
        <v>1399</v>
      </c>
      <c r="B946" s="58" t="n">
        <v>45573</v>
      </c>
      <c r="C946" s="57" t="n">
        <f aca="false">YEAR(B946)</f>
        <v>2024</v>
      </c>
      <c r="D946" s="57" t="n">
        <f aca="false">MONTH(B946)</f>
        <v>10</v>
      </c>
      <c r="E946" s="57" t="s">
        <v>725</v>
      </c>
      <c r="F946" s="57" t="s">
        <v>69</v>
      </c>
      <c r="G946" s="57" t="s">
        <v>35</v>
      </c>
      <c r="H946" s="57" t="s">
        <v>36</v>
      </c>
      <c r="I946" s="59" t="n">
        <v>1</v>
      </c>
      <c r="J946" s="60" t="n">
        <v>179</v>
      </c>
      <c r="K946" s="60" t="n">
        <v>92</v>
      </c>
      <c r="L946" s="61" t="n">
        <f aca="false">I946*J946</f>
        <v>179</v>
      </c>
      <c r="M946" s="61" t="n">
        <f aca="false">L946-I946*K946</f>
        <v>87</v>
      </c>
      <c r="N946" s="57" t="n">
        <f aca="false">IF(COUNTIFS(E$2:E946,E946,C$2:C946,C946)=1,1,0)</f>
        <v>0</v>
      </c>
      <c r="O946" s="57" t="n">
        <f aca="false">IF(COUNTIFS(E$2:E946,E946,C$2:C946,C946,D$2:D946,D946)=1,1,0)</f>
        <v>1</v>
      </c>
      <c r="P946" s="57" t="n">
        <f aca="false">IF(AND(C946=Calc!$C$3,OR(Calc!$C$4=0,D946=Calc!$C$4)),ROW(),0)</f>
        <v>0</v>
      </c>
    </row>
    <row r="947" customFormat="false" ht="15" hidden="false" customHeight="false" outlineLevel="0" collapsed="false">
      <c r="A947" s="57" t="s">
        <v>1400</v>
      </c>
      <c r="B947" s="58" t="n">
        <v>45574</v>
      </c>
      <c r="C947" s="57" t="n">
        <f aca="false">YEAR(B947)</f>
        <v>2024</v>
      </c>
      <c r="D947" s="57" t="n">
        <f aca="false">MONTH(B947)</f>
        <v>10</v>
      </c>
      <c r="E947" s="57" t="s">
        <v>566</v>
      </c>
      <c r="F947" s="57" t="s">
        <v>69</v>
      </c>
      <c r="G947" s="57" t="s">
        <v>35</v>
      </c>
      <c r="H947" s="57" t="s">
        <v>36</v>
      </c>
      <c r="I947" s="59" t="n">
        <v>1</v>
      </c>
      <c r="J947" s="60" t="n">
        <v>179</v>
      </c>
      <c r="K947" s="60" t="n">
        <v>92</v>
      </c>
      <c r="L947" s="61" t="n">
        <f aca="false">I947*J947</f>
        <v>179</v>
      </c>
      <c r="M947" s="61" t="n">
        <f aca="false">L947-I947*K947</f>
        <v>87</v>
      </c>
      <c r="N947" s="57" t="n">
        <f aca="false">IF(COUNTIFS(E$2:E947,E947,C$2:C947,C947)=1,1,0)</f>
        <v>0</v>
      </c>
      <c r="O947" s="57" t="n">
        <f aca="false">IF(COUNTIFS(E$2:E947,E947,C$2:C947,C947,D$2:D947,D947)=1,1,0)</f>
        <v>1</v>
      </c>
      <c r="P947" s="57" t="n">
        <f aca="false">IF(AND(C947=Calc!$C$3,OR(Calc!$C$4=0,D947=Calc!$C$4)),ROW(),0)</f>
        <v>0</v>
      </c>
    </row>
    <row r="948" customFormat="false" ht="15" hidden="false" customHeight="false" outlineLevel="0" collapsed="false">
      <c r="A948" s="57" t="s">
        <v>1401</v>
      </c>
      <c r="B948" s="58" t="n">
        <v>45574</v>
      </c>
      <c r="C948" s="57" t="n">
        <f aca="false">YEAR(B948)</f>
        <v>2024</v>
      </c>
      <c r="D948" s="57" t="n">
        <f aca="false">MONTH(B948)</f>
        <v>10</v>
      </c>
      <c r="E948" s="57" t="s">
        <v>725</v>
      </c>
      <c r="F948" s="57" t="s">
        <v>69</v>
      </c>
      <c r="G948" s="57" t="s">
        <v>40</v>
      </c>
      <c r="H948" s="57" t="s">
        <v>41</v>
      </c>
      <c r="I948" s="59" t="n">
        <v>1</v>
      </c>
      <c r="J948" s="60" t="n">
        <v>46</v>
      </c>
      <c r="K948" s="60" t="n">
        <v>16</v>
      </c>
      <c r="L948" s="61" t="n">
        <f aca="false">I948*J948</f>
        <v>46</v>
      </c>
      <c r="M948" s="61" t="n">
        <f aca="false">L948-I948*K948</f>
        <v>30</v>
      </c>
      <c r="N948" s="57" t="n">
        <f aca="false">IF(COUNTIFS(E$2:E948,E948,C$2:C948,C948)=1,1,0)</f>
        <v>0</v>
      </c>
      <c r="O948" s="57" t="n">
        <f aca="false">IF(COUNTIFS(E$2:E948,E948,C$2:C948,C948,D$2:D948,D948)=1,1,0)</f>
        <v>0</v>
      </c>
      <c r="P948" s="57" t="n">
        <f aca="false">IF(AND(C948=Calc!$C$3,OR(Calc!$C$4=0,D948=Calc!$C$4)),ROW(),0)</f>
        <v>0</v>
      </c>
    </row>
    <row r="949" customFormat="false" ht="15" hidden="false" customHeight="false" outlineLevel="0" collapsed="false">
      <c r="A949" s="57" t="s">
        <v>1402</v>
      </c>
      <c r="B949" s="58" t="n">
        <v>45575</v>
      </c>
      <c r="C949" s="57" t="n">
        <f aca="false">YEAR(B949)</f>
        <v>2024</v>
      </c>
      <c r="D949" s="57" t="n">
        <f aca="false">MONTH(B949)</f>
        <v>10</v>
      </c>
      <c r="E949" s="57" t="s">
        <v>434</v>
      </c>
      <c r="F949" s="57" t="s">
        <v>78</v>
      </c>
      <c r="G949" s="57" t="s">
        <v>35</v>
      </c>
      <c r="H949" s="57" t="s">
        <v>38</v>
      </c>
      <c r="I949" s="59" t="n">
        <v>1</v>
      </c>
      <c r="J949" s="60" t="n">
        <v>49</v>
      </c>
      <c r="K949" s="60" t="n">
        <v>22</v>
      </c>
      <c r="L949" s="61" t="n">
        <f aca="false">I949*J949</f>
        <v>49</v>
      </c>
      <c r="M949" s="61" t="n">
        <f aca="false">L949-I949*K949</f>
        <v>27</v>
      </c>
      <c r="N949" s="57" t="n">
        <f aca="false">IF(COUNTIFS(E$2:E949,E949,C$2:C949,C949)=1,1,0)</f>
        <v>0</v>
      </c>
      <c r="O949" s="57" t="n">
        <f aca="false">IF(COUNTIFS(E$2:E949,E949,C$2:C949,C949,D$2:D949,D949)=1,1,0)</f>
        <v>1</v>
      </c>
      <c r="P949" s="57" t="n">
        <f aca="false">IF(AND(C949=Calc!$C$3,OR(Calc!$C$4=0,D949=Calc!$C$4)),ROW(),0)</f>
        <v>0</v>
      </c>
    </row>
    <row r="950" customFormat="false" ht="15" hidden="false" customHeight="false" outlineLevel="0" collapsed="false">
      <c r="A950" s="57" t="s">
        <v>1403</v>
      </c>
      <c r="B950" s="58" t="n">
        <v>45575</v>
      </c>
      <c r="C950" s="57" t="n">
        <f aca="false">YEAR(B950)</f>
        <v>2024</v>
      </c>
      <c r="D950" s="57" t="n">
        <f aca="false">MONTH(B950)</f>
        <v>10</v>
      </c>
      <c r="E950" s="57" t="s">
        <v>466</v>
      </c>
      <c r="F950" s="57" t="s">
        <v>72</v>
      </c>
      <c r="G950" s="57" t="s">
        <v>54</v>
      </c>
      <c r="H950" s="57" t="s">
        <v>53</v>
      </c>
      <c r="I950" s="59" t="n">
        <v>1</v>
      </c>
      <c r="J950" s="60" t="n">
        <v>39</v>
      </c>
      <c r="K950" s="60" t="n">
        <v>13</v>
      </c>
      <c r="L950" s="61" t="n">
        <f aca="false">I950*J950</f>
        <v>39</v>
      </c>
      <c r="M950" s="61" t="n">
        <f aca="false">L950-I950*K950</f>
        <v>26</v>
      </c>
      <c r="N950" s="57" t="n">
        <f aca="false">IF(COUNTIFS(E$2:E950,E950,C$2:C950,C950)=1,1,0)</f>
        <v>0</v>
      </c>
      <c r="O950" s="57" t="n">
        <f aca="false">IF(COUNTIFS(E$2:E950,E950,C$2:C950,C950,D$2:D950,D950)=1,1,0)</f>
        <v>1</v>
      </c>
      <c r="P950" s="57" t="n">
        <f aca="false">IF(AND(C950=Calc!$C$3,OR(Calc!$C$4=0,D950=Calc!$C$4)),ROW(),0)</f>
        <v>0</v>
      </c>
    </row>
    <row r="951" customFormat="false" ht="15" hidden="false" customHeight="false" outlineLevel="0" collapsed="false">
      <c r="A951" s="57" t="s">
        <v>1404</v>
      </c>
      <c r="B951" s="58" t="n">
        <v>45575</v>
      </c>
      <c r="C951" s="57" t="n">
        <f aca="false">YEAR(B951)</f>
        <v>2024</v>
      </c>
      <c r="D951" s="57" t="n">
        <f aca="false">MONTH(B951)</f>
        <v>10</v>
      </c>
      <c r="E951" s="57" t="s">
        <v>687</v>
      </c>
      <c r="F951" s="57" t="s">
        <v>75</v>
      </c>
      <c r="G951" s="57" t="s">
        <v>35</v>
      </c>
      <c r="H951" s="57" t="s">
        <v>36</v>
      </c>
      <c r="I951" s="59" t="n">
        <v>2</v>
      </c>
      <c r="J951" s="60" t="n">
        <v>179</v>
      </c>
      <c r="K951" s="60" t="n">
        <v>92</v>
      </c>
      <c r="L951" s="61" t="n">
        <f aca="false">I951*J951</f>
        <v>358</v>
      </c>
      <c r="M951" s="61" t="n">
        <f aca="false">L951-I951*K951</f>
        <v>174</v>
      </c>
      <c r="N951" s="57" t="n">
        <f aca="false">IF(COUNTIFS(E$2:E951,E951,C$2:C951,C951)=1,1,0)</f>
        <v>0</v>
      </c>
      <c r="O951" s="57" t="n">
        <f aca="false">IF(COUNTIFS(E$2:E951,E951,C$2:C951,C951,D$2:D951,D951)=1,1,0)</f>
        <v>1</v>
      </c>
      <c r="P951" s="57" t="n">
        <f aca="false">IF(AND(C951=Calc!$C$3,OR(Calc!$C$4=0,D951=Calc!$C$4)),ROW(),0)</f>
        <v>0</v>
      </c>
    </row>
    <row r="952" customFormat="false" ht="15" hidden="false" customHeight="false" outlineLevel="0" collapsed="false">
      <c r="A952" s="57" t="s">
        <v>1405</v>
      </c>
      <c r="B952" s="58" t="n">
        <v>45576</v>
      </c>
      <c r="C952" s="57" t="n">
        <f aca="false">YEAR(B952)</f>
        <v>2024</v>
      </c>
      <c r="D952" s="57" t="n">
        <f aca="false">MONTH(B952)</f>
        <v>10</v>
      </c>
      <c r="E952" s="57" t="s">
        <v>586</v>
      </c>
      <c r="F952" s="57" t="s">
        <v>75</v>
      </c>
      <c r="G952" s="57" t="s">
        <v>40</v>
      </c>
      <c r="H952" s="57" t="s">
        <v>43</v>
      </c>
      <c r="I952" s="59" t="n">
        <v>1</v>
      </c>
      <c r="J952" s="60" t="n">
        <v>29</v>
      </c>
      <c r="K952" s="60" t="n">
        <v>9</v>
      </c>
      <c r="L952" s="61" t="n">
        <f aca="false">I952*J952</f>
        <v>29</v>
      </c>
      <c r="M952" s="61" t="n">
        <f aca="false">L952-I952*K952</f>
        <v>20</v>
      </c>
      <c r="N952" s="57" t="n">
        <f aca="false">IF(COUNTIFS(E$2:E952,E952,C$2:C952,C952)=1,1,0)</f>
        <v>0</v>
      </c>
      <c r="O952" s="57" t="n">
        <f aca="false">IF(COUNTIFS(E$2:E952,E952,C$2:C952,C952,D$2:D952,D952)=1,1,0)</f>
        <v>1</v>
      </c>
      <c r="P952" s="57" t="n">
        <f aca="false">IF(AND(C952=Calc!$C$3,OR(Calc!$C$4=0,D952=Calc!$C$4)),ROW(),0)</f>
        <v>0</v>
      </c>
    </row>
    <row r="953" customFormat="false" ht="15" hidden="false" customHeight="false" outlineLevel="0" collapsed="false">
      <c r="A953" s="57" t="s">
        <v>1406</v>
      </c>
      <c r="B953" s="58" t="n">
        <v>45576</v>
      </c>
      <c r="C953" s="57" t="n">
        <f aca="false">YEAR(B953)</f>
        <v>2024</v>
      </c>
      <c r="D953" s="57" t="n">
        <f aca="false">MONTH(B953)</f>
        <v>10</v>
      </c>
      <c r="E953" s="57" t="s">
        <v>380</v>
      </c>
      <c r="F953" s="57" t="s">
        <v>69</v>
      </c>
      <c r="G953" s="57" t="s">
        <v>35</v>
      </c>
      <c r="H953" s="57" t="s">
        <v>36</v>
      </c>
      <c r="I953" s="59" t="n">
        <v>1</v>
      </c>
      <c r="J953" s="60" t="n">
        <v>179</v>
      </c>
      <c r="K953" s="60" t="n">
        <v>92</v>
      </c>
      <c r="L953" s="61" t="n">
        <f aca="false">I953*J953</f>
        <v>179</v>
      </c>
      <c r="M953" s="61" t="n">
        <f aca="false">L953-I953*K953</f>
        <v>87</v>
      </c>
      <c r="N953" s="57" t="n">
        <f aca="false">IF(COUNTIFS(E$2:E953,E953,C$2:C953,C953)=1,1,0)</f>
        <v>0</v>
      </c>
      <c r="O953" s="57" t="n">
        <f aca="false">IF(COUNTIFS(E$2:E953,E953,C$2:C953,C953,D$2:D953,D953)=1,1,0)</f>
        <v>0</v>
      </c>
      <c r="P953" s="57" t="n">
        <f aca="false">IF(AND(C953=Calc!$C$3,OR(Calc!$C$4=0,D953=Calc!$C$4)),ROW(),0)</f>
        <v>0</v>
      </c>
    </row>
    <row r="954" customFormat="false" ht="15" hidden="false" customHeight="false" outlineLevel="0" collapsed="false">
      <c r="A954" s="57" t="s">
        <v>1407</v>
      </c>
      <c r="B954" s="58" t="n">
        <v>45576</v>
      </c>
      <c r="C954" s="57" t="n">
        <f aca="false">YEAR(B954)</f>
        <v>2024</v>
      </c>
      <c r="D954" s="57" t="n">
        <f aca="false">MONTH(B954)</f>
        <v>10</v>
      </c>
      <c r="E954" s="57" t="s">
        <v>446</v>
      </c>
      <c r="F954" s="57" t="s">
        <v>75</v>
      </c>
      <c r="G954" s="57" t="s">
        <v>35</v>
      </c>
      <c r="H954" s="57" t="s">
        <v>36</v>
      </c>
      <c r="I954" s="59" t="n">
        <v>1</v>
      </c>
      <c r="J954" s="60" t="n">
        <v>179</v>
      </c>
      <c r="K954" s="60" t="n">
        <v>92</v>
      </c>
      <c r="L954" s="61" t="n">
        <f aca="false">I954*J954</f>
        <v>179</v>
      </c>
      <c r="M954" s="61" t="n">
        <f aca="false">L954-I954*K954</f>
        <v>87</v>
      </c>
      <c r="N954" s="57" t="n">
        <f aca="false">IF(COUNTIFS(E$2:E954,E954,C$2:C954,C954)=1,1,0)</f>
        <v>0</v>
      </c>
      <c r="O954" s="57" t="n">
        <f aca="false">IF(COUNTIFS(E$2:E954,E954,C$2:C954,C954,D$2:D954,D954)=1,1,0)</f>
        <v>0</v>
      </c>
      <c r="P954" s="57" t="n">
        <f aca="false">IF(AND(C954=Calc!$C$3,OR(Calc!$C$4=0,D954=Calc!$C$4)),ROW(),0)</f>
        <v>0</v>
      </c>
    </row>
    <row r="955" customFormat="false" ht="15" hidden="false" customHeight="false" outlineLevel="0" collapsed="false">
      <c r="A955" s="57" t="s">
        <v>1408</v>
      </c>
      <c r="B955" s="58" t="n">
        <v>45576</v>
      </c>
      <c r="C955" s="57" t="n">
        <f aca="false">YEAR(B955)</f>
        <v>2024</v>
      </c>
      <c r="D955" s="57" t="n">
        <f aca="false">MONTH(B955)</f>
        <v>10</v>
      </c>
      <c r="E955" s="57" t="s">
        <v>458</v>
      </c>
      <c r="F955" s="57" t="s">
        <v>81</v>
      </c>
      <c r="G955" s="57" t="s">
        <v>35</v>
      </c>
      <c r="H955" s="57" t="s">
        <v>34</v>
      </c>
      <c r="I955" s="59" t="n">
        <v>2</v>
      </c>
      <c r="J955" s="60" t="n">
        <v>89</v>
      </c>
      <c r="K955" s="60" t="n">
        <v>41</v>
      </c>
      <c r="L955" s="61" t="n">
        <f aca="false">I955*J955</f>
        <v>178</v>
      </c>
      <c r="M955" s="61" t="n">
        <f aca="false">L955-I955*K955</f>
        <v>96</v>
      </c>
      <c r="N955" s="57" t="n">
        <f aca="false">IF(COUNTIFS(E$2:E955,E955,C$2:C955,C955)=1,1,0)</f>
        <v>0</v>
      </c>
      <c r="O955" s="57" t="n">
        <f aca="false">IF(COUNTIFS(E$2:E955,E955,C$2:C955,C955,D$2:D955,D955)=1,1,0)</f>
        <v>1</v>
      </c>
      <c r="P955" s="57" t="n">
        <f aca="false">IF(AND(C955=Calc!$C$3,OR(Calc!$C$4=0,D955=Calc!$C$4)),ROW(),0)</f>
        <v>0</v>
      </c>
    </row>
    <row r="956" customFormat="false" ht="15" hidden="false" customHeight="false" outlineLevel="0" collapsed="false">
      <c r="A956" s="57" t="s">
        <v>1409</v>
      </c>
      <c r="B956" s="58" t="n">
        <v>45577</v>
      </c>
      <c r="C956" s="57" t="n">
        <f aca="false">YEAR(B956)</f>
        <v>2024</v>
      </c>
      <c r="D956" s="57" t="n">
        <f aca="false">MONTH(B956)</f>
        <v>10</v>
      </c>
      <c r="E956" s="57" t="s">
        <v>399</v>
      </c>
      <c r="F956" s="57" t="s">
        <v>69</v>
      </c>
      <c r="G956" s="57" t="s">
        <v>54</v>
      </c>
      <c r="H956" s="57" t="s">
        <v>56</v>
      </c>
      <c r="I956" s="59" t="n">
        <v>1</v>
      </c>
      <c r="J956" s="60" t="n">
        <v>42</v>
      </c>
      <c r="K956" s="60" t="n">
        <v>17</v>
      </c>
      <c r="L956" s="61" t="n">
        <f aca="false">I956*J956</f>
        <v>42</v>
      </c>
      <c r="M956" s="61" t="n">
        <f aca="false">L956-I956*K956</f>
        <v>25</v>
      </c>
      <c r="N956" s="57" t="n">
        <f aca="false">IF(COUNTIFS(E$2:E956,E956,C$2:C956,C956)=1,1,0)</f>
        <v>0</v>
      </c>
      <c r="O956" s="57" t="n">
        <f aca="false">IF(COUNTIFS(E$2:E956,E956,C$2:C956,C956,D$2:D956,D956)=1,1,0)</f>
        <v>0</v>
      </c>
      <c r="P956" s="57" t="n">
        <f aca="false">IF(AND(C956=Calc!$C$3,OR(Calc!$C$4=0,D956=Calc!$C$4)),ROW(),0)</f>
        <v>0</v>
      </c>
    </row>
    <row r="957" customFormat="false" ht="15" hidden="false" customHeight="false" outlineLevel="0" collapsed="false">
      <c r="A957" s="57" t="s">
        <v>1410</v>
      </c>
      <c r="B957" s="58" t="n">
        <v>45577</v>
      </c>
      <c r="C957" s="57" t="n">
        <f aca="false">YEAR(B957)</f>
        <v>2024</v>
      </c>
      <c r="D957" s="57" t="n">
        <f aca="false">MONTH(B957)</f>
        <v>10</v>
      </c>
      <c r="E957" s="57" t="s">
        <v>836</v>
      </c>
      <c r="F957" s="57" t="s">
        <v>69</v>
      </c>
      <c r="G957" s="57" t="s">
        <v>40</v>
      </c>
      <c r="H957" s="57" t="s">
        <v>43</v>
      </c>
      <c r="I957" s="59" t="n">
        <v>1</v>
      </c>
      <c r="J957" s="60" t="n">
        <v>29</v>
      </c>
      <c r="K957" s="60" t="n">
        <v>9</v>
      </c>
      <c r="L957" s="61" t="n">
        <f aca="false">I957*J957</f>
        <v>29</v>
      </c>
      <c r="M957" s="61" t="n">
        <f aca="false">L957-I957*K957</f>
        <v>20</v>
      </c>
      <c r="N957" s="57" t="n">
        <f aca="false">IF(COUNTIFS(E$2:E957,E957,C$2:C957,C957)=1,1,0)</f>
        <v>0</v>
      </c>
      <c r="O957" s="57" t="n">
        <f aca="false">IF(COUNTIFS(E$2:E957,E957,C$2:C957,C957,D$2:D957,D957)=1,1,0)</f>
        <v>1</v>
      </c>
      <c r="P957" s="57" t="n">
        <f aca="false">IF(AND(C957=Calc!$C$3,OR(Calc!$C$4=0,D957=Calc!$C$4)),ROW(),0)</f>
        <v>0</v>
      </c>
    </row>
    <row r="958" customFormat="false" ht="15" hidden="false" customHeight="false" outlineLevel="0" collapsed="false">
      <c r="A958" s="57" t="s">
        <v>1411</v>
      </c>
      <c r="B958" s="58" t="n">
        <v>45577</v>
      </c>
      <c r="C958" s="57" t="n">
        <f aca="false">YEAR(B958)</f>
        <v>2024</v>
      </c>
      <c r="D958" s="57" t="n">
        <f aca="false">MONTH(B958)</f>
        <v>10</v>
      </c>
      <c r="E958" s="57" t="s">
        <v>395</v>
      </c>
      <c r="F958" s="57" t="s">
        <v>69</v>
      </c>
      <c r="G958" s="57" t="s">
        <v>40</v>
      </c>
      <c r="H958" s="57" t="s">
        <v>43</v>
      </c>
      <c r="I958" s="59" t="n">
        <v>1</v>
      </c>
      <c r="J958" s="60" t="n">
        <v>29</v>
      </c>
      <c r="K958" s="60" t="n">
        <v>9</v>
      </c>
      <c r="L958" s="61" t="n">
        <f aca="false">I958*J958</f>
        <v>29</v>
      </c>
      <c r="M958" s="61" t="n">
        <f aca="false">L958-I958*K958</f>
        <v>20</v>
      </c>
      <c r="N958" s="57" t="n">
        <f aca="false">IF(COUNTIFS(E$2:E958,E958,C$2:C958,C958)=1,1,0)</f>
        <v>0</v>
      </c>
      <c r="O958" s="57" t="n">
        <f aca="false">IF(COUNTIFS(E$2:E958,E958,C$2:C958,C958,D$2:D958,D958)=1,1,0)</f>
        <v>1</v>
      </c>
      <c r="P958" s="57" t="n">
        <f aca="false">IF(AND(C958=Calc!$C$3,OR(Calc!$C$4=0,D958=Calc!$C$4)),ROW(),0)</f>
        <v>0</v>
      </c>
    </row>
    <row r="959" customFormat="false" ht="15" hidden="false" customHeight="false" outlineLevel="0" collapsed="false">
      <c r="A959" s="57" t="s">
        <v>1412</v>
      </c>
      <c r="B959" s="58" t="n">
        <v>45578</v>
      </c>
      <c r="C959" s="57" t="n">
        <f aca="false">YEAR(B959)</f>
        <v>2024</v>
      </c>
      <c r="D959" s="57" t="n">
        <f aca="false">MONTH(B959)</f>
        <v>10</v>
      </c>
      <c r="E959" s="57" t="s">
        <v>1413</v>
      </c>
      <c r="F959" s="57" t="s">
        <v>75</v>
      </c>
      <c r="G959" s="57" t="s">
        <v>35</v>
      </c>
      <c r="H959" s="57" t="s">
        <v>37</v>
      </c>
      <c r="I959" s="59" t="n">
        <v>1</v>
      </c>
      <c r="J959" s="60" t="n">
        <v>59</v>
      </c>
      <c r="K959" s="60" t="n">
        <v>27</v>
      </c>
      <c r="L959" s="61" t="n">
        <f aca="false">I959*J959</f>
        <v>59</v>
      </c>
      <c r="M959" s="61" t="n">
        <f aca="false">L959-I959*K959</f>
        <v>32</v>
      </c>
      <c r="N959" s="57" t="n">
        <f aca="false">IF(COUNTIFS(E$2:E959,E959,C$2:C959,C959)=1,1,0)</f>
        <v>1</v>
      </c>
      <c r="O959" s="57" t="n">
        <f aca="false">IF(COUNTIFS(E$2:E959,E959,C$2:C959,C959,D$2:D959,D959)=1,1,0)</f>
        <v>1</v>
      </c>
      <c r="P959" s="57" t="n">
        <f aca="false">IF(AND(C959=Calc!$C$3,OR(Calc!$C$4=0,D959=Calc!$C$4)),ROW(),0)</f>
        <v>0</v>
      </c>
    </row>
    <row r="960" customFormat="false" ht="15" hidden="false" customHeight="false" outlineLevel="0" collapsed="false">
      <c r="A960" s="57" t="s">
        <v>1414</v>
      </c>
      <c r="B960" s="58" t="n">
        <v>45578</v>
      </c>
      <c r="C960" s="57" t="n">
        <f aca="false">YEAR(B960)</f>
        <v>2024</v>
      </c>
      <c r="D960" s="57" t="n">
        <f aca="false">MONTH(B960)</f>
        <v>10</v>
      </c>
      <c r="E960" s="57" t="s">
        <v>199</v>
      </c>
      <c r="F960" s="57" t="s">
        <v>72</v>
      </c>
      <c r="G960" s="57" t="s">
        <v>40</v>
      </c>
      <c r="H960" s="57" t="s">
        <v>41</v>
      </c>
      <c r="I960" s="59" t="n">
        <v>2</v>
      </c>
      <c r="J960" s="60" t="n">
        <v>46</v>
      </c>
      <c r="K960" s="60" t="n">
        <v>16</v>
      </c>
      <c r="L960" s="61" t="n">
        <f aca="false">I960*J960</f>
        <v>92</v>
      </c>
      <c r="M960" s="61" t="n">
        <f aca="false">L960-I960*K960</f>
        <v>60</v>
      </c>
      <c r="N960" s="57" t="n">
        <f aca="false">IF(COUNTIFS(E$2:E960,E960,C$2:C960,C960)=1,1,0)</f>
        <v>0</v>
      </c>
      <c r="O960" s="57" t="n">
        <f aca="false">IF(COUNTIFS(E$2:E960,E960,C$2:C960,C960,D$2:D960,D960)=1,1,0)</f>
        <v>0</v>
      </c>
      <c r="P960" s="57" t="n">
        <f aca="false">IF(AND(C960=Calc!$C$3,OR(Calc!$C$4=0,D960=Calc!$C$4)),ROW(),0)</f>
        <v>0</v>
      </c>
    </row>
    <row r="961" customFormat="false" ht="15" hidden="false" customHeight="false" outlineLevel="0" collapsed="false">
      <c r="A961" s="57" t="s">
        <v>1415</v>
      </c>
      <c r="B961" s="58" t="n">
        <v>45578</v>
      </c>
      <c r="C961" s="57" t="n">
        <f aca="false">YEAR(B961)</f>
        <v>2024</v>
      </c>
      <c r="D961" s="57" t="n">
        <f aca="false">MONTH(B961)</f>
        <v>10</v>
      </c>
      <c r="E961" s="57" t="s">
        <v>440</v>
      </c>
      <c r="F961" s="57" t="s">
        <v>78</v>
      </c>
      <c r="G961" s="57" t="s">
        <v>40</v>
      </c>
      <c r="H961" s="57" t="s">
        <v>42</v>
      </c>
      <c r="I961" s="59" t="n">
        <v>1</v>
      </c>
      <c r="J961" s="60" t="n">
        <v>79</v>
      </c>
      <c r="K961" s="60" t="n">
        <v>31</v>
      </c>
      <c r="L961" s="61" t="n">
        <f aca="false">I961*J961</f>
        <v>79</v>
      </c>
      <c r="M961" s="61" t="n">
        <f aca="false">L961-I961*K961</f>
        <v>48</v>
      </c>
      <c r="N961" s="57" t="n">
        <f aca="false">IF(COUNTIFS(E$2:E961,E961,C$2:C961,C961)=1,1,0)</f>
        <v>0</v>
      </c>
      <c r="O961" s="57" t="n">
        <f aca="false">IF(COUNTIFS(E$2:E961,E961,C$2:C961,C961,D$2:D961,D961)=1,1,0)</f>
        <v>1</v>
      </c>
      <c r="P961" s="57" t="n">
        <f aca="false">IF(AND(C961=Calc!$C$3,OR(Calc!$C$4=0,D961=Calc!$C$4)),ROW(),0)</f>
        <v>0</v>
      </c>
    </row>
    <row r="962" customFormat="false" ht="15" hidden="false" customHeight="false" outlineLevel="0" collapsed="false">
      <c r="A962" s="57" t="s">
        <v>1416</v>
      </c>
      <c r="B962" s="58" t="n">
        <v>45578</v>
      </c>
      <c r="C962" s="57" t="n">
        <f aca="false">YEAR(B962)</f>
        <v>2024</v>
      </c>
      <c r="D962" s="57" t="n">
        <f aca="false">MONTH(B962)</f>
        <v>10</v>
      </c>
      <c r="E962" s="57" t="s">
        <v>1417</v>
      </c>
      <c r="F962" s="57" t="s">
        <v>69</v>
      </c>
      <c r="G962" s="57" t="s">
        <v>40</v>
      </c>
      <c r="H962" s="57" t="s">
        <v>41</v>
      </c>
      <c r="I962" s="59" t="n">
        <v>1</v>
      </c>
      <c r="J962" s="60" t="n">
        <v>46</v>
      </c>
      <c r="K962" s="60" t="n">
        <v>16</v>
      </c>
      <c r="L962" s="61" t="n">
        <f aca="false">I962*J962</f>
        <v>46</v>
      </c>
      <c r="M962" s="61" t="n">
        <f aca="false">L962-I962*K962</f>
        <v>30</v>
      </c>
      <c r="N962" s="57" t="n">
        <f aca="false">IF(COUNTIFS(E$2:E962,E962,C$2:C962,C962)=1,1,0)</f>
        <v>1</v>
      </c>
      <c r="O962" s="57" t="n">
        <f aca="false">IF(COUNTIFS(E$2:E962,E962,C$2:C962,C962,D$2:D962,D962)=1,1,0)</f>
        <v>1</v>
      </c>
      <c r="P962" s="57" t="n">
        <f aca="false">IF(AND(C962=Calc!$C$3,OR(Calc!$C$4=0,D962=Calc!$C$4)),ROW(),0)</f>
        <v>0</v>
      </c>
    </row>
    <row r="963" customFormat="false" ht="15" hidden="false" customHeight="false" outlineLevel="0" collapsed="false">
      <c r="A963" s="57" t="s">
        <v>1418</v>
      </c>
      <c r="B963" s="58" t="n">
        <v>45579</v>
      </c>
      <c r="C963" s="57" t="n">
        <f aca="false">YEAR(B963)</f>
        <v>2024</v>
      </c>
      <c r="D963" s="57" t="n">
        <f aca="false">MONTH(B963)</f>
        <v>10</v>
      </c>
      <c r="E963" s="57" t="s">
        <v>91</v>
      </c>
      <c r="F963" s="57" t="s">
        <v>69</v>
      </c>
      <c r="G963" s="57" t="s">
        <v>40</v>
      </c>
      <c r="H963" s="57" t="s">
        <v>39</v>
      </c>
      <c r="I963" s="59" t="n">
        <v>1</v>
      </c>
      <c r="J963" s="60" t="n">
        <v>54</v>
      </c>
      <c r="K963" s="60" t="n">
        <v>19</v>
      </c>
      <c r="L963" s="61" t="n">
        <f aca="false">I963*J963</f>
        <v>54</v>
      </c>
      <c r="M963" s="61" t="n">
        <f aca="false">L963-I963*K963</f>
        <v>35</v>
      </c>
      <c r="N963" s="57" t="n">
        <f aca="false">IF(COUNTIFS(E$2:E963,E963,C$2:C963,C963)=1,1,0)</f>
        <v>0</v>
      </c>
      <c r="O963" s="57" t="n">
        <f aca="false">IF(COUNTIFS(E$2:E963,E963,C$2:C963,C963,D$2:D963,D963)=1,1,0)</f>
        <v>1</v>
      </c>
      <c r="P963" s="57" t="n">
        <f aca="false">IF(AND(C963=Calc!$C$3,OR(Calc!$C$4=0,D963=Calc!$C$4)),ROW(),0)</f>
        <v>0</v>
      </c>
    </row>
    <row r="964" customFormat="false" ht="15" hidden="false" customHeight="false" outlineLevel="0" collapsed="false">
      <c r="A964" s="57" t="s">
        <v>1419</v>
      </c>
      <c r="B964" s="58" t="n">
        <v>45579</v>
      </c>
      <c r="C964" s="57" t="n">
        <f aca="false">YEAR(B964)</f>
        <v>2024</v>
      </c>
      <c r="D964" s="57" t="n">
        <f aca="false">MONTH(B964)</f>
        <v>10</v>
      </c>
      <c r="E964" s="57" t="s">
        <v>185</v>
      </c>
      <c r="F964" s="57" t="s">
        <v>81</v>
      </c>
      <c r="G964" s="57" t="s">
        <v>35</v>
      </c>
      <c r="H964" s="57" t="s">
        <v>37</v>
      </c>
      <c r="I964" s="59" t="n">
        <v>1</v>
      </c>
      <c r="J964" s="60" t="n">
        <v>59</v>
      </c>
      <c r="K964" s="60" t="n">
        <v>27</v>
      </c>
      <c r="L964" s="61" t="n">
        <f aca="false">I964*J964</f>
        <v>59</v>
      </c>
      <c r="M964" s="61" t="n">
        <f aca="false">L964-I964*K964</f>
        <v>32</v>
      </c>
      <c r="N964" s="57" t="n">
        <f aca="false">IF(COUNTIFS(E$2:E964,E964,C$2:C964,C964)=1,1,0)</f>
        <v>0</v>
      </c>
      <c r="O964" s="57" t="n">
        <f aca="false">IF(COUNTIFS(E$2:E964,E964,C$2:C964,C964,D$2:D964,D964)=1,1,0)</f>
        <v>1</v>
      </c>
      <c r="P964" s="57" t="n">
        <f aca="false">IF(AND(C964=Calc!$C$3,OR(Calc!$C$4=0,D964=Calc!$C$4)),ROW(),0)</f>
        <v>0</v>
      </c>
    </row>
    <row r="965" customFormat="false" ht="15" hidden="false" customHeight="false" outlineLevel="0" collapsed="false">
      <c r="A965" s="57" t="s">
        <v>1420</v>
      </c>
      <c r="B965" s="58" t="n">
        <v>45579</v>
      </c>
      <c r="C965" s="57" t="n">
        <f aca="false">YEAR(B965)</f>
        <v>2024</v>
      </c>
      <c r="D965" s="57" t="n">
        <f aca="false">MONTH(B965)</f>
        <v>10</v>
      </c>
      <c r="E965" s="57" t="s">
        <v>646</v>
      </c>
      <c r="F965" s="57" t="s">
        <v>81</v>
      </c>
      <c r="G965" s="57" t="s">
        <v>45</v>
      </c>
      <c r="H965" s="57" t="s">
        <v>44</v>
      </c>
      <c r="I965" s="59" t="n">
        <v>1</v>
      </c>
      <c r="J965" s="60" t="n">
        <v>119</v>
      </c>
      <c r="K965" s="60" t="n">
        <v>63</v>
      </c>
      <c r="L965" s="61" t="n">
        <f aca="false">I965*J965</f>
        <v>119</v>
      </c>
      <c r="M965" s="61" t="n">
        <f aca="false">L965-I965*K965</f>
        <v>56</v>
      </c>
      <c r="N965" s="57" t="n">
        <f aca="false">IF(COUNTIFS(E$2:E965,E965,C$2:C965,C965)=1,1,0)</f>
        <v>0</v>
      </c>
      <c r="O965" s="57" t="n">
        <f aca="false">IF(COUNTIFS(E$2:E965,E965,C$2:C965,C965,D$2:D965,D965)=1,1,0)</f>
        <v>0</v>
      </c>
      <c r="P965" s="57" t="n">
        <f aca="false">IF(AND(C965=Calc!$C$3,OR(Calc!$C$4=0,D965=Calc!$C$4)),ROW(),0)</f>
        <v>0</v>
      </c>
    </row>
    <row r="966" customFormat="false" ht="15" hidden="false" customHeight="false" outlineLevel="0" collapsed="false">
      <c r="A966" s="57" t="s">
        <v>1421</v>
      </c>
      <c r="B966" s="58" t="n">
        <v>45579</v>
      </c>
      <c r="C966" s="57" t="n">
        <f aca="false">YEAR(B966)</f>
        <v>2024</v>
      </c>
      <c r="D966" s="57" t="n">
        <f aca="false">MONTH(B966)</f>
        <v>10</v>
      </c>
      <c r="E966" s="57" t="s">
        <v>646</v>
      </c>
      <c r="F966" s="57" t="s">
        <v>81</v>
      </c>
      <c r="G966" s="57" t="s">
        <v>35</v>
      </c>
      <c r="H966" s="57" t="s">
        <v>37</v>
      </c>
      <c r="I966" s="59" t="n">
        <v>1</v>
      </c>
      <c r="J966" s="60" t="n">
        <v>59</v>
      </c>
      <c r="K966" s="60" t="n">
        <v>27</v>
      </c>
      <c r="L966" s="61" t="n">
        <f aca="false">I966*J966</f>
        <v>59</v>
      </c>
      <c r="M966" s="61" t="n">
        <f aca="false">L966-I966*K966</f>
        <v>32</v>
      </c>
      <c r="N966" s="57" t="n">
        <f aca="false">IF(COUNTIFS(E$2:E966,E966,C$2:C966,C966)=1,1,0)</f>
        <v>0</v>
      </c>
      <c r="O966" s="57" t="n">
        <f aca="false">IF(COUNTIFS(E$2:E966,E966,C$2:C966,C966,D$2:D966,D966)=1,1,0)</f>
        <v>0</v>
      </c>
      <c r="P966" s="57" t="n">
        <f aca="false">IF(AND(C966=Calc!$C$3,OR(Calc!$C$4=0,D966=Calc!$C$4)),ROW(),0)</f>
        <v>0</v>
      </c>
    </row>
    <row r="967" customFormat="false" ht="15" hidden="false" customHeight="false" outlineLevel="0" collapsed="false">
      <c r="A967" s="57" t="s">
        <v>1422</v>
      </c>
      <c r="B967" s="58" t="n">
        <v>45580</v>
      </c>
      <c r="C967" s="57" t="n">
        <f aca="false">YEAR(B967)</f>
        <v>2024</v>
      </c>
      <c r="D967" s="57" t="n">
        <f aca="false">MONTH(B967)</f>
        <v>10</v>
      </c>
      <c r="E967" s="57" t="s">
        <v>390</v>
      </c>
      <c r="F967" s="57" t="s">
        <v>72</v>
      </c>
      <c r="G967" s="57" t="s">
        <v>35</v>
      </c>
      <c r="H967" s="57" t="s">
        <v>34</v>
      </c>
      <c r="I967" s="59" t="n">
        <v>2</v>
      </c>
      <c r="J967" s="60" t="n">
        <v>89</v>
      </c>
      <c r="K967" s="60" t="n">
        <v>41</v>
      </c>
      <c r="L967" s="61" t="n">
        <f aca="false">I967*J967</f>
        <v>178</v>
      </c>
      <c r="M967" s="61" t="n">
        <f aca="false">L967-I967*K967</f>
        <v>96</v>
      </c>
      <c r="N967" s="57" t="n">
        <f aca="false">IF(COUNTIFS(E$2:E967,E967,C$2:C967,C967)=1,1,0)</f>
        <v>0</v>
      </c>
      <c r="O967" s="57" t="n">
        <f aca="false">IF(COUNTIFS(E$2:E967,E967,C$2:C967,C967,D$2:D967,D967)=1,1,0)</f>
        <v>1</v>
      </c>
      <c r="P967" s="57" t="n">
        <f aca="false">IF(AND(C967=Calc!$C$3,OR(Calc!$C$4=0,D967=Calc!$C$4)),ROW(),0)</f>
        <v>0</v>
      </c>
    </row>
    <row r="968" customFormat="false" ht="15" hidden="false" customHeight="false" outlineLevel="0" collapsed="false">
      <c r="A968" s="57" t="s">
        <v>1423</v>
      </c>
      <c r="B968" s="58" t="n">
        <v>45580</v>
      </c>
      <c r="C968" s="57" t="n">
        <f aca="false">YEAR(B968)</f>
        <v>2024</v>
      </c>
      <c r="D968" s="57" t="n">
        <f aca="false">MONTH(B968)</f>
        <v>10</v>
      </c>
      <c r="E968" s="57" t="s">
        <v>1049</v>
      </c>
      <c r="F968" s="57" t="s">
        <v>81</v>
      </c>
      <c r="G968" s="57" t="s">
        <v>35</v>
      </c>
      <c r="H968" s="57" t="s">
        <v>37</v>
      </c>
      <c r="I968" s="59" t="n">
        <v>2</v>
      </c>
      <c r="J968" s="60" t="n">
        <v>59</v>
      </c>
      <c r="K968" s="60" t="n">
        <v>27</v>
      </c>
      <c r="L968" s="61" t="n">
        <f aca="false">I968*J968</f>
        <v>118</v>
      </c>
      <c r="M968" s="61" t="n">
        <f aca="false">L968-I968*K968</f>
        <v>64</v>
      </c>
      <c r="N968" s="57" t="n">
        <f aca="false">IF(COUNTIFS(E$2:E968,E968,C$2:C968,C968)=1,1,0)</f>
        <v>0</v>
      </c>
      <c r="O968" s="57" t="n">
        <f aca="false">IF(COUNTIFS(E$2:E968,E968,C$2:C968,C968,D$2:D968,D968)=1,1,0)</f>
        <v>1</v>
      </c>
      <c r="P968" s="57" t="n">
        <f aca="false">IF(AND(C968=Calc!$C$3,OR(Calc!$C$4=0,D968=Calc!$C$4)),ROW(),0)</f>
        <v>0</v>
      </c>
    </row>
    <row r="969" customFormat="false" ht="15" hidden="false" customHeight="false" outlineLevel="0" collapsed="false">
      <c r="A969" s="57" t="s">
        <v>1424</v>
      </c>
      <c r="B969" s="58" t="n">
        <v>45580</v>
      </c>
      <c r="C969" s="57" t="n">
        <f aca="false">YEAR(B969)</f>
        <v>2024</v>
      </c>
      <c r="D969" s="57" t="n">
        <f aca="false">MONTH(B969)</f>
        <v>10</v>
      </c>
      <c r="E969" s="57" t="s">
        <v>140</v>
      </c>
      <c r="F969" s="57" t="s">
        <v>75</v>
      </c>
      <c r="G969" s="57" t="s">
        <v>45</v>
      </c>
      <c r="H969" s="57" t="s">
        <v>46</v>
      </c>
      <c r="I969" s="59" t="n">
        <v>1</v>
      </c>
      <c r="J969" s="60" t="n">
        <v>149</v>
      </c>
      <c r="K969" s="60" t="n">
        <v>71</v>
      </c>
      <c r="L969" s="61" t="n">
        <f aca="false">I969*J969</f>
        <v>149</v>
      </c>
      <c r="M969" s="61" t="n">
        <f aca="false">L969-I969*K969</f>
        <v>78</v>
      </c>
      <c r="N969" s="57" t="n">
        <f aca="false">IF(COUNTIFS(E$2:E969,E969,C$2:C969,C969)=1,1,0)</f>
        <v>0</v>
      </c>
      <c r="O969" s="57" t="n">
        <f aca="false">IF(COUNTIFS(E$2:E969,E969,C$2:C969,C969,D$2:D969,D969)=1,1,0)</f>
        <v>1</v>
      </c>
      <c r="P969" s="57" t="n">
        <f aca="false">IF(AND(C969=Calc!$C$3,OR(Calc!$C$4=0,D969=Calc!$C$4)),ROW(),0)</f>
        <v>0</v>
      </c>
    </row>
    <row r="970" customFormat="false" ht="15" hidden="false" customHeight="false" outlineLevel="0" collapsed="false">
      <c r="A970" s="57" t="s">
        <v>1425</v>
      </c>
      <c r="B970" s="58" t="n">
        <v>45580</v>
      </c>
      <c r="C970" s="57" t="n">
        <f aca="false">YEAR(B970)</f>
        <v>2024</v>
      </c>
      <c r="D970" s="57" t="n">
        <f aca="false">MONTH(B970)</f>
        <v>10</v>
      </c>
      <c r="E970" s="57" t="s">
        <v>215</v>
      </c>
      <c r="F970" s="57" t="s">
        <v>75</v>
      </c>
      <c r="G970" s="57" t="s">
        <v>35</v>
      </c>
      <c r="H970" s="57" t="s">
        <v>38</v>
      </c>
      <c r="I970" s="59" t="n">
        <v>2</v>
      </c>
      <c r="J970" s="60" t="n">
        <v>49</v>
      </c>
      <c r="K970" s="60" t="n">
        <v>22</v>
      </c>
      <c r="L970" s="61" t="n">
        <f aca="false">I970*J970</f>
        <v>98</v>
      </c>
      <c r="M970" s="61" t="n">
        <f aca="false">L970-I970*K970</f>
        <v>54</v>
      </c>
      <c r="N970" s="57" t="n">
        <f aca="false">IF(COUNTIFS(E$2:E970,E970,C$2:C970,C970)=1,1,0)</f>
        <v>0</v>
      </c>
      <c r="O970" s="57" t="n">
        <f aca="false">IF(COUNTIFS(E$2:E970,E970,C$2:C970,C970,D$2:D970,D970)=1,1,0)</f>
        <v>1</v>
      </c>
      <c r="P970" s="57" t="n">
        <f aca="false">IF(AND(C970=Calc!$C$3,OR(Calc!$C$4=0,D970=Calc!$C$4)),ROW(),0)</f>
        <v>0</v>
      </c>
    </row>
    <row r="971" customFormat="false" ht="15" hidden="false" customHeight="false" outlineLevel="0" collapsed="false">
      <c r="A971" s="57" t="s">
        <v>1426</v>
      </c>
      <c r="B971" s="58" t="n">
        <v>45580</v>
      </c>
      <c r="C971" s="57" t="n">
        <f aca="false">YEAR(B971)</f>
        <v>2024</v>
      </c>
      <c r="D971" s="57" t="n">
        <f aca="false">MONTH(B971)</f>
        <v>10</v>
      </c>
      <c r="E971" s="57" t="s">
        <v>1139</v>
      </c>
      <c r="F971" s="57" t="s">
        <v>72</v>
      </c>
      <c r="G971" s="57" t="s">
        <v>45</v>
      </c>
      <c r="H971" s="57" t="s">
        <v>46</v>
      </c>
      <c r="I971" s="59" t="n">
        <v>3</v>
      </c>
      <c r="J971" s="60" t="n">
        <v>149</v>
      </c>
      <c r="K971" s="60" t="n">
        <v>71</v>
      </c>
      <c r="L971" s="61" t="n">
        <f aca="false">I971*J971</f>
        <v>447</v>
      </c>
      <c r="M971" s="61" t="n">
        <f aca="false">L971-I971*K971</f>
        <v>234</v>
      </c>
      <c r="N971" s="57" t="n">
        <f aca="false">IF(COUNTIFS(E$2:E971,E971,C$2:C971,C971)=1,1,0)</f>
        <v>0</v>
      </c>
      <c r="O971" s="57" t="n">
        <f aca="false">IF(COUNTIFS(E$2:E971,E971,C$2:C971,C971,D$2:D971,D971)=1,1,0)</f>
        <v>1</v>
      </c>
      <c r="P971" s="57" t="n">
        <f aca="false">IF(AND(C971=Calc!$C$3,OR(Calc!$C$4=0,D971=Calc!$C$4)),ROW(),0)</f>
        <v>0</v>
      </c>
    </row>
    <row r="972" customFormat="false" ht="15" hidden="false" customHeight="false" outlineLevel="0" collapsed="false">
      <c r="A972" s="57" t="s">
        <v>1427</v>
      </c>
      <c r="B972" s="58" t="n">
        <v>45580</v>
      </c>
      <c r="C972" s="57" t="n">
        <f aca="false">YEAR(B972)</f>
        <v>2024</v>
      </c>
      <c r="D972" s="57" t="n">
        <f aca="false">MONTH(B972)</f>
        <v>10</v>
      </c>
      <c r="E972" s="57" t="s">
        <v>80</v>
      </c>
      <c r="F972" s="57" t="s">
        <v>81</v>
      </c>
      <c r="G972" s="57" t="s">
        <v>35</v>
      </c>
      <c r="H972" s="57" t="s">
        <v>36</v>
      </c>
      <c r="I972" s="59" t="n">
        <v>1</v>
      </c>
      <c r="J972" s="60" t="n">
        <v>179</v>
      </c>
      <c r="K972" s="60" t="n">
        <v>92</v>
      </c>
      <c r="L972" s="61" t="n">
        <f aca="false">I972*J972</f>
        <v>179</v>
      </c>
      <c r="M972" s="61" t="n">
        <f aca="false">L972-I972*K972</f>
        <v>87</v>
      </c>
      <c r="N972" s="57" t="n">
        <f aca="false">IF(COUNTIFS(E$2:E972,E972,C$2:C972,C972)=1,1,0)</f>
        <v>0</v>
      </c>
      <c r="O972" s="57" t="n">
        <f aca="false">IF(COUNTIFS(E$2:E972,E972,C$2:C972,C972,D$2:D972,D972)=1,1,0)</f>
        <v>1</v>
      </c>
      <c r="P972" s="57" t="n">
        <f aca="false">IF(AND(C972=Calc!$C$3,OR(Calc!$C$4=0,D972=Calc!$C$4)),ROW(),0)</f>
        <v>0</v>
      </c>
    </row>
    <row r="973" customFormat="false" ht="15" hidden="false" customHeight="false" outlineLevel="0" collapsed="false">
      <c r="A973" s="57" t="s">
        <v>1428</v>
      </c>
      <c r="B973" s="58" t="n">
        <v>45581</v>
      </c>
      <c r="C973" s="57" t="n">
        <f aca="false">YEAR(B973)</f>
        <v>2024</v>
      </c>
      <c r="D973" s="57" t="n">
        <f aca="false">MONTH(B973)</f>
        <v>10</v>
      </c>
      <c r="E973" s="57" t="s">
        <v>687</v>
      </c>
      <c r="F973" s="57" t="s">
        <v>75</v>
      </c>
      <c r="G973" s="57" t="s">
        <v>35</v>
      </c>
      <c r="H973" s="57" t="s">
        <v>34</v>
      </c>
      <c r="I973" s="59" t="n">
        <v>2</v>
      </c>
      <c r="J973" s="60" t="n">
        <v>89</v>
      </c>
      <c r="K973" s="60" t="n">
        <v>41</v>
      </c>
      <c r="L973" s="61" t="n">
        <f aca="false">I973*J973</f>
        <v>178</v>
      </c>
      <c r="M973" s="61" t="n">
        <f aca="false">L973-I973*K973</f>
        <v>96</v>
      </c>
      <c r="N973" s="57" t="n">
        <f aca="false">IF(COUNTIFS(E$2:E973,E973,C$2:C973,C973)=1,1,0)</f>
        <v>0</v>
      </c>
      <c r="O973" s="57" t="n">
        <f aca="false">IF(COUNTIFS(E$2:E973,E973,C$2:C973,C973,D$2:D973,D973)=1,1,0)</f>
        <v>0</v>
      </c>
      <c r="P973" s="57" t="n">
        <f aca="false">IF(AND(C973=Calc!$C$3,OR(Calc!$C$4=0,D973=Calc!$C$4)),ROW(),0)</f>
        <v>0</v>
      </c>
    </row>
    <row r="974" customFormat="false" ht="15" hidden="false" customHeight="false" outlineLevel="0" collapsed="false">
      <c r="A974" s="57" t="s">
        <v>1429</v>
      </c>
      <c r="B974" s="58" t="n">
        <v>45581</v>
      </c>
      <c r="C974" s="57" t="n">
        <f aca="false">YEAR(B974)</f>
        <v>2024</v>
      </c>
      <c r="D974" s="57" t="n">
        <f aca="false">MONTH(B974)</f>
        <v>10</v>
      </c>
      <c r="E974" s="57" t="s">
        <v>1430</v>
      </c>
      <c r="F974" s="57" t="s">
        <v>75</v>
      </c>
      <c r="G974" s="57" t="s">
        <v>35</v>
      </c>
      <c r="H974" s="57" t="s">
        <v>37</v>
      </c>
      <c r="I974" s="59" t="n">
        <v>1</v>
      </c>
      <c r="J974" s="60" t="n">
        <v>59</v>
      </c>
      <c r="K974" s="60" t="n">
        <v>27</v>
      </c>
      <c r="L974" s="61" t="n">
        <f aca="false">I974*J974</f>
        <v>59</v>
      </c>
      <c r="M974" s="61" t="n">
        <f aca="false">L974-I974*K974</f>
        <v>32</v>
      </c>
      <c r="N974" s="57" t="n">
        <f aca="false">IF(COUNTIFS(E$2:E974,E974,C$2:C974,C974)=1,1,0)</f>
        <v>1</v>
      </c>
      <c r="O974" s="57" t="n">
        <f aca="false">IF(COUNTIFS(E$2:E974,E974,C$2:C974,C974,D$2:D974,D974)=1,1,0)</f>
        <v>1</v>
      </c>
      <c r="P974" s="57" t="n">
        <f aca="false">IF(AND(C974=Calc!$C$3,OR(Calc!$C$4=0,D974=Calc!$C$4)),ROW(),0)</f>
        <v>0</v>
      </c>
    </row>
    <row r="975" customFormat="false" ht="15" hidden="false" customHeight="false" outlineLevel="0" collapsed="false">
      <c r="A975" s="57" t="s">
        <v>1431</v>
      </c>
      <c r="B975" s="58" t="n">
        <v>45582</v>
      </c>
      <c r="C975" s="57" t="n">
        <f aca="false">YEAR(B975)</f>
        <v>2024</v>
      </c>
      <c r="D975" s="57" t="n">
        <f aca="false">MONTH(B975)</f>
        <v>10</v>
      </c>
      <c r="E975" s="57" t="s">
        <v>395</v>
      </c>
      <c r="F975" s="57" t="s">
        <v>69</v>
      </c>
      <c r="G975" s="57" t="s">
        <v>40</v>
      </c>
      <c r="H975" s="57" t="s">
        <v>43</v>
      </c>
      <c r="I975" s="59" t="n">
        <v>1</v>
      </c>
      <c r="J975" s="60" t="n">
        <v>29</v>
      </c>
      <c r="K975" s="60" t="n">
        <v>9</v>
      </c>
      <c r="L975" s="61" t="n">
        <f aca="false">I975*J975</f>
        <v>29</v>
      </c>
      <c r="M975" s="61" t="n">
        <f aca="false">L975-I975*K975</f>
        <v>20</v>
      </c>
      <c r="N975" s="57" t="n">
        <f aca="false">IF(COUNTIFS(E$2:E975,E975,C$2:C975,C975)=1,1,0)</f>
        <v>0</v>
      </c>
      <c r="O975" s="57" t="n">
        <f aca="false">IF(COUNTIFS(E$2:E975,E975,C$2:C975,C975,D$2:D975,D975)=1,1,0)</f>
        <v>0</v>
      </c>
      <c r="P975" s="57" t="n">
        <f aca="false">IF(AND(C975=Calc!$C$3,OR(Calc!$C$4=0,D975=Calc!$C$4)),ROW(),0)</f>
        <v>0</v>
      </c>
    </row>
    <row r="976" customFormat="false" ht="15" hidden="false" customHeight="false" outlineLevel="0" collapsed="false">
      <c r="A976" s="57" t="s">
        <v>1432</v>
      </c>
      <c r="B976" s="58" t="n">
        <v>45582</v>
      </c>
      <c r="C976" s="57" t="n">
        <f aca="false">YEAR(B976)</f>
        <v>2024</v>
      </c>
      <c r="D976" s="57" t="n">
        <f aca="false">MONTH(B976)</f>
        <v>10</v>
      </c>
      <c r="E976" s="57" t="s">
        <v>1237</v>
      </c>
      <c r="F976" s="57" t="s">
        <v>78</v>
      </c>
      <c r="G976" s="57" t="s">
        <v>40</v>
      </c>
      <c r="H976" s="57" t="s">
        <v>41</v>
      </c>
      <c r="I976" s="59" t="n">
        <v>3</v>
      </c>
      <c r="J976" s="60" t="n">
        <v>46</v>
      </c>
      <c r="K976" s="60" t="n">
        <v>16</v>
      </c>
      <c r="L976" s="61" t="n">
        <f aca="false">I976*J976</f>
        <v>138</v>
      </c>
      <c r="M976" s="61" t="n">
        <f aca="false">L976-I976*K976</f>
        <v>90</v>
      </c>
      <c r="N976" s="57" t="n">
        <f aca="false">IF(COUNTIFS(E$2:E976,E976,C$2:C976,C976)=1,1,0)</f>
        <v>0</v>
      </c>
      <c r="O976" s="57" t="n">
        <f aca="false">IF(COUNTIFS(E$2:E976,E976,C$2:C976,C976,D$2:D976,D976)=1,1,0)</f>
        <v>1</v>
      </c>
      <c r="P976" s="57" t="n">
        <f aca="false">IF(AND(C976=Calc!$C$3,OR(Calc!$C$4=0,D976=Calc!$C$4)),ROW(),0)</f>
        <v>0</v>
      </c>
    </row>
    <row r="977" customFormat="false" ht="15" hidden="false" customHeight="false" outlineLevel="0" collapsed="false">
      <c r="A977" s="57" t="s">
        <v>1433</v>
      </c>
      <c r="B977" s="58" t="n">
        <v>45582</v>
      </c>
      <c r="C977" s="57" t="n">
        <f aca="false">YEAR(B977)</f>
        <v>2024</v>
      </c>
      <c r="D977" s="57" t="n">
        <f aca="false">MONTH(B977)</f>
        <v>10</v>
      </c>
      <c r="E977" s="57" t="s">
        <v>114</v>
      </c>
      <c r="F977" s="57" t="s">
        <v>69</v>
      </c>
      <c r="G977" s="57" t="s">
        <v>40</v>
      </c>
      <c r="H977" s="57" t="s">
        <v>39</v>
      </c>
      <c r="I977" s="59" t="n">
        <v>1</v>
      </c>
      <c r="J977" s="60" t="n">
        <v>54</v>
      </c>
      <c r="K977" s="60" t="n">
        <v>19</v>
      </c>
      <c r="L977" s="61" t="n">
        <f aca="false">I977*J977</f>
        <v>54</v>
      </c>
      <c r="M977" s="61" t="n">
        <f aca="false">L977-I977*K977</f>
        <v>35</v>
      </c>
      <c r="N977" s="57" t="n">
        <f aca="false">IF(COUNTIFS(E$2:E977,E977,C$2:C977,C977)=1,1,0)</f>
        <v>0</v>
      </c>
      <c r="O977" s="57" t="n">
        <f aca="false">IF(COUNTIFS(E$2:E977,E977,C$2:C977,C977,D$2:D977,D977)=1,1,0)</f>
        <v>1</v>
      </c>
      <c r="P977" s="57" t="n">
        <f aca="false">IF(AND(C977=Calc!$C$3,OR(Calc!$C$4=0,D977=Calc!$C$4)),ROW(),0)</f>
        <v>0</v>
      </c>
    </row>
    <row r="978" customFormat="false" ht="15" hidden="false" customHeight="false" outlineLevel="0" collapsed="false">
      <c r="A978" s="57" t="s">
        <v>1434</v>
      </c>
      <c r="B978" s="58" t="n">
        <v>45582</v>
      </c>
      <c r="C978" s="57" t="n">
        <f aca="false">YEAR(B978)</f>
        <v>2024</v>
      </c>
      <c r="D978" s="57" t="n">
        <f aca="false">MONTH(B978)</f>
        <v>10</v>
      </c>
      <c r="E978" s="57" t="s">
        <v>1435</v>
      </c>
      <c r="F978" s="57" t="s">
        <v>69</v>
      </c>
      <c r="G978" s="57" t="s">
        <v>45</v>
      </c>
      <c r="H978" s="57" t="s">
        <v>44</v>
      </c>
      <c r="I978" s="59" t="n">
        <v>1</v>
      </c>
      <c r="J978" s="60" t="n">
        <v>119</v>
      </c>
      <c r="K978" s="60" t="n">
        <v>63</v>
      </c>
      <c r="L978" s="61" t="n">
        <f aca="false">I978*J978</f>
        <v>119</v>
      </c>
      <c r="M978" s="61" t="n">
        <f aca="false">L978-I978*K978</f>
        <v>56</v>
      </c>
      <c r="N978" s="57" t="n">
        <f aca="false">IF(COUNTIFS(E$2:E978,E978,C$2:C978,C978)=1,1,0)</f>
        <v>1</v>
      </c>
      <c r="O978" s="57" t="n">
        <f aca="false">IF(COUNTIFS(E$2:E978,E978,C$2:C978,C978,D$2:D978,D978)=1,1,0)</f>
        <v>1</v>
      </c>
      <c r="P978" s="57" t="n">
        <f aca="false">IF(AND(C978=Calc!$C$3,OR(Calc!$C$4=0,D978=Calc!$C$4)),ROW(),0)</f>
        <v>0</v>
      </c>
    </row>
    <row r="979" customFormat="false" ht="15" hidden="false" customHeight="false" outlineLevel="0" collapsed="false">
      <c r="A979" s="57" t="s">
        <v>1436</v>
      </c>
      <c r="B979" s="58" t="n">
        <v>45583</v>
      </c>
      <c r="C979" s="57" t="n">
        <f aca="false">YEAR(B979)</f>
        <v>2024</v>
      </c>
      <c r="D979" s="57" t="n">
        <f aca="false">MONTH(B979)</f>
        <v>10</v>
      </c>
      <c r="E979" s="57" t="s">
        <v>1437</v>
      </c>
      <c r="F979" s="57" t="s">
        <v>69</v>
      </c>
      <c r="G979" s="57" t="s">
        <v>35</v>
      </c>
      <c r="H979" s="57" t="s">
        <v>36</v>
      </c>
      <c r="I979" s="59" t="n">
        <v>1</v>
      </c>
      <c r="J979" s="60" t="n">
        <v>179</v>
      </c>
      <c r="K979" s="60" t="n">
        <v>92</v>
      </c>
      <c r="L979" s="61" t="n">
        <f aca="false">I979*J979</f>
        <v>179</v>
      </c>
      <c r="M979" s="61" t="n">
        <f aca="false">L979-I979*K979</f>
        <v>87</v>
      </c>
      <c r="N979" s="57" t="n">
        <f aca="false">IF(COUNTIFS(E$2:E979,E979,C$2:C979,C979)=1,1,0)</f>
        <v>1</v>
      </c>
      <c r="O979" s="57" t="n">
        <f aca="false">IF(COUNTIFS(E$2:E979,E979,C$2:C979,C979,D$2:D979,D979)=1,1,0)</f>
        <v>1</v>
      </c>
      <c r="P979" s="57" t="n">
        <f aca="false">IF(AND(C979=Calc!$C$3,OR(Calc!$C$4=0,D979=Calc!$C$4)),ROW(),0)</f>
        <v>0</v>
      </c>
    </row>
    <row r="980" customFormat="false" ht="15" hidden="false" customHeight="false" outlineLevel="0" collapsed="false">
      <c r="A980" s="57" t="s">
        <v>1438</v>
      </c>
      <c r="B980" s="58" t="n">
        <v>45583</v>
      </c>
      <c r="C980" s="57" t="n">
        <f aca="false">YEAR(B980)</f>
        <v>2024</v>
      </c>
      <c r="D980" s="57" t="n">
        <f aca="false">MONTH(B980)</f>
        <v>10</v>
      </c>
      <c r="E980" s="57" t="s">
        <v>725</v>
      </c>
      <c r="F980" s="57" t="s">
        <v>69</v>
      </c>
      <c r="G980" s="57" t="s">
        <v>40</v>
      </c>
      <c r="H980" s="57" t="s">
        <v>43</v>
      </c>
      <c r="I980" s="59" t="n">
        <v>1</v>
      </c>
      <c r="J980" s="60" t="n">
        <v>29</v>
      </c>
      <c r="K980" s="60" t="n">
        <v>9</v>
      </c>
      <c r="L980" s="61" t="n">
        <f aca="false">I980*J980</f>
        <v>29</v>
      </c>
      <c r="M980" s="61" t="n">
        <f aca="false">L980-I980*K980</f>
        <v>20</v>
      </c>
      <c r="N980" s="57" t="n">
        <f aca="false">IF(COUNTIFS(E$2:E980,E980,C$2:C980,C980)=1,1,0)</f>
        <v>0</v>
      </c>
      <c r="O980" s="57" t="n">
        <f aca="false">IF(COUNTIFS(E$2:E980,E980,C$2:C980,C980,D$2:D980,D980)=1,1,0)</f>
        <v>0</v>
      </c>
      <c r="P980" s="57" t="n">
        <f aca="false">IF(AND(C980=Calc!$C$3,OR(Calc!$C$4=0,D980=Calc!$C$4)),ROW(),0)</f>
        <v>0</v>
      </c>
    </row>
    <row r="981" customFormat="false" ht="15" hidden="false" customHeight="false" outlineLevel="0" collapsed="false">
      <c r="A981" s="57" t="s">
        <v>1439</v>
      </c>
      <c r="B981" s="58" t="n">
        <v>45583</v>
      </c>
      <c r="C981" s="57" t="n">
        <f aca="false">YEAR(B981)</f>
        <v>2024</v>
      </c>
      <c r="D981" s="57" t="n">
        <f aca="false">MONTH(B981)</f>
        <v>10</v>
      </c>
      <c r="E981" s="57" t="s">
        <v>646</v>
      </c>
      <c r="F981" s="57" t="s">
        <v>81</v>
      </c>
      <c r="G981" s="57" t="s">
        <v>40</v>
      </c>
      <c r="H981" s="57" t="s">
        <v>42</v>
      </c>
      <c r="I981" s="59" t="n">
        <v>1</v>
      </c>
      <c r="J981" s="60" t="n">
        <v>79</v>
      </c>
      <c r="K981" s="60" t="n">
        <v>31</v>
      </c>
      <c r="L981" s="61" t="n">
        <f aca="false">I981*J981</f>
        <v>79</v>
      </c>
      <c r="M981" s="61" t="n">
        <f aca="false">L981-I981*K981</f>
        <v>48</v>
      </c>
      <c r="N981" s="57" t="n">
        <f aca="false">IF(COUNTIFS(E$2:E981,E981,C$2:C981,C981)=1,1,0)</f>
        <v>0</v>
      </c>
      <c r="O981" s="57" t="n">
        <f aca="false">IF(COUNTIFS(E$2:E981,E981,C$2:C981,C981,D$2:D981,D981)=1,1,0)</f>
        <v>0</v>
      </c>
      <c r="P981" s="57" t="n">
        <f aca="false">IF(AND(C981=Calc!$C$3,OR(Calc!$C$4=0,D981=Calc!$C$4)),ROW(),0)</f>
        <v>0</v>
      </c>
    </row>
    <row r="982" customFormat="false" ht="15" hidden="false" customHeight="false" outlineLevel="0" collapsed="false">
      <c r="A982" s="57" t="s">
        <v>1440</v>
      </c>
      <c r="B982" s="58" t="n">
        <v>45584</v>
      </c>
      <c r="C982" s="57" t="n">
        <f aca="false">YEAR(B982)</f>
        <v>2024</v>
      </c>
      <c r="D982" s="57" t="n">
        <f aca="false">MONTH(B982)</f>
        <v>10</v>
      </c>
      <c r="E982" s="57" t="s">
        <v>646</v>
      </c>
      <c r="F982" s="57" t="s">
        <v>81</v>
      </c>
      <c r="G982" s="57" t="s">
        <v>35</v>
      </c>
      <c r="H982" s="57" t="s">
        <v>34</v>
      </c>
      <c r="I982" s="59" t="n">
        <v>1</v>
      </c>
      <c r="J982" s="60" t="n">
        <v>89</v>
      </c>
      <c r="K982" s="60" t="n">
        <v>41</v>
      </c>
      <c r="L982" s="61" t="n">
        <f aca="false">I982*J982</f>
        <v>89</v>
      </c>
      <c r="M982" s="61" t="n">
        <f aca="false">L982-I982*K982</f>
        <v>48</v>
      </c>
      <c r="N982" s="57" t="n">
        <f aca="false">IF(COUNTIFS(E$2:E982,E982,C$2:C982,C982)=1,1,0)</f>
        <v>0</v>
      </c>
      <c r="O982" s="57" t="n">
        <f aca="false">IF(COUNTIFS(E$2:E982,E982,C$2:C982,C982,D$2:D982,D982)=1,1,0)</f>
        <v>0</v>
      </c>
      <c r="P982" s="57" t="n">
        <f aca="false">IF(AND(C982=Calc!$C$3,OR(Calc!$C$4=0,D982=Calc!$C$4)),ROW(),0)</f>
        <v>0</v>
      </c>
    </row>
    <row r="983" customFormat="false" ht="15" hidden="false" customHeight="false" outlineLevel="0" collapsed="false">
      <c r="A983" s="57" t="s">
        <v>1441</v>
      </c>
      <c r="B983" s="58" t="n">
        <v>45584</v>
      </c>
      <c r="C983" s="57" t="n">
        <f aca="false">YEAR(B983)</f>
        <v>2024</v>
      </c>
      <c r="D983" s="57" t="n">
        <f aca="false">MONTH(B983)</f>
        <v>10</v>
      </c>
      <c r="E983" s="57" t="s">
        <v>1244</v>
      </c>
      <c r="F983" s="57" t="s">
        <v>81</v>
      </c>
      <c r="G983" s="57" t="s">
        <v>40</v>
      </c>
      <c r="H983" s="57" t="s">
        <v>42</v>
      </c>
      <c r="I983" s="59" t="n">
        <v>1</v>
      </c>
      <c r="J983" s="60" t="n">
        <v>79</v>
      </c>
      <c r="K983" s="60" t="n">
        <v>31</v>
      </c>
      <c r="L983" s="61" t="n">
        <f aca="false">I983*J983</f>
        <v>79</v>
      </c>
      <c r="M983" s="61" t="n">
        <f aca="false">L983-I983*K983</f>
        <v>48</v>
      </c>
      <c r="N983" s="57" t="n">
        <f aca="false">IF(COUNTIFS(E$2:E983,E983,C$2:C983,C983)=1,1,0)</f>
        <v>0</v>
      </c>
      <c r="O983" s="57" t="n">
        <f aca="false">IF(COUNTIFS(E$2:E983,E983,C$2:C983,C983,D$2:D983,D983)=1,1,0)</f>
        <v>1</v>
      </c>
      <c r="P983" s="57" t="n">
        <f aca="false">IF(AND(C983=Calc!$C$3,OR(Calc!$C$4=0,D983=Calc!$C$4)),ROW(),0)</f>
        <v>0</v>
      </c>
    </row>
    <row r="984" customFormat="false" ht="15" hidden="false" customHeight="false" outlineLevel="0" collapsed="false">
      <c r="A984" s="57" t="s">
        <v>1442</v>
      </c>
      <c r="B984" s="58" t="n">
        <v>45584</v>
      </c>
      <c r="C984" s="57" t="n">
        <f aca="false">YEAR(B984)</f>
        <v>2024</v>
      </c>
      <c r="D984" s="57" t="n">
        <f aca="false">MONTH(B984)</f>
        <v>10</v>
      </c>
      <c r="E984" s="57" t="s">
        <v>122</v>
      </c>
      <c r="F984" s="57" t="s">
        <v>81</v>
      </c>
      <c r="G984" s="57" t="s">
        <v>40</v>
      </c>
      <c r="H984" s="57" t="s">
        <v>41</v>
      </c>
      <c r="I984" s="59" t="n">
        <v>3</v>
      </c>
      <c r="J984" s="60" t="n">
        <v>46</v>
      </c>
      <c r="K984" s="60" t="n">
        <v>16</v>
      </c>
      <c r="L984" s="61" t="n">
        <f aca="false">I984*J984</f>
        <v>138</v>
      </c>
      <c r="M984" s="61" t="n">
        <f aca="false">L984-I984*K984</f>
        <v>90</v>
      </c>
      <c r="N984" s="57" t="n">
        <f aca="false">IF(COUNTIFS(E$2:E984,E984,C$2:C984,C984)=1,1,0)</f>
        <v>0</v>
      </c>
      <c r="O984" s="57" t="n">
        <f aca="false">IF(COUNTIFS(E$2:E984,E984,C$2:C984,C984,D$2:D984,D984)=1,1,0)</f>
        <v>1</v>
      </c>
      <c r="P984" s="57" t="n">
        <f aca="false">IF(AND(C984=Calc!$C$3,OR(Calc!$C$4=0,D984=Calc!$C$4)),ROW(),0)</f>
        <v>0</v>
      </c>
    </row>
    <row r="985" customFormat="false" ht="15" hidden="false" customHeight="false" outlineLevel="0" collapsed="false">
      <c r="A985" s="57" t="s">
        <v>1443</v>
      </c>
      <c r="B985" s="58" t="n">
        <v>45584</v>
      </c>
      <c r="C985" s="57" t="n">
        <f aca="false">YEAR(B985)</f>
        <v>2024</v>
      </c>
      <c r="D985" s="57" t="n">
        <f aca="false">MONTH(B985)</f>
        <v>10</v>
      </c>
      <c r="E985" s="57" t="s">
        <v>1444</v>
      </c>
      <c r="F985" s="57" t="s">
        <v>72</v>
      </c>
      <c r="G985" s="57" t="s">
        <v>40</v>
      </c>
      <c r="H985" s="57" t="s">
        <v>42</v>
      </c>
      <c r="I985" s="59" t="n">
        <v>1</v>
      </c>
      <c r="J985" s="60" t="n">
        <v>79</v>
      </c>
      <c r="K985" s="60" t="n">
        <v>31</v>
      </c>
      <c r="L985" s="61" t="n">
        <f aca="false">I985*J985</f>
        <v>79</v>
      </c>
      <c r="M985" s="61" t="n">
        <f aca="false">L985-I985*K985</f>
        <v>48</v>
      </c>
      <c r="N985" s="57" t="n">
        <f aca="false">IF(COUNTIFS(E$2:E985,E985,C$2:C985,C985)=1,1,0)</f>
        <v>1</v>
      </c>
      <c r="O985" s="57" t="n">
        <f aca="false">IF(COUNTIFS(E$2:E985,E985,C$2:C985,C985,D$2:D985,D985)=1,1,0)</f>
        <v>1</v>
      </c>
      <c r="P985" s="57" t="n">
        <f aca="false">IF(AND(C985=Calc!$C$3,OR(Calc!$C$4=0,D985=Calc!$C$4)),ROW(),0)</f>
        <v>0</v>
      </c>
    </row>
    <row r="986" customFormat="false" ht="15" hidden="false" customHeight="false" outlineLevel="0" collapsed="false">
      <c r="A986" s="57" t="s">
        <v>1445</v>
      </c>
      <c r="B986" s="58" t="n">
        <v>45585</v>
      </c>
      <c r="C986" s="57" t="n">
        <f aca="false">YEAR(B986)</f>
        <v>2024</v>
      </c>
      <c r="D986" s="57" t="n">
        <f aca="false">MONTH(B986)</f>
        <v>10</v>
      </c>
      <c r="E986" s="57" t="s">
        <v>1446</v>
      </c>
      <c r="F986" s="57" t="s">
        <v>78</v>
      </c>
      <c r="G986" s="57" t="s">
        <v>35</v>
      </c>
      <c r="H986" s="57" t="s">
        <v>38</v>
      </c>
      <c r="I986" s="59" t="n">
        <v>2</v>
      </c>
      <c r="J986" s="60" t="n">
        <v>49</v>
      </c>
      <c r="K986" s="60" t="n">
        <v>22</v>
      </c>
      <c r="L986" s="61" t="n">
        <f aca="false">I986*J986</f>
        <v>98</v>
      </c>
      <c r="M986" s="61" t="n">
        <f aca="false">L986-I986*K986</f>
        <v>54</v>
      </c>
      <c r="N986" s="57" t="n">
        <f aca="false">IF(COUNTIFS(E$2:E986,E986,C$2:C986,C986)=1,1,0)</f>
        <v>1</v>
      </c>
      <c r="O986" s="57" t="n">
        <f aca="false">IF(COUNTIFS(E$2:E986,E986,C$2:C986,C986,D$2:D986,D986)=1,1,0)</f>
        <v>1</v>
      </c>
      <c r="P986" s="57" t="n">
        <f aca="false">IF(AND(C986=Calc!$C$3,OR(Calc!$C$4=0,D986=Calc!$C$4)),ROW(),0)</f>
        <v>0</v>
      </c>
    </row>
    <row r="987" customFormat="false" ht="15" hidden="false" customHeight="false" outlineLevel="0" collapsed="false">
      <c r="A987" s="57" t="s">
        <v>1447</v>
      </c>
      <c r="B987" s="58" t="n">
        <v>45585</v>
      </c>
      <c r="C987" s="57" t="n">
        <f aca="false">YEAR(B987)</f>
        <v>2024</v>
      </c>
      <c r="D987" s="57" t="n">
        <f aca="false">MONTH(B987)</f>
        <v>10</v>
      </c>
      <c r="E987" s="57" t="s">
        <v>304</v>
      </c>
      <c r="F987" s="57" t="s">
        <v>69</v>
      </c>
      <c r="G987" s="57" t="s">
        <v>40</v>
      </c>
      <c r="H987" s="57" t="s">
        <v>41</v>
      </c>
      <c r="I987" s="59" t="n">
        <v>1</v>
      </c>
      <c r="J987" s="60" t="n">
        <v>46</v>
      </c>
      <c r="K987" s="60" t="n">
        <v>16</v>
      </c>
      <c r="L987" s="61" t="n">
        <f aca="false">I987*J987</f>
        <v>46</v>
      </c>
      <c r="M987" s="61" t="n">
        <f aca="false">L987-I987*K987</f>
        <v>30</v>
      </c>
      <c r="N987" s="57" t="n">
        <f aca="false">IF(COUNTIFS(E$2:E987,E987,C$2:C987,C987)=1,1,0)</f>
        <v>0</v>
      </c>
      <c r="O987" s="57" t="n">
        <f aca="false">IF(COUNTIFS(E$2:E987,E987,C$2:C987,C987,D$2:D987,D987)=1,1,0)</f>
        <v>1</v>
      </c>
      <c r="P987" s="57" t="n">
        <f aca="false">IF(AND(C987=Calc!$C$3,OR(Calc!$C$4=0,D987=Calc!$C$4)),ROW(),0)</f>
        <v>0</v>
      </c>
    </row>
    <row r="988" customFormat="false" ht="15" hidden="false" customHeight="false" outlineLevel="0" collapsed="false">
      <c r="A988" s="57" t="s">
        <v>1448</v>
      </c>
      <c r="B988" s="58" t="n">
        <v>45585</v>
      </c>
      <c r="C988" s="57" t="n">
        <f aca="false">YEAR(B988)</f>
        <v>2024</v>
      </c>
      <c r="D988" s="57" t="n">
        <f aca="false">MONTH(B988)</f>
        <v>10</v>
      </c>
      <c r="E988" s="57" t="s">
        <v>1449</v>
      </c>
      <c r="F988" s="57" t="s">
        <v>78</v>
      </c>
      <c r="G988" s="57" t="s">
        <v>54</v>
      </c>
      <c r="H988" s="57" t="s">
        <v>56</v>
      </c>
      <c r="I988" s="59" t="n">
        <v>1</v>
      </c>
      <c r="J988" s="60" t="n">
        <v>42</v>
      </c>
      <c r="K988" s="60" t="n">
        <v>17</v>
      </c>
      <c r="L988" s="61" t="n">
        <f aca="false">I988*J988</f>
        <v>42</v>
      </c>
      <c r="M988" s="61" t="n">
        <f aca="false">L988-I988*K988</f>
        <v>25</v>
      </c>
      <c r="N988" s="57" t="n">
        <f aca="false">IF(COUNTIFS(E$2:E988,E988,C$2:C988,C988)=1,1,0)</f>
        <v>1</v>
      </c>
      <c r="O988" s="57" t="n">
        <f aca="false">IF(COUNTIFS(E$2:E988,E988,C$2:C988,C988,D$2:D988,D988)=1,1,0)</f>
        <v>1</v>
      </c>
      <c r="P988" s="57" t="n">
        <f aca="false">IF(AND(C988=Calc!$C$3,OR(Calc!$C$4=0,D988=Calc!$C$4)),ROW(),0)</f>
        <v>0</v>
      </c>
    </row>
    <row r="989" customFormat="false" ht="15" hidden="false" customHeight="false" outlineLevel="0" collapsed="false">
      <c r="A989" s="57" t="s">
        <v>1450</v>
      </c>
      <c r="B989" s="58" t="n">
        <v>45585</v>
      </c>
      <c r="C989" s="57" t="n">
        <f aca="false">YEAR(B989)</f>
        <v>2024</v>
      </c>
      <c r="D989" s="57" t="n">
        <f aca="false">MONTH(B989)</f>
        <v>10</v>
      </c>
      <c r="E989" s="57" t="s">
        <v>183</v>
      </c>
      <c r="F989" s="57" t="s">
        <v>72</v>
      </c>
      <c r="G989" s="57" t="s">
        <v>35</v>
      </c>
      <c r="H989" s="57" t="s">
        <v>38</v>
      </c>
      <c r="I989" s="59" t="n">
        <v>1</v>
      </c>
      <c r="J989" s="60" t="n">
        <v>49</v>
      </c>
      <c r="K989" s="60" t="n">
        <v>22</v>
      </c>
      <c r="L989" s="61" t="n">
        <f aca="false">I989*J989</f>
        <v>49</v>
      </c>
      <c r="M989" s="61" t="n">
        <f aca="false">L989-I989*K989</f>
        <v>27</v>
      </c>
      <c r="N989" s="57" t="n">
        <f aca="false">IF(COUNTIFS(E$2:E989,E989,C$2:C989,C989)=1,1,0)</f>
        <v>0</v>
      </c>
      <c r="O989" s="57" t="n">
        <f aca="false">IF(COUNTIFS(E$2:E989,E989,C$2:C989,C989,D$2:D989,D989)=1,1,0)</f>
        <v>1</v>
      </c>
      <c r="P989" s="57" t="n">
        <f aca="false">IF(AND(C989=Calc!$C$3,OR(Calc!$C$4=0,D989=Calc!$C$4)),ROW(),0)</f>
        <v>0</v>
      </c>
    </row>
    <row r="990" customFormat="false" ht="15" hidden="false" customHeight="false" outlineLevel="0" collapsed="false">
      <c r="A990" s="57" t="s">
        <v>1451</v>
      </c>
      <c r="B990" s="58" t="n">
        <v>45586</v>
      </c>
      <c r="C990" s="57" t="n">
        <f aca="false">YEAR(B990)</f>
        <v>2024</v>
      </c>
      <c r="D990" s="57" t="n">
        <f aca="false">MONTH(B990)</f>
        <v>10</v>
      </c>
      <c r="E990" s="57" t="s">
        <v>120</v>
      </c>
      <c r="F990" s="57" t="s">
        <v>78</v>
      </c>
      <c r="G990" s="57" t="s">
        <v>35</v>
      </c>
      <c r="H990" s="57" t="s">
        <v>37</v>
      </c>
      <c r="I990" s="59" t="n">
        <v>1</v>
      </c>
      <c r="J990" s="60" t="n">
        <v>59</v>
      </c>
      <c r="K990" s="60" t="n">
        <v>27</v>
      </c>
      <c r="L990" s="61" t="n">
        <f aca="false">I990*J990</f>
        <v>59</v>
      </c>
      <c r="M990" s="61" t="n">
        <f aca="false">L990-I990*K990</f>
        <v>32</v>
      </c>
      <c r="N990" s="57" t="n">
        <f aca="false">IF(COUNTIFS(E$2:E990,E990,C$2:C990,C990)=1,1,0)</f>
        <v>0</v>
      </c>
      <c r="O990" s="57" t="n">
        <f aca="false">IF(COUNTIFS(E$2:E990,E990,C$2:C990,C990,D$2:D990,D990)=1,1,0)</f>
        <v>0</v>
      </c>
      <c r="P990" s="57" t="n">
        <f aca="false">IF(AND(C990=Calc!$C$3,OR(Calc!$C$4=0,D990=Calc!$C$4)),ROW(),0)</f>
        <v>0</v>
      </c>
    </row>
    <row r="991" customFormat="false" ht="15" hidden="false" customHeight="false" outlineLevel="0" collapsed="false">
      <c r="A991" s="57" t="s">
        <v>1452</v>
      </c>
      <c r="B991" s="58" t="n">
        <v>45586</v>
      </c>
      <c r="C991" s="57" t="n">
        <f aca="false">YEAR(B991)</f>
        <v>2024</v>
      </c>
      <c r="D991" s="57" t="n">
        <f aca="false">MONTH(B991)</f>
        <v>10</v>
      </c>
      <c r="E991" s="57" t="s">
        <v>488</v>
      </c>
      <c r="F991" s="57" t="s">
        <v>69</v>
      </c>
      <c r="G991" s="57" t="s">
        <v>40</v>
      </c>
      <c r="H991" s="57" t="s">
        <v>43</v>
      </c>
      <c r="I991" s="59" t="n">
        <v>1</v>
      </c>
      <c r="J991" s="60" t="n">
        <v>29</v>
      </c>
      <c r="K991" s="60" t="n">
        <v>9</v>
      </c>
      <c r="L991" s="61" t="n">
        <f aca="false">I991*J991</f>
        <v>29</v>
      </c>
      <c r="M991" s="61" t="n">
        <f aca="false">L991-I991*K991</f>
        <v>20</v>
      </c>
      <c r="N991" s="57" t="n">
        <f aca="false">IF(COUNTIFS(E$2:E991,E991,C$2:C991,C991)=1,1,0)</f>
        <v>0</v>
      </c>
      <c r="O991" s="57" t="n">
        <f aca="false">IF(COUNTIFS(E$2:E991,E991,C$2:C991,C991,D$2:D991,D991)=1,1,0)</f>
        <v>1</v>
      </c>
      <c r="P991" s="57" t="n">
        <f aca="false">IF(AND(C991=Calc!$C$3,OR(Calc!$C$4=0,D991=Calc!$C$4)),ROW(),0)</f>
        <v>0</v>
      </c>
    </row>
    <row r="992" customFormat="false" ht="15" hidden="false" customHeight="false" outlineLevel="0" collapsed="false">
      <c r="A992" s="57" t="s">
        <v>1453</v>
      </c>
      <c r="B992" s="58" t="n">
        <v>45587</v>
      </c>
      <c r="C992" s="57" t="n">
        <f aca="false">YEAR(B992)</f>
        <v>2024</v>
      </c>
      <c r="D992" s="57" t="n">
        <f aca="false">MONTH(B992)</f>
        <v>10</v>
      </c>
      <c r="E992" s="57" t="s">
        <v>235</v>
      </c>
      <c r="F992" s="57" t="s">
        <v>69</v>
      </c>
      <c r="G992" s="57" t="s">
        <v>40</v>
      </c>
      <c r="H992" s="57" t="s">
        <v>42</v>
      </c>
      <c r="I992" s="59" t="n">
        <v>1</v>
      </c>
      <c r="J992" s="60" t="n">
        <v>79</v>
      </c>
      <c r="K992" s="60" t="n">
        <v>31</v>
      </c>
      <c r="L992" s="61" t="n">
        <f aca="false">I992*J992</f>
        <v>79</v>
      </c>
      <c r="M992" s="61" t="n">
        <f aca="false">L992-I992*K992</f>
        <v>48</v>
      </c>
      <c r="N992" s="57" t="n">
        <f aca="false">IF(COUNTIFS(E$2:E992,E992,C$2:C992,C992)=1,1,0)</f>
        <v>0</v>
      </c>
      <c r="O992" s="57" t="n">
        <f aca="false">IF(COUNTIFS(E$2:E992,E992,C$2:C992,C992,D$2:D992,D992)=1,1,0)</f>
        <v>1</v>
      </c>
      <c r="P992" s="57" t="n">
        <f aca="false">IF(AND(C992=Calc!$C$3,OR(Calc!$C$4=0,D992=Calc!$C$4)),ROW(),0)</f>
        <v>0</v>
      </c>
    </row>
    <row r="993" customFormat="false" ht="15" hidden="false" customHeight="false" outlineLevel="0" collapsed="false">
      <c r="A993" s="57" t="s">
        <v>1454</v>
      </c>
      <c r="B993" s="58" t="n">
        <v>45587</v>
      </c>
      <c r="C993" s="57" t="n">
        <f aca="false">YEAR(B993)</f>
        <v>2024</v>
      </c>
      <c r="D993" s="57" t="n">
        <f aca="false">MONTH(B993)</f>
        <v>10</v>
      </c>
      <c r="E993" s="57" t="s">
        <v>173</v>
      </c>
      <c r="F993" s="57" t="s">
        <v>69</v>
      </c>
      <c r="G993" s="57" t="s">
        <v>35</v>
      </c>
      <c r="H993" s="57" t="s">
        <v>37</v>
      </c>
      <c r="I993" s="59" t="n">
        <v>1</v>
      </c>
      <c r="J993" s="60" t="n">
        <v>59</v>
      </c>
      <c r="K993" s="60" t="n">
        <v>27</v>
      </c>
      <c r="L993" s="61" t="n">
        <f aca="false">I993*J993</f>
        <v>59</v>
      </c>
      <c r="M993" s="61" t="n">
        <f aca="false">L993-I993*K993</f>
        <v>32</v>
      </c>
      <c r="N993" s="57" t="n">
        <f aca="false">IF(COUNTIFS(E$2:E993,E993,C$2:C993,C993)=1,1,0)</f>
        <v>0</v>
      </c>
      <c r="O993" s="57" t="n">
        <f aca="false">IF(COUNTIFS(E$2:E993,E993,C$2:C993,C993,D$2:D993,D993)=1,1,0)</f>
        <v>1</v>
      </c>
      <c r="P993" s="57" t="n">
        <f aca="false">IF(AND(C993=Calc!$C$3,OR(Calc!$C$4=0,D993=Calc!$C$4)),ROW(),0)</f>
        <v>0</v>
      </c>
    </row>
    <row r="994" customFormat="false" ht="15" hidden="false" customHeight="false" outlineLevel="0" collapsed="false">
      <c r="A994" s="57" t="s">
        <v>1455</v>
      </c>
      <c r="B994" s="58" t="n">
        <v>45587</v>
      </c>
      <c r="C994" s="57" t="n">
        <f aca="false">YEAR(B994)</f>
        <v>2024</v>
      </c>
      <c r="D994" s="57" t="n">
        <f aca="false">MONTH(B994)</f>
        <v>10</v>
      </c>
      <c r="E994" s="57" t="s">
        <v>158</v>
      </c>
      <c r="F994" s="57" t="s">
        <v>81</v>
      </c>
      <c r="G994" s="57" t="s">
        <v>45</v>
      </c>
      <c r="H994" s="57" t="s">
        <v>48</v>
      </c>
      <c r="I994" s="59" t="n">
        <v>1</v>
      </c>
      <c r="J994" s="60" t="n">
        <v>99</v>
      </c>
      <c r="K994" s="60" t="n">
        <v>38</v>
      </c>
      <c r="L994" s="61" t="n">
        <f aca="false">I994*J994</f>
        <v>99</v>
      </c>
      <c r="M994" s="61" t="n">
        <f aca="false">L994-I994*K994</f>
        <v>61</v>
      </c>
      <c r="N994" s="57" t="n">
        <f aca="false">IF(COUNTIFS(E$2:E994,E994,C$2:C994,C994)=1,1,0)</f>
        <v>0</v>
      </c>
      <c r="O994" s="57" t="n">
        <f aca="false">IF(COUNTIFS(E$2:E994,E994,C$2:C994,C994,D$2:D994,D994)=1,1,0)</f>
        <v>1</v>
      </c>
      <c r="P994" s="57" t="n">
        <f aca="false">IF(AND(C994=Calc!$C$3,OR(Calc!$C$4=0,D994=Calc!$C$4)),ROW(),0)</f>
        <v>0</v>
      </c>
    </row>
    <row r="995" customFormat="false" ht="15" hidden="false" customHeight="false" outlineLevel="0" collapsed="false">
      <c r="A995" s="57" t="s">
        <v>1456</v>
      </c>
      <c r="B995" s="58" t="n">
        <v>45588</v>
      </c>
      <c r="C995" s="57" t="n">
        <f aca="false">YEAR(B995)</f>
        <v>2024</v>
      </c>
      <c r="D995" s="57" t="n">
        <f aca="false">MONTH(B995)</f>
        <v>10</v>
      </c>
      <c r="E995" s="57" t="s">
        <v>351</v>
      </c>
      <c r="F995" s="57" t="s">
        <v>72</v>
      </c>
      <c r="G995" s="57" t="s">
        <v>40</v>
      </c>
      <c r="H995" s="57" t="s">
        <v>41</v>
      </c>
      <c r="I995" s="59" t="n">
        <v>3</v>
      </c>
      <c r="J995" s="60" t="n">
        <v>46</v>
      </c>
      <c r="K995" s="60" t="n">
        <v>16</v>
      </c>
      <c r="L995" s="61" t="n">
        <f aca="false">I995*J995</f>
        <v>138</v>
      </c>
      <c r="M995" s="61" t="n">
        <f aca="false">L995-I995*K995</f>
        <v>90</v>
      </c>
      <c r="N995" s="57" t="n">
        <f aca="false">IF(COUNTIFS(E$2:E995,E995,C$2:C995,C995)=1,1,0)</f>
        <v>0</v>
      </c>
      <c r="O995" s="57" t="n">
        <f aca="false">IF(COUNTIFS(E$2:E995,E995,C$2:C995,C995,D$2:D995,D995)=1,1,0)</f>
        <v>1</v>
      </c>
      <c r="P995" s="57" t="n">
        <f aca="false">IF(AND(C995=Calc!$C$3,OR(Calc!$C$4=0,D995=Calc!$C$4)),ROW(),0)</f>
        <v>0</v>
      </c>
    </row>
    <row r="996" customFormat="false" ht="15" hidden="false" customHeight="false" outlineLevel="0" collapsed="false">
      <c r="A996" s="57" t="s">
        <v>1457</v>
      </c>
      <c r="B996" s="58" t="n">
        <v>45588</v>
      </c>
      <c r="C996" s="57" t="n">
        <f aca="false">YEAR(B996)</f>
        <v>2024</v>
      </c>
      <c r="D996" s="57" t="n">
        <f aca="false">MONTH(B996)</f>
        <v>10</v>
      </c>
      <c r="E996" s="57" t="s">
        <v>986</v>
      </c>
      <c r="F996" s="57" t="s">
        <v>75</v>
      </c>
      <c r="G996" s="57" t="s">
        <v>35</v>
      </c>
      <c r="H996" s="57" t="s">
        <v>37</v>
      </c>
      <c r="I996" s="59" t="n">
        <v>2</v>
      </c>
      <c r="J996" s="60" t="n">
        <v>59</v>
      </c>
      <c r="K996" s="60" t="n">
        <v>27</v>
      </c>
      <c r="L996" s="61" t="n">
        <f aca="false">I996*J996</f>
        <v>118</v>
      </c>
      <c r="M996" s="61" t="n">
        <f aca="false">L996-I996*K996</f>
        <v>64</v>
      </c>
      <c r="N996" s="57" t="n">
        <f aca="false">IF(COUNTIFS(E$2:E996,E996,C$2:C996,C996)=1,1,0)</f>
        <v>0</v>
      </c>
      <c r="O996" s="57" t="n">
        <f aca="false">IF(COUNTIFS(E$2:E996,E996,C$2:C996,C996,D$2:D996,D996)=1,1,0)</f>
        <v>1</v>
      </c>
      <c r="P996" s="57" t="n">
        <f aca="false">IF(AND(C996=Calc!$C$3,OR(Calc!$C$4=0,D996=Calc!$C$4)),ROW(),0)</f>
        <v>0</v>
      </c>
    </row>
    <row r="997" customFormat="false" ht="15" hidden="false" customHeight="false" outlineLevel="0" collapsed="false">
      <c r="A997" s="57" t="s">
        <v>1458</v>
      </c>
      <c r="B997" s="58" t="n">
        <v>45588</v>
      </c>
      <c r="C997" s="57" t="n">
        <f aca="false">YEAR(B997)</f>
        <v>2024</v>
      </c>
      <c r="D997" s="57" t="n">
        <f aca="false">MONTH(B997)</f>
        <v>10</v>
      </c>
      <c r="E997" s="57" t="s">
        <v>342</v>
      </c>
      <c r="F997" s="57" t="s">
        <v>78</v>
      </c>
      <c r="G997" s="57" t="s">
        <v>54</v>
      </c>
      <c r="H997" s="57" t="s">
        <v>55</v>
      </c>
      <c r="I997" s="59" t="n">
        <v>3</v>
      </c>
      <c r="J997" s="60" t="n">
        <v>64</v>
      </c>
      <c r="K997" s="60" t="n">
        <v>25</v>
      </c>
      <c r="L997" s="61" t="n">
        <f aca="false">I997*J997</f>
        <v>192</v>
      </c>
      <c r="M997" s="61" t="n">
        <f aca="false">L997-I997*K997</f>
        <v>117</v>
      </c>
      <c r="N997" s="57" t="n">
        <f aca="false">IF(COUNTIFS(E$2:E997,E997,C$2:C997,C997)=1,1,0)</f>
        <v>0</v>
      </c>
      <c r="O997" s="57" t="n">
        <f aca="false">IF(COUNTIFS(E$2:E997,E997,C$2:C997,C997,D$2:D997,D997)=1,1,0)</f>
        <v>1</v>
      </c>
      <c r="P997" s="57" t="n">
        <f aca="false">IF(AND(C997=Calc!$C$3,OR(Calc!$C$4=0,D997=Calc!$C$4)),ROW(),0)</f>
        <v>0</v>
      </c>
    </row>
    <row r="998" customFormat="false" ht="15" hidden="false" customHeight="false" outlineLevel="0" collapsed="false">
      <c r="A998" s="57" t="s">
        <v>1459</v>
      </c>
      <c r="B998" s="58" t="n">
        <v>45589</v>
      </c>
      <c r="C998" s="57" t="n">
        <f aca="false">YEAR(B998)</f>
        <v>2024</v>
      </c>
      <c r="D998" s="57" t="n">
        <f aca="false">MONTH(B998)</f>
        <v>10</v>
      </c>
      <c r="E998" s="57" t="s">
        <v>256</v>
      </c>
      <c r="F998" s="57" t="s">
        <v>69</v>
      </c>
      <c r="G998" s="57" t="s">
        <v>35</v>
      </c>
      <c r="H998" s="57" t="s">
        <v>37</v>
      </c>
      <c r="I998" s="59" t="n">
        <v>1</v>
      </c>
      <c r="J998" s="60" t="n">
        <v>59</v>
      </c>
      <c r="K998" s="60" t="n">
        <v>27</v>
      </c>
      <c r="L998" s="61" t="n">
        <f aca="false">I998*J998</f>
        <v>59</v>
      </c>
      <c r="M998" s="61" t="n">
        <f aca="false">L998-I998*K998</f>
        <v>32</v>
      </c>
      <c r="N998" s="57" t="n">
        <f aca="false">IF(COUNTIFS(E$2:E998,E998,C$2:C998,C998)=1,1,0)</f>
        <v>0</v>
      </c>
      <c r="O998" s="57" t="n">
        <f aca="false">IF(COUNTIFS(E$2:E998,E998,C$2:C998,C998,D$2:D998,D998)=1,1,0)</f>
        <v>1</v>
      </c>
      <c r="P998" s="57" t="n">
        <f aca="false">IF(AND(C998=Calc!$C$3,OR(Calc!$C$4=0,D998=Calc!$C$4)),ROW(),0)</f>
        <v>0</v>
      </c>
    </row>
    <row r="999" customFormat="false" ht="15" hidden="false" customHeight="false" outlineLevel="0" collapsed="false">
      <c r="A999" s="57" t="s">
        <v>1460</v>
      </c>
      <c r="B999" s="58" t="n">
        <v>45589</v>
      </c>
      <c r="C999" s="57" t="n">
        <f aca="false">YEAR(B999)</f>
        <v>2024</v>
      </c>
      <c r="D999" s="57" t="n">
        <f aca="false">MONTH(B999)</f>
        <v>10</v>
      </c>
      <c r="E999" s="57" t="s">
        <v>292</v>
      </c>
      <c r="F999" s="57" t="s">
        <v>72</v>
      </c>
      <c r="G999" s="57" t="s">
        <v>35</v>
      </c>
      <c r="H999" s="57" t="s">
        <v>37</v>
      </c>
      <c r="I999" s="59" t="n">
        <v>1</v>
      </c>
      <c r="J999" s="60" t="n">
        <v>59</v>
      </c>
      <c r="K999" s="60" t="n">
        <v>27</v>
      </c>
      <c r="L999" s="61" t="n">
        <f aca="false">I999*J999</f>
        <v>59</v>
      </c>
      <c r="M999" s="61" t="n">
        <f aca="false">L999-I999*K999</f>
        <v>32</v>
      </c>
      <c r="N999" s="57" t="n">
        <f aca="false">IF(COUNTIFS(E$2:E999,E999,C$2:C999,C999)=1,1,0)</f>
        <v>0</v>
      </c>
      <c r="O999" s="57" t="n">
        <f aca="false">IF(COUNTIFS(E$2:E999,E999,C$2:C999,C999,D$2:D999,D999)=1,1,0)</f>
        <v>1</v>
      </c>
      <c r="P999" s="57" t="n">
        <f aca="false">IF(AND(C999=Calc!$C$3,OR(Calc!$C$4=0,D999=Calc!$C$4)),ROW(),0)</f>
        <v>0</v>
      </c>
    </row>
    <row r="1000" customFormat="false" ht="15" hidden="false" customHeight="false" outlineLevel="0" collapsed="false">
      <c r="A1000" s="57" t="s">
        <v>1461</v>
      </c>
      <c r="B1000" s="58" t="n">
        <v>45589</v>
      </c>
      <c r="C1000" s="57" t="n">
        <f aca="false">YEAR(B1000)</f>
        <v>2024</v>
      </c>
      <c r="D1000" s="57" t="n">
        <f aca="false">MONTH(B1000)</f>
        <v>10</v>
      </c>
      <c r="E1000" s="57" t="s">
        <v>914</v>
      </c>
      <c r="F1000" s="57" t="s">
        <v>75</v>
      </c>
      <c r="G1000" s="57" t="s">
        <v>45</v>
      </c>
      <c r="H1000" s="57" t="s">
        <v>48</v>
      </c>
      <c r="I1000" s="59" t="n">
        <v>2</v>
      </c>
      <c r="J1000" s="60" t="n">
        <v>99</v>
      </c>
      <c r="K1000" s="60" t="n">
        <v>38</v>
      </c>
      <c r="L1000" s="61" t="n">
        <f aca="false">I1000*J1000</f>
        <v>198</v>
      </c>
      <c r="M1000" s="61" t="n">
        <f aca="false">L1000-I1000*K1000</f>
        <v>122</v>
      </c>
      <c r="N1000" s="57" t="n">
        <f aca="false">IF(COUNTIFS(E$2:E1000,E1000,C$2:C1000,C1000)=1,1,0)</f>
        <v>0</v>
      </c>
      <c r="O1000" s="57" t="n">
        <f aca="false">IF(COUNTIFS(E$2:E1000,E1000,C$2:C1000,C1000,D$2:D1000,D1000)=1,1,0)</f>
        <v>1</v>
      </c>
      <c r="P1000" s="57" t="n">
        <f aca="false">IF(AND(C1000=Calc!$C$3,OR(Calc!$C$4=0,D1000=Calc!$C$4)),ROW(),0)</f>
        <v>0</v>
      </c>
    </row>
    <row r="1001" customFormat="false" ht="15" hidden="false" customHeight="false" outlineLevel="0" collapsed="false">
      <c r="A1001" s="57" t="s">
        <v>1462</v>
      </c>
      <c r="B1001" s="58" t="n">
        <v>45590</v>
      </c>
      <c r="C1001" s="57" t="n">
        <f aca="false">YEAR(B1001)</f>
        <v>2024</v>
      </c>
      <c r="D1001" s="57" t="n">
        <f aca="false">MONTH(B1001)</f>
        <v>10</v>
      </c>
      <c r="E1001" s="57" t="s">
        <v>613</v>
      </c>
      <c r="F1001" s="57" t="s">
        <v>72</v>
      </c>
      <c r="G1001" s="57" t="s">
        <v>40</v>
      </c>
      <c r="H1001" s="57" t="s">
        <v>43</v>
      </c>
      <c r="I1001" s="59" t="n">
        <v>1</v>
      </c>
      <c r="J1001" s="60" t="n">
        <v>29</v>
      </c>
      <c r="K1001" s="60" t="n">
        <v>9</v>
      </c>
      <c r="L1001" s="61" t="n">
        <f aca="false">I1001*J1001</f>
        <v>29</v>
      </c>
      <c r="M1001" s="61" t="n">
        <f aca="false">L1001-I1001*K1001</f>
        <v>20</v>
      </c>
      <c r="N1001" s="57" t="n">
        <f aca="false">IF(COUNTIFS(E$2:E1001,E1001,C$2:C1001,C1001)=1,1,0)</f>
        <v>0</v>
      </c>
      <c r="O1001" s="57" t="n">
        <f aca="false">IF(COUNTIFS(E$2:E1001,E1001,C$2:C1001,C1001,D$2:D1001,D1001)=1,1,0)</f>
        <v>1</v>
      </c>
      <c r="P1001" s="57" t="n">
        <f aca="false">IF(AND(C1001=Calc!$C$3,OR(Calc!$C$4=0,D1001=Calc!$C$4)),ROW(),0)</f>
        <v>0</v>
      </c>
    </row>
    <row r="1002" customFormat="false" ht="15" hidden="false" customHeight="false" outlineLevel="0" collapsed="false">
      <c r="A1002" s="57" t="s">
        <v>1463</v>
      </c>
      <c r="B1002" s="58" t="n">
        <v>45590</v>
      </c>
      <c r="C1002" s="57" t="n">
        <f aca="false">YEAR(B1002)</f>
        <v>2024</v>
      </c>
      <c r="D1002" s="57" t="n">
        <f aca="false">MONTH(B1002)</f>
        <v>10</v>
      </c>
      <c r="E1002" s="57" t="s">
        <v>154</v>
      </c>
      <c r="F1002" s="57" t="s">
        <v>69</v>
      </c>
      <c r="G1002" s="57" t="s">
        <v>54</v>
      </c>
      <c r="H1002" s="57" t="s">
        <v>55</v>
      </c>
      <c r="I1002" s="59" t="n">
        <v>1</v>
      </c>
      <c r="J1002" s="60" t="n">
        <v>64</v>
      </c>
      <c r="K1002" s="60" t="n">
        <v>25</v>
      </c>
      <c r="L1002" s="61" t="n">
        <f aca="false">I1002*J1002</f>
        <v>64</v>
      </c>
      <c r="M1002" s="61" t="n">
        <f aca="false">L1002-I1002*K1002</f>
        <v>39</v>
      </c>
      <c r="N1002" s="57" t="n">
        <f aca="false">IF(COUNTIFS(E$2:E1002,E1002,C$2:C1002,C1002)=1,1,0)</f>
        <v>0</v>
      </c>
      <c r="O1002" s="57" t="n">
        <f aca="false">IF(COUNTIFS(E$2:E1002,E1002,C$2:C1002,C1002,D$2:D1002,D1002)=1,1,0)</f>
        <v>1</v>
      </c>
      <c r="P1002" s="57" t="n">
        <f aca="false">IF(AND(C1002=Calc!$C$3,OR(Calc!$C$4=0,D1002=Calc!$C$4)),ROW(),0)</f>
        <v>0</v>
      </c>
    </row>
    <row r="1003" customFormat="false" ht="15" hidden="false" customHeight="false" outlineLevel="0" collapsed="false">
      <c r="A1003" s="57" t="s">
        <v>1464</v>
      </c>
      <c r="B1003" s="58" t="n">
        <v>45590</v>
      </c>
      <c r="C1003" s="57" t="n">
        <f aca="false">YEAR(B1003)</f>
        <v>2024</v>
      </c>
      <c r="D1003" s="57" t="n">
        <f aca="false">MONTH(B1003)</f>
        <v>10</v>
      </c>
      <c r="E1003" s="57" t="s">
        <v>477</v>
      </c>
      <c r="F1003" s="57" t="s">
        <v>78</v>
      </c>
      <c r="G1003" s="57" t="s">
        <v>35</v>
      </c>
      <c r="H1003" s="57" t="s">
        <v>38</v>
      </c>
      <c r="I1003" s="59" t="n">
        <v>1</v>
      </c>
      <c r="J1003" s="60" t="n">
        <v>49</v>
      </c>
      <c r="K1003" s="60" t="n">
        <v>22</v>
      </c>
      <c r="L1003" s="61" t="n">
        <f aca="false">I1003*J1003</f>
        <v>49</v>
      </c>
      <c r="M1003" s="61" t="n">
        <f aca="false">L1003-I1003*K1003</f>
        <v>27</v>
      </c>
      <c r="N1003" s="57" t="n">
        <f aca="false">IF(COUNTIFS(E$2:E1003,E1003,C$2:C1003,C1003)=1,1,0)</f>
        <v>0</v>
      </c>
      <c r="O1003" s="57" t="n">
        <f aca="false">IF(COUNTIFS(E$2:E1003,E1003,C$2:C1003,C1003,D$2:D1003,D1003)=1,1,0)</f>
        <v>1</v>
      </c>
      <c r="P1003" s="57" t="n">
        <f aca="false">IF(AND(C1003=Calc!$C$3,OR(Calc!$C$4=0,D1003=Calc!$C$4)),ROW(),0)</f>
        <v>0</v>
      </c>
    </row>
    <row r="1004" customFormat="false" ht="15" hidden="false" customHeight="false" outlineLevel="0" collapsed="false">
      <c r="A1004" s="57" t="s">
        <v>1465</v>
      </c>
      <c r="B1004" s="58" t="n">
        <v>45591</v>
      </c>
      <c r="C1004" s="57" t="n">
        <f aca="false">YEAR(B1004)</f>
        <v>2024</v>
      </c>
      <c r="D1004" s="57" t="n">
        <f aca="false">MONTH(B1004)</f>
        <v>10</v>
      </c>
      <c r="E1004" s="57" t="s">
        <v>1466</v>
      </c>
      <c r="F1004" s="57" t="s">
        <v>75</v>
      </c>
      <c r="G1004" s="57" t="s">
        <v>40</v>
      </c>
      <c r="H1004" s="57" t="s">
        <v>43</v>
      </c>
      <c r="I1004" s="59" t="n">
        <v>1</v>
      </c>
      <c r="J1004" s="60" t="n">
        <v>29</v>
      </c>
      <c r="K1004" s="60" t="n">
        <v>9</v>
      </c>
      <c r="L1004" s="61" t="n">
        <f aca="false">I1004*J1004</f>
        <v>29</v>
      </c>
      <c r="M1004" s="61" t="n">
        <f aca="false">L1004-I1004*K1004</f>
        <v>20</v>
      </c>
      <c r="N1004" s="57" t="n">
        <f aca="false">IF(COUNTIFS(E$2:E1004,E1004,C$2:C1004,C1004)=1,1,0)</f>
        <v>1</v>
      </c>
      <c r="O1004" s="57" t="n">
        <f aca="false">IF(COUNTIFS(E$2:E1004,E1004,C$2:C1004,C1004,D$2:D1004,D1004)=1,1,0)</f>
        <v>1</v>
      </c>
      <c r="P1004" s="57" t="n">
        <f aca="false">IF(AND(C1004=Calc!$C$3,OR(Calc!$C$4=0,D1004=Calc!$C$4)),ROW(),0)</f>
        <v>0</v>
      </c>
    </row>
    <row r="1005" customFormat="false" ht="15" hidden="false" customHeight="false" outlineLevel="0" collapsed="false">
      <c r="A1005" s="57" t="s">
        <v>1467</v>
      </c>
      <c r="B1005" s="58" t="n">
        <v>45591</v>
      </c>
      <c r="C1005" s="57" t="n">
        <f aca="false">YEAR(B1005)</f>
        <v>2024</v>
      </c>
      <c r="D1005" s="57" t="n">
        <f aca="false">MONTH(B1005)</f>
        <v>10</v>
      </c>
      <c r="E1005" s="57" t="s">
        <v>307</v>
      </c>
      <c r="F1005" s="57" t="s">
        <v>69</v>
      </c>
      <c r="G1005" s="57" t="s">
        <v>45</v>
      </c>
      <c r="H1005" s="57" t="s">
        <v>44</v>
      </c>
      <c r="I1005" s="59" t="n">
        <v>1</v>
      </c>
      <c r="J1005" s="60" t="n">
        <v>119</v>
      </c>
      <c r="K1005" s="60" t="n">
        <v>63</v>
      </c>
      <c r="L1005" s="61" t="n">
        <f aca="false">I1005*J1005</f>
        <v>119</v>
      </c>
      <c r="M1005" s="61" t="n">
        <f aca="false">L1005-I1005*K1005</f>
        <v>56</v>
      </c>
      <c r="N1005" s="57" t="n">
        <f aca="false">IF(COUNTIFS(E$2:E1005,E1005,C$2:C1005,C1005)=1,1,0)</f>
        <v>0</v>
      </c>
      <c r="O1005" s="57" t="n">
        <f aca="false">IF(COUNTIFS(E$2:E1005,E1005,C$2:C1005,C1005,D$2:D1005,D1005)=1,1,0)</f>
        <v>1</v>
      </c>
      <c r="P1005" s="57" t="n">
        <f aca="false">IF(AND(C1005=Calc!$C$3,OR(Calc!$C$4=0,D1005=Calc!$C$4)),ROW(),0)</f>
        <v>0</v>
      </c>
    </row>
    <row r="1006" customFormat="false" ht="15" hidden="false" customHeight="false" outlineLevel="0" collapsed="false">
      <c r="A1006" s="57" t="s">
        <v>1468</v>
      </c>
      <c r="B1006" s="58" t="n">
        <v>45591</v>
      </c>
      <c r="C1006" s="57" t="n">
        <f aca="false">YEAR(B1006)</f>
        <v>2024</v>
      </c>
      <c r="D1006" s="57" t="n">
        <f aca="false">MONTH(B1006)</f>
        <v>10</v>
      </c>
      <c r="E1006" s="57" t="s">
        <v>323</v>
      </c>
      <c r="F1006" s="57" t="s">
        <v>75</v>
      </c>
      <c r="G1006" s="57" t="s">
        <v>40</v>
      </c>
      <c r="H1006" s="57" t="s">
        <v>43</v>
      </c>
      <c r="I1006" s="59" t="n">
        <v>1</v>
      </c>
      <c r="J1006" s="60" t="n">
        <v>29</v>
      </c>
      <c r="K1006" s="60" t="n">
        <v>9</v>
      </c>
      <c r="L1006" s="61" t="n">
        <f aca="false">I1006*J1006</f>
        <v>29</v>
      </c>
      <c r="M1006" s="61" t="n">
        <f aca="false">L1006-I1006*K1006</f>
        <v>20</v>
      </c>
      <c r="N1006" s="57" t="n">
        <f aca="false">IF(COUNTIFS(E$2:E1006,E1006,C$2:C1006,C1006)=1,1,0)</f>
        <v>0</v>
      </c>
      <c r="O1006" s="57" t="n">
        <f aca="false">IF(COUNTIFS(E$2:E1006,E1006,C$2:C1006,C1006,D$2:D1006,D1006)=1,1,0)</f>
        <v>1</v>
      </c>
      <c r="P1006" s="57" t="n">
        <f aca="false">IF(AND(C1006=Calc!$C$3,OR(Calc!$C$4=0,D1006=Calc!$C$4)),ROW(),0)</f>
        <v>0</v>
      </c>
    </row>
    <row r="1007" customFormat="false" ht="15" hidden="false" customHeight="false" outlineLevel="0" collapsed="false">
      <c r="A1007" s="57" t="s">
        <v>1469</v>
      </c>
      <c r="B1007" s="58" t="n">
        <v>45591</v>
      </c>
      <c r="C1007" s="57" t="n">
        <f aca="false">YEAR(B1007)</f>
        <v>2024</v>
      </c>
      <c r="D1007" s="57" t="n">
        <f aca="false">MONTH(B1007)</f>
        <v>10</v>
      </c>
      <c r="E1007" s="57" t="s">
        <v>229</v>
      </c>
      <c r="F1007" s="57" t="s">
        <v>81</v>
      </c>
      <c r="G1007" s="57" t="s">
        <v>35</v>
      </c>
      <c r="H1007" s="57" t="s">
        <v>38</v>
      </c>
      <c r="I1007" s="59" t="n">
        <v>1</v>
      </c>
      <c r="J1007" s="60" t="n">
        <v>49</v>
      </c>
      <c r="K1007" s="60" t="n">
        <v>22</v>
      </c>
      <c r="L1007" s="61" t="n">
        <f aca="false">I1007*J1007</f>
        <v>49</v>
      </c>
      <c r="M1007" s="61" t="n">
        <f aca="false">L1007-I1007*K1007</f>
        <v>27</v>
      </c>
      <c r="N1007" s="57" t="n">
        <f aca="false">IF(COUNTIFS(E$2:E1007,E1007,C$2:C1007,C1007)=1,1,0)</f>
        <v>0</v>
      </c>
      <c r="O1007" s="57" t="n">
        <f aca="false">IF(COUNTIFS(E$2:E1007,E1007,C$2:C1007,C1007,D$2:D1007,D1007)=1,1,0)</f>
        <v>1</v>
      </c>
      <c r="P1007" s="57" t="n">
        <f aca="false">IF(AND(C1007=Calc!$C$3,OR(Calc!$C$4=0,D1007=Calc!$C$4)),ROW(),0)</f>
        <v>0</v>
      </c>
    </row>
    <row r="1008" customFormat="false" ht="15" hidden="false" customHeight="false" outlineLevel="0" collapsed="false">
      <c r="A1008" s="57" t="s">
        <v>1470</v>
      </c>
      <c r="B1008" s="58" t="n">
        <v>45591</v>
      </c>
      <c r="C1008" s="57" t="n">
        <f aca="false">YEAR(B1008)</f>
        <v>2024</v>
      </c>
      <c r="D1008" s="57" t="n">
        <f aca="false">MONTH(B1008)</f>
        <v>10</v>
      </c>
      <c r="E1008" s="57" t="s">
        <v>1149</v>
      </c>
      <c r="F1008" s="57" t="s">
        <v>78</v>
      </c>
      <c r="G1008" s="57" t="s">
        <v>35</v>
      </c>
      <c r="H1008" s="57" t="s">
        <v>37</v>
      </c>
      <c r="I1008" s="59" t="n">
        <v>1</v>
      </c>
      <c r="J1008" s="60" t="n">
        <v>59</v>
      </c>
      <c r="K1008" s="60" t="n">
        <v>27</v>
      </c>
      <c r="L1008" s="61" t="n">
        <f aca="false">I1008*J1008</f>
        <v>59</v>
      </c>
      <c r="M1008" s="61" t="n">
        <f aca="false">L1008-I1008*K1008</f>
        <v>32</v>
      </c>
      <c r="N1008" s="57" t="n">
        <f aca="false">IF(COUNTIFS(E$2:E1008,E1008,C$2:C1008,C1008)=1,1,0)</f>
        <v>0</v>
      </c>
      <c r="O1008" s="57" t="n">
        <f aca="false">IF(COUNTIFS(E$2:E1008,E1008,C$2:C1008,C1008,D$2:D1008,D1008)=1,1,0)</f>
        <v>1</v>
      </c>
      <c r="P1008" s="57" t="n">
        <f aca="false">IF(AND(C1008=Calc!$C$3,OR(Calc!$C$4=0,D1008=Calc!$C$4)),ROW(),0)</f>
        <v>0</v>
      </c>
    </row>
    <row r="1009" customFormat="false" ht="15" hidden="false" customHeight="false" outlineLevel="0" collapsed="false">
      <c r="A1009" s="57" t="s">
        <v>1471</v>
      </c>
      <c r="B1009" s="58" t="n">
        <v>45592</v>
      </c>
      <c r="C1009" s="57" t="n">
        <f aca="false">YEAR(B1009)</f>
        <v>2024</v>
      </c>
      <c r="D1009" s="57" t="n">
        <f aca="false">MONTH(B1009)</f>
        <v>10</v>
      </c>
      <c r="E1009" s="57" t="s">
        <v>914</v>
      </c>
      <c r="F1009" s="57" t="s">
        <v>75</v>
      </c>
      <c r="G1009" s="57" t="s">
        <v>40</v>
      </c>
      <c r="H1009" s="57" t="s">
        <v>43</v>
      </c>
      <c r="I1009" s="59" t="n">
        <v>2</v>
      </c>
      <c r="J1009" s="60" t="n">
        <v>29</v>
      </c>
      <c r="K1009" s="60" t="n">
        <v>9</v>
      </c>
      <c r="L1009" s="61" t="n">
        <f aca="false">I1009*J1009</f>
        <v>58</v>
      </c>
      <c r="M1009" s="61" t="n">
        <f aca="false">L1009-I1009*K1009</f>
        <v>40</v>
      </c>
      <c r="N1009" s="57" t="n">
        <f aca="false">IF(COUNTIFS(E$2:E1009,E1009,C$2:C1009,C1009)=1,1,0)</f>
        <v>0</v>
      </c>
      <c r="O1009" s="57" t="n">
        <f aca="false">IF(COUNTIFS(E$2:E1009,E1009,C$2:C1009,C1009,D$2:D1009,D1009)=1,1,0)</f>
        <v>0</v>
      </c>
      <c r="P1009" s="57" t="n">
        <f aca="false">IF(AND(C1009=Calc!$C$3,OR(Calc!$C$4=0,D1009=Calc!$C$4)),ROW(),0)</f>
        <v>0</v>
      </c>
    </row>
    <row r="1010" customFormat="false" ht="15" hidden="false" customHeight="false" outlineLevel="0" collapsed="false">
      <c r="A1010" s="57" t="s">
        <v>1472</v>
      </c>
      <c r="B1010" s="58" t="n">
        <v>45592</v>
      </c>
      <c r="C1010" s="57" t="n">
        <f aca="false">YEAR(B1010)</f>
        <v>2024</v>
      </c>
      <c r="D1010" s="57" t="n">
        <f aca="false">MONTH(B1010)</f>
        <v>10</v>
      </c>
      <c r="E1010" s="57" t="s">
        <v>372</v>
      </c>
      <c r="F1010" s="57" t="s">
        <v>81</v>
      </c>
      <c r="G1010" s="57" t="s">
        <v>35</v>
      </c>
      <c r="H1010" s="57" t="s">
        <v>36</v>
      </c>
      <c r="I1010" s="59" t="n">
        <v>1</v>
      </c>
      <c r="J1010" s="60" t="n">
        <v>179</v>
      </c>
      <c r="K1010" s="60" t="n">
        <v>92</v>
      </c>
      <c r="L1010" s="61" t="n">
        <f aca="false">I1010*J1010</f>
        <v>179</v>
      </c>
      <c r="M1010" s="61" t="n">
        <f aca="false">L1010-I1010*K1010</f>
        <v>87</v>
      </c>
      <c r="N1010" s="57" t="n">
        <f aca="false">IF(COUNTIFS(E$2:E1010,E1010,C$2:C1010,C1010)=1,1,0)</f>
        <v>0</v>
      </c>
      <c r="O1010" s="57" t="n">
        <f aca="false">IF(COUNTIFS(E$2:E1010,E1010,C$2:C1010,C1010,D$2:D1010,D1010)=1,1,0)</f>
        <v>1</v>
      </c>
      <c r="P1010" s="57" t="n">
        <f aca="false">IF(AND(C1010=Calc!$C$3,OR(Calc!$C$4=0,D1010=Calc!$C$4)),ROW(),0)</f>
        <v>0</v>
      </c>
    </row>
    <row r="1011" customFormat="false" ht="15" hidden="false" customHeight="false" outlineLevel="0" collapsed="false">
      <c r="A1011" s="57" t="s">
        <v>1473</v>
      </c>
      <c r="B1011" s="58" t="n">
        <v>45592</v>
      </c>
      <c r="C1011" s="57" t="n">
        <f aca="false">YEAR(B1011)</f>
        <v>2024</v>
      </c>
      <c r="D1011" s="57" t="n">
        <f aca="false">MONTH(B1011)</f>
        <v>10</v>
      </c>
      <c r="E1011" s="57" t="s">
        <v>256</v>
      </c>
      <c r="F1011" s="57" t="s">
        <v>69</v>
      </c>
      <c r="G1011" s="57" t="s">
        <v>35</v>
      </c>
      <c r="H1011" s="57" t="s">
        <v>36</v>
      </c>
      <c r="I1011" s="59" t="n">
        <v>1</v>
      </c>
      <c r="J1011" s="60" t="n">
        <v>179</v>
      </c>
      <c r="K1011" s="60" t="n">
        <v>92</v>
      </c>
      <c r="L1011" s="61" t="n">
        <f aca="false">I1011*J1011</f>
        <v>179</v>
      </c>
      <c r="M1011" s="61" t="n">
        <f aca="false">L1011-I1011*K1011</f>
        <v>87</v>
      </c>
      <c r="N1011" s="57" t="n">
        <f aca="false">IF(COUNTIFS(E$2:E1011,E1011,C$2:C1011,C1011)=1,1,0)</f>
        <v>0</v>
      </c>
      <c r="O1011" s="57" t="n">
        <f aca="false">IF(COUNTIFS(E$2:E1011,E1011,C$2:C1011,C1011,D$2:D1011,D1011)=1,1,0)</f>
        <v>0</v>
      </c>
      <c r="P1011" s="57" t="n">
        <f aca="false">IF(AND(C1011=Calc!$C$3,OR(Calc!$C$4=0,D1011=Calc!$C$4)),ROW(),0)</f>
        <v>0</v>
      </c>
    </row>
    <row r="1012" customFormat="false" ht="15" hidden="false" customHeight="false" outlineLevel="0" collapsed="false">
      <c r="A1012" s="57" t="s">
        <v>1474</v>
      </c>
      <c r="B1012" s="58" t="n">
        <v>45592</v>
      </c>
      <c r="C1012" s="57" t="n">
        <f aca="false">YEAR(B1012)</f>
        <v>2024</v>
      </c>
      <c r="D1012" s="57" t="n">
        <f aca="false">MONTH(B1012)</f>
        <v>10</v>
      </c>
      <c r="E1012" s="57" t="s">
        <v>1475</v>
      </c>
      <c r="F1012" s="57" t="s">
        <v>78</v>
      </c>
      <c r="G1012" s="57" t="s">
        <v>35</v>
      </c>
      <c r="H1012" s="57" t="s">
        <v>36</v>
      </c>
      <c r="I1012" s="59" t="n">
        <v>1</v>
      </c>
      <c r="J1012" s="60" t="n">
        <v>179</v>
      </c>
      <c r="K1012" s="60" t="n">
        <v>92</v>
      </c>
      <c r="L1012" s="61" t="n">
        <f aca="false">I1012*J1012</f>
        <v>179</v>
      </c>
      <c r="M1012" s="61" t="n">
        <f aca="false">L1012-I1012*K1012</f>
        <v>87</v>
      </c>
      <c r="N1012" s="57" t="n">
        <f aca="false">IF(COUNTIFS(E$2:E1012,E1012,C$2:C1012,C1012)=1,1,0)</f>
        <v>1</v>
      </c>
      <c r="O1012" s="57" t="n">
        <f aca="false">IF(COUNTIFS(E$2:E1012,E1012,C$2:C1012,C1012,D$2:D1012,D1012)=1,1,0)</f>
        <v>1</v>
      </c>
      <c r="P1012" s="57" t="n">
        <f aca="false">IF(AND(C1012=Calc!$C$3,OR(Calc!$C$4=0,D1012=Calc!$C$4)),ROW(),0)</f>
        <v>0</v>
      </c>
    </row>
    <row r="1013" customFormat="false" ht="15" hidden="false" customHeight="false" outlineLevel="0" collapsed="false">
      <c r="A1013" s="57" t="s">
        <v>1476</v>
      </c>
      <c r="B1013" s="58" t="n">
        <v>45593</v>
      </c>
      <c r="C1013" s="57" t="n">
        <f aca="false">YEAR(B1013)</f>
        <v>2024</v>
      </c>
      <c r="D1013" s="57" t="n">
        <f aca="false">MONTH(B1013)</f>
        <v>10</v>
      </c>
      <c r="E1013" s="57" t="s">
        <v>1446</v>
      </c>
      <c r="F1013" s="57" t="s">
        <v>78</v>
      </c>
      <c r="G1013" s="57" t="s">
        <v>40</v>
      </c>
      <c r="H1013" s="57" t="s">
        <v>41</v>
      </c>
      <c r="I1013" s="59" t="n">
        <v>1</v>
      </c>
      <c r="J1013" s="60" t="n">
        <v>46</v>
      </c>
      <c r="K1013" s="60" t="n">
        <v>16</v>
      </c>
      <c r="L1013" s="61" t="n">
        <f aca="false">I1013*J1013</f>
        <v>46</v>
      </c>
      <c r="M1013" s="61" t="n">
        <f aca="false">L1013-I1013*K1013</f>
        <v>30</v>
      </c>
      <c r="N1013" s="57" t="n">
        <f aca="false">IF(COUNTIFS(E$2:E1013,E1013,C$2:C1013,C1013)=1,1,0)</f>
        <v>0</v>
      </c>
      <c r="O1013" s="57" t="n">
        <f aca="false">IF(COUNTIFS(E$2:E1013,E1013,C$2:C1013,C1013,D$2:D1013,D1013)=1,1,0)</f>
        <v>0</v>
      </c>
      <c r="P1013" s="57" t="n">
        <f aca="false">IF(AND(C1013=Calc!$C$3,OR(Calc!$C$4=0,D1013=Calc!$C$4)),ROW(),0)</f>
        <v>0</v>
      </c>
    </row>
    <row r="1014" customFormat="false" ht="15" hidden="false" customHeight="false" outlineLevel="0" collapsed="false">
      <c r="A1014" s="57" t="s">
        <v>1477</v>
      </c>
      <c r="B1014" s="58" t="n">
        <v>45593</v>
      </c>
      <c r="C1014" s="57" t="n">
        <f aca="false">YEAR(B1014)</f>
        <v>2024</v>
      </c>
      <c r="D1014" s="57" t="n">
        <f aca="false">MONTH(B1014)</f>
        <v>10</v>
      </c>
      <c r="E1014" s="57" t="s">
        <v>1478</v>
      </c>
      <c r="F1014" s="57" t="s">
        <v>69</v>
      </c>
      <c r="G1014" s="57" t="s">
        <v>45</v>
      </c>
      <c r="H1014" s="57" t="s">
        <v>46</v>
      </c>
      <c r="I1014" s="59" t="n">
        <v>2</v>
      </c>
      <c r="J1014" s="60" t="n">
        <v>149</v>
      </c>
      <c r="K1014" s="60" t="n">
        <v>71</v>
      </c>
      <c r="L1014" s="61" t="n">
        <f aca="false">I1014*J1014</f>
        <v>298</v>
      </c>
      <c r="M1014" s="61" t="n">
        <f aca="false">L1014-I1014*K1014</f>
        <v>156</v>
      </c>
      <c r="N1014" s="57" t="n">
        <f aca="false">IF(COUNTIFS(E$2:E1014,E1014,C$2:C1014,C1014)=1,1,0)</f>
        <v>1</v>
      </c>
      <c r="O1014" s="57" t="n">
        <f aca="false">IF(COUNTIFS(E$2:E1014,E1014,C$2:C1014,C1014,D$2:D1014,D1014)=1,1,0)</f>
        <v>1</v>
      </c>
      <c r="P1014" s="57" t="n">
        <f aca="false">IF(AND(C1014=Calc!$C$3,OR(Calc!$C$4=0,D1014=Calc!$C$4)),ROW(),0)</f>
        <v>0</v>
      </c>
    </row>
    <row r="1015" customFormat="false" ht="15" hidden="false" customHeight="false" outlineLevel="0" collapsed="false">
      <c r="A1015" s="57" t="s">
        <v>1479</v>
      </c>
      <c r="B1015" s="58" t="n">
        <v>45593</v>
      </c>
      <c r="C1015" s="57" t="n">
        <f aca="false">YEAR(B1015)</f>
        <v>2024</v>
      </c>
      <c r="D1015" s="57" t="n">
        <f aca="false">MONTH(B1015)</f>
        <v>10</v>
      </c>
      <c r="E1015" s="57" t="s">
        <v>183</v>
      </c>
      <c r="F1015" s="57" t="s">
        <v>72</v>
      </c>
      <c r="G1015" s="57" t="s">
        <v>45</v>
      </c>
      <c r="H1015" s="57" t="s">
        <v>46</v>
      </c>
      <c r="I1015" s="59" t="n">
        <v>1</v>
      </c>
      <c r="J1015" s="60" t="n">
        <v>149</v>
      </c>
      <c r="K1015" s="60" t="n">
        <v>71</v>
      </c>
      <c r="L1015" s="61" t="n">
        <f aca="false">I1015*J1015</f>
        <v>149</v>
      </c>
      <c r="M1015" s="61" t="n">
        <f aca="false">L1015-I1015*K1015</f>
        <v>78</v>
      </c>
      <c r="N1015" s="57" t="n">
        <f aca="false">IF(COUNTIFS(E$2:E1015,E1015,C$2:C1015,C1015)=1,1,0)</f>
        <v>0</v>
      </c>
      <c r="O1015" s="57" t="n">
        <f aca="false">IF(COUNTIFS(E$2:E1015,E1015,C$2:C1015,C1015,D$2:D1015,D1015)=1,1,0)</f>
        <v>0</v>
      </c>
      <c r="P1015" s="57" t="n">
        <f aca="false">IF(AND(C1015=Calc!$C$3,OR(Calc!$C$4=0,D1015=Calc!$C$4)),ROW(),0)</f>
        <v>0</v>
      </c>
    </row>
    <row r="1016" customFormat="false" ht="15" hidden="false" customHeight="false" outlineLevel="0" collapsed="false">
      <c r="A1016" s="57" t="s">
        <v>1480</v>
      </c>
      <c r="B1016" s="58" t="n">
        <v>45593</v>
      </c>
      <c r="C1016" s="57" t="n">
        <f aca="false">YEAR(B1016)</f>
        <v>2024</v>
      </c>
      <c r="D1016" s="57" t="n">
        <f aca="false">MONTH(B1016)</f>
        <v>10</v>
      </c>
      <c r="E1016" s="57" t="s">
        <v>181</v>
      </c>
      <c r="F1016" s="57" t="s">
        <v>69</v>
      </c>
      <c r="G1016" s="57" t="s">
        <v>45</v>
      </c>
      <c r="H1016" s="57" t="s">
        <v>44</v>
      </c>
      <c r="I1016" s="59" t="n">
        <v>1</v>
      </c>
      <c r="J1016" s="60" t="n">
        <v>119</v>
      </c>
      <c r="K1016" s="60" t="n">
        <v>63</v>
      </c>
      <c r="L1016" s="61" t="n">
        <f aca="false">I1016*J1016</f>
        <v>119</v>
      </c>
      <c r="M1016" s="61" t="n">
        <f aca="false">L1016-I1016*K1016</f>
        <v>56</v>
      </c>
      <c r="N1016" s="57" t="n">
        <f aca="false">IF(COUNTIFS(E$2:E1016,E1016,C$2:C1016,C1016)=1,1,0)</f>
        <v>0</v>
      </c>
      <c r="O1016" s="57" t="n">
        <f aca="false">IF(COUNTIFS(E$2:E1016,E1016,C$2:C1016,C1016,D$2:D1016,D1016)=1,1,0)</f>
        <v>1</v>
      </c>
      <c r="P1016" s="57" t="n">
        <f aca="false">IF(AND(C1016=Calc!$C$3,OR(Calc!$C$4=0,D1016=Calc!$C$4)),ROW(),0)</f>
        <v>0</v>
      </c>
    </row>
    <row r="1017" customFormat="false" ht="15" hidden="false" customHeight="false" outlineLevel="0" collapsed="false">
      <c r="A1017" s="57" t="s">
        <v>1481</v>
      </c>
      <c r="B1017" s="58" t="n">
        <v>45594</v>
      </c>
      <c r="C1017" s="57" t="n">
        <f aca="false">YEAR(B1017)</f>
        <v>2024</v>
      </c>
      <c r="D1017" s="57" t="n">
        <f aca="false">MONTH(B1017)</f>
        <v>10</v>
      </c>
      <c r="E1017" s="57" t="s">
        <v>601</v>
      </c>
      <c r="F1017" s="57" t="s">
        <v>78</v>
      </c>
      <c r="G1017" s="57" t="s">
        <v>35</v>
      </c>
      <c r="H1017" s="57" t="s">
        <v>34</v>
      </c>
      <c r="I1017" s="59" t="n">
        <v>1</v>
      </c>
      <c r="J1017" s="60" t="n">
        <v>89</v>
      </c>
      <c r="K1017" s="60" t="n">
        <v>41</v>
      </c>
      <c r="L1017" s="61" t="n">
        <f aca="false">I1017*J1017</f>
        <v>89</v>
      </c>
      <c r="M1017" s="61" t="n">
        <f aca="false">L1017-I1017*K1017</f>
        <v>48</v>
      </c>
      <c r="N1017" s="57" t="n">
        <f aca="false">IF(COUNTIFS(E$2:E1017,E1017,C$2:C1017,C1017)=1,1,0)</f>
        <v>0</v>
      </c>
      <c r="O1017" s="57" t="n">
        <f aca="false">IF(COUNTIFS(E$2:E1017,E1017,C$2:C1017,C1017,D$2:D1017,D1017)=1,1,0)</f>
        <v>0</v>
      </c>
      <c r="P1017" s="57" t="n">
        <f aca="false">IF(AND(C1017=Calc!$C$3,OR(Calc!$C$4=0,D1017=Calc!$C$4)),ROW(),0)</f>
        <v>0</v>
      </c>
    </row>
    <row r="1018" customFormat="false" ht="15" hidden="false" customHeight="false" outlineLevel="0" collapsed="false">
      <c r="A1018" s="57" t="s">
        <v>1482</v>
      </c>
      <c r="B1018" s="58" t="n">
        <v>45594</v>
      </c>
      <c r="C1018" s="57" t="n">
        <f aca="false">YEAR(B1018)</f>
        <v>2024</v>
      </c>
      <c r="D1018" s="57" t="n">
        <f aca="false">MONTH(B1018)</f>
        <v>10</v>
      </c>
      <c r="E1018" s="57" t="s">
        <v>309</v>
      </c>
      <c r="F1018" s="57" t="s">
        <v>81</v>
      </c>
      <c r="G1018" s="57" t="s">
        <v>35</v>
      </c>
      <c r="H1018" s="57" t="s">
        <v>37</v>
      </c>
      <c r="I1018" s="59" t="n">
        <v>1</v>
      </c>
      <c r="J1018" s="60" t="n">
        <v>59</v>
      </c>
      <c r="K1018" s="60" t="n">
        <v>27</v>
      </c>
      <c r="L1018" s="61" t="n">
        <f aca="false">I1018*J1018</f>
        <v>59</v>
      </c>
      <c r="M1018" s="61" t="n">
        <f aca="false">L1018-I1018*K1018</f>
        <v>32</v>
      </c>
      <c r="N1018" s="57" t="n">
        <f aca="false">IF(COUNTIFS(E$2:E1018,E1018,C$2:C1018,C1018)=1,1,0)</f>
        <v>0</v>
      </c>
      <c r="O1018" s="57" t="n">
        <f aca="false">IF(COUNTIFS(E$2:E1018,E1018,C$2:C1018,C1018,D$2:D1018,D1018)=1,1,0)</f>
        <v>0</v>
      </c>
      <c r="P1018" s="57" t="n">
        <f aca="false">IF(AND(C1018=Calc!$C$3,OR(Calc!$C$4=0,D1018=Calc!$C$4)),ROW(),0)</f>
        <v>0</v>
      </c>
    </row>
    <row r="1019" customFormat="false" ht="15" hidden="false" customHeight="false" outlineLevel="0" collapsed="false">
      <c r="A1019" s="57" t="s">
        <v>1483</v>
      </c>
      <c r="B1019" s="58" t="n">
        <v>45594</v>
      </c>
      <c r="C1019" s="57" t="n">
        <f aca="false">YEAR(B1019)</f>
        <v>2024</v>
      </c>
      <c r="D1019" s="57" t="n">
        <f aca="false">MONTH(B1019)</f>
        <v>10</v>
      </c>
      <c r="E1019" s="57" t="s">
        <v>847</v>
      </c>
      <c r="F1019" s="57" t="s">
        <v>75</v>
      </c>
      <c r="G1019" s="57" t="s">
        <v>35</v>
      </c>
      <c r="H1019" s="57" t="s">
        <v>36</v>
      </c>
      <c r="I1019" s="59" t="n">
        <v>1</v>
      </c>
      <c r="J1019" s="60" t="n">
        <v>179</v>
      </c>
      <c r="K1019" s="60" t="n">
        <v>92</v>
      </c>
      <c r="L1019" s="61" t="n">
        <f aca="false">I1019*J1019</f>
        <v>179</v>
      </c>
      <c r="M1019" s="61" t="n">
        <f aca="false">L1019-I1019*K1019</f>
        <v>87</v>
      </c>
      <c r="N1019" s="57" t="n">
        <f aca="false">IF(COUNTIFS(E$2:E1019,E1019,C$2:C1019,C1019)=1,1,0)</f>
        <v>0</v>
      </c>
      <c r="O1019" s="57" t="n">
        <f aca="false">IF(COUNTIFS(E$2:E1019,E1019,C$2:C1019,C1019,D$2:D1019,D1019)=1,1,0)</f>
        <v>1</v>
      </c>
      <c r="P1019" s="57" t="n">
        <f aca="false">IF(AND(C1019=Calc!$C$3,OR(Calc!$C$4=0,D1019=Calc!$C$4)),ROW(),0)</f>
        <v>0</v>
      </c>
    </row>
    <row r="1020" customFormat="false" ht="15" hidden="false" customHeight="false" outlineLevel="0" collapsed="false">
      <c r="A1020" s="57" t="s">
        <v>1484</v>
      </c>
      <c r="B1020" s="58" t="n">
        <v>45595</v>
      </c>
      <c r="C1020" s="57" t="n">
        <f aca="false">YEAR(B1020)</f>
        <v>2024</v>
      </c>
      <c r="D1020" s="57" t="n">
        <f aca="false">MONTH(B1020)</f>
        <v>10</v>
      </c>
      <c r="E1020" s="57" t="s">
        <v>1114</v>
      </c>
      <c r="F1020" s="57" t="s">
        <v>75</v>
      </c>
      <c r="G1020" s="57" t="s">
        <v>45</v>
      </c>
      <c r="H1020" s="57" t="s">
        <v>47</v>
      </c>
      <c r="I1020" s="59" t="n">
        <v>1</v>
      </c>
      <c r="J1020" s="60" t="n">
        <v>34</v>
      </c>
      <c r="K1020" s="60" t="n">
        <v>12</v>
      </c>
      <c r="L1020" s="61" t="n">
        <f aca="false">I1020*J1020</f>
        <v>34</v>
      </c>
      <c r="M1020" s="61" t="n">
        <f aca="false">L1020-I1020*K1020</f>
        <v>22</v>
      </c>
      <c r="N1020" s="57" t="n">
        <f aca="false">IF(COUNTIFS(E$2:E1020,E1020,C$2:C1020,C1020)=1,1,0)</f>
        <v>0</v>
      </c>
      <c r="O1020" s="57" t="n">
        <f aca="false">IF(COUNTIFS(E$2:E1020,E1020,C$2:C1020,C1020,D$2:D1020,D1020)=1,1,0)</f>
        <v>1</v>
      </c>
      <c r="P1020" s="57" t="n">
        <f aca="false">IF(AND(C1020=Calc!$C$3,OR(Calc!$C$4=0,D1020=Calc!$C$4)),ROW(),0)</f>
        <v>0</v>
      </c>
    </row>
    <row r="1021" customFormat="false" ht="15" hidden="false" customHeight="false" outlineLevel="0" collapsed="false">
      <c r="A1021" s="57" t="s">
        <v>1485</v>
      </c>
      <c r="B1021" s="58" t="n">
        <v>45595</v>
      </c>
      <c r="C1021" s="57" t="n">
        <f aca="false">YEAR(B1021)</f>
        <v>2024</v>
      </c>
      <c r="D1021" s="57" t="n">
        <f aca="false">MONTH(B1021)</f>
        <v>10</v>
      </c>
      <c r="E1021" s="57" t="s">
        <v>148</v>
      </c>
      <c r="F1021" s="57" t="s">
        <v>78</v>
      </c>
      <c r="G1021" s="57" t="s">
        <v>35</v>
      </c>
      <c r="H1021" s="57" t="s">
        <v>37</v>
      </c>
      <c r="I1021" s="59" t="n">
        <v>2</v>
      </c>
      <c r="J1021" s="60" t="n">
        <v>59</v>
      </c>
      <c r="K1021" s="60" t="n">
        <v>27</v>
      </c>
      <c r="L1021" s="61" t="n">
        <f aca="false">I1021*J1021</f>
        <v>118</v>
      </c>
      <c r="M1021" s="61" t="n">
        <f aca="false">L1021-I1021*K1021</f>
        <v>64</v>
      </c>
      <c r="N1021" s="57" t="n">
        <f aca="false">IF(COUNTIFS(E$2:E1021,E1021,C$2:C1021,C1021)=1,1,0)</f>
        <v>0</v>
      </c>
      <c r="O1021" s="57" t="n">
        <f aca="false">IF(COUNTIFS(E$2:E1021,E1021,C$2:C1021,C1021,D$2:D1021,D1021)=1,1,0)</f>
        <v>1</v>
      </c>
      <c r="P1021" s="57" t="n">
        <f aca="false">IF(AND(C1021=Calc!$C$3,OR(Calc!$C$4=0,D1021=Calc!$C$4)),ROW(),0)</f>
        <v>0</v>
      </c>
    </row>
    <row r="1022" customFormat="false" ht="15" hidden="false" customHeight="false" outlineLevel="0" collapsed="false">
      <c r="A1022" s="57" t="s">
        <v>1486</v>
      </c>
      <c r="B1022" s="58" t="n">
        <v>45595</v>
      </c>
      <c r="C1022" s="57" t="n">
        <f aca="false">YEAR(B1022)</f>
        <v>2024</v>
      </c>
      <c r="D1022" s="57" t="n">
        <f aca="false">MONTH(B1022)</f>
        <v>10</v>
      </c>
      <c r="E1022" s="57" t="s">
        <v>983</v>
      </c>
      <c r="F1022" s="57" t="s">
        <v>72</v>
      </c>
      <c r="G1022" s="57" t="s">
        <v>35</v>
      </c>
      <c r="H1022" s="57" t="s">
        <v>37</v>
      </c>
      <c r="I1022" s="59" t="n">
        <v>2</v>
      </c>
      <c r="J1022" s="60" t="n">
        <v>59</v>
      </c>
      <c r="K1022" s="60" t="n">
        <v>27</v>
      </c>
      <c r="L1022" s="61" t="n">
        <f aca="false">I1022*J1022</f>
        <v>118</v>
      </c>
      <c r="M1022" s="61" t="n">
        <f aca="false">L1022-I1022*K1022</f>
        <v>64</v>
      </c>
      <c r="N1022" s="57" t="n">
        <f aca="false">IF(COUNTIFS(E$2:E1022,E1022,C$2:C1022,C1022)=1,1,0)</f>
        <v>0</v>
      </c>
      <c r="O1022" s="57" t="n">
        <f aca="false">IF(COUNTIFS(E$2:E1022,E1022,C$2:C1022,C1022,D$2:D1022,D1022)=1,1,0)</f>
        <v>1</v>
      </c>
      <c r="P1022" s="57" t="n">
        <f aca="false">IF(AND(C1022=Calc!$C$3,OR(Calc!$C$4=0,D1022=Calc!$C$4)),ROW(),0)</f>
        <v>0</v>
      </c>
    </row>
    <row r="1023" customFormat="false" ht="15" hidden="false" customHeight="false" outlineLevel="0" collapsed="false">
      <c r="A1023" s="57" t="s">
        <v>1487</v>
      </c>
      <c r="B1023" s="58" t="n">
        <v>45596</v>
      </c>
      <c r="C1023" s="57" t="n">
        <f aca="false">YEAR(B1023)</f>
        <v>2024</v>
      </c>
      <c r="D1023" s="57" t="n">
        <f aca="false">MONTH(B1023)</f>
        <v>10</v>
      </c>
      <c r="E1023" s="57" t="s">
        <v>1488</v>
      </c>
      <c r="F1023" s="57" t="s">
        <v>78</v>
      </c>
      <c r="G1023" s="57" t="s">
        <v>35</v>
      </c>
      <c r="H1023" s="57" t="s">
        <v>34</v>
      </c>
      <c r="I1023" s="59" t="n">
        <v>1</v>
      </c>
      <c r="J1023" s="60" t="n">
        <v>89</v>
      </c>
      <c r="K1023" s="60" t="n">
        <v>41</v>
      </c>
      <c r="L1023" s="61" t="n">
        <f aca="false">I1023*J1023</f>
        <v>89</v>
      </c>
      <c r="M1023" s="61" t="n">
        <f aca="false">L1023-I1023*K1023</f>
        <v>48</v>
      </c>
      <c r="N1023" s="57" t="n">
        <f aca="false">IF(COUNTIFS(E$2:E1023,E1023,C$2:C1023,C1023)=1,1,0)</f>
        <v>1</v>
      </c>
      <c r="O1023" s="57" t="n">
        <f aca="false">IF(COUNTIFS(E$2:E1023,E1023,C$2:C1023,C1023,D$2:D1023,D1023)=1,1,0)</f>
        <v>1</v>
      </c>
      <c r="P1023" s="57" t="n">
        <f aca="false">IF(AND(C1023=Calc!$C$3,OR(Calc!$C$4=0,D1023=Calc!$C$4)),ROW(),0)</f>
        <v>0</v>
      </c>
    </row>
    <row r="1024" customFormat="false" ht="15" hidden="false" customHeight="false" outlineLevel="0" collapsed="false">
      <c r="A1024" s="57" t="s">
        <v>1489</v>
      </c>
      <c r="B1024" s="58" t="n">
        <v>45596</v>
      </c>
      <c r="C1024" s="57" t="n">
        <f aca="false">YEAR(B1024)</f>
        <v>2024</v>
      </c>
      <c r="D1024" s="57" t="n">
        <f aca="false">MONTH(B1024)</f>
        <v>10</v>
      </c>
      <c r="E1024" s="57" t="s">
        <v>856</v>
      </c>
      <c r="F1024" s="57" t="s">
        <v>75</v>
      </c>
      <c r="G1024" s="57" t="s">
        <v>45</v>
      </c>
      <c r="H1024" s="57" t="s">
        <v>46</v>
      </c>
      <c r="I1024" s="59" t="n">
        <v>1</v>
      </c>
      <c r="J1024" s="60" t="n">
        <v>149</v>
      </c>
      <c r="K1024" s="60" t="n">
        <v>71</v>
      </c>
      <c r="L1024" s="61" t="n">
        <f aca="false">I1024*J1024</f>
        <v>149</v>
      </c>
      <c r="M1024" s="61" t="n">
        <f aca="false">L1024-I1024*K1024</f>
        <v>78</v>
      </c>
      <c r="N1024" s="57" t="n">
        <f aca="false">IF(COUNTIFS(E$2:E1024,E1024,C$2:C1024,C1024)=1,1,0)</f>
        <v>0</v>
      </c>
      <c r="O1024" s="57" t="n">
        <f aca="false">IF(COUNTIFS(E$2:E1024,E1024,C$2:C1024,C1024,D$2:D1024,D1024)=1,1,0)</f>
        <v>1</v>
      </c>
      <c r="P1024" s="57" t="n">
        <f aca="false">IF(AND(C1024=Calc!$C$3,OR(Calc!$C$4=0,D1024=Calc!$C$4)),ROW(),0)</f>
        <v>0</v>
      </c>
    </row>
    <row r="1025" customFormat="false" ht="15" hidden="false" customHeight="false" outlineLevel="0" collapsed="false">
      <c r="A1025" s="57" t="s">
        <v>1490</v>
      </c>
      <c r="B1025" s="58" t="n">
        <v>45596</v>
      </c>
      <c r="C1025" s="57" t="n">
        <f aca="false">YEAR(B1025)</f>
        <v>2024</v>
      </c>
      <c r="D1025" s="57" t="n">
        <f aca="false">MONTH(B1025)</f>
        <v>10</v>
      </c>
      <c r="E1025" s="57" t="s">
        <v>1491</v>
      </c>
      <c r="F1025" s="57" t="s">
        <v>69</v>
      </c>
      <c r="G1025" s="57" t="s">
        <v>40</v>
      </c>
      <c r="H1025" s="57" t="s">
        <v>42</v>
      </c>
      <c r="I1025" s="59" t="n">
        <v>1</v>
      </c>
      <c r="J1025" s="60" t="n">
        <v>79</v>
      </c>
      <c r="K1025" s="60" t="n">
        <v>31</v>
      </c>
      <c r="L1025" s="61" t="n">
        <f aca="false">I1025*J1025</f>
        <v>79</v>
      </c>
      <c r="M1025" s="61" t="n">
        <f aca="false">L1025-I1025*K1025</f>
        <v>48</v>
      </c>
      <c r="N1025" s="57" t="n">
        <f aca="false">IF(COUNTIFS(E$2:E1025,E1025,C$2:C1025,C1025)=1,1,0)</f>
        <v>1</v>
      </c>
      <c r="O1025" s="57" t="n">
        <f aca="false">IF(COUNTIFS(E$2:E1025,E1025,C$2:C1025,C1025,D$2:D1025,D1025)=1,1,0)</f>
        <v>1</v>
      </c>
      <c r="P1025" s="57" t="n">
        <f aca="false">IF(AND(C1025=Calc!$C$3,OR(Calc!$C$4=0,D1025=Calc!$C$4)),ROW(),0)</f>
        <v>0</v>
      </c>
    </row>
    <row r="1026" customFormat="false" ht="15" hidden="false" customHeight="false" outlineLevel="0" collapsed="false">
      <c r="A1026" s="57" t="s">
        <v>1492</v>
      </c>
      <c r="B1026" s="58" t="n">
        <v>45596</v>
      </c>
      <c r="C1026" s="57" t="n">
        <f aca="false">YEAR(B1026)</f>
        <v>2024</v>
      </c>
      <c r="D1026" s="57" t="n">
        <f aca="false">MONTH(B1026)</f>
        <v>10</v>
      </c>
      <c r="E1026" s="57" t="s">
        <v>1493</v>
      </c>
      <c r="F1026" s="57" t="s">
        <v>69</v>
      </c>
      <c r="G1026" s="57" t="s">
        <v>45</v>
      </c>
      <c r="H1026" s="57" t="s">
        <v>44</v>
      </c>
      <c r="I1026" s="59" t="n">
        <v>1</v>
      </c>
      <c r="J1026" s="60" t="n">
        <v>119</v>
      </c>
      <c r="K1026" s="60" t="n">
        <v>63</v>
      </c>
      <c r="L1026" s="61" t="n">
        <f aca="false">I1026*J1026</f>
        <v>119</v>
      </c>
      <c r="M1026" s="61" t="n">
        <f aca="false">L1026-I1026*K1026</f>
        <v>56</v>
      </c>
      <c r="N1026" s="57" t="n">
        <f aca="false">IF(COUNTIFS(E$2:E1026,E1026,C$2:C1026,C1026)=1,1,0)</f>
        <v>1</v>
      </c>
      <c r="O1026" s="57" t="n">
        <f aca="false">IF(COUNTIFS(E$2:E1026,E1026,C$2:C1026,C1026,D$2:D1026,D1026)=1,1,0)</f>
        <v>1</v>
      </c>
      <c r="P1026" s="57" t="n">
        <f aca="false">IF(AND(C1026=Calc!$C$3,OR(Calc!$C$4=0,D1026=Calc!$C$4)),ROW(),0)</f>
        <v>0</v>
      </c>
    </row>
    <row r="1027" customFormat="false" ht="15" hidden="false" customHeight="false" outlineLevel="0" collapsed="false">
      <c r="A1027" s="57" t="s">
        <v>1494</v>
      </c>
      <c r="B1027" s="58" t="n">
        <v>45597</v>
      </c>
      <c r="C1027" s="57" t="n">
        <f aca="false">YEAR(B1027)</f>
        <v>2024</v>
      </c>
      <c r="D1027" s="57" t="n">
        <f aca="false">MONTH(B1027)</f>
        <v>11</v>
      </c>
      <c r="E1027" s="57" t="s">
        <v>1495</v>
      </c>
      <c r="F1027" s="57" t="s">
        <v>72</v>
      </c>
      <c r="G1027" s="57" t="s">
        <v>35</v>
      </c>
      <c r="H1027" s="57" t="s">
        <v>37</v>
      </c>
      <c r="I1027" s="59" t="n">
        <v>1</v>
      </c>
      <c r="J1027" s="60" t="n">
        <v>59</v>
      </c>
      <c r="K1027" s="60" t="n">
        <v>27</v>
      </c>
      <c r="L1027" s="61" t="n">
        <f aca="false">I1027*J1027</f>
        <v>59</v>
      </c>
      <c r="M1027" s="61" t="n">
        <f aca="false">L1027-I1027*K1027</f>
        <v>32</v>
      </c>
      <c r="N1027" s="57" t="n">
        <f aca="false">IF(COUNTIFS(E$2:E1027,E1027,C$2:C1027,C1027)=1,1,0)</f>
        <v>1</v>
      </c>
      <c r="O1027" s="57" t="n">
        <f aca="false">IF(COUNTIFS(E$2:E1027,E1027,C$2:C1027,C1027,D$2:D1027,D1027)=1,1,0)</f>
        <v>1</v>
      </c>
      <c r="P1027" s="57" t="n">
        <f aca="false">IF(AND(C1027=Calc!$C$3,OR(Calc!$C$4=0,D1027=Calc!$C$4)),ROW(),0)</f>
        <v>0</v>
      </c>
    </row>
    <row r="1028" customFormat="false" ht="15" hidden="false" customHeight="false" outlineLevel="0" collapsed="false">
      <c r="A1028" s="57" t="s">
        <v>1496</v>
      </c>
      <c r="B1028" s="58" t="n">
        <v>45597</v>
      </c>
      <c r="C1028" s="57" t="n">
        <f aca="false">YEAR(B1028)</f>
        <v>2024</v>
      </c>
      <c r="D1028" s="57" t="n">
        <f aca="false">MONTH(B1028)</f>
        <v>11</v>
      </c>
      <c r="E1028" s="57" t="s">
        <v>657</v>
      </c>
      <c r="F1028" s="57" t="s">
        <v>81</v>
      </c>
      <c r="G1028" s="57" t="s">
        <v>45</v>
      </c>
      <c r="H1028" s="57" t="s">
        <v>44</v>
      </c>
      <c r="I1028" s="59" t="n">
        <v>1</v>
      </c>
      <c r="J1028" s="60" t="n">
        <v>119</v>
      </c>
      <c r="K1028" s="60" t="n">
        <v>63</v>
      </c>
      <c r="L1028" s="61" t="n">
        <f aca="false">I1028*J1028</f>
        <v>119</v>
      </c>
      <c r="M1028" s="61" t="n">
        <f aca="false">L1028-I1028*K1028</f>
        <v>56</v>
      </c>
      <c r="N1028" s="57" t="n">
        <f aca="false">IF(COUNTIFS(E$2:E1028,E1028,C$2:C1028,C1028)=1,1,0)</f>
        <v>0</v>
      </c>
      <c r="O1028" s="57" t="n">
        <f aca="false">IF(COUNTIFS(E$2:E1028,E1028,C$2:C1028,C1028,D$2:D1028,D1028)=1,1,0)</f>
        <v>1</v>
      </c>
      <c r="P1028" s="57" t="n">
        <f aca="false">IF(AND(C1028=Calc!$C$3,OR(Calc!$C$4=0,D1028=Calc!$C$4)),ROW(),0)</f>
        <v>0</v>
      </c>
    </row>
    <row r="1029" customFormat="false" ht="15" hidden="false" customHeight="false" outlineLevel="0" collapsed="false">
      <c r="A1029" s="57" t="s">
        <v>1497</v>
      </c>
      <c r="B1029" s="58" t="n">
        <v>45597</v>
      </c>
      <c r="C1029" s="57" t="n">
        <f aca="false">YEAR(B1029)</f>
        <v>2024</v>
      </c>
      <c r="D1029" s="57" t="n">
        <f aca="false">MONTH(B1029)</f>
        <v>11</v>
      </c>
      <c r="E1029" s="57" t="s">
        <v>1498</v>
      </c>
      <c r="F1029" s="57" t="s">
        <v>81</v>
      </c>
      <c r="G1029" s="57" t="s">
        <v>40</v>
      </c>
      <c r="H1029" s="57" t="s">
        <v>41</v>
      </c>
      <c r="I1029" s="59" t="n">
        <v>1</v>
      </c>
      <c r="J1029" s="60" t="n">
        <v>46</v>
      </c>
      <c r="K1029" s="60" t="n">
        <v>16</v>
      </c>
      <c r="L1029" s="61" t="n">
        <f aca="false">I1029*J1029</f>
        <v>46</v>
      </c>
      <c r="M1029" s="61" t="n">
        <f aca="false">L1029-I1029*K1029</f>
        <v>30</v>
      </c>
      <c r="N1029" s="57" t="n">
        <f aca="false">IF(COUNTIFS(E$2:E1029,E1029,C$2:C1029,C1029)=1,1,0)</f>
        <v>1</v>
      </c>
      <c r="O1029" s="57" t="n">
        <f aca="false">IF(COUNTIFS(E$2:E1029,E1029,C$2:C1029,C1029,D$2:D1029,D1029)=1,1,0)</f>
        <v>1</v>
      </c>
      <c r="P1029" s="57" t="n">
        <f aca="false">IF(AND(C1029=Calc!$C$3,OR(Calc!$C$4=0,D1029=Calc!$C$4)),ROW(),0)</f>
        <v>0</v>
      </c>
    </row>
    <row r="1030" customFormat="false" ht="15" hidden="false" customHeight="false" outlineLevel="0" collapsed="false">
      <c r="A1030" s="57" t="s">
        <v>1499</v>
      </c>
      <c r="B1030" s="58" t="n">
        <v>45597</v>
      </c>
      <c r="C1030" s="57" t="n">
        <f aca="false">YEAR(B1030)</f>
        <v>2024</v>
      </c>
      <c r="D1030" s="57" t="n">
        <f aca="false">MONTH(B1030)</f>
        <v>11</v>
      </c>
      <c r="E1030" s="57" t="s">
        <v>80</v>
      </c>
      <c r="F1030" s="57" t="s">
        <v>81</v>
      </c>
      <c r="G1030" s="57" t="s">
        <v>35</v>
      </c>
      <c r="H1030" s="57" t="s">
        <v>38</v>
      </c>
      <c r="I1030" s="59" t="n">
        <v>1</v>
      </c>
      <c r="J1030" s="60" t="n">
        <v>49</v>
      </c>
      <c r="K1030" s="60" t="n">
        <v>22</v>
      </c>
      <c r="L1030" s="61" t="n">
        <f aca="false">I1030*J1030</f>
        <v>49</v>
      </c>
      <c r="M1030" s="61" t="n">
        <f aca="false">L1030-I1030*K1030</f>
        <v>27</v>
      </c>
      <c r="N1030" s="57" t="n">
        <f aca="false">IF(COUNTIFS(E$2:E1030,E1030,C$2:C1030,C1030)=1,1,0)</f>
        <v>0</v>
      </c>
      <c r="O1030" s="57" t="n">
        <f aca="false">IF(COUNTIFS(E$2:E1030,E1030,C$2:C1030,C1030,D$2:D1030,D1030)=1,1,0)</f>
        <v>1</v>
      </c>
      <c r="P1030" s="57" t="n">
        <f aca="false">IF(AND(C1030=Calc!$C$3,OR(Calc!$C$4=0,D1030=Calc!$C$4)),ROW(),0)</f>
        <v>0</v>
      </c>
    </row>
    <row r="1031" customFormat="false" ht="15" hidden="false" customHeight="false" outlineLevel="0" collapsed="false">
      <c r="A1031" s="57" t="s">
        <v>1500</v>
      </c>
      <c r="B1031" s="58" t="n">
        <v>45597</v>
      </c>
      <c r="C1031" s="57" t="n">
        <f aca="false">YEAR(B1031)</f>
        <v>2024</v>
      </c>
      <c r="D1031" s="57" t="n">
        <f aca="false">MONTH(B1031)</f>
        <v>11</v>
      </c>
      <c r="E1031" s="57" t="s">
        <v>687</v>
      </c>
      <c r="F1031" s="57" t="s">
        <v>75</v>
      </c>
      <c r="G1031" s="57" t="s">
        <v>35</v>
      </c>
      <c r="H1031" s="57" t="s">
        <v>37</v>
      </c>
      <c r="I1031" s="59" t="n">
        <v>1</v>
      </c>
      <c r="J1031" s="60" t="n">
        <v>59</v>
      </c>
      <c r="K1031" s="60" t="n">
        <v>27</v>
      </c>
      <c r="L1031" s="61" t="n">
        <f aca="false">I1031*J1031</f>
        <v>59</v>
      </c>
      <c r="M1031" s="61" t="n">
        <f aca="false">L1031-I1031*K1031</f>
        <v>32</v>
      </c>
      <c r="N1031" s="57" t="n">
        <f aca="false">IF(COUNTIFS(E$2:E1031,E1031,C$2:C1031,C1031)=1,1,0)</f>
        <v>0</v>
      </c>
      <c r="O1031" s="57" t="n">
        <f aca="false">IF(COUNTIFS(E$2:E1031,E1031,C$2:C1031,C1031,D$2:D1031,D1031)=1,1,0)</f>
        <v>1</v>
      </c>
      <c r="P1031" s="57" t="n">
        <f aca="false">IF(AND(C1031=Calc!$C$3,OR(Calc!$C$4=0,D1031=Calc!$C$4)),ROW(),0)</f>
        <v>0</v>
      </c>
    </row>
    <row r="1032" customFormat="false" ht="15" hidden="false" customHeight="false" outlineLevel="0" collapsed="false">
      <c r="A1032" s="57" t="s">
        <v>1501</v>
      </c>
      <c r="B1032" s="58" t="n">
        <v>45598</v>
      </c>
      <c r="C1032" s="57" t="n">
        <f aca="false">YEAR(B1032)</f>
        <v>2024</v>
      </c>
      <c r="D1032" s="57" t="n">
        <f aca="false">MONTH(B1032)</f>
        <v>11</v>
      </c>
      <c r="E1032" s="57" t="s">
        <v>1475</v>
      </c>
      <c r="F1032" s="57" t="s">
        <v>78</v>
      </c>
      <c r="G1032" s="57" t="s">
        <v>35</v>
      </c>
      <c r="H1032" s="57" t="s">
        <v>36</v>
      </c>
      <c r="I1032" s="59" t="n">
        <v>1</v>
      </c>
      <c r="J1032" s="60" t="n">
        <v>179</v>
      </c>
      <c r="K1032" s="60" t="n">
        <v>92</v>
      </c>
      <c r="L1032" s="61" t="n">
        <f aca="false">I1032*J1032</f>
        <v>179</v>
      </c>
      <c r="M1032" s="61" t="n">
        <f aca="false">L1032-I1032*K1032</f>
        <v>87</v>
      </c>
      <c r="N1032" s="57" t="n">
        <f aca="false">IF(COUNTIFS(E$2:E1032,E1032,C$2:C1032,C1032)=1,1,0)</f>
        <v>0</v>
      </c>
      <c r="O1032" s="57" t="n">
        <f aca="false">IF(COUNTIFS(E$2:E1032,E1032,C$2:C1032,C1032,D$2:D1032,D1032)=1,1,0)</f>
        <v>1</v>
      </c>
      <c r="P1032" s="57" t="n">
        <f aca="false">IF(AND(C1032=Calc!$C$3,OR(Calc!$C$4=0,D1032=Calc!$C$4)),ROW(),0)</f>
        <v>0</v>
      </c>
    </row>
    <row r="1033" customFormat="false" ht="15" hidden="false" customHeight="false" outlineLevel="0" collapsed="false">
      <c r="A1033" s="57" t="s">
        <v>1502</v>
      </c>
      <c r="B1033" s="58" t="n">
        <v>45598</v>
      </c>
      <c r="C1033" s="57" t="n">
        <f aca="false">YEAR(B1033)</f>
        <v>2024</v>
      </c>
      <c r="D1033" s="57" t="n">
        <f aca="false">MONTH(B1033)</f>
        <v>11</v>
      </c>
      <c r="E1033" s="57" t="s">
        <v>384</v>
      </c>
      <c r="F1033" s="57" t="s">
        <v>72</v>
      </c>
      <c r="G1033" s="57" t="s">
        <v>45</v>
      </c>
      <c r="H1033" s="57" t="s">
        <v>46</v>
      </c>
      <c r="I1033" s="59" t="n">
        <v>3</v>
      </c>
      <c r="J1033" s="60" t="n">
        <v>149</v>
      </c>
      <c r="K1033" s="60" t="n">
        <v>71</v>
      </c>
      <c r="L1033" s="61" t="n">
        <f aca="false">I1033*J1033</f>
        <v>447</v>
      </c>
      <c r="M1033" s="61" t="n">
        <f aca="false">L1033-I1033*K1033</f>
        <v>234</v>
      </c>
      <c r="N1033" s="57" t="n">
        <f aca="false">IF(COUNTIFS(E$2:E1033,E1033,C$2:C1033,C1033)=1,1,0)</f>
        <v>0</v>
      </c>
      <c r="O1033" s="57" t="n">
        <f aca="false">IF(COUNTIFS(E$2:E1033,E1033,C$2:C1033,C1033,D$2:D1033,D1033)=1,1,0)</f>
        <v>1</v>
      </c>
      <c r="P1033" s="57" t="n">
        <f aca="false">IF(AND(C1033=Calc!$C$3,OR(Calc!$C$4=0,D1033=Calc!$C$4)),ROW(),0)</f>
        <v>0</v>
      </c>
    </row>
    <row r="1034" customFormat="false" ht="15" hidden="false" customHeight="false" outlineLevel="0" collapsed="false">
      <c r="A1034" s="57" t="s">
        <v>1503</v>
      </c>
      <c r="B1034" s="58" t="n">
        <v>45598</v>
      </c>
      <c r="C1034" s="57" t="n">
        <f aca="false">YEAR(B1034)</f>
        <v>2024</v>
      </c>
      <c r="D1034" s="57" t="n">
        <f aca="false">MONTH(B1034)</f>
        <v>11</v>
      </c>
      <c r="E1034" s="57" t="s">
        <v>589</v>
      </c>
      <c r="F1034" s="57" t="s">
        <v>75</v>
      </c>
      <c r="G1034" s="57" t="s">
        <v>35</v>
      </c>
      <c r="H1034" s="57" t="s">
        <v>36</v>
      </c>
      <c r="I1034" s="59" t="n">
        <v>1</v>
      </c>
      <c r="J1034" s="60" t="n">
        <v>179</v>
      </c>
      <c r="K1034" s="60" t="n">
        <v>92</v>
      </c>
      <c r="L1034" s="61" t="n">
        <f aca="false">I1034*J1034</f>
        <v>179</v>
      </c>
      <c r="M1034" s="61" t="n">
        <f aca="false">L1034-I1034*K1034</f>
        <v>87</v>
      </c>
      <c r="N1034" s="57" t="n">
        <f aca="false">IF(COUNTIFS(E$2:E1034,E1034,C$2:C1034,C1034)=1,1,0)</f>
        <v>0</v>
      </c>
      <c r="O1034" s="57" t="n">
        <f aca="false">IF(COUNTIFS(E$2:E1034,E1034,C$2:C1034,C1034,D$2:D1034,D1034)=1,1,0)</f>
        <v>1</v>
      </c>
      <c r="P1034" s="57" t="n">
        <f aca="false">IF(AND(C1034=Calc!$C$3,OR(Calc!$C$4=0,D1034=Calc!$C$4)),ROW(),0)</f>
        <v>0</v>
      </c>
    </row>
    <row r="1035" customFormat="false" ht="15" hidden="false" customHeight="false" outlineLevel="0" collapsed="false">
      <c r="A1035" s="57" t="s">
        <v>1504</v>
      </c>
      <c r="B1035" s="58" t="n">
        <v>45598</v>
      </c>
      <c r="C1035" s="57" t="n">
        <f aca="false">YEAR(B1035)</f>
        <v>2024</v>
      </c>
      <c r="D1035" s="57" t="n">
        <f aca="false">MONTH(B1035)</f>
        <v>11</v>
      </c>
      <c r="E1035" s="57" t="s">
        <v>395</v>
      </c>
      <c r="F1035" s="57" t="s">
        <v>69</v>
      </c>
      <c r="G1035" s="57" t="s">
        <v>35</v>
      </c>
      <c r="H1035" s="57" t="s">
        <v>37</v>
      </c>
      <c r="I1035" s="59" t="n">
        <v>1</v>
      </c>
      <c r="J1035" s="60" t="n">
        <v>59</v>
      </c>
      <c r="K1035" s="60" t="n">
        <v>27</v>
      </c>
      <c r="L1035" s="61" t="n">
        <f aca="false">I1035*J1035</f>
        <v>59</v>
      </c>
      <c r="M1035" s="61" t="n">
        <f aca="false">L1035-I1035*K1035</f>
        <v>32</v>
      </c>
      <c r="N1035" s="57" t="n">
        <f aca="false">IF(COUNTIFS(E$2:E1035,E1035,C$2:C1035,C1035)=1,1,0)</f>
        <v>0</v>
      </c>
      <c r="O1035" s="57" t="n">
        <f aca="false">IF(COUNTIFS(E$2:E1035,E1035,C$2:C1035,C1035,D$2:D1035,D1035)=1,1,0)</f>
        <v>1</v>
      </c>
      <c r="P1035" s="57" t="n">
        <f aca="false">IF(AND(C1035=Calc!$C$3,OR(Calc!$C$4=0,D1035=Calc!$C$4)),ROW(),0)</f>
        <v>0</v>
      </c>
    </row>
    <row r="1036" customFormat="false" ht="15" hidden="false" customHeight="false" outlineLevel="0" collapsed="false">
      <c r="A1036" s="57" t="s">
        <v>1505</v>
      </c>
      <c r="B1036" s="58" t="n">
        <v>45598</v>
      </c>
      <c r="C1036" s="57" t="n">
        <f aca="false">YEAR(B1036)</f>
        <v>2024</v>
      </c>
      <c r="D1036" s="57" t="n">
        <f aca="false">MONTH(B1036)</f>
        <v>11</v>
      </c>
      <c r="E1036" s="57" t="s">
        <v>937</v>
      </c>
      <c r="F1036" s="57" t="s">
        <v>81</v>
      </c>
      <c r="G1036" s="57" t="s">
        <v>35</v>
      </c>
      <c r="H1036" s="57" t="s">
        <v>38</v>
      </c>
      <c r="I1036" s="59" t="n">
        <v>1</v>
      </c>
      <c r="J1036" s="60" t="n">
        <v>49</v>
      </c>
      <c r="K1036" s="60" t="n">
        <v>22</v>
      </c>
      <c r="L1036" s="61" t="n">
        <f aca="false">I1036*J1036</f>
        <v>49</v>
      </c>
      <c r="M1036" s="61" t="n">
        <f aca="false">L1036-I1036*K1036</f>
        <v>27</v>
      </c>
      <c r="N1036" s="57" t="n">
        <f aca="false">IF(COUNTIFS(E$2:E1036,E1036,C$2:C1036,C1036)=1,1,0)</f>
        <v>0</v>
      </c>
      <c r="O1036" s="57" t="n">
        <f aca="false">IF(COUNTIFS(E$2:E1036,E1036,C$2:C1036,C1036,D$2:D1036,D1036)=1,1,0)</f>
        <v>1</v>
      </c>
      <c r="P1036" s="57" t="n">
        <f aca="false">IF(AND(C1036=Calc!$C$3,OR(Calc!$C$4=0,D1036=Calc!$C$4)),ROW(),0)</f>
        <v>0</v>
      </c>
    </row>
    <row r="1037" customFormat="false" ht="15" hidden="false" customHeight="false" outlineLevel="0" collapsed="false">
      <c r="A1037" s="57" t="s">
        <v>1506</v>
      </c>
      <c r="B1037" s="58" t="n">
        <v>45599</v>
      </c>
      <c r="C1037" s="57" t="n">
        <f aca="false">YEAR(B1037)</f>
        <v>2024</v>
      </c>
      <c r="D1037" s="57" t="n">
        <f aca="false">MONTH(B1037)</f>
        <v>11</v>
      </c>
      <c r="E1037" s="57" t="s">
        <v>125</v>
      </c>
      <c r="F1037" s="57" t="s">
        <v>69</v>
      </c>
      <c r="G1037" s="57" t="s">
        <v>35</v>
      </c>
      <c r="H1037" s="57" t="s">
        <v>38</v>
      </c>
      <c r="I1037" s="59" t="n">
        <v>1</v>
      </c>
      <c r="J1037" s="60" t="n">
        <v>49</v>
      </c>
      <c r="K1037" s="60" t="n">
        <v>22</v>
      </c>
      <c r="L1037" s="61" t="n">
        <f aca="false">I1037*J1037</f>
        <v>49</v>
      </c>
      <c r="M1037" s="61" t="n">
        <f aca="false">L1037-I1037*K1037</f>
        <v>27</v>
      </c>
      <c r="N1037" s="57" t="n">
        <f aca="false">IF(COUNTIFS(E$2:E1037,E1037,C$2:C1037,C1037)=1,1,0)</f>
        <v>0</v>
      </c>
      <c r="O1037" s="57" t="n">
        <f aca="false">IF(COUNTIFS(E$2:E1037,E1037,C$2:C1037,C1037,D$2:D1037,D1037)=1,1,0)</f>
        <v>1</v>
      </c>
      <c r="P1037" s="57" t="n">
        <f aca="false">IF(AND(C1037=Calc!$C$3,OR(Calc!$C$4=0,D1037=Calc!$C$4)),ROW(),0)</f>
        <v>0</v>
      </c>
    </row>
    <row r="1038" customFormat="false" ht="15" hidden="false" customHeight="false" outlineLevel="0" collapsed="false">
      <c r="A1038" s="57" t="s">
        <v>1507</v>
      </c>
      <c r="B1038" s="58" t="n">
        <v>45599</v>
      </c>
      <c r="C1038" s="57" t="n">
        <f aca="false">YEAR(B1038)</f>
        <v>2024</v>
      </c>
      <c r="D1038" s="57" t="n">
        <f aca="false">MONTH(B1038)</f>
        <v>11</v>
      </c>
      <c r="E1038" s="57" t="s">
        <v>110</v>
      </c>
      <c r="F1038" s="57" t="s">
        <v>78</v>
      </c>
      <c r="G1038" s="57" t="s">
        <v>45</v>
      </c>
      <c r="H1038" s="57" t="s">
        <v>44</v>
      </c>
      <c r="I1038" s="59" t="n">
        <v>1</v>
      </c>
      <c r="J1038" s="60" t="n">
        <v>119</v>
      </c>
      <c r="K1038" s="60" t="n">
        <v>63</v>
      </c>
      <c r="L1038" s="61" t="n">
        <f aca="false">I1038*J1038</f>
        <v>119</v>
      </c>
      <c r="M1038" s="61" t="n">
        <f aca="false">L1038-I1038*K1038</f>
        <v>56</v>
      </c>
      <c r="N1038" s="57" t="n">
        <f aca="false">IF(COUNTIFS(E$2:E1038,E1038,C$2:C1038,C1038)=1,1,0)</f>
        <v>0</v>
      </c>
      <c r="O1038" s="57" t="n">
        <f aca="false">IF(COUNTIFS(E$2:E1038,E1038,C$2:C1038,C1038,D$2:D1038,D1038)=1,1,0)</f>
        <v>1</v>
      </c>
      <c r="P1038" s="57" t="n">
        <f aca="false">IF(AND(C1038=Calc!$C$3,OR(Calc!$C$4=0,D1038=Calc!$C$4)),ROW(),0)</f>
        <v>0</v>
      </c>
    </row>
    <row r="1039" customFormat="false" ht="15" hidden="false" customHeight="false" outlineLevel="0" collapsed="false">
      <c r="A1039" s="57" t="s">
        <v>1508</v>
      </c>
      <c r="B1039" s="58" t="n">
        <v>45599</v>
      </c>
      <c r="C1039" s="57" t="n">
        <f aca="false">YEAR(B1039)</f>
        <v>2024</v>
      </c>
      <c r="D1039" s="57" t="n">
        <f aca="false">MONTH(B1039)</f>
        <v>11</v>
      </c>
      <c r="E1039" s="57" t="s">
        <v>1509</v>
      </c>
      <c r="F1039" s="57" t="s">
        <v>75</v>
      </c>
      <c r="G1039" s="57" t="s">
        <v>45</v>
      </c>
      <c r="H1039" s="57" t="s">
        <v>48</v>
      </c>
      <c r="I1039" s="59" t="n">
        <v>1</v>
      </c>
      <c r="J1039" s="60" t="n">
        <v>99</v>
      </c>
      <c r="K1039" s="60" t="n">
        <v>38</v>
      </c>
      <c r="L1039" s="61" t="n">
        <f aca="false">I1039*J1039</f>
        <v>99</v>
      </c>
      <c r="M1039" s="61" t="n">
        <f aca="false">L1039-I1039*K1039</f>
        <v>61</v>
      </c>
      <c r="N1039" s="57" t="n">
        <f aca="false">IF(COUNTIFS(E$2:E1039,E1039,C$2:C1039,C1039)=1,1,0)</f>
        <v>1</v>
      </c>
      <c r="O1039" s="57" t="n">
        <f aca="false">IF(COUNTIFS(E$2:E1039,E1039,C$2:C1039,C1039,D$2:D1039,D1039)=1,1,0)</f>
        <v>1</v>
      </c>
      <c r="P1039" s="57" t="n">
        <f aca="false">IF(AND(C1039=Calc!$C$3,OR(Calc!$C$4=0,D1039=Calc!$C$4)),ROW(),0)</f>
        <v>0</v>
      </c>
    </row>
    <row r="1040" customFormat="false" ht="15" hidden="false" customHeight="false" outlineLevel="0" collapsed="false">
      <c r="A1040" s="57" t="s">
        <v>1510</v>
      </c>
      <c r="B1040" s="58" t="n">
        <v>45599</v>
      </c>
      <c r="C1040" s="57" t="n">
        <f aca="false">YEAR(B1040)</f>
        <v>2024</v>
      </c>
      <c r="D1040" s="57" t="n">
        <f aca="false">MONTH(B1040)</f>
        <v>11</v>
      </c>
      <c r="E1040" s="57" t="s">
        <v>666</v>
      </c>
      <c r="F1040" s="57" t="s">
        <v>69</v>
      </c>
      <c r="G1040" s="57" t="s">
        <v>40</v>
      </c>
      <c r="H1040" s="57" t="s">
        <v>39</v>
      </c>
      <c r="I1040" s="59" t="n">
        <v>1</v>
      </c>
      <c r="J1040" s="60" t="n">
        <v>54</v>
      </c>
      <c r="K1040" s="60" t="n">
        <v>19</v>
      </c>
      <c r="L1040" s="61" t="n">
        <f aca="false">I1040*J1040</f>
        <v>54</v>
      </c>
      <c r="M1040" s="61" t="n">
        <f aca="false">L1040-I1040*K1040</f>
        <v>35</v>
      </c>
      <c r="N1040" s="57" t="n">
        <f aca="false">IF(COUNTIFS(E$2:E1040,E1040,C$2:C1040,C1040)=1,1,0)</f>
        <v>0</v>
      </c>
      <c r="O1040" s="57" t="n">
        <f aca="false">IF(COUNTIFS(E$2:E1040,E1040,C$2:C1040,C1040,D$2:D1040,D1040)=1,1,0)</f>
        <v>1</v>
      </c>
      <c r="P1040" s="57" t="n">
        <f aca="false">IF(AND(C1040=Calc!$C$3,OR(Calc!$C$4=0,D1040=Calc!$C$4)),ROW(),0)</f>
        <v>0</v>
      </c>
    </row>
    <row r="1041" customFormat="false" ht="15" hidden="false" customHeight="false" outlineLevel="0" collapsed="false">
      <c r="A1041" s="57" t="s">
        <v>1511</v>
      </c>
      <c r="B1041" s="58" t="n">
        <v>45599</v>
      </c>
      <c r="C1041" s="57" t="n">
        <f aca="false">YEAR(B1041)</f>
        <v>2024</v>
      </c>
      <c r="D1041" s="57" t="n">
        <f aca="false">MONTH(B1041)</f>
        <v>11</v>
      </c>
      <c r="E1041" s="57" t="s">
        <v>342</v>
      </c>
      <c r="F1041" s="57" t="s">
        <v>78</v>
      </c>
      <c r="G1041" s="57" t="s">
        <v>35</v>
      </c>
      <c r="H1041" s="57" t="s">
        <v>36</v>
      </c>
      <c r="I1041" s="59" t="n">
        <v>1</v>
      </c>
      <c r="J1041" s="60" t="n">
        <v>179</v>
      </c>
      <c r="K1041" s="60" t="n">
        <v>92</v>
      </c>
      <c r="L1041" s="61" t="n">
        <f aca="false">I1041*J1041</f>
        <v>179</v>
      </c>
      <c r="M1041" s="61" t="n">
        <f aca="false">L1041-I1041*K1041</f>
        <v>87</v>
      </c>
      <c r="N1041" s="57" t="n">
        <f aca="false">IF(COUNTIFS(E$2:E1041,E1041,C$2:C1041,C1041)=1,1,0)</f>
        <v>0</v>
      </c>
      <c r="O1041" s="57" t="n">
        <f aca="false">IF(COUNTIFS(E$2:E1041,E1041,C$2:C1041,C1041,D$2:D1041,D1041)=1,1,0)</f>
        <v>1</v>
      </c>
      <c r="P1041" s="57" t="n">
        <f aca="false">IF(AND(C1041=Calc!$C$3,OR(Calc!$C$4=0,D1041=Calc!$C$4)),ROW(),0)</f>
        <v>0</v>
      </c>
    </row>
    <row r="1042" customFormat="false" ht="15" hidden="false" customHeight="false" outlineLevel="0" collapsed="false">
      <c r="A1042" s="57" t="s">
        <v>1512</v>
      </c>
      <c r="B1042" s="58" t="n">
        <v>45599</v>
      </c>
      <c r="C1042" s="57" t="n">
        <f aca="false">YEAR(B1042)</f>
        <v>2024</v>
      </c>
      <c r="D1042" s="57" t="n">
        <f aca="false">MONTH(B1042)</f>
        <v>11</v>
      </c>
      <c r="E1042" s="57" t="s">
        <v>629</v>
      </c>
      <c r="F1042" s="57" t="s">
        <v>78</v>
      </c>
      <c r="G1042" s="57" t="s">
        <v>50</v>
      </c>
      <c r="H1042" s="57" t="s">
        <v>52</v>
      </c>
      <c r="I1042" s="59" t="n">
        <v>1</v>
      </c>
      <c r="J1042" s="60" t="n">
        <v>45</v>
      </c>
      <c r="K1042" s="60" t="n">
        <v>14</v>
      </c>
      <c r="L1042" s="61" t="n">
        <f aca="false">I1042*J1042</f>
        <v>45</v>
      </c>
      <c r="M1042" s="61" t="n">
        <f aca="false">L1042-I1042*K1042</f>
        <v>31</v>
      </c>
      <c r="N1042" s="57" t="n">
        <f aca="false">IF(COUNTIFS(E$2:E1042,E1042,C$2:C1042,C1042)=1,1,0)</f>
        <v>0</v>
      </c>
      <c r="O1042" s="57" t="n">
        <f aca="false">IF(COUNTIFS(E$2:E1042,E1042,C$2:C1042,C1042,D$2:D1042,D1042)=1,1,0)</f>
        <v>1</v>
      </c>
      <c r="P1042" s="57" t="n">
        <f aca="false">IF(AND(C1042=Calc!$C$3,OR(Calc!$C$4=0,D1042=Calc!$C$4)),ROW(),0)</f>
        <v>0</v>
      </c>
    </row>
    <row r="1043" customFormat="false" ht="15" hidden="false" customHeight="false" outlineLevel="0" collapsed="false">
      <c r="A1043" s="57" t="s">
        <v>1513</v>
      </c>
      <c r="B1043" s="58" t="n">
        <v>45599</v>
      </c>
      <c r="C1043" s="57" t="n">
        <f aca="false">YEAR(B1043)</f>
        <v>2024</v>
      </c>
      <c r="D1043" s="57" t="n">
        <f aca="false">MONTH(B1043)</f>
        <v>11</v>
      </c>
      <c r="E1043" s="57" t="s">
        <v>231</v>
      </c>
      <c r="F1043" s="57" t="s">
        <v>72</v>
      </c>
      <c r="G1043" s="57" t="s">
        <v>50</v>
      </c>
      <c r="H1043" s="57" t="s">
        <v>49</v>
      </c>
      <c r="I1043" s="59" t="n">
        <v>1</v>
      </c>
      <c r="J1043" s="60" t="n">
        <v>32</v>
      </c>
      <c r="K1043" s="60" t="n">
        <v>7</v>
      </c>
      <c r="L1043" s="61" t="n">
        <f aca="false">I1043*J1043</f>
        <v>32</v>
      </c>
      <c r="M1043" s="61" t="n">
        <f aca="false">L1043-I1043*K1043</f>
        <v>25</v>
      </c>
      <c r="N1043" s="57" t="n">
        <f aca="false">IF(COUNTIFS(E$2:E1043,E1043,C$2:C1043,C1043)=1,1,0)</f>
        <v>0</v>
      </c>
      <c r="O1043" s="57" t="n">
        <f aca="false">IF(COUNTIFS(E$2:E1043,E1043,C$2:C1043,C1043,D$2:D1043,D1043)=1,1,0)</f>
        <v>1</v>
      </c>
      <c r="P1043" s="57" t="n">
        <f aca="false">IF(AND(C1043=Calc!$C$3,OR(Calc!$C$4=0,D1043=Calc!$C$4)),ROW(),0)</f>
        <v>0</v>
      </c>
    </row>
    <row r="1044" customFormat="false" ht="15" hidden="false" customHeight="false" outlineLevel="0" collapsed="false">
      <c r="A1044" s="57" t="s">
        <v>1514</v>
      </c>
      <c r="B1044" s="58" t="n">
        <v>45600</v>
      </c>
      <c r="C1044" s="57" t="n">
        <f aca="false">YEAR(B1044)</f>
        <v>2024</v>
      </c>
      <c r="D1044" s="57" t="n">
        <f aca="false">MONTH(B1044)</f>
        <v>11</v>
      </c>
      <c r="E1044" s="57" t="s">
        <v>843</v>
      </c>
      <c r="F1044" s="57" t="s">
        <v>75</v>
      </c>
      <c r="G1044" s="57" t="s">
        <v>54</v>
      </c>
      <c r="H1044" s="57" t="s">
        <v>56</v>
      </c>
      <c r="I1044" s="59" t="n">
        <v>1</v>
      </c>
      <c r="J1044" s="60" t="n">
        <v>42</v>
      </c>
      <c r="K1044" s="60" t="n">
        <v>17</v>
      </c>
      <c r="L1044" s="61" t="n">
        <f aca="false">I1044*J1044</f>
        <v>42</v>
      </c>
      <c r="M1044" s="61" t="n">
        <f aca="false">L1044-I1044*K1044</f>
        <v>25</v>
      </c>
      <c r="N1044" s="57" t="n">
        <f aca="false">IF(COUNTIFS(E$2:E1044,E1044,C$2:C1044,C1044)=1,1,0)</f>
        <v>0</v>
      </c>
      <c r="O1044" s="57" t="n">
        <f aca="false">IF(COUNTIFS(E$2:E1044,E1044,C$2:C1044,C1044,D$2:D1044,D1044)=1,1,0)</f>
        <v>1</v>
      </c>
      <c r="P1044" s="57" t="n">
        <f aca="false">IF(AND(C1044=Calc!$C$3,OR(Calc!$C$4=0,D1044=Calc!$C$4)),ROW(),0)</f>
        <v>0</v>
      </c>
    </row>
    <row r="1045" customFormat="false" ht="15" hidden="false" customHeight="false" outlineLevel="0" collapsed="false">
      <c r="A1045" s="57" t="s">
        <v>1515</v>
      </c>
      <c r="B1045" s="58" t="n">
        <v>45600</v>
      </c>
      <c r="C1045" s="57" t="n">
        <f aca="false">YEAR(B1045)</f>
        <v>2024</v>
      </c>
      <c r="D1045" s="57" t="n">
        <f aca="false">MONTH(B1045)</f>
        <v>11</v>
      </c>
      <c r="E1045" s="57" t="s">
        <v>116</v>
      </c>
      <c r="F1045" s="57" t="s">
        <v>75</v>
      </c>
      <c r="G1045" s="57" t="s">
        <v>35</v>
      </c>
      <c r="H1045" s="57" t="s">
        <v>38</v>
      </c>
      <c r="I1045" s="59" t="n">
        <v>1</v>
      </c>
      <c r="J1045" s="60" t="n">
        <v>49</v>
      </c>
      <c r="K1045" s="60" t="n">
        <v>22</v>
      </c>
      <c r="L1045" s="61" t="n">
        <f aca="false">I1045*J1045</f>
        <v>49</v>
      </c>
      <c r="M1045" s="61" t="n">
        <f aca="false">L1045-I1045*K1045</f>
        <v>27</v>
      </c>
      <c r="N1045" s="57" t="n">
        <f aca="false">IF(COUNTIFS(E$2:E1045,E1045,C$2:C1045,C1045)=1,1,0)</f>
        <v>0</v>
      </c>
      <c r="O1045" s="57" t="n">
        <f aca="false">IF(COUNTIFS(E$2:E1045,E1045,C$2:C1045,C1045,D$2:D1045,D1045)=1,1,0)</f>
        <v>1</v>
      </c>
      <c r="P1045" s="57" t="n">
        <f aca="false">IF(AND(C1045=Calc!$C$3,OR(Calc!$C$4=0,D1045=Calc!$C$4)),ROW(),0)</f>
        <v>0</v>
      </c>
    </row>
    <row r="1046" customFormat="false" ht="15" hidden="false" customHeight="false" outlineLevel="0" collapsed="false">
      <c r="A1046" s="57" t="s">
        <v>1516</v>
      </c>
      <c r="B1046" s="58" t="n">
        <v>45600</v>
      </c>
      <c r="C1046" s="57" t="n">
        <f aca="false">YEAR(B1046)</f>
        <v>2024</v>
      </c>
      <c r="D1046" s="57" t="n">
        <f aca="false">MONTH(B1046)</f>
        <v>11</v>
      </c>
      <c r="E1046" s="57" t="s">
        <v>836</v>
      </c>
      <c r="F1046" s="57" t="s">
        <v>69</v>
      </c>
      <c r="G1046" s="57" t="s">
        <v>35</v>
      </c>
      <c r="H1046" s="57" t="s">
        <v>38</v>
      </c>
      <c r="I1046" s="59" t="n">
        <v>1</v>
      </c>
      <c r="J1046" s="60" t="n">
        <v>49</v>
      </c>
      <c r="K1046" s="60" t="n">
        <v>22</v>
      </c>
      <c r="L1046" s="61" t="n">
        <f aca="false">I1046*J1046</f>
        <v>49</v>
      </c>
      <c r="M1046" s="61" t="n">
        <f aca="false">L1046-I1046*K1046</f>
        <v>27</v>
      </c>
      <c r="N1046" s="57" t="n">
        <f aca="false">IF(COUNTIFS(E$2:E1046,E1046,C$2:C1046,C1046)=1,1,0)</f>
        <v>0</v>
      </c>
      <c r="O1046" s="57" t="n">
        <f aca="false">IF(COUNTIFS(E$2:E1046,E1046,C$2:C1046,C1046,D$2:D1046,D1046)=1,1,0)</f>
        <v>1</v>
      </c>
      <c r="P1046" s="57" t="n">
        <f aca="false">IF(AND(C1046=Calc!$C$3,OR(Calc!$C$4=0,D1046=Calc!$C$4)),ROW(),0)</f>
        <v>0</v>
      </c>
    </row>
    <row r="1047" customFormat="false" ht="15" hidden="false" customHeight="false" outlineLevel="0" collapsed="false">
      <c r="A1047" s="57" t="s">
        <v>1517</v>
      </c>
      <c r="B1047" s="58" t="n">
        <v>45600</v>
      </c>
      <c r="C1047" s="57" t="n">
        <f aca="false">YEAR(B1047)</f>
        <v>2024</v>
      </c>
      <c r="D1047" s="57" t="n">
        <f aca="false">MONTH(B1047)</f>
        <v>11</v>
      </c>
      <c r="E1047" s="57" t="s">
        <v>137</v>
      </c>
      <c r="F1047" s="57" t="s">
        <v>75</v>
      </c>
      <c r="G1047" s="57" t="s">
        <v>40</v>
      </c>
      <c r="H1047" s="57" t="s">
        <v>39</v>
      </c>
      <c r="I1047" s="59" t="n">
        <v>1</v>
      </c>
      <c r="J1047" s="60" t="n">
        <v>54</v>
      </c>
      <c r="K1047" s="60" t="n">
        <v>19</v>
      </c>
      <c r="L1047" s="61" t="n">
        <f aca="false">I1047*J1047</f>
        <v>54</v>
      </c>
      <c r="M1047" s="61" t="n">
        <f aca="false">L1047-I1047*K1047</f>
        <v>35</v>
      </c>
      <c r="N1047" s="57" t="n">
        <f aca="false">IF(COUNTIFS(E$2:E1047,E1047,C$2:C1047,C1047)=1,1,0)</f>
        <v>0</v>
      </c>
      <c r="O1047" s="57" t="n">
        <f aca="false">IF(COUNTIFS(E$2:E1047,E1047,C$2:C1047,C1047,D$2:D1047,D1047)=1,1,0)</f>
        <v>1</v>
      </c>
      <c r="P1047" s="57" t="n">
        <f aca="false">IF(AND(C1047=Calc!$C$3,OR(Calc!$C$4=0,D1047=Calc!$C$4)),ROW(),0)</f>
        <v>0</v>
      </c>
    </row>
    <row r="1048" customFormat="false" ht="15" hidden="false" customHeight="false" outlineLevel="0" collapsed="false">
      <c r="A1048" s="57" t="s">
        <v>1518</v>
      </c>
      <c r="B1048" s="58" t="n">
        <v>45600</v>
      </c>
      <c r="C1048" s="57" t="n">
        <f aca="false">YEAR(B1048)</f>
        <v>2024</v>
      </c>
      <c r="D1048" s="57" t="n">
        <f aca="false">MONTH(B1048)</f>
        <v>11</v>
      </c>
      <c r="E1048" s="57" t="s">
        <v>1519</v>
      </c>
      <c r="F1048" s="57" t="s">
        <v>75</v>
      </c>
      <c r="G1048" s="57" t="s">
        <v>54</v>
      </c>
      <c r="H1048" s="57" t="s">
        <v>55</v>
      </c>
      <c r="I1048" s="59" t="n">
        <v>2</v>
      </c>
      <c r="J1048" s="60" t="n">
        <v>64</v>
      </c>
      <c r="K1048" s="60" t="n">
        <v>25</v>
      </c>
      <c r="L1048" s="61" t="n">
        <f aca="false">I1048*J1048</f>
        <v>128</v>
      </c>
      <c r="M1048" s="61" t="n">
        <f aca="false">L1048-I1048*K1048</f>
        <v>78</v>
      </c>
      <c r="N1048" s="57" t="n">
        <f aca="false">IF(COUNTIFS(E$2:E1048,E1048,C$2:C1048,C1048)=1,1,0)</f>
        <v>1</v>
      </c>
      <c r="O1048" s="57" t="n">
        <f aca="false">IF(COUNTIFS(E$2:E1048,E1048,C$2:C1048,C1048,D$2:D1048,D1048)=1,1,0)</f>
        <v>1</v>
      </c>
      <c r="P1048" s="57" t="n">
        <f aca="false">IF(AND(C1048=Calc!$C$3,OR(Calc!$C$4=0,D1048=Calc!$C$4)),ROW(),0)</f>
        <v>0</v>
      </c>
    </row>
    <row r="1049" customFormat="false" ht="15" hidden="false" customHeight="false" outlineLevel="0" collapsed="false">
      <c r="A1049" s="57" t="s">
        <v>1520</v>
      </c>
      <c r="B1049" s="58" t="n">
        <v>45601</v>
      </c>
      <c r="C1049" s="57" t="n">
        <f aca="false">YEAR(B1049)</f>
        <v>2024</v>
      </c>
      <c r="D1049" s="57" t="n">
        <f aca="false">MONTH(B1049)</f>
        <v>11</v>
      </c>
      <c r="E1049" s="57" t="s">
        <v>434</v>
      </c>
      <c r="F1049" s="57" t="s">
        <v>78</v>
      </c>
      <c r="G1049" s="57" t="s">
        <v>45</v>
      </c>
      <c r="H1049" s="57" t="s">
        <v>46</v>
      </c>
      <c r="I1049" s="59" t="n">
        <v>1</v>
      </c>
      <c r="J1049" s="60" t="n">
        <v>149</v>
      </c>
      <c r="K1049" s="60" t="n">
        <v>71</v>
      </c>
      <c r="L1049" s="61" t="n">
        <f aca="false">I1049*J1049</f>
        <v>149</v>
      </c>
      <c r="M1049" s="61" t="n">
        <f aca="false">L1049-I1049*K1049</f>
        <v>78</v>
      </c>
      <c r="N1049" s="57" t="n">
        <f aca="false">IF(COUNTIFS(E$2:E1049,E1049,C$2:C1049,C1049)=1,1,0)</f>
        <v>0</v>
      </c>
      <c r="O1049" s="57" t="n">
        <f aca="false">IF(COUNTIFS(E$2:E1049,E1049,C$2:C1049,C1049,D$2:D1049,D1049)=1,1,0)</f>
        <v>1</v>
      </c>
      <c r="P1049" s="57" t="n">
        <f aca="false">IF(AND(C1049=Calc!$C$3,OR(Calc!$C$4=0,D1049=Calc!$C$4)),ROW(),0)</f>
        <v>0</v>
      </c>
    </row>
    <row r="1050" customFormat="false" ht="15" hidden="false" customHeight="false" outlineLevel="0" collapsed="false">
      <c r="A1050" s="57" t="s">
        <v>1521</v>
      </c>
      <c r="B1050" s="58" t="n">
        <v>45601</v>
      </c>
      <c r="C1050" s="57" t="n">
        <f aca="false">YEAR(B1050)</f>
        <v>2024</v>
      </c>
      <c r="D1050" s="57" t="n">
        <f aca="false">MONTH(B1050)</f>
        <v>11</v>
      </c>
      <c r="E1050" s="57" t="s">
        <v>357</v>
      </c>
      <c r="F1050" s="57" t="s">
        <v>69</v>
      </c>
      <c r="G1050" s="57" t="s">
        <v>35</v>
      </c>
      <c r="H1050" s="57" t="s">
        <v>34</v>
      </c>
      <c r="I1050" s="59" t="n">
        <v>1</v>
      </c>
      <c r="J1050" s="60" t="n">
        <v>89</v>
      </c>
      <c r="K1050" s="60" t="n">
        <v>41</v>
      </c>
      <c r="L1050" s="61" t="n">
        <f aca="false">I1050*J1050</f>
        <v>89</v>
      </c>
      <c r="M1050" s="61" t="n">
        <f aca="false">L1050-I1050*K1050</f>
        <v>48</v>
      </c>
      <c r="N1050" s="57" t="n">
        <f aca="false">IF(COUNTIFS(E$2:E1050,E1050,C$2:C1050,C1050)=1,1,0)</f>
        <v>0</v>
      </c>
      <c r="O1050" s="57" t="n">
        <f aca="false">IF(COUNTIFS(E$2:E1050,E1050,C$2:C1050,C1050,D$2:D1050,D1050)=1,1,0)</f>
        <v>1</v>
      </c>
      <c r="P1050" s="57" t="n">
        <f aca="false">IF(AND(C1050=Calc!$C$3,OR(Calc!$C$4=0,D1050=Calc!$C$4)),ROW(),0)</f>
        <v>0</v>
      </c>
    </row>
    <row r="1051" customFormat="false" ht="15" hidden="false" customHeight="false" outlineLevel="0" collapsed="false">
      <c r="A1051" s="57" t="s">
        <v>1522</v>
      </c>
      <c r="B1051" s="58" t="n">
        <v>45601</v>
      </c>
      <c r="C1051" s="57" t="n">
        <f aca="false">YEAR(B1051)</f>
        <v>2024</v>
      </c>
      <c r="D1051" s="57" t="n">
        <f aca="false">MONTH(B1051)</f>
        <v>11</v>
      </c>
      <c r="E1051" s="57" t="s">
        <v>1523</v>
      </c>
      <c r="F1051" s="57" t="s">
        <v>69</v>
      </c>
      <c r="G1051" s="57" t="s">
        <v>35</v>
      </c>
      <c r="H1051" s="57" t="s">
        <v>37</v>
      </c>
      <c r="I1051" s="59" t="n">
        <v>1</v>
      </c>
      <c r="J1051" s="60" t="n">
        <v>59</v>
      </c>
      <c r="K1051" s="60" t="n">
        <v>27</v>
      </c>
      <c r="L1051" s="61" t="n">
        <f aca="false">I1051*J1051</f>
        <v>59</v>
      </c>
      <c r="M1051" s="61" t="n">
        <f aca="false">L1051-I1051*K1051</f>
        <v>32</v>
      </c>
      <c r="N1051" s="57" t="n">
        <f aca="false">IF(COUNTIFS(E$2:E1051,E1051,C$2:C1051,C1051)=1,1,0)</f>
        <v>1</v>
      </c>
      <c r="O1051" s="57" t="n">
        <f aca="false">IF(COUNTIFS(E$2:E1051,E1051,C$2:C1051,C1051,D$2:D1051,D1051)=1,1,0)</f>
        <v>1</v>
      </c>
      <c r="P1051" s="57" t="n">
        <f aca="false">IF(AND(C1051=Calc!$C$3,OR(Calc!$C$4=0,D1051=Calc!$C$4)),ROW(),0)</f>
        <v>0</v>
      </c>
    </row>
    <row r="1052" customFormat="false" ht="15" hidden="false" customHeight="false" outlineLevel="0" collapsed="false">
      <c r="A1052" s="57" t="s">
        <v>1524</v>
      </c>
      <c r="B1052" s="58" t="n">
        <v>45601</v>
      </c>
      <c r="C1052" s="57" t="n">
        <f aca="false">YEAR(B1052)</f>
        <v>2024</v>
      </c>
      <c r="D1052" s="57" t="n">
        <f aca="false">MONTH(B1052)</f>
        <v>11</v>
      </c>
      <c r="E1052" s="57" t="s">
        <v>494</v>
      </c>
      <c r="F1052" s="57" t="s">
        <v>78</v>
      </c>
      <c r="G1052" s="57" t="s">
        <v>50</v>
      </c>
      <c r="H1052" s="57" t="s">
        <v>51</v>
      </c>
      <c r="I1052" s="59" t="n">
        <v>1</v>
      </c>
      <c r="J1052" s="60" t="n">
        <v>69</v>
      </c>
      <c r="K1052" s="60" t="n">
        <v>29</v>
      </c>
      <c r="L1052" s="61" t="n">
        <f aca="false">I1052*J1052</f>
        <v>69</v>
      </c>
      <c r="M1052" s="61" t="n">
        <f aca="false">L1052-I1052*K1052</f>
        <v>40</v>
      </c>
      <c r="N1052" s="57" t="n">
        <f aca="false">IF(COUNTIFS(E$2:E1052,E1052,C$2:C1052,C1052)=1,1,0)</f>
        <v>0</v>
      </c>
      <c r="O1052" s="57" t="n">
        <f aca="false">IF(COUNTIFS(E$2:E1052,E1052,C$2:C1052,C1052,D$2:D1052,D1052)=1,1,0)</f>
        <v>1</v>
      </c>
      <c r="P1052" s="57" t="n">
        <f aca="false">IF(AND(C1052=Calc!$C$3,OR(Calc!$C$4=0,D1052=Calc!$C$4)),ROW(),0)</f>
        <v>0</v>
      </c>
    </row>
    <row r="1053" customFormat="false" ht="15" hidden="false" customHeight="false" outlineLevel="0" collapsed="false">
      <c r="A1053" s="57" t="s">
        <v>1525</v>
      </c>
      <c r="B1053" s="58" t="n">
        <v>45602</v>
      </c>
      <c r="C1053" s="57" t="n">
        <f aca="false">YEAR(B1053)</f>
        <v>2024</v>
      </c>
      <c r="D1053" s="57" t="n">
        <f aca="false">MONTH(B1053)</f>
        <v>11</v>
      </c>
      <c r="E1053" s="57" t="s">
        <v>996</v>
      </c>
      <c r="F1053" s="57" t="s">
        <v>75</v>
      </c>
      <c r="G1053" s="57" t="s">
        <v>35</v>
      </c>
      <c r="H1053" s="57" t="s">
        <v>37</v>
      </c>
      <c r="I1053" s="59" t="n">
        <v>1</v>
      </c>
      <c r="J1053" s="60" t="n">
        <v>59</v>
      </c>
      <c r="K1053" s="60" t="n">
        <v>27</v>
      </c>
      <c r="L1053" s="61" t="n">
        <f aca="false">I1053*J1053</f>
        <v>59</v>
      </c>
      <c r="M1053" s="61" t="n">
        <f aca="false">L1053-I1053*K1053</f>
        <v>32</v>
      </c>
      <c r="N1053" s="57" t="n">
        <f aca="false">IF(COUNTIFS(E$2:E1053,E1053,C$2:C1053,C1053)=1,1,0)</f>
        <v>0</v>
      </c>
      <c r="O1053" s="57" t="n">
        <f aca="false">IF(COUNTIFS(E$2:E1053,E1053,C$2:C1053,C1053,D$2:D1053,D1053)=1,1,0)</f>
        <v>1</v>
      </c>
      <c r="P1053" s="57" t="n">
        <f aca="false">IF(AND(C1053=Calc!$C$3,OR(Calc!$C$4=0,D1053=Calc!$C$4)),ROW(),0)</f>
        <v>0</v>
      </c>
    </row>
    <row r="1054" customFormat="false" ht="15" hidden="false" customHeight="false" outlineLevel="0" collapsed="false">
      <c r="A1054" s="57" t="s">
        <v>1526</v>
      </c>
      <c r="B1054" s="58" t="n">
        <v>45602</v>
      </c>
      <c r="C1054" s="57" t="n">
        <f aca="false">YEAR(B1054)</f>
        <v>2024</v>
      </c>
      <c r="D1054" s="57" t="n">
        <f aca="false">MONTH(B1054)</f>
        <v>11</v>
      </c>
      <c r="E1054" s="57" t="s">
        <v>250</v>
      </c>
      <c r="F1054" s="57" t="s">
        <v>78</v>
      </c>
      <c r="G1054" s="57" t="s">
        <v>50</v>
      </c>
      <c r="H1054" s="57" t="s">
        <v>52</v>
      </c>
      <c r="I1054" s="59" t="n">
        <v>2</v>
      </c>
      <c r="J1054" s="60" t="n">
        <v>45</v>
      </c>
      <c r="K1054" s="60" t="n">
        <v>14</v>
      </c>
      <c r="L1054" s="61" t="n">
        <f aca="false">I1054*J1054</f>
        <v>90</v>
      </c>
      <c r="M1054" s="61" t="n">
        <f aca="false">L1054-I1054*K1054</f>
        <v>62</v>
      </c>
      <c r="N1054" s="57" t="n">
        <f aca="false">IF(COUNTIFS(E$2:E1054,E1054,C$2:C1054,C1054)=1,1,0)</f>
        <v>0</v>
      </c>
      <c r="O1054" s="57" t="n">
        <f aca="false">IF(COUNTIFS(E$2:E1054,E1054,C$2:C1054,C1054,D$2:D1054,D1054)=1,1,0)</f>
        <v>1</v>
      </c>
      <c r="P1054" s="57" t="n">
        <f aca="false">IF(AND(C1054=Calc!$C$3,OR(Calc!$C$4=0,D1054=Calc!$C$4)),ROW(),0)</f>
        <v>0</v>
      </c>
    </row>
    <row r="1055" customFormat="false" ht="15" hidden="false" customHeight="false" outlineLevel="0" collapsed="false">
      <c r="A1055" s="57" t="s">
        <v>1527</v>
      </c>
      <c r="B1055" s="58" t="n">
        <v>45602</v>
      </c>
      <c r="C1055" s="57" t="n">
        <f aca="false">YEAR(B1055)</f>
        <v>2024</v>
      </c>
      <c r="D1055" s="57" t="n">
        <f aca="false">MONTH(B1055)</f>
        <v>11</v>
      </c>
      <c r="E1055" s="57" t="s">
        <v>461</v>
      </c>
      <c r="F1055" s="57" t="s">
        <v>78</v>
      </c>
      <c r="G1055" s="57" t="s">
        <v>35</v>
      </c>
      <c r="H1055" s="57" t="s">
        <v>37</v>
      </c>
      <c r="I1055" s="59" t="n">
        <v>2</v>
      </c>
      <c r="J1055" s="60" t="n">
        <v>59</v>
      </c>
      <c r="K1055" s="60" t="n">
        <v>27</v>
      </c>
      <c r="L1055" s="61" t="n">
        <f aca="false">I1055*J1055</f>
        <v>118</v>
      </c>
      <c r="M1055" s="61" t="n">
        <f aca="false">L1055-I1055*K1055</f>
        <v>64</v>
      </c>
      <c r="N1055" s="57" t="n">
        <f aca="false">IF(COUNTIFS(E$2:E1055,E1055,C$2:C1055,C1055)=1,1,0)</f>
        <v>0</v>
      </c>
      <c r="O1055" s="57" t="n">
        <f aca="false">IF(COUNTIFS(E$2:E1055,E1055,C$2:C1055,C1055,D$2:D1055,D1055)=1,1,0)</f>
        <v>1</v>
      </c>
      <c r="P1055" s="57" t="n">
        <f aca="false">IF(AND(C1055=Calc!$C$3,OR(Calc!$C$4=0,D1055=Calc!$C$4)),ROW(),0)</f>
        <v>0</v>
      </c>
    </row>
    <row r="1056" customFormat="false" ht="15" hidden="false" customHeight="false" outlineLevel="0" collapsed="false">
      <c r="A1056" s="57" t="s">
        <v>1528</v>
      </c>
      <c r="B1056" s="58" t="n">
        <v>45602</v>
      </c>
      <c r="C1056" s="57" t="n">
        <f aca="false">YEAR(B1056)</f>
        <v>2024</v>
      </c>
      <c r="D1056" s="57" t="n">
        <f aca="false">MONTH(B1056)</f>
        <v>11</v>
      </c>
      <c r="E1056" s="57" t="s">
        <v>116</v>
      </c>
      <c r="F1056" s="57" t="s">
        <v>75</v>
      </c>
      <c r="G1056" s="57" t="s">
        <v>35</v>
      </c>
      <c r="H1056" s="57" t="s">
        <v>34</v>
      </c>
      <c r="I1056" s="59" t="n">
        <v>3</v>
      </c>
      <c r="J1056" s="60" t="n">
        <v>89</v>
      </c>
      <c r="K1056" s="60" t="n">
        <v>41</v>
      </c>
      <c r="L1056" s="61" t="n">
        <f aca="false">I1056*J1056</f>
        <v>267</v>
      </c>
      <c r="M1056" s="61" t="n">
        <f aca="false">L1056-I1056*K1056</f>
        <v>144</v>
      </c>
      <c r="N1056" s="57" t="n">
        <f aca="false">IF(COUNTIFS(E$2:E1056,E1056,C$2:C1056,C1056)=1,1,0)</f>
        <v>0</v>
      </c>
      <c r="O1056" s="57" t="n">
        <f aca="false">IF(COUNTIFS(E$2:E1056,E1056,C$2:C1056,C1056,D$2:D1056,D1056)=1,1,0)</f>
        <v>0</v>
      </c>
      <c r="P1056" s="57" t="n">
        <f aca="false">IF(AND(C1056=Calc!$C$3,OR(Calc!$C$4=0,D1056=Calc!$C$4)),ROW(),0)</f>
        <v>0</v>
      </c>
    </row>
    <row r="1057" customFormat="false" ht="15" hidden="false" customHeight="false" outlineLevel="0" collapsed="false">
      <c r="A1057" s="57" t="s">
        <v>1529</v>
      </c>
      <c r="B1057" s="58" t="n">
        <v>45602</v>
      </c>
      <c r="C1057" s="57" t="n">
        <f aca="false">YEAR(B1057)</f>
        <v>2024</v>
      </c>
      <c r="D1057" s="57" t="n">
        <f aca="false">MONTH(B1057)</f>
        <v>11</v>
      </c>
      <c r="E1057" s="57" t="s">
        <v>586</v>
      </c>
      <c r="F1057" s="57" t="s">
        <v>75</v>
      </c>
      <c r="G1057" s="57" t="s">
        <v>35</v>
      </c>
      <c r="H1057" s="57" t="s">
        <v>37</v>
      </c>
      <c r="I1057" s="59" t="n">
        <v>1</v>
      </c>
      <c r="J1057" s="60" t="n">
        <v>59</v>
      </c>
      <c r="K1057" s="60" t="n">
        <v>27</v>
      </c>
      <c r="L1057" s="61" t="n">
        <f aca="false">I1057*J1057</f>
        <v>59</v>
      </c>
      <c r="M1057" s="61" t="n">
        <f aca="false">L1057-I1057*K1057</f>
        <v>32</v>
      </c>
      <c r="N1057" s="57" t="n">
        <f aca="false">IF(COUNTIFS(E$2:E1057,E1057,C$2:C1057,C1057)=1,1,0)</f>
        <v>0</v>
      </c>
      <c r="O1057" s="57" t="n">
        <f aca="false">IF(COUNTIFS(E$2:E1057,E1057,C$2:C1057,C1057,D$2:D1057,D1057)=1,1,0)</f>
        <v>1</v>
      </c>
      <c r="P1057" s="57" t="n">
        <f aca="false">IF(AND(C1057=Calc!$C$3,OR(Calc!$C$4=0,D1057=Calc!$C$4)),ROW(),0)</f>
        <v>0</v>
      </c>
    </row>
    <row r="1058" customFormat="false" ht="15" hidden="false" customHeight="false" outlineLevel="0" collapsed="false">
      <c r="A1058" s="57" t="s">
        <v>1530</v>
      </c>
      <c r="B1058" s="58" t="n">
        <v>45603</v>
      </c>
      <c r="C1058" s="57" t="n">
        <f aca="false">YEAR(B1058)</f>
        <v>2024</v>
      </c>
      <c r="D1058" s="57" t="n">
        <f aca="false">MONTH(B1058)</f>
        <v>11</v>
      </c>
      <c r="E1058" s="57" t="s">
        <v>281</v>
      </c>
      <c r="F1058" s="57" t="s">
        <v>81</v>
      </c>
      <c r="G1058" s="57" t="s">
        <v>45</v>
      </c>
      <c r="H1058" s="57" t="s">
        <v>48</v>
      </c>
      <c r="I1058" s="59" t="n">
        <v>1</v>
      </c>
      <c r="J1058" s="60" t="n">
        <v>99</v>
      </c>
      <c r="K1058" s="60" t="n">
        <v>38</v>
      </c>
      <c r="L1058" s="61" t="n">
        <f aca="false">I1058*J1058</f>
        <v>99</v>
      </c>
      <c r="M1058" s="61" t="n">
        <f aca="false">L1058-I1058*K1058</f>
        <v>61</v>
      </c>
      <c r="N1058" s="57" t="n">
        <f aca="false">IF(COUNTIFS(E$2:E1058,E1058,C$2:C1058,C1058)=1,1,0)</f>
        <v>0</v>
      </c>
      <c r="O1058" s="57" t="n">
        <f aca="false">IF(COUNTIFS(E$2:E1058,E1058,C$2:C1058,C1058,D$2:D1058,D1058)=1,1,0)</f>
        <v>1</v>
      </c>
      <c r="P1058" s="57" t="n">
        <f aca="false">IF(AND(C1058=Calc!$C$3,OR(Calc!$C$4=0,D1058=Calc!$C$4)),ROW(),0)</f>
        <v>0</v>
      </c>
    </row>
    <row r="1059" customFormat="false" ht="15" hidden="false" customHeight="false" outlineLevel="0" collapsed="false">
      <c r="A1059" s="57" t="s">
        <v>1531</v>
      </c>
      <c r="B1059" s="58" t="n">
        <v>45603</v>
      </c>
      <c r="C1059" s="57" t="n">
        <f aca="false">YEAR(B1059)</f>
        <v>2024</v>
      </c>
      <c r="D1059" s="57" t="n">
        <f aca="false">MONTH(B1059)</f>
        <v>11</v>
      </c>
      <c r="E1059" s="57" t="s">
        <v>296</v>
      </c>
      <c r="F1059" s="57" t="s">
        <v>75</v>
      </c>
      <c r="G1059" s="57" t="s">
        <v>35</v>
      </c>
      <c r="H1059" s="57" t="s">
        <v>36</v>
      </c>
      <c r="I1059" s="59" t="n">
        <v>1</v>
      </c>
      <c r="J1059" s="60" t="n">
        <v>179</v>
      </c>
      <c r="K1059" s="60" t="n">
        <v>92</v>
      </c>
      <c r="L1059" s="61" t="n">
        <f aca="false">I1059*J1059</f>
        <v>179</v>
      </c>
      <c r="M1059" s="61" t="n">
        <f aca="false">L1059-I1059*K1059</f>
        <v>87</v>
      </c>
      <c r="N1059" s="57" t="n">
        <f aca="false">IF(COUNTIFS(E$2:E1059,E1059,C$2:C1059,C1059)=1,1,0)</f>
        <v>0</v>
      </c>
      <c r="O1059" s="57" t="n">
        <f aca="false">IF(COUNTIFS(E$2:E1059,E1059,C$2:C1059,C1059,D$2:D1059,D1059)=1,1,0)</f>
        <v>1</v>
      </c>
      <c r="P1059" s="57" t="n">
        <f aca="false">IF(AND(C1059=Calc!$C$3,OR(Calc!$C$4=0,D1059=Calc!$C$4)),ROW(),0)</f>
        <v>0</v>
      </c>
    </row>
    <row r="1060" customFormat="false" ht="15" hidden="false" customHeight="false" outlineLevel="0" collapsed="false">
      <c r="A1060" s="57" t="s">
        <v>1532</v>
      </c>
      <c r="B1060" s="58" t="n">
        <v>45603</v>
      </c>
      <c r="C1060" s="57" t="n">
        <f aca="false">YEAR(B1060)</f>
        <v>2024</v>
      </c>
      <c r="D1060" s="57" t="n">
        <f aca="false">MONTH(B1060)</f>
        <v>11</v>
      </c>
      <c r="E1060" s="57" t="s">
        <v>168</v>
      </c>
      <c r="F1060" s="57" t="s">
        <v>81</v>
      </c>
      <c r="G1060" s="57" t="s">
        <v>40</v>
      </c>
      <c r="H1060" s="57" t="s">
        <v>43</v>
      </c>
      <c r="I1060" s="59" t="n">
        <v>2</v>
      </c>
      <c r="J1060" s="60" t="n">
        <v>29</v>
      </c>
      <c r="K1060" s="60" t="n">
        <v>9</v>
      </c>
      <c r="L1060" s="61" t="n">
        <f aca="false">I1060*J1060</f>
        <v>58</v>
      </c>
      <c r="M1060" s="61" t="n">
        <f aca="false">L1060-I1060*K1060</f>
        <v>40</v>
      </c>
      <c r="N1060" s="57" t="n">
        <f aca="false">IF(COUNTIFS(E$2:E1060,E1060,C$2:C1060,C1060)=1,1,0)</f>
        <v>0</v>
      </c>
      <c r="O1060" s="57" t="n">
        <f aca="false">IF(COUNTIFS(E$2:E1060,E1060,C$2:C1060,C1060,D$2:D1060,D1060)=1,1,0)</f>
        <v>1</v>
      </c>
      <c r="P1060" s="57" t="n">
        <f aca="false">IF(AND(C1060=Calc!$C$3,OR(Calc!$C$4=0,D1060=Calc!$C$4)),ROW(),0)</f>
        <v>0</v>
      </c>
    </row>
    <row r="1061" customFormat="false" ht="15" hidden="false" customHeight="false" outlineLevel="0" collapsed="false">
      <c r="A1061" s="57" t="s">
        <v>1533</v>
      </c>
      <c r="B1061" s="58" t="n">
        <v>45603</v>
      </c>
      <c r="C1061" s="57" t="n">
        <f aca="false">YEAR(B1061)</f>
        <v>2024</v>
      </c>
      <c r="D1061" s="57" t="n">
        <f aca="false">MONTH(B1061)</f>
        <v>11</v>
      </c>
      <c r="E1061" s="57" t="s">
        <v>1175</v>
      </c>
      <c r="F1061" s="57" t="s">
        <v>81</v>
      </c>
      <c r="G1061" s="57" t="s">
        <v>45</v>
      </c>
      <c r="H1061" s="57" t="s">
        <v>48</v>
      </c>
      <c r="I1061" s="59" t="n">
        <v>1</v>
      </c>
      <c r="J1061" s="60" t="n">
        <v>99</v>
      </c>
      <c r="K1061" s="60" t="n">
        <v>38</v>
      </c>
      <c r="L1061" s="61" t="n">
        <f aca="false">I1061*J1061</f>
        <v>99</v>
      </c>
      <c r="M1061" s="61" t="n">
        <f aca="false">L1061-I1061*K1061</f>
        <v>61</v>
      </c>
      <c r="N1061" s="57" t="n">
        <f aca="false">IF(COUNTIFS(E$2:E1061,E1061,C$2:C1061,C1061)=1,1,0)</f>
        <v>0</v>
      </c>
      <c r="O1061" s="57" t="n">
        <f aca="false">IF(COUNTIFS(E$2:E1061,E1061,C$2:C1061,C1061,D$2:D1061,D1061)=1,1,0)</f>
        <v>1</v>
      </c>
      <c r="P1061" s="57" t="n">
        <f aca="false">IF(AND(C1061=Calc!$C$3,OR(Calc!$C$4=0,D1061=Calc!$C$4)),ROW(),0)</f>
        <v>0</v>
      </c>
    </row>
    <row r="1062" customFormat="false" ht="15" hidden="false" customHeight="false" outlineLevel="0" collapsed="false">
      <c r="A1062" s="57" t="s">
        <v>1534</v>
      </c>
      <c r="B1062" s="58" t="n">
        <v>45603</v>
      </c>
      <c r="C1062" s="57" t="n">
        <f aca="false">YEAR(B1062)</f>
        <v>2024</v>
      </c>
      <c r="D1062" s="57" t="n">
        <f aca="false">MONTH(B1062)</f>
        <v>11</v>
      </c>
      <c r="E1062" s="57" t="s">
        <v>215</v>
      </c>
      <c r="F1062" s="57" t="s">
        <v>75</v>
      </c>
      <c r="G1062" s="57" t="s">
        <v>35</v>
      </c>
      <c r="H1062" s="57" t="s">
        <v>34</v>
      </c>
      <c r="I1062" s="59" t="n">
        <v>2</v>
      </c>
      <c r="J1062" s="60" t="n">
        <v>89</v>
      </c>
      <c r="K1062" s="60" t="n">
        <v>41</v>
      </c>
      <c r="L1062" s="61" t="n">
        <f aca="false">I1062*J1062</f>
        <v>178</v>
      </c>
      <c r="M1062" s="61" t="n">
        <f aca="false">L1062-I1062*K1062</f>
        <v>96</v>
      </c>
      <c r="N1062" s="57" t="n">
        <f aca="false">IF(COUNTIFS(E$2:E1062,E1062,C$2:C1062,C1062)=1,1,0)</f>
        <v>0</v>
      </c>
      <c r="O1062" s="57" t="n">
        <f aca="false">IF(COUNTIFS(E$2:E1062,E1062,C$2:C1062,C1062,D$2:D1062,D1062)=1,1,0)</f>
        <v>1</v>
      </c>
      <c r="P1062" s="57" t="n">
        <f aca="false">IF(AND(C1062=Calc!$C$3,OR(Calc!$C$4=0,D1062=Calc!$C$4)),ROW(),0)</f>
        <v>0</v>
      </c>
    </row>
    <row r="1063" customFormat="false" ht="15" hidden="false" customHeight="false" outlineLevel="0" collapsed="false">
      <c r="A1063" s="57" t="s">
        <v>1535</v>
      </c>
      <c r="B1063" s="58" t="n">
        <v>45604</v>
      </c>
      <c r="C1063" s="57" t="n">
        <f aca="false">YEAR(B1063)</f>
        <v>2024</v>
      </c>
      <c r="D1063" s="57" t="n">
        <f aca="false">MONTH(B1063)</f>
        <v>11</v>
      </c>
      <c r="E1063" s="57" t="s">
        <v>91</v>
      </c>
      <c r="F1063" s="57" t="s">
        <v>69</v>
      </c>
      <c r="G1063" s="57" t="s">
        <v>45</v>
      </c>
      <c r="H1063" s="57" t="s">
        <v>48</v>
      </c>
      <c r="I1063" s="59" t="n">
        <v>1</v>
      </c>
      <c r="J1063" s="60" t="n">
        <v>99</v>
      </c>
      <c r="K1063" s="60" t="n">
        <v>38</v>
      </c>
      <c r="L1063" s="61" t="n">
        <f aca="false">I1063*J1063</f>
        <v>99</v>
      </c>
      <c r="M1063" s="61" t="n">
        <f aca="false">L1063-I1063*K1063</f>
        <v>61</v>
      </c>
      <c r="N1063" s="57" t="n">
        <f aca="false">IF(COUNTIFS(E$2:E1063,E1063,C$2:C1063,C1063)=1,1,0)</f>
        <v>0</v>
      </c>
      <c r="O1063" s="57" t="n">
        <f aca="false">IF(COUNTIFS(E$2:E1063,E1063,C$2:C1063,C1063,D$2:D1063,D1063)=1,1,0)</f>
        <v>1</v>
      </c>
      <c r="P1063" s="57" t="n">
        <f aca="false">IF(AND(C1063=Calc!$C$3,OR(Calc!$C$4=0,D1063=Calc!$C$4)),ROW(),0)</f>
        <v>0</v>
      </c>
    </row>
    <row r="1064" customFormat="false" ht="15" hidden="false" customHeight="false" outlineLevel="0" collapsed="false">
      <c r="A1064" s="57" t="s">
        <v>1536</v>
      </c>
      <c r="B1064" s="58" t="n">
        <v>45604</v>
      </c>
      <c r="C1064" s="57" t="n">
        <f aca="false">YEAR(B1064)</f>
        <v>2024</v>
      </c>
      <c r="D1064" s="57" t="n">
        <f aca="false">MONTH(B1064)</f>
        <v>11</v>
      </c>
      <c r="E1064" s="57" t="s">
        <v>1537</v>
      </c>
      <c r="F1064" s="57" t="s">
        <v>75</v>
      </c>
      <c r="G1064" s="57" t="s">
        <v>40</v>
      </c>
      <c r="H1064" s="57" t="s">
        <v>43</v>
      </c>
      <c r="I1064" s="59" t="n">
        <v>1</v>
      </c>
      <c r="J1064" s="60" t="n">
        <v>29</v>
      </c>
      <c r="K1064" s="60" t="n">
        <v>9</v>
      </c>
      <c r="L1064" s="61" t="n">
        <f aca="false">I1064*J1064</f>
        <v>29</v>
      </c>
      <c r="M1064" s="61" t="n">
        <f aca="false">L1064-I1064*K1064</f>
        <v>20</v>
      </c>
      <c r="N1064" s="57" t="n">
        <f aca="false">IF(COUNTIFS(E$2:E1064,E1064,C$2:C1064,C1064)=1,1,0)</f>
        <v>1</v>
      </c>
      <c r="O1064" s="57" t="n">
        <f aca="false">IF(COUNTIFS(E$2:E1064,E1064,C$2:C1064,C1064,D$2:D1064,D1064)=1,1,0)</f>
        <v>1</v>
      </c>
      <c r="P1064" s="57" t="n">
        <f aca="false">IF(AND(C1064=Calc!$C$3,OR(Calc!$C$4=0,D1064=Calc!$C$4)),ROW(),0)</f>
        <v>0</v>
      </c>
    </row>
    <row r="1065" customFormat="false" ht="15" hidden="false" customHeight="false" outlineLevel="0" collapsed="false">
      <c r="A1065" s="57" t="s">
        <v>1538</v>
      </c>
      <c r="B1065" s="58" t="n">
        <v>45604</v>
      </c>
      <c r="C1065" s="57" t="n">
        <f aca="false">YEAR(B1065)</f>
        <v>2024</v>
      </c>
      <c r="D1065" s="57" t="n">
        <f aca="false">MONTH(B1065)</f>
        <v>11</v>
      </c>
      <c r="E1065" s="57" t="s">
        <v>1539</v>
      </c>
      <c r="F1065" s="57" t="s">
        <v>75</v>
      </c>
      <c r="G1065" s="57" t="s">
        <v>35</v>
      </c>
      <c r="H1065" s="57" t="s">
        <v>34</v>
      </c>
      <c r="I1065" s="59" t="n">
        <v>1</v>
      </c>
      <c r="J1065" s="60" t="n">
        <v>89</v>
      </c>
      <c r="K1065" s="60" t="n">
        <v>41</v>
      </c>
      <c r="L1065" s="61" t="n">
        <f aca="false">I1065*J1065</f>
        <v>89</v>
      </c>
      <c r="M1065" s="61" t="n">
        <f aca="false">L1065-I1065*K1065</f>
        <v>48</v>
      </c>
      <c r="N1065" s="57" t="n">
        <f aca="false">IF(COUNTIFS(E$2:E1065,E1065,C$2:C1065,C1065)=1,1,0)</f>
        <v>1</v>
      </c>
      <c r="O1065" s="57" t="n">
        <f aca="false">IF(COUNTIFS(E$2:E1065,E1065,C$2:C1065,C1065,D$2:D1065,D1065)=1,1,0)</f>
        <v>1</v>
      </c>
      <c r="P1065" s="57" t="n">
        <f aca="false">IF(AND(C1065=Calc!$C$3,OR(Calc!$C$4=0,D1065=Calc!$C$4)),ROW(),0)</f>
        <v>0</v>
      </c>
    </row>
    <row r="1066" customFormat="false" ht="15" hidden="false" customHeight="false" outlineLevel="0" collapsed="false">
      <c r="A1066" s="57" t="s">
        <v>1540</v>
      </c>
      <c r="B1066" s="58" t="n">
        <v>45604</v>
      </c>
      <c r="C1066" s="57" t="n">
        <f aca="false">YEAR(B1066)</f>
        <v>2024</v>
      </c>
      <c r="D1066" s="57" t="n">
        <f aca="false">MONTH(B1066)</f>
        <v>11</v>
      </c>
      <c r="E1066" s="57" t="s">
        <v>850</v>
      </c>
      <c r="F1066" s="57" t="s">
        <v>78</v>
      </c>
      <c r="G1066" s="57" t="s">
        <v>35</v>
      </c>
      <c r="H1066" s="57" t="s">
        <v>34</v>
      </c>
      <c r="I1066" s="59" t="n">
        <v>2</v>
      </c>
      <c r="J1066" s="60" t="n">
        <v>89</v>
      </c>
      <c r="K1066" s="60" t="n">
        <v>41</v>
      </c>
      <c r="L1066" s="61" t="n">
        <f aca="false">I1066*J1066</f>
        <v>178</v>
      </c>
      <c r="M1066" s="61" t="n">
        <f aca="false">L1066-I1066*K1066</f>
        <v>96</v>
      </c>
      <c r="N1066" s="57" t="n">
        <f aca="false">IF(COUNTIFS(E$2:E1066,E1066,C$2:C1066,C1066)=1,1,0)</f>
        <v>0</v>
      </c>
      <c r="O1066" s="57" t="n">
        <f aca="false">IF(COUNTIFS(E$2:E1066,E1066,C$2:C1066,C1066,D$2:D1066,D1066)=1,1,0)</f>
        <v>1</v>
      </c>
      <c r="P1066" s="57" t="n">
        <f aca="false">IF(AND(C1066=Calc!$C$3,OR(Calc!$C$4=0,D1066=Calc!$C$4)),ROW(),0)</f>
        <v>0</v>
      </c>
    </row>
    <row r="1067" customFormat="false" ht="15" hidden="false" customHeight="false" outlineLevel="0" collapsed="false">
      <c r="A1067" s="57" t="s">
        <v>1541</v>
      </c>
      <c r="B1067" s="58" t="n">
        <v>45605</v>
      </c>
      <c r="C1067" s="57" t="n">
        <f aca="false">YEAR(B1067)</f>
        <v>2024</v>
      </c>
      <c r="D1067" s="57" t="n">
        <f aca="false">MONTH(B1067)</f>
        <v>11</v>
      </c>
      <c r="E1067" s="57" t="s">
        <v>185</v>
      </c>
      <c r="F1067" s="57" t="s">
        <v>81</v>
      </c>
      <c r="G1067" s="57" t="s">
        <v>40</v>
      </c>
      <c r="H1067" s="57" t="s">
        <v>39</v>
      </c>
      <c r="I1067" s="59" t="n">
        <v>2</v>
      </c>
      <c r="J1067" s="60" t="n">
        <v>54</v>
      </c>
      <c r="K1067" s="60" t="n">
        <v>19</v>
      </c>
      <c r="L1067" s="61" t="n">
        <f aca="false">I1067*J1067</f>
        <v>108</v>
      </c>
      <c r="M1067" s="61" t="n">
        <f aca="false">L1067-I1067*K1067</f>
        <v>70</v>
      </c>
      <c r="N1067" s="57" t="n">
        <f aca="false">IF(COUNTIFS(E$2:E1067,E1067,C$2:C1067,C1067)=1,1,0)</f>
        <v>0</v>
      </c>
      <c r="O1067" s="57" t="n">
        <f aca="false">IF(COUNTIFS(E$2:E1067,E1067,C$2:C1067,C1067,D$2:D1067,D1067)=1,1,0)</f>
        <v>1</v>
      </c>
      <c r="P1067" s="57" t="n">
        <f aca="false">IF(AND(C1067=Calc!$C$3,OR(Calc!$C$4=0,D1067=Calc!$C$4)),ROW(),0)</f>
        <v>0</v>
      </c>
    </row>
    <row r="1068" customFormat="false" ht="15" hidden="false" customHeight="false" outlineLevel="0" collapsed="false">
      <c r="A1068" s="57" t="s">
        <v>1542</v>
      </c>
      <c r="B1068" s="58" t="n">
        <v>45605</v>
      </c>
      <c r="C1068" s="57" t="n">
        <f aca="false">YEAR(B1068)</f>
        <v>2024</v>
      </c>
      <c r="D1068" s="57" t="n">
        <f aca="false">MONTH(B1068)</f>
        <v>11</v>
      </c>
      <c r="E1068" s="57" t="s">
        <v>1294</v>
      </c>
      <c r="F1068" s="57" t="s">
        <v>81</v>
      </c>
      <c r="G1068" s="57" t="s">
        <v>45</v>
      </c>
      <c r="H1068" s="57" t="s">
        <v>44</v>
      </c>
      <c r="I1068" s="59" t="n">
        <v>1</v>
      </c>
      <c r="J1068" s="60" t="n">
        <v>119</v>
      </c>
      <c r="K1068" s="60" t="n">
        <v>63</v>
      </c>
      <c r="L1068" s="61" t="n">
        <f aca="false">I1068*J1068</f>
        <v>119</v>
      </c>
      <c r="M1068" s="61" t="n">
        <f aca="false">L1068-I1068*K1068</f>
        <v>56</v>
      </c>
      <c r="N1068" s="57" t="n">
        <f aca="false">IF(COUNTIFS(E$2:E1068,E1068,C$2:C1068,C1068)=1,1,0)</f>
        <v>0</v>
      </c>
      <c r="O1068" s="57" t="n">
        <f aca="false">IF(COUNTIFS(E$2:E1068,E1068,C$2:C1068,C1068,D$2:D1068,D1068)=1,1,0)</f>
        <v>1</v>
      </c>
      <c r="P1068" s="57" t="n">
        <f aca="false">IF(AND(C1068=Calc!$C$3,OR(Calc!$C$4=0,D1068=Calc!$C$4)),ROW(),0)</f>
        <v>0</v>
      </c>
    </row>
    <row r="1069" customFormat="false" ht="15" hidden="false" customHeight="false" outlineLevel="0" collapsed="false">
      <c r="A1069" s="57" t="s">
        <v>1543</v>
      </c>
      <c r="B1069" s="58" t="n">
        <v>45605</v>
      </c>
      <c r="C1069" s="57" t="n">
        <f aca="false">YEAR(B1069)</f>
        <v>2024</v>
      </c>
      <c r="D1069" s="57" t="n">
        <f aca="false">MONTH(B1069)</f>
        <v>11</v>
      </c>
      <c r="E1069" s="57" t="s">
        <v>235</v>
      </c>
      <c r="F1069" s="57" t="s">
        <v>69</v>
      </c>
      <c r="G1069" s="57" t="s">
        <v>45</v>
      </c>
      <c r="H1069" s="57" t="s">
        <v>46</v>
      </c>
      <c r="I1069" s="59" t="n">
        <v>1</v>
      </c>
      <c r="J1069" s="60" t="n">
        <v>149</v>
      </c>
      <c r="K1069" s="60" t="n">
        <v>71</v>
      </c>
      <c r="L1069" s="61" t="n">
        <f aca="false">I1069*J1069</f>
        <v>149</v>
      </c>
      <c r="M1069" s="61" t="n">
        <f aca="false">L1069-I1069*K1069</f>
        <v>78</v>
      </c>
      <c r="N1069" s="57" t="n">
        <f aca="false">IF(COUNTIFS(E$2:E1069,E1069,C$2:C1069,C1069)=1,1,0)</f>
        <v>0</v>
      </c>
      <c r="O1069" s="57" t="n">
        <f aca="false">IF(COUNTIFS(E$2:E1069,E1069,C$2:C1069,C1069,D$2:D1069,D1069)=1,1,0)</f>
        <v>1</v>
      </c>
      <c r="P1069" s="57" t="n">
        <f aca="false">IF(AND(C1069=Calc!$C$3,OR(Calc!$C$4=0,D1069=Calc!$C$4)),ROW(),0)</f>
        <v>0</v>
      </c>
    </row>
    <row r="1070" customFormat="false" ht="15" hidden="false" customHeight="false" outlineLevel="0" collapsed="false">
      <c r="A1070" s="57" t="s">
        <v>1544</v>
      </c>
      <c r="B1070" s="58" t="n">
        <v>45605</v>
      </c>
      <c r="C1070" s="57" t="n">
        <f aca="false">YEAR(B1070)</f>
        <v>2024</v>
      </c>
      <c r="D1070" s="57" t="n">
        <f aca="false">MONTH(B1070)</f>
        <v>11</v>
      </c>
      <c r="E1070" s="57" t="s">
        <v>1292</v>
      </c>
      <c r="F1070" s="57" t="s">
        <v>69</v>
      </c>
      <c r="G1070" s="57" t="s">
        <v>40</v>
      </c>
      <c r="H1070" s="57" t="s">
        <v>41</v>
      </c>
      <c r="I1070" s="59" t="n">
        <v>1</v>
      </c>
      <c r="J1070" s="60" t="n">
        <v>46</v>
      </c>
      <c r="K1070" s="60" t="n">
        <v>16</v>
      </c>
      <c r="L1070" s="61" t="n">
        <f aca="false">I1070*J1070</f>
        <v>46</v>
      </c>
      <c r="M1070" s="61" t="n">
        <f aca="false">L1070-I1070*K1070</f>
        <v>30</v>
      </c>
      <c r="N1070" s="57" t="n">
        <f aca="false">IF(COUNTIFS(E$2:E1070,E1070,C$2:C1070,C1070)=1,1,0)</f>
        <v>0</v>
      </c>
      <c r="O1070" s="57" t="n">
        <f aca="false">IF(COUNTIFS(E$2:E1070,E1070,C$2:C1070,C1070,D$2:D1070,D1070)=1,1,0)</f>
        <v>1</v>
      </c>
      <c r="P1070" s="57" t="n">
        <f aca="false">IF(AND(C1070=Calc!$C$3,OR(Calc!$C$4=0,D1070=Calc!$C$4)),ROW(),0)</f>
        <v>0</v>
      </c>
    </row>
    <row r="1071" customFormat="false" ht="15" hidden="false" customHeight="false" outlineLevel="0" collapsed="false">
      <c r="A1071" s="57" t="s">
        <v>1545</v>
      </c>
      <c r="B1071" s="58" t="n">
        <v>45605</v>
      </c>
      <c r="C1071" s="57" t="n">
        <f aca="false">YEAR(B1071)</f>
        <v>2024</v>
      </c>
      <c r="D1071" s="57" t="n">
        <f aca="false">MONTH(B1071)</f>
        <v>11</v>
      </c>
      <c r="E1071" s="57" t="s">
        <v>215</v>
      </c>
      <c r="F1071" s="57" t="s">
        <v>75</v>
      </c>
      <c r="G1071" s="57" t="s">
        <v>45</v>
      </c>
      <c r="H1071" s="57" t="s">
        <v>44</v>
      </c>
      <c r="I1071" s="59" t="n">
        <v>1</v>
      </c>
      <c r="J1071" s="60" t="n">
        <v>119</v>
      </c>
      <c r="K1071" s="60" t="n">
        <v>63</v>
      </c>
      <c r="L1071" s="61" t="n">
        <f aca="false">I1071*J1071</f>
        <v>119</v>
      </c>
      <c r="M1071" s="61" t="n">
        <f aca="false">L1071-I1071*K1071</f>
        <v>56</v>
      </c>
      <c r="N1071" s="57" t="n">
        <f aca="false">IF(COUNTIFS(E$2:E1071,E1071,C$2:C1071,C1071)=1,1,0)</f>
        <v>0</v>
      </c>
      <c r="O1071" s="57" t="n">
        <f aca="false">IF(COUNTIFS(E$2:E1071,E1071,C$2:C1071,C1071,D$2:D1071,D1071)=1,1,0)</f>
        <v>0</v>
      </c>
      <c r="P1071" s="57" t="n">
        <f aca="false">IF(AND(C1071=Calc!$C$3,OR(Calc!$C$4=0,D1071=Calc!$C$4)),ROW(),0)</f>
        <v>0</v>
      </c>
    </row>
    <row r="1072" customFormat="false" ht="15" hidden="false" customHeight="false" outlineLevel="0" collapsed="false">
      <c r="A1072" s="57" t="s">
        <v>1546</v>
      </c>
      <c r="B1072" s="58" t="n">
        <v>45606</v>
      </c>
      <c r="C1072" s="57" t="n">
        <f aca="false">YEAR(B1072)</f>
        <v>2024</v>
      </c>
      <c r="D1072" s="57" t="n">
        <f aca="false">MONTH(B1072)</f>
        <v>11</v>
      </c>
      <c r="E1072" s="57" t="s">
        <v>1547</v>
      </c>
      <c r="F1072" s="57" t="s">
        <v>75</v>
      </c>
      <c r="G1072" s="57" t="s">
        <v>50</v>
      </c>
      <c r="H1072" s="57" t="s">
        <v>49</v>
      </c>
      <c r="I1072" s="59" t="n">
        <v>1</v>
      </c>
      <c r="J1072" s="60" t="n">
        <v>32</v>
      </c>
      <c r="K1072" s="60" t="n">
        <v>7</v>
      </c>
      <c r="L1072" s="61" t="n">
        <f aca="false">I1072*J1072</f>
        <v>32</v>
      </c>
      <c r="M1072" s="61" t="n">
        <f aca="false">L1072-I1072*K1072</f>
        <v>25</v>
      </c>
      <c r="N1072" s="57" t="n">
        <f aca="false">IF(COUNTIFS(E$2:E1072,E1072,C$2:C1072,C1072)=1,1,0)</f>
        <v>1</v>
      </c>
      <c r="O1072" s="57" t="n">
        <f aca="false">IF(COUNTIFS(E$2:E1072,E1072,C$2:C1072,C1072,D$2:D1072,D1072)=1,1,0)</f>
        <v>1</v>
      </c>
      <c r="P1072" s="57" t="n">
        <f aca="false">IF(AND(C1072=Calc!$C$3,OR(Calc!$C$4=0,D1072=Calc!$C$4)),ROW(),0)</f>
        <v>0</v>
      </c>
    </row>
    <row r="1073" customFormat="false" ht="15" hidden="false" customHeight="false" outlineLevel="0" collapsed="false">
      <c r="A1073" s="57" t="s">
        <v>1548</v>
      </c>
      <c r="B1073" s="58" t="n">
        <v>45606</v>
      </c>
      <c r="C1073" s="57" t="n">
        <f aca="false">YEAR(B1073)</f>
        <v>2024</v>
      </c>
      <c r="D1073" s="57" t="n">
        <f aca="false">MONTH(B1073)</f>
        <v>11</v>
      </c>
      <c r="E1073" s="57" t="s">
        <v>924</v>
      </c>
      <c r="F1073" s="57" t="s">
        <v>72</v>
      </c>
      <c r="G1073" s="57" t="s">
        <v>40</v>
      </c>
      <c r="H1073" s="57" t="s">
        <v>43</v>
      </c>
      <c r="I1073" s="59" t="n">
        <v>2</v>
      </c>
      <c r="J1073" s="60" t="n">
        <v>29</v>
      </c>
      <c r="K1073" s="60" t="n">
        <v>9</v>
      </c>
      <c r="L1073" s="61" t="n">
        <f aca="false">I1073*J1073</f>
        <v>58</v>
      </c>
      <c r="M1073" s="61" t="n">
        <f aca="false">L1073-I1073*K1073</f>
        <v>40</v>
      </c>
      <c r="N1073" s="57" t="n">
        <f aca="false">IF(COUNTIFS(E$2:E1073,E1073,C$2:C1073,C1073)=1,1,0)</f>
        <v>0</v>
      </c>
      <c r="O1073" s="57" t="n">
        <f aca="false">IF(COUNTIFS(E$2:E1073,E1073,C$2:C1073,C1073,D$2:D1073,D1073)=1,1,0)</f>
        <v>1</v>
      </c>
      <c r="P1073" s="57" t="n">
        <f aca="false">IF(AND(C1073=Calc!$C$3,OR(Calc!$C$4=0,D1073=Calc!$C$4)),ROW(),0)</f>
        <v>0</v>
      </c>
    </row>
    <row r="1074" customFormat="false" ht="15" hidden="false" customHeight="false" outlineLevel="0" collapsed="false">
      <c r="A1074" s="57" t="s">
        <v>1549</v>
      </c>
      <c r="B1074" s="58" t="n">
        <v>45606</v>
      </c>
      <c r="C1074" s="57" t="n">
        <f aca="false">YEAR(B1074)</f>
        <v>2024</v>
      </c>
      <c r="D1074" s="57" t="n">
        <f aca="false">MONTH(B1074)</f>
        <v>11</v>
      </c>
      <c r="E1074" s="57" t="s">
        <v>133</v>
      </c>
      <c r="F1074" s="57" t="s">
        <v>72</v>
      </c>
      <c r="G1074" s="57" t="s">
        <v>35</v>
      </c>
      <c r="H1074" s="57" t="s">
        <v>37</v>
      </c>
      <c r="I1074" s="59" t="n">
        <v>1</v>
      </c>
      <c r="J1074" s="60" t="n">
        <v>59</v>
      </c>
      <c r="K1074" s="60" t="n">
        <v>27</v>
      </c>
      <c r="L1074" s="61" t="n">
        <f aca="false">I1074*J1074</f>
        <v>59</v>
      </c>
      <c r="M1074" s="61" t="n">
        <f aca="false">L1074-I1074*K1074</f>
        <v>32</v>
      </c>
      <c r="N1074" s="57" t="n">
        <f aca="false">IF(COUNTIFS(E$2:E1074,E1074,C$2:C1074,C1074)=1,1,0)</f>
        <v>0</v>
      </c>
      <c r="O1074" s="57" t="n">
        <f aca="false">IF(COUNTIFS(E$2:E1074,E1074,C$2:C1074,C1074,D$2:D1074,D1074)=1,1,0)</f>
        <v>1</v>
      </c>
      <c r="P1074" s="57" t="n">
        <f aca="false">IF(AND(C1074=Calc!$C$3,OR(Calc!$C$4=0,D1074=Calc!$C$4)),ROW(),0)</f>
        <v>0</v>
      </c>
    </row>
    <row r="1075" customFormat="false" ht="15" hidden="false" customHeight="false" outlineLevel="0" collapsed="false">
      <c r="A1075" s="57" t="s">
        <v>1550</v>
      </c>
      <c r="B1075" s="58" t="n">
        <v>45606</v>
      </c>
      <c r="C1075" s="57" t="n">
        <f aca="false">YEAR(B1075)</f>
        <v>2024</v>
      </c>
      <c r="D1075" s="57" t="n">
        <f aca="false">MONTH(B1075)</f>
        <v>11</v>
      </c>
      <c r="E1075" s="57" t="s">
        <v>355</v>
      </c>
      <c r="F1075" s="57" t="s">
        <v>78</v>
      </c>
      <c r="G1075" s="57" t="s">
        <v>50</v>
      </c>
      <c r="H1075" s="57" t="s">
        <v>52</v>
      </c>
      <c r="I1075" s="59" t="n">
        <v>1</v>
      </c>
      <c r="J1075" s="60" t="n">
        <v>45</v>
      </c>
      <c r="K1075" s="60" t="n">
        <v>14</v>
      </c>
      <c r="L1075" s="61" t="n">
        <f aca="false">I1075*J1075</f>
        <v>45</v>
      </c>
      <c r="M1075" s="61" t="n">
        <f aca="false">L1075-I1075*K1075</f>
        <v>31</v>
      </c>
      <c r="N1075" s="57" t="n">
        <f aca="false">IF(COUNTIFS(E$2:E1075,E1075,C$2:C1075,C1075)=1,1,0)</f>
        <v>0</v>
      </c>
      <c r="O1075" s="57" t="n">
        <f aca="false">IF(COUNTIFS(E$2:E1075,E1075,C$2:C1075,C1075,D$2:D1075,D1075)=1,1,0)</f>
        <v>1</v>
      </c>
      <c r="P1075" s="57" t="n">
        <f aca="false">IF(AND(C1075=Calc!$C$3,OR(Calc!$C$4=0,D1075=Calc!$C$4)),ROW(),0)</f>
        <v>0</v>
      </c>
    </row>
    <row r="1076" customFormat="false" ht="15" hidden="false" customHeight="false" outlineLevel="0" collapsed="false">
      <c r="A1076" s="57" t="s">
        <v>1551</v>
      </c>
      <c r="B1076" s="58" t="n">
        <v>45607</v>
      </c>
      <c r="C1076" s="57" t="n">
        <f aca="false">YEAR(B1076)</f>
        <v>2024</v>
      </c>
      <c r="D1076" s="57" t="n">
        <f aca="false">MONTH(B1076)</f>
        <v>11</v>
      </c>
      <c r="E1076" s="57" t="s">
        <v>114</v>
      </c>
      <c r="F1076" s="57" t="s">
        <v>69</v>
      </c>
      <c r="G1076" s="57" t="s">
        <v>50</v>
      </c>
      <c r="H1076" s="57" t="s">
        <v>52</v>
      </c>
      <c r="I1076" s="59" t="n">
        <v>3</v>
      </c>
      <c r="J1076" s="60" t="n">
        <v>45</v>
      </c>
      <c r="K1076" s="60" t="n">
        <v>14</v>
      </c>
      <c r="L1076" s="61" t="n">
        <f aca="false">I1076*J1076</f>
        <v>135</v>
      </c>
      <c r="M1076" s="61" t="n">
        <f aca="false">L1076-I1076*K1076</f>
        <v>93</v>
      </c>
      <c r="N1076" s="57" t="n">
        <f aca="false">IF(COUNTIFS(E$2:E1076,E1076,C$2:C1076,C1076)=1,1,0)</f>
        <v>0</v>
      </c>
      <c r="O1076" s="57" t="n">
        <f aca="false">IF(COUNTIFS(E$2:E1076,E1076,C$2:C1076,C1076,D$2:D1076,D1076)=1,1,0)</f>
        <v>1</v>
      </c>
      <c r="P1076" s="57" t="n">
        <f aca="false">IF(AND(C1076=Calc!$C$3,OR(Calc!$C$4=0,D1076=Calc!$C$4)),ROW(),0)</f>
        <v>0</v>
      </c>
    </row>
    <row r="1077" customFormat="false" ht="15" hidden="false" customHeight="false" outlineLevel="0" collapsed="false">
      <c r="A1077" s="57" t="s">
        <v>1552</v>
      </c>
      <c r="B1077" s="58" t="n">
        <v>45607</v>
      </c>
      <c r="C1077" s="57" t="n">
        <f aca="false">YEAR(B1077)</f>
        <v>2024</v>
      </c>
      <c r="D1077" s="57" t="n">
        <f aca="false">MONTH(B1077)</f>
        <v>11</v>
      </c>
      <c r="E1077" s="57" t="s">
        <v>1553</v>
      </c>
      <c r="F1077" s="57" t="s">
        <v>81</v>
      </c>
      <c r="G1077" s="57" t="s">
        <v>40</v>
      </c>
      <c r="H1077" s="57" t="s">
        <v>41</v>
      </c>
      <c r="I1077" s="59" t="n">
        <v>1</v>
      </c>
      <c r="J1077" s="60" t="n">
        <v>46</v>
      </c>
      <c r="K1077" s="60" t="n">
        <v>16</v>
      </c>
      <c r="L1077" s="61" t="n">
        <f aca="false">I1077*J1077</f>
        <v>46</v>
      </c>
      <c r="M1077" s="61" t="n">
        <f aca="false">L1077-I1077*K1077</f>
        <v>30</v>
      </c>
      <c r="N1077" s="57" t="n">
        <f aca="false">IF(COUNTIFS(E$2:E1077,E1077,C$2:C1077,C1077)=1,1,0)</f>
        <v>1</v>
      </c>
      <c r="O1077" s="57" t="n">
        <f aca="false">IF(COUNTIFS(E$2:E1077,E1077,C$2:C1077,C1077,D$2:D1077,D1077)=1,1,0)</f>
        <v>1</v>
      </c>
      <c r="P1077" s="57" t="n">
        <f aca="false">IF(AND(C1077=Calc!$C$3,OR(Calc!$C$4=0,D1077=Calc!$C$4)),ROW(),0)</f>
        <v>0</v>
      </c>
    </row>
    <row r="1078" customFormat="false" ht="15" hidden="false" customHeight="false" outlineLevel="0" collapsed="false">
      <c r="A1078" s="57" t="s">
        <v>1554</v>
      </c>
      <c r="B1078" s="58" t="n">
        <v>45607</v>
      </c>
      <c r="C1078" s="57" t="n">
        <f aca="false">YEAR(B1078)</f>
        <v>2024</v>
      </c>
      <c r="D1078" s="57" t="n">
        <f aca="false">MONTH(B1078)</f>
        <v>11</v>
      </c>
      <c r="E1078" s="57" t="s">
        <v>380</v>
      </c>
      <c r="F1078" s="57" t="s">
        <v>69</v>
      </c>
      <c r="G1078" s="57" t="s">
        <v>35</v>
      </c>
      <c r="H1078" s="57" t="s">
        <v>36</v>
      </c>
      <c r="I1078" s="59" t="n">
        <v>1</v>
      </c>
      <c r="J1078" s="60" t="n">
        <v>179</v>
      </c>
      <c r="K1078" s="60" t="n">
        <v>92</v>
      </c>
      <c r="L1078" s="61" t="n">
        <f aca="false">I1078*J1078</f>
        <v>179</v>
      </c>
      <c r="M1078" s="61" t="n">
        <f aca="false">L1078-I1078*K1078</f>
        <v>87</v>
      </c>
      <c r="N1078" s="57" t="n">
        <f aca="false">IF(COUNTIFS(E$2:E1078,E1078,C$2:C1078,C1078)=1,1,0)</f>
        <v>0</v>
      </c>
      <c r="O1078" s="57" t="n">
        <f aca="false">IF(COUNTIFS(E$2:E1078,E1078,C$2:C1078,C1078,D$2:D1078,D1078)=1,1,0)</f>
        <v>1</v>
      </c>
      <c r="P1078" s="57" t="n">
        <f aca="false">IF(AND(C1078=Calc!$C$3,OR(Calc!$C$4=0,D1078=Calc!$C$4)),ROW(),0)</f>
        <v>0</v>
      </c>
    </row>
    <row r="1079" customFormat="false" ht="15" hidden="false" customHeight="false" outlineLevel="0" collapsed="false">
      <c r="A1079" s="57" t="s">
        <v>1555</v>
      </c>
      <c r="B1079" s="58" t="n">
        <v>45607</v>
      </c>
      <c r="C1079" s="57" t="n">
        <f aca="false">YEAR(B1079)</f>
        <v>2024</v>
      </c>
      <c r="D1079" s="57" t="n">
        <f aca="false">MONTH(B1079)</f>
        <v>11</v>
      </c>
      <c r="E1079" s="57" t="s">
        <v>569</v>
      </c>
      <c r="F1079" s="57" t="s">
        <v>72</v>
      </c>
      <c r="G1079" s="57" t="s">
        <v>35</v>
      </c>
      <c r="H1079" s="57" t="s">
        <v>37</v>
      </c>
      <c r="I1079" s="59" t="n">
        <v>1</v>
      </c>
      <c r="J1079" s="60" t="n">
        <v>59</v>
      </c>
      <c r="K1079" s="60" t="n">
        <v>27</v>
      </c>
      <c r="L1079" s="61" t="n">
        <f aca="false">I1079*J1079</f>
        <v>59</v>
      </c>
      <c r="M1079" s="61" t="n">
        <f aca="false">L1079-I1079*K1079</f>
        <v>32</v>
      </c>
      <c r="N1079" s="57" t="n">
        <f aca="false">IF(COUNTIFS(E$2:E1079,E1079,C$2:C1079,C1079)=1,1,0)</f>
        <v>0</v>
      </c>
      <c r="O1079" s="57" t="n">
        <f aca="false">IF(COUNTIFS(E$2:E1079,E1079,C$2:C1079,C1079,D$2:D1079,D1079)=1,1,0)</f>
        <v>1</v>
      </c>
      <c r="P1079" s="57" t="n">
        <f aca="false">IF(AND(C1079=Calc!$C$3,OR(Calc!$C$4=0,D1079=Calc!$C$4)),ROW(),0)</f>
        <v>0</v>
      </c>
    </row>
    <row r="1080" customFormat="false" ht="15" hidden="false" customHeight="false" outlineLevel="0" collapsed="false">
      <c r="A1080" s="57" t="s">
        <v>1556</v>
      </c>
      <c r="B1080" s="58" t="n">
        <v>45607</v>
      </c>
      <c r="C1080" s="57" t="n">
        <f aca="false">YEAR(B1080)</f>
        <v>2024</v>
      </c>
      <c r="D1080" s="57" t="n">
        <f aca="false">MONTH(B1080)</f>
        <v>11</v>
      </c>
      <c r="E1080" s="57" t="s">
        <v>973</v>
      </c>
      <c r="F1080" s="57" t="s">
        <v>78</v>
      </c>
      <c r="G1080" s="57" t="s">
        <v>50</v>
      </c>
      <c r="H1080" s="57" t="s">
        <v>52</v>
      </c>
      <c r="I1080" s="59" t="n">
        <v>3</v>
      </c>
      <c r="J1080" s="60" t="n">
        <v>45</v>
      </c>
      <c r="K1080" s="60" t="n">
        <v>14</v>
      </c>
      <c r="L1080" s="61" t="n">
        <f aca="false">I1080*J1080</f>
        <v>135</v>
      </c>
      <c r="M1080" s="61" t="n">
        <f aca="false">L1080-I1080*K1080</f>
        <v>93</v>
      </c>
      <c r="N1080" s="57" t="n">
        <f aca="false">IF(COUNTIFS(E$2:E1080,E1080,C$2:C1080,C1080)=1,1,0)</f>
        <v>0</v>
      </c>
      <c r="O1080" s="57" t="n">
        <f aca="false">IF(COUNTIFS(E$2:E1080,E1080,C$2:C1080,C1080,D$2:D1080,D1080)=1,1,0)</f>
        <v>1</v>
      </c>
      <c r="P1080" s="57" t="n">
        <f aca="false">IF(AND(C1080=Calc!$C$3,OR(Calc!$C$4=0,D1080=Calc!$C$4)),ROW(),0)</f>
        <v>0</v>
      </c>
    </row>
    <row r="1081" customFormat="false" ht="15" hidden="false" customHeight="false" outlineLevel="0" collapsed="false">
      <c r="A1081" s="57" t="s">
        <v>1557</v>
      </c>
      <c r="B1081" s="58" t="n">
        <v>45608</v>
      </c>
      <c r="C1081" s="57" t="n">
        <f aca="false">YEAR(B1081)</f>
        <v>2024</v>
      </c>
      <c r="D1081" s="57" t="n">
        <f aca="false">MONTH(B1081)</f>
        <v>11</v>
      </c>
      <c r="E1081" s="57" t="s">
        <v>85</v>
      </c>
      <c r="F1081" s="57" t="s">
        <v>69</v>
      </c>
      <c r="G1081" s="57" t="s">
        <v>35</v>
      </c>
      <c r="H1081" s="57" t="s">
        <v>38</v>
      </c>
      <c r="I1081" s="59" t="n">
        <v>1</v>
      </c>
      <c r="J1081" s="60" t="n">
        <v>49</v>
      </c>
      <c r="K1081" s="60" t="n">
        <v>22</v>
      </c>
      <c r="L1081" s="61" t="n">
        <f aca="false">I1081*J1081</f>
        <v>49</v>
      </c>
      <c r="M1081" s="61" t="n">
        <f aca="false">L1081-I1081*K1081</f>
        <v>27</v>
      </c>
      <c r="N1081" s="57" t="n">
        <f aca="false">IF(COUNTIFS(E$2:E1081,E1081,C$2:C1081,C1081)=1,1,0)</f>
        <v>0</v>
      </c>
      <c r="O1081" s="57" t="n">
        <f aca="false">IF(COUNTIFS(E$2:E1081,E1081,C$2:C1081,C1081,D$2:D1081,D1081)=1,1,0)</f>
        <v>1</v>
      </c>
      <c r="P1081" s="57" t="n">
        <f aca="false">IF(AND(C1081=Calc!$C$3,OR(Calc!$C$4=0,D1081=Calc!$C$4)),ROW(),0)</f>
        <v>0</v>
      </c>
    </row>
    <row r="1082" customFormat="false" ht="15" hidden="false" customHeight="false" outlineLevel="0" collapsed="false">
      <c r="A1082" s="57" t="s">
        <v>1558</v>
      </c>
      <c r="B1082" s="58" t="n">
        <v>45608</v>
      </c>
      <c r="C1082" s="57" t="n">
        <f aca="false">YEAR(B1082)</f>
        <v>2024</v>
      </c>
      <c r="D1082" s="57" t="n">
        <f aca="false">MONTH(B1082)</f>
        <v>11</v>
      </c>
      <c r="E1082" s="57" t="s">
        <v>1313</v>
      </c>
      <c r="F1082" s="57" t="s">
        <v>75</v>
      </c>
      <c r="G1082" s="57" t="s">
        <v>50</v>
      </c>
      <c r="H1082" s="57" t="s">
        <v>49</v>
      </c>
      <c r="I1082" s="59" t="n">
        <v>1</v>
      </c>
      <c r="J1082" s="60" t="n">
        <v>32</v>
      </c>
      <c r="K1082" s="60" t="n">
        <v>7</v>
      </c>
      <c r="L1082" s="61" t="n">
        <f aca="false">I1082*J1082</f>
        <v>32</v>
      </c>
      <c r="M1082" s="61" t="n">
        <f aca="false">L1082-I1082*K1082</f>
        <v>25</v>
      </c>
      <c r="N1082" s="57" t="n">
        <f aca="false">IF(COUNTIFS(E$2:E1082,E1082,C$2:C1082,C1082)=1,1,0)</f>
        <v>0</v>
      </c>
      <c r="O1082" s="57" t="n">
        <f aca="false">IF(COUNTIFS(E$2:E1082,E1082,C$2:C1082,C1082,D$2:D1082,D1082)=1,1,0)</f>
        <v>1</v>
      </c>
      <c r="P1082" s="57" t="n">
        <f aca="false">IF(AND(C1082=Calc!$C$3,OR(Calc!$C$4=0,D1082=Calc!$C$4)),ROW(),0)</f>
        <v>0</v>
      </c>
    </row>
    <row r="1083" customFormat="false" ht="15" hidden="false" customHeight="false" outlineLevel="0" collapsed="false">
      <c r="A1083" s="57" t="s">
        <v>1559</v>
      </c>
      <c r="B1083" s="58" t="n">
        <v>45608</v>
      </c>
      <c r="C1083" s="57" t="n">
        <f aca="false">YEAR(B1083)</f>
        <v>2024</v>
      </c>
      <c r="D1083" s="57" t="n">
        <f aca="false">MONTH(B1083)</f>
        <v>11</v>
      </c>
      <c r="E1083" s="57" t="s">
        <v>97</v>
      </c>
      <c r="F1083" s="57" t="s">
        <v>78</v>
      </c>
      <c r="G1083" s="57" t="s">
        <v>35</v>
      </c>
      <c r="H1083" s="57" t="s">
        <v>37</v>
      </c>
      <c r="I1083" s="59" t="n">
        <v>1</v>
      </c>
      <c r="J1083" s="60" t="n">
        <v>59</v>
      </c>
      <c r="K1083" s="60" t="n">
        <v>27</v>
      </c>
      <c r="L1083" s="61" t="n">
        <f aca="false">I1083*J1083</f>
        <v>59</v>
      </c>
      <c r="M1083" s="61" t="n">
        <f aca="false">L1083-I1083*K1083</f>
        <v>32</v>
      </c>
      <c r="N1083" s="57" t="n">
        <f aca="false">IF(COUNTIFS(E$2:E1083,E1083,C$2:C1083,C1083)=1,1,0)</f>
        <v>0</v>
      </c>
      <c r="O1083" s="57" t="n">
        <f aca="false">IF(COUNTIFS(E$2:E1083,E1083,C$2:C1083,C1083,D$2:D1083,D1083)=1,1,0)</f>
        <v>1</v>
      </c>
      <c r="P1083" s="57" t="n">
        <f aca="false">IF(AND(C1083=Calc!$C$3,OR(Calc!$C$4=0,D1083=Calc!$C$4)),ROW(),0)</f>
        <v>0</v>
      </c>
    </row>
    <row r="1084" customFormat="false" ht="15" hidden="false" customHeight="false" outlineLevel="0" collapsed="false">
      <c r="A1084" s="57" t="s">
        <v>1560</v>
      </c>
      <c r="B1084" s="58" t="n">
        <v>45609</v>
      </c>
      <c r="C1084" s="57" t="n">
        <f aca="false">YEAR(B1084)</f>
        <v>2024</v>
      </c>
      <c r="D1084" s="57" t="n">
        <f aca="false">MONTH(B1084)</f>
        <v>11</v>
      </c>
      <c r="E1084" s="57" t="s">
        <v>620</v>
      </c>
      <c r="F1084" s="57" t="s">
        <v>72</v>
      </c>
      <c r="G1084" s="57" t="s">
        <v>50</v>
      </c>
      <c r="H1084" s="57" t="s">
        <v>52</v>
      </c>
      <c r="I1084" s="59" t="n">
        <v>1</v>
      </c>
      <c r="J1084" s="60" t="n">
        <v>45</v>
      </c>
      <c r="K1084" s="60" t="n">
        <v>14</v>
      </c>
      <c r="L1084" s="61" t="n">
        <f aca="false">I1084*J1084</f>
        <v>45</v>
      </c>
      <c r="M1084" s="61" t="n">
        <f aca="false">L1084-I1084*K1084</f>
        <v>31</v>
      </c>
      <c r="N1084" s="57" t="n">
        <f aca="false">IF(COUNTIFS(E$2:E1084,E1084,C$2:C1084,C1084)=1,1,0)</f>
        <v>0</v>
      </c>
      <c r="O1084" s="57" t="n">
        <f aca="false">IF(COUNTIFS(E$2:E1084,E1084,C$2:C1084,C1084,D$2:D1084,D1084)=1,1,0)</f>
        <v>1</v>
      </c>
      <c r="P1084" s="57" t="n">
        <f aca="false">IF(AND(C1084=Calc!$C$3,OR(Calc!$C$4=0,D1084=Calc!$C$4)),ROW(),0)</f>
        <v>0</v>
      </c>
    </row>
    <row r="1085" customFormat="false" ht="15" hidden="false" customHeight="false" outlineLevel="0" collapsed="false">
      <c r="A1085" s="57" t="s">
        <v>1561</v>
      </c>
      <c r="B1085" s="58" t="n">
        <v>45609</v>
      </c>
      <c r="C1085" s="57" t="n">
        <f aca="false">YEAR(B1085)</f>
        <v>2024</v>
      </c>
      <c r="D1085" s="57" t="n">
        <f aca="false">MONTH(B1085)</f>
        <v>11</v>
      </c>
      <c r="E1085" s="57" t="s">
        <v>281</v>
      </c>
      <c r="F1085" s="57" t="s">
        <v>81</v>
      </c>
      <c r="G1085" s="57" t="s">
        <v>50</v>
      </c>
      <c r="H1085" s="57" t="s">
        <v>51</v>
      </c>
      <c r="I1085" s="59" t="n">
        <v>1</v>
      </c>
      <c r="J1085" s="60" t="n">
        <v>69</v>
      </c>
      <c r="K1085" s="60" t="n">
        <v>29</v>
      </c>
      <c r="L1085" s="61" t="n">
        <f aca="false">I1085*J1085</f>
        <v>69</v>
      </c>
      <c r="M1085" s="61" t="n">
        <f aca="false">L1085-I1085*K1085</f>
        <v>40</v>
      </c>
      <c r="N1085" s="57" t="n">
        <f aca="false">IF(COUNTIFS(E$2:E1085,E1085,C$2:C1085,C1085)=1,1,0)</f>
        <v>0</v>
      </c>
      <c r="O1085" s="57" t="n">
        <f aca="false">IF(COUNTIFS(E$2:E1085,E1085,C$2:C1085,C1085,D$2:D1085,D1085)=1,1,0)</f>
        <v>0</v>
      </c>
      <c r="P1085" s="57" t="n">
        <f aca="false">IF(AND(C1085=Calc!$C$3,OR(Calc!$C$4=0,D1085=Calc!$C$4)),ROW(),0)</f>
        <v>0</v>
      </c>
    </row>
    <row r="1086" customFormat="false" ht="15" hidden="false" customHeight="false" outlineLevel="0" collapsed="false">
      <c r="A1086" s="57" t="s">
        <v>1562</v>
      </c>
      <c r="B1086" s="58" t="n">
        <v>45609</v>
      </c>
      <c r="C1086" s="57" t="n">
        <f aca="false">YEAR(B1086)</f>
        <v>2024</v>
      </c>
      <c r="D1086" s="57" t="n">
        <f aca="false">MONTH(B1086)</f>
        <v>11</v>
      </c>
      <c r="E1086" s="57" t="s">
        <v>275</v>
      </c>
      <c r="F1086" s="57" t="s">
        <v>75</v>
      </c>
      <c r="G1086" s="57" t="s">
        <v>40</v>
      </c>
      <c r="H1086" s="57" t="s">
        <v>39</v>
      </c>
      <c r="I1086" s="59" t="n">
        <v>2</v>
      </c>
      <c r="J1086" s="60" t="n">
        <v>54</v>
      </c>
      <c r="K1086" s="60" t="n">
        <v>19</v>
      </c>
      <c r="L1086" s="61" t="n">
        <f aca="false">I1086*J1086</f>
        <v>108</v>
      </c>
      <c r="M1086" s="61" t="n">
        <f aca="false">L1086-I1086*K1086</f>
        <v>70</v>
      </c>
      <c r="N1086" s="57" t="n">
        <f aca="false">IF(COUNTIFS(E$2:E1086,E1086,C$2:C1086,C1086)=1,1,0)</f>
        <v>0</v>
      </c>
      <c r="O1086" s="57" t="n">
        <f aca="false">IF(COUNTIFS(E$2:E1086,E1086,C$2:C1086,C1086,D$2:D1086,D1086)=1,1,0)</f>
        <v>1</v>
      </c>
      <c r="P1086" s="57" t="n">
        <f aca="false">IF(AND(C1086=Calc!$C$3,OR(Calc!$C$4=0,D1086=Calc!$C$4)),ROW(),0)</f>
        <v>0</v>
      </c>
    </row>
    <row r="1087" customFormat="false" ht="15" hidden="false" customHeight="false" outlineLevel="0" collapsed="false">
      <c r="A1087" s="57" t="s">
        <v>1563</v>
      </c>
      <c r="B1087" s="58" t="n">
        <v>45609</v>
      </c>
      <c r="C1087" s="57" t="n">
        <f aca="false">YEAR(B1087)</f>
        <v>2024</v>
      </c>
      <c r="D1087" s="57" t="n">
        <f aca="false">MONTH(B1087)</f>
        <v>11</v>
      </c>
      <c r="E1087" s="57" t="s">
        <v>530</v>
      </c>
      <c r="F1087" s="57" t="s">
        <v>72</v>
      </c>
      <c r="G1087" s="57" t="s">
        <v>40</v>
      </c>
      <c r="H1087" s="57" t="s">
        <v>41</v>
      </c>
      <c r="I1087" s="59" t="n">
        <v>1</v>
      </c>
      <c r="J1087" s="60" t="n">
        <v>46</v>
      </c>
      <c r="K1087" s="60" t="n">
        <v>16</v>
      </c>
      <c r="L1087" s="61" t="n">
        <f aca="false">I1087*J1087</f>
        <v>46</v>
      </c>
      <c r="M1087" s="61" t="n">
        <f aca="false">L1087-I1087*K1087</f>
        <v>30</v>
      </c>
      <c r="N1087" s="57" t="n">
        <f aca="false">IF(COUNTIFS(E$2:E1087,E1087,C$2:C1087,C1087)=1,1,0)</f>
        <v>0</v>
      </c>
      <c r="O1087" s="57" t="n">
        <f aca="false">IF(COUNTIFS(E$2:E1087,E1087,C$2:C1087,C1087,D$2:D1087,D1087)=1,1,0)</f>
        <v>1</v>
      </c>
      <c r="P1087" s="57" t="n">
        <f aca="false">IF(AND(C1087=Calc!$C$3,OR(Calc!$C$4=0,D1087=Calc!$C$4)),ROW(),0)</f>
        <v>0</v>
      </c>
    </row>
    <row r="1088" customFormat="false" ht="15" hidden="false" customHeight="false" outlineLevel="0" collapsed="false">
      <c r="A1088" s="57" t="s">
        <v>1564</v>
      </c>
      <c r="B1088" s="58" t="n">
        <v>45609</v>
      </c>
      <c r="C1088" s="57" t="n">
        <f aca="false">YEAR(B1088)</f>
        <v>2024</v>
      </c>
      <c r="D1088" s="57" t="n">
        <f aca="false">MONTH(B1088)</f>
        <v>11</v>
      </c>
      <c r="E1088" s="57" t="s">
        <v>1253</v>
      </c>
      <c r="F1088" s="57" t="s">
        <v>78</v>
      </c>
      <c r="G1088" s="57" t="s">
        <v>40</v>
      </c>
      <c r="H1088" s="57" t="s">
        <v>43</v>
      </c>
      <c r="I1088" s="59" t="n">
        <v>2</v>
      </c>
      <c r="J1088" s="60" t="n">
        <v>29</v>
      </c>
      <c r="K1088" s="60" t="n">
        <v>9</v>
      </c>
      <c r="L1088" s="61" t="n">
        <f aca="false">I1088*J1088</f>
        <v>58</v>
      </c>
      <c r="M1088" s="61" t="n">
        <f aca="false">L1088-I1088*K1088</f>
        <v>40</v>
      </c>
      <c r="N1088" s="57" t="n">
        <f aca="false">IF(COUNTIFS(E$2:E1088,E1088,C$2:C1088,C1088)=1,1,0)</f>
        <v>0</v>
      </c>
      <c r="O1088" s="57" t="n">
        <f aca="false">IF(COUNTIFS(E$2:E1088,E1088,C$2:C1088,C1088,D$2:D1088,D1088)=1,1,0)</f>
        <v>1</v>
      </c>
      <c r="P1088" s="57" t="n">
        <f aca="false">IF(AND(C1088=Calc!$C$3,OR(Calc!$C$4=0,D1088=Calc!$C$4)),ROW(),0)</f>
        <v>0</v>
      </c>
    </row>
    <row r="1089" customFormat="false" ht="15" hidden="false" customHeight="false" outlineLevel="0" collapsed="false">
      <c r="A1089" s="57" t="s">
        <v>1565</v>
      </c>
      <c r="B1089" s="58" t="n">
        <v>45610</v>
      </c>
      <c r="C1089" s="57" t="n">
        <f aca="false">YEAR(B1089)</f>
        <v>2024</v>
      </c>
      <c r="D1089" s="57" t="n">
        <f aca="false">MONTH(B1089)</f>
        <v>11</v>
      </c>
      <c r="E1089" s="57" t="s">
        <v>120</v>
      </c>
      <c r="F1089" s="57" t="s">
        <v>78</v>
      </c>
      <c r="G1089" s="57" t="s">
        <v>54</v>
      </c>
      <c r="H1089" s="57" t="s">
        <v>55</v>
      </c>
      <c r="I1089" s="59" t="n">
        <v>1</v>
      </c>
      <c r="J1089" s="60" t="n">
        <v>64</v>
      </c>
      <c r="K1089" s="60" t="n">
        <v>25</v>
      </c>
      <c r="L1089" s="61" t="n">
        <f aca="false">I1089*J1089</f>
        <v>64</v>
      </c>
      <c r="M1089" s="61" t="n">
        <f aca="false">L1089-I1089*K1089</f>
        <v>39</v>
      </c>
      <c r="N1089" s="57" t="n">
        <f aca="false">IF(COUNTIFS(E$2:E1089,E1089,C$2:C1089,C1089)=1,1,0)</f>
        <v>0</v>
      </c>
      <c r="O1089" s="57" t="n">
        <f aca="false">IF(COUNTIFS(E$2:E1089,E1089,C$2:C1089,C1089,D$2:D1089,D1089)=1,1,0)</f>
        <v>1</v>
      </c>
      <c r="P1089" s="57" t="n">
        <f aca="false">IF(AND(C1089=Calc!$C$3,OR(Calc!$C$4=0,D1089=Calc!$C$4)),ROW(),0)</f>
        <v>0</v>
      </c>
    </row>
    <row r="1090" customFormat="false" ht="15" hidden="false" customHeight="false" outlineLevel="0" collapsed="false">
      <c r="A1090" s="57" t="s">
        <v>1566</v>
      </c>
      <c r="B1090" s="58" t="n">
        <v>45610</v>
      </c>
      <c r="C1090" s="57" t="n">
        <f aca="false">YEAR(B1090)</f>
        <v>2024</v>
      </c>
      <c r="D1090" s="57" t="n">
        <f aca="false">MONTH(B1090)</f>
        <v>11</v>
      </c>
      <c r="E1090" s="57" t="s">
        <v>1567</v>
      </c>
      <c r="F1090" s="57" t="s">
        <v>75</v>
      </c>
      <c r="G1090" s="57" t="s">
        <v>40</v>
      </c>
      <c r="H1090" s="57" t="s">
        <v>41</v>
      </c>
      <c r="I1090" s="59" t="n">
        <v>2</v>
      </c>
      <c r="J1090" s="60" t="n">
        <v>46</v>
      </c>
      <c r="K1090" s="60" t="n">
        <v>16</v>
      </c>
      <c r="L1090" s="61" t="n">
        <f aca="false">I1090*J1090</f>
        <v>92</v>
      </c>
      <c r="M1090" s="61" t="n">
        <f aca="false">L1090-I1090*K1090</f>
        <v>60</v>
      </c>
      <c r="N1090" s="57" t="n">
        <f aca="false">IF(COUNTIFS(E$2:E1090,E1090,C$2:C1090,C1090)=1,1,0)</f>
        <v>1</v>
      </c>
      <c r="O1090" s="57" t="n">
        <f aca="false">IF(COUNTIFS(E$2:E1090,E1090,C$2:C1090,C1090,D$2:D1090,D1090)=1,1,0)</f>
        <v>1</v>
      </c>
      <c r="P1090" s="57" t="n">
        <f aca="false">IF(AND(C1090=Calc!$C$3,OR(Calc!$C$4=0,D1090=Calc!$C$4)),ROW(),0)</f>
        <v>0</v>
      </c>
    </row>
    <row r="1091" customFormat="false" ht="15" hidden="false" customHeight="false" outlineLevel="0" collapsed="false">
      <c r="A1091" s="57" t="s">
        <v>1568</v>
      </c>
      <c r="B1091" s="58" t="n">
        <v>45610</v>
      </c>
      <c r="C1091" s="57" t="n">
        <f aca="false">YEAR(B1091)</f>
        <v>2024</v>
      </c>
      <c r="D1091" s="57" t="n">
        <f aca="false">MONTH(B1091)</f>
        <v>11</v>
      </c>
      <c r="E1091" s="57" t="s">
        <v>219</v>
      </c>
      <c r="F1091" s="57" t="s">
        <v>78</v>
      </c>
      <c r="G1091" s="57" t="s">
        <v>40</v>
      </c>
      <c r="H1091" s="57" t="s">
        <v>43</v>
      </c>
      <c r="I1091" s="59" t="n">
        <v>2</v>
      </c>
      <c r="J1091" s="60" t="n">
        <v>29</v>
      </c>
      <c r="K1091" s="60" t="n">
        <v>9</v>
      </c>
      <c r="L1091" s="61" t="n">
        <f aca="false">I1091*J1091</f>
        <v>58</v>
      </c>
      <c r="M1091" s="61" t="n">
        <f aca="false">L1091-I1091*K1091</f>
        <v>40</v>
      </c>
      <c r="N1091" s="57" t="n">
        <f aca="false">IF(COUNTIFS(E$2:E1091,E1091,C$2:C1091,C1091)=1,1,0)</f>
        <v>0</v>
      </c>
      <c r="O1091" s="57" t="n">
        <f aca="false">IF(COUNTIFS(E$2:E1091,E1091,C$2:C1091,C1091,D$2:D1091,D1091)=1,1,0)</f>
        <v>1</v>
      </c>
      <c r="P1091" s="57" t="n">
        <f aca="false">IF(AND(C1091=Calc!$C$3,OR(Calc!$C$4=0,D1091=Calc!$C$4)),ROW(),0)</f>
        <v>0</v>
      </c>
    </row>
    <row r="1092" customFormat="false" ht="15" hidden="false" customHeight="false" outlineLevel="0" collapsed="false">
      <c r="A1092" s="57" t="s">
        <v>1569</v>
      </c>
      <c r="B1092" s="58" t="n">
        <v>45610</v>
      </c>
      <c r="C1092" s="57" t="n">
        <f aca="false">YEAR(B1092)</f>
        <v>2024</v>
      </c>
      <c r="D1092" s="57" t="n">
        <f aca="false">MONTH(B1092)</f>
        <v>11</v>
      </c>
      <c r="E1092" s="57" t="s">
        <v>304</v>
      </c>
      <c r="F1092" s="57" t="s">
        <v>69</v>
      </c>
      <c r="G1092" s="57" t="s">
        <v>45</v>
      </c>
      <c r="H1092" s="57" t="s">
        <v>46</v>
      </c>
      <c r="I1092" s="59" t="n">
        <v>1</v>
      </c>
      <c r="J1092" s="60" t="n">
        <v>149</v>
      </c>
      <c r="K1092" s="60" t="n">
        <v>71</v>
      </c>
      <c r="L1092" s="61" t="n">
        <f aca="false">I1092*J1092</f>
        <v>149</v>
      </c>
      <c r="M1092" s="61" t="n">
        <f aca="false">L1092-I1092*K1092</f>
        <v>78</v>
      </c>
      <c r="N1092" s="57" t="n">
        <f aca="false">IF(COUNTIFS(E$2:E1092,E1092,C$2:C1092,C1092)=1,1,0)</f>
        <v>0</v>
      </c>
      <c r="O1092" s="57" t="n">
        <f aca="false">IF(COUNTIFS(E$2:E1092,E1092,C$2:C1092,C1092,D$2:D1092,D1092)=1,1,0)</f>
        <v>1</v>
      </c>
      <c r="P1092" s="57" t="n">
        <f aca="false">IF(AND(C1092=Calc!$C$3,OR(Calc!$C$4=0,D1092=Calc!$C$4)),ROW(),0)</f>
        <v>0</v>
      </c>
    </row>
    <row r="1093" customFormat="false" ht="15" hidden="false" customHeight="false" outlineLevel="0" collapsed="false">
      <c r="A1093" s="57" t="s">
        <v>1570</v>
      </c>
      <c r="B1093" s="58" t="n">
        <v>45610</v>
      </c>
      <c r="C1093" s="57" t="n">
        <f aca="false">YEAR(B1093)</f>
        <v>2024</v>
      </c>
      <c r="D1093" s="57" t="n">
        <f aca="false">MONTH(B1093)</f>
        <v>11</v>
      </c>
      <c r="E1093" s="57" t="s">
        <v>477</v>
      </c>
      <c r="F1093" s="57" t="s">
        <v>78</v>
      </c>
      <c r="G1093" s="57" t="s">
        <v>40</v>
      </c>
      <c r="H1093" s="57" t="s">
        <v>41</v>
      </c>
      <c r="I1093" s="59" t="n">
        <v>1</v>
      </c>
      <c r="J1093" s="60" t="n">
        <v>46</v>
      </c>
      <c r="K1093" s="60" t="n">
        <v>16</v>
      </c>
      <c r="L1093" s="61" t="n">
        <f aca="false">I1093*J1093</f>
        <v>46</v>
      </c>
      <c r="M1093" s="61" t="n">
        <f aca="false">L1093-I1093*K1093</f>
        <v>30</v>
      </c>
      <c r="N1093" s="57" t="n">
        <f aca="false">IF(COUNTIFS(E$2:E1093,E1093,C$2:C1093,C1093)=1,1,0)</f>
        <v>0</v>
      </c>
      <c r="O1093" s="57" t="n">
        <f aca="false">IF(COUNTIFS(E$2:E1093,E1093,C$2:C1093,C1093,D$2:D1093,D1093)=1,1,0)</f>
        <v>1</v>
      </c>
      <c r="P1093" s="57" t="n">
        <f aca="false">IF(AND(C1093=Calc!$C$3,OR(Calc!$C$4=0,D1093=Calc!$C$4)),ROW(),0)</f>
        <v>0</v>
      </c>
    </row>
    <row r="1094" customFormat="false" ht="15" hidden="false" customHeight="false" outlineLevel="0" collapsed="false">
      <c r="A1094" s="57" t="s">
        <v>1571</v>
      </c>
      <c r="B1094" s="58" t="n">
        <v>45610</v>
      </c>
      <c r="C1094" s="57" t="n">
        <f aca="false">YEAR(B1094)</f>
        <v>2024</v>
      </c>
      <c r="D1094" s="57" t="n">
        <f aca="false">MONTH(B1094)</f>
        <v>11</v>
      </c>
      <c r="E1094" s="57" t="s">
        <v>307</v>
      </c>
      <c r="F1094" s="57" t="s">
        <v>69</v>
      </c>
      <c r="G1094" s="57" t="s">
        <v>35</v>
      </c>
      <c r="H1094" s="57" t="s">
        <v>37</v>
      </c>
      <c r="I1094" s="59" t="n">
        <v>1</v>
      </c>
      <c r="J1094" s="60" t="n">
        <v>59</v>
      </c>
      <c r="K1094" s="60" t="n">
        <v>27</v>
      </c>
      <c r="L1094" s="61" t="n">
        <f aca="false">I1094*J1094</f>
        <v>59</v>
      </c>
      <c r="M1094" s="61" t="n">
        <f aca="false">L1094-I1094*K1094</f>
        <v>32</v>
      </c>
      <c r="N1094" s="57" t="n">
        <f aca="false">IF(COUNTIFS(E$2:E1094,E1094,C$2:C1094,C1094)=1,1,0)</f>
        <v>0</v>
      </c>
      <c r="O1094" s="57" t="n">
        <f aca="false">IF(COUNTIFS(E$2:E1094,E1094,C$2:C1094,C1094,D$2:D1094,D1094)=1,1,0)</f>
        <v>1</v>
      </c>
      <c r="P1094" s="57" t="n">
        <f aca="false">IF(AND(C1094=Calc!$C$3,OR(Calc!$C$4=0,D1094=Calc!$C$4)),ROW(),0)</f>
        <v>0</v>
      </c>
    </row>
    <row r="1095" customFormat="false" ht="15" hidden="false" customHeight="false" outlineLevel="0" collapsed="false">
      <c r="A1095" s="57" t="s">
        <v>1572</v>
      </c>
      <c r="B1095" s="58" t="n">
        <v>45611</v>
      </c>
      <c r="C1095" s="57" t="n">
        <f aca="false">YEAR(B1095)</f>
        <v>2024</v>
      </c>
      <c r="D1095" s="57" t="n">
        <f aca="false">MONTH(B1095)</f>
        <v>11</v>
      </c>
      <c r="E1095" s="57" t="s">
        <v>304</v>
      </c>
      <c r="F1095" s="57" t="s">
        <v>69</v>
      </c>
      <c r="G1095" s="57" t="s">
        <v>35</v>
      </c>
      <c r="H1095" s="57" t="s">
        <v>37</v>
      </c>
      <c r="I1095" s="59" t="n">
        <v>1</v>
      </c>
      <c r="J1095" s="60" t="n">
        <v>59</v>
      </c>
      <c r="K1095" s="60" t="n">
        <v>27</v>
      </c>
      <c r="L1095" s="61" t="n">
        <f aca="false">I1095*J1095</f>
        <v>59</v>
      </c>
      <c r="M1095" s="61" t="n">
        <f aca="false">L1095-I1095*K1095</f>
        <v>32</v>
      </c>
      <c r="N1095" s="57" t="n">
        <f aca="false">IF(COUNTIFS(E$2:E1095,E1095,C$2:C1095,C1095)=1,1,0)</f>
        <v>0</v>
      </c>
      <c r="O1095" s="57" t="n">
        <f aca="false">IF(COUNTIFS(E$2:E1095,E1095,C$2:C1095,C1095,D$2:D1095,D1095)=1,1,0)</f>
        <v>0</v>
      </c>
      <c r="P1095" s="57" t="n">
        <f aca="false">IF(AND(C1095=Calc!$C$3,OR(Calc!$C$4=0,D1095=Calc!$C$4)),ROW(),0)</f>
        <v>0</v>
      </c>
    </row>
    <row r="1096" customFormat="false" ht="15" hidden="false" customHeight="false" outlineLevel="0" collapsed="false">
      <c r="A1096" s="57" t="s">
        <v>1573</v>
      </c>
      <c r="B1096" s="58" t="n">
        <v>45611</v>
      </c>
      <c r="C1096" s="57" t="n">
        <f aca="false">YEAR(B1096)</f>
        <v>2024</v>
      </c>
      <c r="D1096" s="57" t="n">
        <f aca="false">MONTH(B1096)</f>
        <v>11</v>
      </c>
      <c r="E1096" s="57" t="s">
        <v>112</v>
      </c>
      <c r="F1096" s="57" t="s">
        <v>81</v>
      </c>
      <c r="G1096" s="57" t="s">
        <v>45</v>
      </c>
      <c r="H1096" s="57" t="s">
        <v>46</v>
      </c>
      <c r="I1096" s="59" t="n">
        <v>3</v>
      </c>
      <c r="J1096" s="60" t="n">
        <v>149</v>
      </c>
      <c r="K1096" s="60" t="n">
        <v>71</v>
      </c>
      <c r="L1096" s="61" t="n">
        <f aca="false">I1096*J1096</f>
        <v>447</v>
      </c>
      <c r="M1096" s="61" t="n">
        <f aca="false">L1096-I1096*K1096</f>
        <v>234</v>
      </c>
      <c r="N1096" s="57" t="n">
        <f aca="false">IF(COUNTIFS(E$2:E1096,E1096,C$2:C1096,C1096)=1,1,0)</f>
        <v>0</v>
      </c>
      <c r="O1096" s="57" t="n">
        <f aca="false">IF(COUNTIFS(E$2:E1096,E1096,C$2:C1096,C1096,D$2:D1096,D1096)=1,1,0)</f>
        <v>1</v>
      </c>
      <c r="P1096" s="57" t="n">
        <f aca="false">IF(AND(C1096=Calc!$C$3,OR(Calc!$C$4=0,D1096=Calc!$C$4)),ROW(),0)</f>
        <v>0</v>
      </c>
    </row>
    <row r="1097" customFormat="false" ht="15" hidden="false" customHeight="false" outlineLevel="0" collapsed="false">
      <c r="A1097" s="57" t="s">
        <v>1574</v>
      </c>
      <c r="B1097" s="58" t="n">
        <v>45611</v>
      </c>
      <c r="C1097" s="57" t="n">
        <f aca="false">YEAR(B1097)</f>
        <v>2024</v>
      </c>
      <c r="D1097" s="57" t="n">
        <f aca="false">MONTH(B1097)</f>
        <v>11</v>
      </c>
      <c r="E1097" s="57" t="s">
        <v>1304</v>
      </c>
      <c r="F1097" s="57" t="s">
        <v>78</v>
      </c>
      <c r="G1097" s="57" t="s">
        <v>35</v>
      </c>
      <c r="H1097" s="57" t="s">
        <v>38</v>
      </c>
      <c r="I1097" s="59" t="n">
        <v>1</v>
      </c>
      <c r="J1097" s="60" t="n">
        <v>49</v>
      </c>
      <c r="K1097" s="60" t="n">
        <v>22</v>
      </c>
      <c r="L1097" s="61" t="n">
        <f aca="false">I1097*J1097</f>
        <v>49</v>
      </c>
      <c r="M1097" s="61" t="n">
        <f aca="false">L1097-I1097*K1097</f>
        <v>27</v>
      </c>
      <c r="N1097" s="57" t="n">
        <f aca="false">IF(COUNTIFS(E$2:E1097,E1097,C$2:C1097,C1097)=1,1,0)</f>
        <v>0</v>
      </c>
      <c r="O1097" s="57" t="n">
        <f aca="false">IF(COUNTIFS(E$2:E1097,E1097,C$2:C1097,C1097,D$2:D1097,D1097)=1,1,0)</f>
        <v>1</v>
      </c>
      <c r="P1097" s="57" t="n">
        <f aca="false">IF(AND(C1097=Calc!$C$3,OR(Calc!$C$4=0,D1097=Calc!$C$4)),ROW(),0)</f>
        <v>0</v>
      </c>
    </row>
    <row r="1098" customFormat="false" ht="15" hidden="false" customHeight="false" outlineLevel="0" collapsed="false">
      <c r="A1098" s="57" t="s">
        <v>1575</v>
      </c>
      <c r="B1098" s="58" t="n">
        <v>45611</v>
      </c>
      <c r="C1098" s="57" t="n">
        <f aca="false">YEAR(B1098)</f>
        <v>2024</v>
      </c>
      <c r="D1098" s="57" t="n">
        <f aca="false">MONTH(B1098)</f>
        <v>11</v>
      </c>
      <c r="E1098" s="57" t="s">
        <v>170</v>
      </c>
      <c r="F1098" s="57" t="s">
        <v>69</v>
      </c>
      <c r="G1098" s="57" t="s">
        <v>40</v>
      </c>
      <c r="H1098" s="57" t="s">
        <v>43</v>
      </c>
      <c r="I1098" s="59" t="n">
        <v>1</v>
      </c>
      <c r="J1098" s="60" t="n">
        <v>29</v>
      </c>
      <c r="K1098" s="60" t="n">
        <v>9</v>
      </c>
      <c r="L1098" s="61" t="n">
        <f aca="false">I1098*J1098</f>
        <v>29</v>
      </c>
      <c r="M1098" s="61" t="n">
        <f aca="false">L1098-I1098*K1098</f>
        <v>20</v>
      </c>
      <c r="N1098" s="57" t="n">
        <f aca="false">IF(COUNTIFS(E$2:E1098,E1098,C$2:C1098,C1098)=1,1,0)</f>
        <v>0</v>
      </c>
      <c r="O1098" s="57" t="n">
        <f aca="false">IF(COUNTIFS(E$2:E1098,E1098,C$2:C1098,C1098,D$2:D1098,D1098)=1,1,0)</f>
        <v>1</v>
      </c>
      <c r="P1098" s="57" t="n">
        <f aca="false">IF(AND(C1098=Calc!$C$3,OR(Calc!$C$4=0,D1098=Calc!$C$4)),ROW(),0)</f>
        <v>0</v>
      </c>
    </row>
    <row r="1099" customFormat="false" ht="15" hidden="false" customHeight="false" outlineLevel="0" collapsed="false">
      <c r="A1099" s="57" t="s">
        <v>1576</v>
      </c>
      <c r="B1099" s="58" t="n">
        <v>45612</v>
      </c>
      <c r="C1099" s="57" t="n">
        <f aca="false">YEAR(B1099)</f>
        <v>2024</v>
      </c>
      <c r="D1099" s="57" t="n">
        <f aca="false">MONTH(B1099)</f>
        <v>11</v>
      </c>
      <c r="E1099" s="57" t="s">
        <v>225</v>
      </c>
      <c r="F1099" s="57" t="s">
        <v>72</v>
      </c>
      <c r="G1099" s="57" t="s">
        <v>35</v>
      </c>
      <c r="H1099" s="57" t="s">
        <v>36</v>
      </c>
      <c r="I1099" s="59" t="n">
        <v>1</v>
      </c>
      <c r="J1099" s="60" t="n">
        <v>179</v>
      </c>
      <c r="K1099" s="60" t="n">
        <v>92</v>
      </c>
      <c r="L1099" s="61" t="n">
        <f aca="false">I1099*J1099</f>
        <v>179</v>
      </c>
      <c r="M1099" s="61" t="n">
        <f aca="false">L1099-I1099*K1099</f>
        <v>87</v>
      </c>
      <c r="N1099" s="57" t="n">
        <f aca="false">IF(COUNTIFS(E$2:E1099,E1099,C$2:C1099,C1099)=1,1,0)</f>
        <v>0</v>
      </c>
      <c r="O1099" s="57" t="n">
        <f aca="false">IF(COUNTIFS(E$2:E1099,E1099,C$2:C1099,C1099,D$2:D1099,D1099)=1,1,0)</f>
        <v>1</v>
      </c>
      <c r="P1099" s="57" t="n">
        <f aca="false">IF(AND(C1099=Calc!$C$3,OR(Calc!$C$4=0,D1099=Calc!$C$4)),ROW(),0)</f>
        <v>0</v>
      </c>
    </row>
    <row r="1100" customFormat="false" ht="15" hidden="false" customHeight="false" outlineLevel="0" collapsed="false">
      <c r="A1100" s="57" t="s">
        <v>1577</v>
      </c>
      <c r="B1100" s="58" t="n">
        <v>45612</v>
      </c>
      <c r="C1100" s="57" t="n">
        <f aca="false">YEAR(B1100)</f>
        <v>2024</v>
      </c>
      <c r="D1100" s="57" t="n">
        <f aca="false">MONTH(B1100)</f>
        <v>11</v>
      </c>
      <c r="E1100" s="57" t="s">
        <v>836</v>
      </c>
      <c r="F1100" s="57" t="s">
        <v>69</v>
      </c>
      <c r="G1100" s="57" t="s">
        <v>45</v>
      </c>
      <c r="H1100" s="57" t="s">
        <v>48</v>
      </c>
      <c r="I1100" s="59" t="n">
        <v>1</v>
      </c>
      <c r="J1100" s="60" t="n">
        <v>99</v>
      </c>
      <c r="K1100" s="60" t="n">
        <v>38</v>
      </c>
      <c r="L1100" s="61" t="n">
        <f aca="false">I1100*J1100</f>
        <v>99</v>
      </c>
      <c r="M1100" s="61" t="n">
        <f aca="false">L1100-I1100*K1100</f>
        <v>61</v>
      </c>
      <c r="N1100" s="57" t="n">
        <f aca="false">IF(COUNTIFS(E$2:E1100,E1100,C$2:C1100,C1100)=1,1,0)</f>
        <v>0</v>
      </c>
      <c r="O1100" s="57" t="n">
        <f aca="false">IF(COUNTIFS(E$2:E1100,E1100,C$2:C1100,C1100,D$2:D1100,D1100)=1,1,0)</f>
        <v>0</v>
      </c>
      <c r="P1100" s="57" t="n">
        <f aca="false">IF(AND(C1100=Calc!$C$3,OR(Calc!$C$4=0,D1100=Calc!$C$4)),ROW(),0)</f>
        <v>0</v>
      </c>
    </row>
    <row r="1101" customFormat="false" ht="15" hidden="false" customHeight="false" outlineLevel="0" collapsed="false">
      <c r="A1101" s="57" t="s">
        <v>1578</v>
      </c>
      <c r="B1101" s="58" t="n">
        <v>45612</v>
      </c>
      <c r="C1101" s="57" t="n">
        <f aca="false">YEAR(B1101)</f>
        <v>2024</v>
      </c>
      <c r="D1101" s="57" t="n">
        <f aca="false">MONTH(B1101)</f>
        <v>11</v>
      </c>
      <c r="E1101" s="57" t="s">
        <v>292</v>
      </c>
      <c r="F1101" s="57" t="s">
        <v>72</v>
      </c>
      <c r="G1101" s="57" t="s">
        <v>35</v>
      </c>
      <c r="H1101" s="57" t="s">
        <v>38</v>
      </c>
      <c r="I1101" s="59" t="n">
        <v>1</v>
      </c>
      <c r="J1101" s="60" t="n">
        <v>49</v>
      </c>
      <c r="K1101" s="60" t="n">
        <v>22</v>
      </c>
      <c r="L1101" s="61" t="n">
        <f aca="false">I1101*J1101</f>
        <v>49</v>
      </c>
      <c r="M1101" s="61" t="n">
        <f aca="false">L1101-I1101*K1101</f>
        <v>27</v>
      </c>
      <c r="N1101" s="57" t="n">
        <f aca="false">IF(COUNTIFS(E$2:E1101,E1101,C$2:C1101,C1101)=1,1,0)</f>
        <v>0</v>
      </c>
      <c r="O1101" s="57" t="n">
        <f aca="false">IF(COUNTIFS(E$2:E1101,E1101,C$2:C1101,C1101,D$2:D1101,D1101)=1,1,0)</f>
        <v>1</v>
      </c>
      <c r="P1101" s="57" t="n">
        <f aca="false">IF(AND(C1101=Calc!$C$3,OR(Calc!$C$4=0,D1101=Calc!$C$4)),ROW(),0)</f>
        <v>0</v>
      </c>
    </row>
    <row r="1102" customFormat="false" ht="15" hidden="false" customHeight="false" outlineLevel="0" collapsed="false">
      <c r="A1102" s="57" t="s">
        <v>1579</v>
      </c>
      <c r="B1102" s="58" t="n">
        <v>45612</v>
      </c>
      <c r="C1102" s="57" t="n">
        <f aca="false">YEAR(B1102)</f>
        <v>2024</v>
      </c>
      <c r="D1102" s="57" t="n">
        <f aca="false">MONTH(B1102)</f>
        <v>11</v>
      </c>
      <c r="E1102" s="57" t="s">
        <v>1580</v>
      </c>
      <c r="F1102" s="57" t="s">
        <v>78</v>
      </c>
      <c r="G1102" s="57" t="s">
        <v>35</v>
      </c>
      <c r="H1102" s="57" t="s">
        <v>37</v>
      </c>
      <c r="I1102" s="59" t="n">
        <v>3</v>
      </c>
      <c r="J1102" s="60" t="n">
        <v>59</v>
      </c>
      <c r="K1102" s="60" t="n">
        <v>27</v>
      </c>
      <c r="L1102" s="61" t="n">
        <f aca="false">I1102*J1102</f>
        <v>177</v>
      </c>
      <c r="M1102" s="61" t="n">
        <f aca="false">L1102-I1102*K1102</f>
        <v>96</v>
      </c>
      <c r="N1102" s="57" t="n">
        <f aca="false">IF(COUNTIFS(E$2:E1102,E1102,C$2:C1102,C1102)=1,1,0)</f>
        <v>1</v>
      </c>
      <c r="O1102" s="57" t="n">
        <f aca="false">IF(COUNTIFS(E$2:E1102,E1102,C$2:C1102,C1102,D$2:D1102,D1102)=1,1,0)</f>
        <v>1</v>
      </c>
      <c r="P1102" s="57" t="n">
        <f aca="false">IF(AND(C1102=Calc!$C$3,OR(Calc!$C$4=0,D1102=Calc!$C$4)),ROW(),0)</f>
        <v>0</v>
      </c>
    </row>
    <row r="1103" customFormat="false" ht="15" hidden="false" customHeight="false" outlineLevel="0" collapsed="false">
      <c r="A1103" s="57" t="s">
        <v>1581</v>
      </c>
      <c r="B1103" s="58" t="n">
        <v>45613</v>
      </c>
      <c r="C1103" s="57" t="n">
        <f aca="false">YEAR(B1103)</f>
        <v>2024</v>
      </c>
      <c r="D1103" s="57" t="n">
        <f aca="false">MONTH(B1103)</f>
        <v>11</v>
      </c>
      <c r="E1103" s="57" t="s">
        <v>589</v>
      </c>
      <c r="F1103" s="57" t="s">
        <v>75</v>
      </c>
      <c r="G1103" s="57" t="s">
        <v>45</v>
      </c>
      <c r="H1103" s="57" t="s">
        <v>44</v>
      </c>
      <c r="I1103" s="59" t="n">
        <v>1</v>
      </c>
      <c r="J1103" s="60" t="n">
        <v>119</v>
      </c>
      <c r="K1103" s="60" t="n">
        <v>63</v>
      </c>
      <c r="L1103" s="61" t="n">
        <f aca="false">I1103*J1103</f>
        <v>119</v>
      </c>
      <c r="M1103" s="61" t="n">
        <f aca="false">L1103-I1103*K1103</f>
        <v>56</v>
      </c>
      <c r="N1103" s="57" t="n">
        <f aca="false">IF(COUNTIFS(E$2:E1103,E1103,C$2:C1103,C1103)=1,1,0)</f>
        <v>0</v>
      </c>
      <c r="O1103" s="57" t="n">
        <f aca="false">IF(COUNTIFS(E$2:E1103,E1103,C$2:C1103,C1103,D$2:D1103,D1103)=1,1,0)</f>
        <v>0</v>
      </c>
      <c r="P1103" s="57" t="n">
        <f aca="false">IF(AND(C1103=Calc!$C$3,OR(Calc!$C$4=0,D1103=Calc!$C$4)),ROW(),0)</f>
        <v>0</v>
      </c>
    </row>
    <row r="1104" customFormat="false" ht="15" hidden="false" customHeight="false" outlineLevel="0" collapsed="false">
      <c r="A1104" s="57" t="s">
        <v>1582</v>
      </c>
      <c r="B1104" s="58" t="n">
        <v>45613</v>
      </c>
      <c r="C1104" s="57" t="n">
        <f aca="false">YEAR(B1104)</f>
        <v>2024</v>
      </c>
      <c r="D1104" s="57" t="n">
        <f aca="false">MONTH(B1104)</f>
        <v>11</v>
      </c>
      <c r="E1104" s="57" t="s">
        <v>206</v>
      </c>
      <c r="F1104" s="57" t="s">
        <v>78</v>
      </c>
      <c r="G1104" s="57" t="s">
        <v>50</v>
      </c>
      <c r="H1104" s="57" t="s">
        <v>51</v>
      </c>
      <c r="I1104" s="59" t="n">
        <v>1</v>
      </c>
      <c r="J1104" s="60" t="n">
        <v>69</v>
      </c>
      <c r="K1104" s="60" t="n">
        <v>29</v>
      </c>
      <c r="L1104" s="61" t="n">
        <f aca="false">I1104*J1104</f>
        <v>69</v>
      </c>
      <c r="M1104" s="61" t="n">
        <f aca="false">L1104-I1104*K1104</f>
        <v>40</v>
      </c>
      <c r="N1104" s="57" t="n">
        <f aca="false">IF(COUNTIFS(E$2:E1104,E1104,C$2:C1104,C1104)=1,1,0)</f>
        <v>0</v>
      </c>
      <c r="O1104" s="57" t="n">
        <f aca="false">IF(COUNTIFS(E$2:E1104,E1104,C$2:C1104,C1104,D$2:D1104,D1104)=1,1,0)</f>
        <v>1</v>
      </c>
      <c r="P1104" s="57" t="n">
        <f aca="false">IF(AND(C1104=Calc!$C$3,OR(Calc!$C$4=0,D1104=Calc!$C$4)),ROW(),0)</f>
        <v>0</v>
      </c>
    </row>
    <row r="1105" customFormat="false" ht="15" hidden="false" customHeight="false" outlineLevel="0" collapsed="false">
      <c r="A1105" s="57" t="s">
        <v>1583</v>
      </c>
      <c r="B1105" s="58" t="n">
        <v>45614</v>
      </c>
      <c r="C1105" s="57" t="n">
        <f aca="false">YEAR(B1105)</f>
        <v>2024</v>
      </c>
      <c r="D1105" s="57" t="n">
        <f aca="false">MONTH(B1105)</f>
        <v>11</v>
      </c>
      <c r="E1105" s="57" t="s">
        <v>1584</v>
      </c>
      <c r="F1105" s="57" t="s">
        <v>75</v>
      </c>
      <c r="G1105" s="57" t="s">
        <v>35</v>
      </c>
      <c r="H1105" s="57" t="s">
        <v>36</v>
      </c>
      <c r="I1105" s="59" t="n">
        <v>1</v>
      </c>
      <c r="J1105" s="60" t="n">
        <v>179</v>
      </c>
      <c r="K1105" s="60" t="n">
        <v>92</v>
      </c>
      <c r="L1105" s="61" t="n">
        <f aca="false">I1105*J1105</f>
        <v>179</v>
      </c>
      <c r="M1105" s="61" t="n">
        <f aca="false">L1105-I1105*K1105</f>
        <v>87</v>
      </c>
      <c r="N1105" s="57" t="n">
        <f aca="false">IF(COUNTIFS(E$2:E1105,E1105,C$2:C1105,C1105)=1,1,0)</f>
        <v>1</v>
      </c>
      <c r="O1105" s="57" t="n">
        <f aca="false">IF(COUNTIFS(E$2:E1105,E1105,C$2:C1105,C1105,D$2:D1105,D1105)=1,1,0)</f>
        <v>1</v>
      </c>
      <c r="P1105" s="57" t="n">
        <f aca="false">IF(AND(C1105=Calc!$C$3,OR(Calc!$C$4=0,D1105=Calc!$C$4)),ROW(),0)</f>
        <v>0</v>
      </c>
    </row>
    <row r="1106" customFormat="false" ht="15" hidden="false" customHeight="false" outlineLevel="0" collapsed="false">
      <c r="A1106" s="57" t="s">
        <v>1585</v>
      </c>
      <c r="B1106" s="58" t="n">
        <v>45614</v>
      </c>
      <c r="C1106" s="57" t="n">
        <f aca="false">YEAR(B1106)</f>
        <v>2024</v>
      </c>
      <c r="D1106" s="57" t="n">
        <f aca="false">MONTH(B1106)</f>
        <v>11</v>
      </c>
      <c r="E1106" s="57" t="s">
        <v>1586</v>
      </c>
      <c r="F1106" s="57" t="s">
        <v>81</v>
      </c>
      <c r="G1106" s="57" t="s">
        <v>35</v>
      </c>
      <c r="H1106" s="57" t="s">
        <v>37</v>
      </c>
      <c r="I1106" s="59" t="n">
        <v>1</v>
      </c>
      <c r="J1106" s="60" t="n">
        <v>59</v>
      </c>
      <c r="K1106" s="60" t="n">
        <v>27</v>
      </c>
      <c r="L1106" s="61" t="n">
        <f aca="false">I1106*J1106</f>
        <v>59</v>
      </c>
      <c r="M1106" s="61" t="n">
        <f aca="false">L1106-I1106*K1106</f>
        <v>32</v>
      </c>
      <c r="N1106" s="57" t="n">
        <f aca="false">IF(COUNTIFS(E$2:E1106,E1106,C$2:C1106,C1106)=1,1,0)</f>
        <v>1</v>
      </c>
      <c r="O1106" s="57" t="n">
        <f aca="false">IF(COUNTIFS(E$2:E1106,E1106,C$2:C1106,C1106,D$2:D1106,D1106)=1,1,0)</f>
        <v>1</v>
      </c>
      <c r="P1106" s="57" t="n">
        <f aca="false">IF(AND(C1106=Calc!$C$3,OR(Calc!$C$4=0,D1106=Calc!$C$4)),ROW(),0)</f>
        <v>0</v>
      </c>
    </row>
    <row r="1107" customFormat="false" ht="15" hidden="false" customHeight="false" outlineLevel="0" collapsed="false">
      <c r="A1107" s="57" t="s">
        <v>1587</v>
      </c>
      <c r="B1107" s="58" t="n">
        <v>45614</v>
      </c>
      <c r="C1107" s="57" t="n">
        <f aca="false">YEAR(B1107)</f>
        <v>2024</v>
      </c>
      <c r="D1107" s="57" t="n">
        <f aca="false">MONTH(B1107)</f>
        <v>11</v>
      </c>
      <c r="E1107" s="57" t="s">
        <v>152</v>
      </c>
      <c r="F1107" s="57" t="s">
        <v>72</v>
      </c>
      <c r="G1107" s="57" t="s">
        <v>45</v>
      </c>
      <c r="H1107" s="57" t="s">
        <v>46</v>
      </c>
      <c r="I1107" s="59" t="n">
        <v>1</v>
      </c>
      <c r="J1107" s="60" t="n">
        <v>149</v>
      </c>
      <c r="K1107" s="60" t="n">
        <v>71</v>
      </c>
      <c r="L1107" s="61" t="n">
        <f aca="false">I1107*J1107</f>
        <v>149</v>
      </c>
      <c r="M1107" s="61" t="n">
        <f aca="false">L1107-I1107*K1107</f>
        <v>78</v>
      </c>
      <c r="N1107" s="57" t="n">
        <f aca="false">IF(COUNTIFS(E$2:E1107,E1107,C$2:C1107,C1107)=1,1,0)</f>
        <v>0</v>
      </c>
      <c r="O1107" s="57" t="n">
        <f aca="false">IF(COUNTIFS(E$2:E1107,E1107,C$2:C1107,C1107,D$2:D1107,D1107)=1,1,0)</f>
        <v>1</v>
      </c>
      <c r="P1107" s="57" t="n">
        <f aca="false">IF(AND(C1107=Calc!$C$3,OR(Calc!$C$4=0,D1107=Calc!$C$4)),ROW(),0)</f>
        <v>0</v>
      </c>
    </row>
    <row r="1108" customFormat="false" ht="15" hidden="false" customHeight="false" outlineLevel="0" collapsed="false">
      <c r="A1108" s="57" t="s">
        <v>1588</v>
      </c>
      <c r="B1108" s="58" t="n">
        <v>45614</v>
      </c>
      <c r="C1108" s="57" t="n">
        <f aca="false">YEAR(B1108)</f>
        <v>2024</v>
      </c>
      <c r="D1108" s="57" t="n">
        <f aca="false">MONTH(B1108)</f>
        <v>11</v>
      </c>
      <c r="E1108" s="57" t="s">
        <v>1589</v>
      </c>
      <c r="F1108" s="57" t="s">
        <v>78</v>
      </c>
      <c r="G1108" s="57" t="s">
        <v>50</v>
      </c>
      <c r="H1108" s="57" t="s">
        <v>52</v>
      </c>
      <c r="I1108" s="59" t="n">
        <v>3</v>
      </c>
      <c r="J1108" s="60" t="n">
        <v>45</v>
      </c>
      <c r="K1108" s="60" t="n">
        <v>14</v>
      </c>
      <c r="L1108" s="61" t="n">
        <f aca="false">I1108*J1108</f>
        <v>135</v>
      </c>
      <c r="M1108" s="61" t="n">
        <f aca="false">L1108-I1108*K1108</f>
        <v>93</v>
      </c>
      <c r="N1108" s="57" t="n">
        <f aca="false">IF(COUNTIFS(E$2:E1108,E1108,C$2:C1108,C1108)=1,1,0)</f>
        <v>1</v>
      </c>
      <c r="O1108" s="57" t="n">
        <f aca="false">IF(COUNTIFS(E$2:E1108,E1108,C$2:C1108,C1108,D$2:D1108,D1108)=1,1,0)</f>
        <v>1</v>
      </c>
      <c r="P1108" s="57" t="n">
        <f aca="false">IF(AND(C1108=Calc!$C$3,OR(Calc!$C$4=0,D1108=Calc!$C$4)),ROW(),0)</f>
        <v>0</v>
      </c>
    </row>
    <row r="1109" customFormat="false" ht="15" hidden="false" customHeight="false" outlineLevel="0" collapsed="false">
      <c r="A1109" s="57" t="s">
        <v>1590</v>
      </c>
      <c r="B1109" s="58" t="n">
        <v>45614</v>
      </c>
      <c r="C1109" s="57" t="n">
        <f aca="false">YEAR(B1109)</f>
        <v>2024</v>
      </c>
      <c r="D1109" s="57" t="n">
        <f aca="false">MONTH(B1109)</f>
        <v>11</v>
      </c>
      <c r="E1109" s="57" t="s">
        <v>1591</v>
      </c>
      <c r="F1109" s="57" t="s">
        <v>81</v>
      </c>
      <c r="G1109" s="57" t="s">
        <v>35</v>
      </c>
      <c r="H1109" s="57" t="s">
        <v>37</v>
      </c>
      <c r="I1109" s="59" t="n">
        <v>1</v>
      </c>
      <c r="J1109" s="60" t="n">
        <v>59</v>
      </c>
      <c r="K1109" s="60" t="n">
        <v>27</v>
      </c>
      <c r="L1109" s="61" t="n">
        <f aca="false">I1109*J1109</f>
        <v>59</v>
      </c>
      <c r="M1109" s="61" t="n">
        <f aca="false">L1109-I1109*K1109</f>
        <v>32</v>
      </c>
      <c r="N1109" s="57" t="n">
        <f aca="false">IF(COUNTIFS(E$2:E1109,E1109,C$2:C1109,C1109)=1,1,0)</f>
        <v>1</v>
      </c>
      <c r="O1109" s="57" t="n">
        <f aca="false">IF(COUNTIFS(E$2:E1109,E1109,C$2:C1109,C1109,D$2:D1109,D1109)=1,1,0)</f>
        <v>1</v>
      </c>
      <c r="P1109" s="57" t="n">
        <f aca="false">IF(AND(C1109=Calc!$C$3,OR(Calc!$C$4=0,D1109=Calc!$C$4)),ROW(),0)</f>
        <v>0</v>
      </c>
    </row>
    <row r="1110" customFormat="false" ht="15" hidden="false" customHeight="false" outlineLevel="0" collapsed="false">
      <c r="A1110" s="57" t="s">
        <v>1592</v>
      </c>
      <c r="B1110" s="58" t="n">
        <v>45615</v>
      </c>
      <c r="C1110" s="57" t="n">
        <f aca="false">YEAR(B1110)</f>
        <v>2024</v>
      </c>
      <c r="D1110" s="57" t="n">
        <f aca="false">MONTH(B1110)</f>
        <v>11</v>
      </c>
      <c r="E1110" s="57" t="s">
        <v>85</v>
      </c>
      <c r="F1110" s="57" t="s">
        <v>69</v>
      </c>
      <c r="G1110" s="57" t="s">
        <v>35</v>
      </c>
      <c r="H1110" s="57" t="s">
        <v>38</v>
      </c>
      <c r="I1110" s="59" t="n">
        <v>1</v>
      </c>
      <c r="J1110" s="60" t="n">
        <v>49</v>
      </c>
      <c r="K1110" s="60" t="n">
        <v>22</v>
      </c>
      <c r="L1110" s="61" t="n">
        <f aca="false">I1110*J1110</f>
        <v>49</v>
      </c>
      <c r="M1110" s="61" t="n">
        <f aca="false">L1110-I1110*K1110</f>
        <v>27</v>
      </c>
      <c r="N1110" s="57" t="n">
        <f aca="false">IF(COUNTIFS(E$2:E1110,E1110,C$2:C1110,C1110)=1,1,0)</f>
        <v>0</v>
      </c>
      <c r="O1110" s="57" t="n">
        <f aca="false">IF(COUNTIFS(E$2:E1110,E1110,C$2:C1110,C1110,D$2:D1110,D1110)=1,1,0)</f>
        <v>0</v>
      </c>
      <c r="P1110" s="57" t="n">
        <f aca="false">IF(AND(C1110=Calc!$C$3,OR(Calc!$C$4=0,D1110=Calc!$C$4)),ROW(),0)</f>
        <v>0</v>
      </c>
    </row>
    <row r="1111" customFormat="false" ht="15" hidden="false" customHeight="false" outlineLevel="0" collapsed="false">
      <c r="A1111" s="57" t="s">
        <v>1593</v>
      </c>
      <c r="B1111" s="58" t="n">
        <v>45615</v>
      </c>
      <c r="C1111" s="57" t="n">
        <f aca="false">YEAR(B1111)</f>
        <v>2024</v>
      </c>
      <c r="D1111" s="57" t="n">
        <f aca="false">MONTH(B1111)</f>
        <v>11</v>
      </c>
      <c r="E1111" s="57" t="s">
        <v>304</v>
      </c>
      <c r="F1111" s="57" t="s">
        <v>69</v>
      </c>
      <c r="G1111" s="57" t="s">
        <v>35</v>
      </c>
      <c r="H1111" s="57" t="s">
        <v>37</v>
      </c>
      <c r="I1111" s="59" t="n">
        <v>1</v>
      </c>
      <c r="J1111" s="60" t="n">
        <v>59</v>
      </c>
      <c r="K1111" s="60" t="n">
        <v>27</v>
      </c>
      <c r="L1111" s="61" t="n">
        <f aca="false">I1111*J1111</f>
        <v>59</v>
      </c>
      <c r="M1111" s="61" t="n">
        <f aca="false">L1111-I1111*K1111</f>
        <v>32</v>
      </c>
      <c r="N1111" s="57" t="n">
        <f aca="false">IF(COUNTIFS(E$2:E1111,E1111,C$2:C1111,C1111)=1,1,0)</f>
        <v>0</v>
      </c>
      <c r="O1111" s="57" t="n">
        <f aca="false">IF(COUNTIFS(E$2:E1111,E1111,C$2:C1111,C1111,D$2:D1111,D1111)=1,1,0)</f>
        <v>0</v>
      </c>
      <c r="P1111" s="57" t="n">
        <f aca="false">IF(AND(C1111=Calc!$C$3,OR(Calc!$C$4=0,D1111=Calc!$C$4)),ROW(),0)</f>
        <v>0</v>
      </c>
    </row>
    <row r="1112" customFormat="false" ht="15" hidden="false" customHeight="false" outlineLevel="0" collapsed="false">
      <c r="A1112" s="57" t="s">
        <v>1594</v>
      </c>
      <c r="B1112" s="58" t="n">
        <v>45615</v>
      </c>
      <c r="C1112" s="57" t="n">
        <f aca="false">YEAR(B1112)</f>
        <v>2024</v>
      </c>
      <c r="D1112" s="57" t="n">
        <f aca="false">MONTH(B1112)</f>
        <v>11</v>
      </c>
      <c r="E1112" s="57" t="s">
        <v>328</v>
      </c>
      <c r="F1112" s="57" t="s">
        <v>69</v>
      </c>
      <c r="G1112" s="57" t="s">
        <v>35</v>
      </c>
      <c r="H1112" s="57" t="s">
        <v>34</v>
      </c>
      <c r="I1112" s="59" t="n">
        <v>1</v>
      </c>
      <c r="J1112" s="60" t="n">
        <v>89</v>
      </c>
      <c r="K1112" s="60" t="n">
        <v>41</v>
      </c>
      <c r="L1112" s="61" t="n">
        <f aca="false">I1112*J1112</f>
        <v>89</v>
      </c>
      <c r="M1112" s="61" t="n">
        <f aca="false">L1112-I1112*K1112</f>
        <v>48</v>
      </c>
      <c r="N1112" s="57" t="n">
        <f aca="false">IF(COUNTIFS(E$2:E1112,E1112,C$2:C1112,C1112)=1,1,0)</f>
        <v>0</v>
      </c>
      <c r="O1112" s="57" t="n">
        <f aca="false">IF(COUNTIFS(E$2:E1112,E1112,C$2:C1112,C1112,D$2:D1112,D1112)=1,1,0)</f>
        <v>1</v>
      </c>
      <c r="P1112" s="57" t="n">
        <f aca="false">IF(AND(C1112=Calc!$C$3,OR(Calc!$C$4=0,D1112=Calc!$C$4)),ROW(),0)</f>
        <v>0</v>
      </c>
    </row>
    <row r="1113" customFormat="false" ht="15" hidden="false" customHeight="false" outlineLevel="0" collapsed="false">
      <c r="A1113" s="57" t="s">
        <v>1595</v>
      </c>
      <c r="B1113" s="58" t="n">
        <v>45615</v>
      </c>
      <c r="C1113" s="57" t="n">
        <f aca="false">YEAR(B1113)</f>
        <v>2024</v>
      </c>
      <c r="D1113" s="57" t="n">
        <f aca="false">MONTH(B1113)</f>
        <v>11</v>
      </c>
      <c r="E1113" s="57" t="s">
        <v>1491</v>
      </c>
      <c r="F1113" s="57" t="s">
        <v>69</v>
      </c>
      <c r="G1113" s="57" t="s">
        <v>35</v>
      </c>
      <c r="H1113" s="57" t="s">
        <v>34</v>
      </c>
      <c r="I1113" s="59" t="n">
        <v>1</v>
      </c>
      <c r="J1113" s="60" t="n">
        <v>89</v>
      </c>
      <c r="K1113" s="60" t="n">
        <v>41</v>
      </c>
      <c r="L1113" s="61" t="n">
        <f aca="false">I1113*J1113</f>
        <v>89</v>
      </c>
      <c r="M1113" s="61" t="n">
        <f aca="false">L1113-I1113*K1113</f>
        <v>48</v>
      </c>
      <c r="N1113" s="57" t="n">
        <f aca="false">IF(COUNTIFS(E$2:E1113,E1113,C$2:C1113,C1113)=1,1,0)</f>
        <v>0</v>
      </c>
      <c r="O1113" s="57" t="n">
        <f aca="false">IF(COUNTIFS(E$2:E1113,E1113,C$2:C1113,C1113,D$2:D1113,D1113)=1,1,0)</f>
        <v>1</v>
      </c>
      <c r="P1113" s="57" t="n">
        <f aca="false">IF(AND(C1113=Calc!$C$3,OR(Calc!$C$4=0,D1113=Calc!$C$4)),ROW(),0)</f>
        <v>0</v>
      </c>
    </row>
    <row r="1114" customFormat="false" ht="15" hidden="false" customHeight="false" outlineLevel="0" collapsed="false">
      <c r="A1114" s="57" t="s">
        <v>1596</v>
      </c>
      <c r="B1114" s="58" t="n">
        <v>45615</v>
      </c>
      <c r="C1114" s="57" t="n">
        <f aca="false">YEAR(B1114)</f>
        <v>2024</v>
      </c>
      <c r="D1114" s="57" t="n">
        <f aca="false">MONTH(B1114)</f>
        <v>11</v>
      </c>
      <c r="E1114" s="57" t="s">
        <v>110</v>
      </c>
      <c r="F1114" s="57" t="s">
        <v>78</v>
      </c>
      <c r="G1114" s="57" t="s">
        <v>50</v>
      </c>
      <c r="H1114" s="57" t="s">
        <v>49</v>
      </c>
      <c r="I1114" s="59" t="n">
        <v>1</v>
      </c>
      <c r="J1114" s="60" t="n">
        <v>32</v>
      </c>
      <c r="K1114" s="60" t="n">
        <v>7</v>
      </c>
      <c r="L1114" s="61" t="n">
        <f aca="false">I1114*J1114</f>
        <v>32</v>
      </c>
      <c r="M1114" s="61" t="n">
        <f aca="false">L1114-I1114*K1114</f>
        <v>25</v>
      </c>
      <c r="N1114" s="57" t="n">
        <f aca="false">IF(COUNTIFS(E$2:E1114,E1114,C$2:C1114,C1114)=1,1,0)</f>
        <v>0</v>
      </c>
      <c r="O1114" s="57" t="n">
        <f aca="false">IF(COUNTIFS(E$2:E1114,E1114,C$2:C1114,C1114,D$2:D1114,D1114)=1,1,0)</f>
        <v>0</v>
      </c>
      <c r="P1114" s="57" t="n">
        <f aca="false">IF(AND(C1114=Calc!$C$3,OR(Calc!$C$4=0,D1114=Calc!$C$4)),ROW(),0)</f>
        <v>0</v>
      </c>
    </row>
    <row r="1115" customFormat="false" ht="15" hidden="false" customHeight="false" outlineLevel="0" collapsed="false">
      <c r="A1115" s="57" t="s">
        <v>1597</v>
      </c>
      <c r="B1115" s="58" t="n">
        <v>45616</v>
      </c>
      <c r="C1115" s="57" t="n">
        <f aca="false">YEAR(B1115)</f>
        <v>2024</v>
      </c>
      <c r="D1115" s="57" t="n">
        <f aca="false">MONTH(B1115)</f>
        <v>11</v>
      </c>
      <c r="E1115" s="57" t="s">
        <v>1491</v>
      </c>
      <c r="F1115" s="57" t="s">
        <v>69</v>
      </c>
      <c r="G1115" s="57" t="s">
        <v>45</v>
      </c>
      <c r="H1115" s="57" t="s">
        <v>47</v>
      </c>
      <c r="I1115" s="59" t="n">
        <v>1</v>
      </c>
      <c r="J1115" s="60" t="n">
        <v>34</v>
      </c>
      <c r="K1115" s="60" t="n">
        <v>12</v>
      </c>
      <c r="L1115" s="61" t="n">
        <f aca="false">I1115*J1115</f>
        <v>34</v>
      </c>
      <c r="M1115" s="61" t="n">
        <f aca="false">L1115-I1115*K1115</f>
        <v>22</v>
      </c>
      <c r="N1115" s="57" t="n">
        <f aca="false">IF(COUNTIFS(E$2:E1115,E1115,C$2:C1115,C1115)=1,1,0)</f>
        <v>0</v>
      </c>
      <c r="O1115" s="57" t="n">
        <f aca="false">IF(COUNTIFS(E$2:E1115,E1115,C$2:C1115,C1115,D$2:D1115,D1115)=1,1,0)</f>
        <v>0</v>
      </c>
      <c r="P1115" s="57" t="n">
        <f aca="false">IF(AND(C1115=Calc!$C$3,OR(Calc!$C$4=0,D1115=Calc!$C$4)),ROW(),0)</f>
        <v>0</v>
      </c>
    </row>
    <row r="1116" customFormat="false" ht="15" hidden="false" customHeight="false" outlineLevel="0" collapsed="false">
      <c r="A1116" s="57" t="s">
        <v>1598</v>
      </c>
      <c r="B1116" s="58" t="n">
        <v>45616</v>
      </c>
      <c r="C1116" s="57" t="n">
        <f aca="false">YEAR(B1116)</f>
        <v>2024</v>
      </c>
      <c r="D1116" s="57" t="n">
        <f aca="false">MONTH(B1116)</f>
        <v>11</v>
      </c>
      <c r="E1116" s="57" t="s">
        <v>986</v>
      </c>
      <c r="F1116" s="57" t="s">
        <v>75</v>
      </c>
      <c r="G1116" s="57" t="s">
        <v>50</v>
      </c>
      <c r="H1116" s="57" t="s">
        <v>52</v>
      </c>
      <c r="I1116" s="59" t="n">
        <v>3</v>
      </c>
      <c r="J1116" s="60" t="n">
        <v>45</v>
      </c>
      <c r="K1116" s="60" t="n">
        <v>14</v>
      </c>
      <c r="L1116" s="61" t="n">
        <f aca="false">I1116*J1116</f>
        <v>135</v>
      </c>
      <c r="M1116" s="61" t="n">
        <f aca="false">L1116-I1116*K1116</f>
        <v>93</v>
      </c>
      <c r="N1116" s="57" t="n">
        <f aca="false">IF(COUNTIFS(E$2:E1116,E1116,C$2:C1116,C1116)=1,1,0)</f>
        <v>0</v>
      </c>
      <c r="O1116" s="57" t="n">
        <f aca="false">IF(COUNTIFS(E$2:E1116,E1116,C$2:C1116,C1116,D$2:D1116,D1116)=1,1,0)</f>
        <v>1</v>
      </c>
      <c r="P1116" s="57" t="n">
        <f aca="false">IF(AND(C1116=Calc!$C$3,OR(Calc!$C$4=0,D1116=Calc!$C$4)),ROW(),0)</f>
        <v>0</v>
      </c>
    </row>
    <row r="1117" customFormat="false" ht="15" hidden="false" customHeight="false" outlineLevel="0" collapsed="false">
      <c r="A1117" s="57" t="s">
        <v>1599</v>
      </c>
      <c r="B1117" s="58" t="n">
        <v>45616</v>
      </c>
      <c r="C1117" s="57" t="n">
        <f aca="false">YEAR(B1117)</f>
        <v>2024</v>
      </c>
      <c r="D1117" s="57" t="n">
        <f aca="false">MONTH(B1117)</f>
        <v>11</v>
      </c>
      <c r="E1117" s="57" t="s">
        <v>193</v>
      </c>
      <c r="F1117" s="57" t="s">
        <v>78</v>
      </c>
      <c r="G1117" s="57" t="s">
        <v>35</v>
      </c>
      <c r="H1117" s="57" t="s">
        <v>37</v>
      </c>
      <c r="I1117" s="59" t="n">
        <v>1</v>
      </c>
      <c r="J1117" s="60" t="n">
        <v>59</v>
      </c>
      <c r="K1117" s="60" t="n">
        <v>27</v>
      </c>
      <c r="L1117" s="61" t="n">
        <f aca="false">I1117*J1117</f>
        <v>59</v>
      </c>
      <c r="M1117" s="61" t="n">
        <f aca="false">L1117-I1117*K1117</f>
        <v>32</v>
      </c>
      <c r="N1117" s="57" t="n">
        <f aca="false">IF(COUNTIFS(E$2:E1117,E1117,C$2:C1117,C1117)=1,1,0)</f>
        <v>0</v>
      </c>
      <c r="O1117" s="57" t="n">
        <f aca="false">IF(COUNTIFS(E$2:E1117,E1117,C$2:C1117,C1117,D$2:D1117,D1117)=1,1,0)</f>
        <v>1</v>
      </c>
      <c r="P1117" s="57" t="n">
        <f aca="false">IF(AND(C1117=Calc!$C$3,OR(Calc!$C$4=0,D1117=Calc!$C$4)),ROW(),0)</f>
        <v>0</v>
      </c>
    </row>
    <row r="1118" customFormat="false" ht="15" hidden="false" customHeight="false" outlineLevel="0" collapsed="false">
      <c r="A1118" s="57" t="s">
        <v>1600</v>
      </c>
      <c r="B1118" s="58" t="n">
        <v>45616</v>
      </c>
      <c r="C1118" s="57" t="n">
        <f aca="false">YEAR(B1118)</f>
        <v>2024</v>
      </c>
      <c r="D1118" s="57" t="n">
        <f aca="false">MONTH(B1118)</f>
        <v>11</v>
      </c>
      <c r="E1118" s="57" t="s">
        <v>409</v>
      </c>
      <c r="F1118" s="57" t="s">
        <v>75</v>
      </c>
      <c r="G1118" s="57" t="s">
        <v>35</v>
      </c>
      <c r="H1118" s="57" t="s">
        <v>36</v>
      </c>
      <c r="I1118" s="59" t="n">
        <v>1</v>
      </c>
      <c r="J1118" s="60" t="n">
        <v>179</v>
      </c>
      <c r="K1118" s="60" t="n">
        <v>92</v>
      </c>
      <c r="L1118" s="61" t="n">
        <f aca="false">I1118*J1118</f>
        <v>179</v>
      </c>
      <c r="M1118" s="61" t="n">
        <f aca="false">L1118-I1118*K1118</f>
        <v>87</v>
      </c>
      <c r="N1118" s="57" t="n">
        <f aca="false">IF(COUNTIFS(E$2:E1118,E1118,C$2:C1118,C1118)=1,1,0)</f>
        <v>0</v>
      </c>
      <c r="O1118" s="57" t="n">
        <f aca="false">IF(COUNTIFS(E$2:E1118,E1118,C$2:C1118,C1118,D$2:D1118,D1118)=1,1,0)</f>
        <v>1</v>
      </c>
      <c r="P1118" s="57" t="n">
        <f aca="false">IF(AND(C1118=Calc!$C$3,OR(Calc!$C$4=0,D1118=Calc!$C$4)),ROW(),0)</f>
        <v>0</v>
      </c>
    </row>
    <row r="1119" customFormat="false" ht="15" hidden="false" customHeight="false" outlineLevel="0" collapsed="false">
      <c r="A1119" s="57" t="s">
        <v>1601</v>
      </c>
      <c r="B1119" s="58" t="n">
        <v>45616</v>
      </c>
      <c r="C1119" s="57" t="n">
        <f aca="false">YEAR(B1119)</f>
        <v>2024</v>
      </c>
      <c r="D1119" s="57" t="n">
        <f aca="false">MONTH(B1119)</f>
        <v>11</v>
      </c>
      <c r="E1119" s="57" t="s">
        <v>1602</v>
      </c>
      <c r="F1119" s="57" t="s">
        <v>81</v>
      </c>
      <c r="G1119" s="57" t="s">
        <v>40</v>
      </c>
      <c r="H1119" s="57" t="s">
        <v>43</v>
      </c>
      <c r="I1119" s="59" t="n">
        <v>3</v>
      </c>
      <c r="J1119" s="60" t="n">
        <v>29</v>
      </c>
      <c r="K1119" s="60" t="n">
        <v>9</v>
      </c>
      <c r="L1119" s="61" t="n">
        <f aca="false">I1119*J1119</f>
        <v>87</v>
      </c>
      <c r="M1119" s="61" t="n">
        <f aca="false">L1119-I1119*K1119</f>
        <v>60</v>
      </c>
      <c r="N1119" s="57" t="n">
        <f aca="false">IF(COUNTIFS(E$2:E1119,E1119,C$2:C1119,C1119)=1,1,0)</f>
        <v>1</v>
      </c>
      <c r="O1119" s="57" t="n">
        <f aca="false">IF(COUNTIFS(E$2:E1119,E1119,C$2:C1119,C1119,D$2:D1119,D1119)=1,1,0)</f>
        <v>1</v>
      </c>
      <c r="P1119" s="57" t="n">
        <f aca="false">IF(AND(C1119=Calc!$C$3,OR(Calc!$C$4=0,D1119=Calc!$C$4)),ROW(),0)</f>
        <v>0</v>
      </c>
    </row>
    <row r="1120" customFormat="false" ht="15" hidden="false" customHeight="false" outlineLevel="0" collapsed="false">
      <c r="A1120" s="57" t="s">
        <v>1603</v>
      </c>
      <c r="B1120" s="58" t="n">
        <v>45617</v>
      </c>
      <c r="C1120" s="57" t="n">
        <f aca="false">YEAR(B1120)</f>
        <v>2024</v>
      </c>
      <c r="D1120" s="57" t="n">
        <f aca="false">MONTH(B1120)</f>
        <v>11</v>
      </c>
      <c r="E1120" s="57" t="s">
        <v>951</v>
      </c>
      <c r="F1120" s="57" t="s">
        <v>78</v>
      </c>
      <c r="G1120" s="57" t="s">
        <v>40</v>
      </c>
      <c r="H1120" s="57" t="s">
        <v>42</v>
      </c>
      <c r="I1120" s="59" t="n">
        <v>1</v>
      </c>
      <c r="J1120" s="60" t="n">
        <v>79</v>
      </c>
      <c r="K1120" s="60" t="n">
        <v>31</v>
      </c>
      <c r="L1120" s="61" t="n">
        <f aca="false">I1120*J1120</f>
        <v>79</v>
      </c>
      <c r="M1120" s="61" t="n">
        <f aca="false">L1120-I1120*K1120</f>
        <v>48</v>
      </c>
      <c r="N1120" s="57" t="n">
        <f aca="false">IF(COUNTIFS(E$2:E1120,E1120,C$2:C1120,C1120)=1,1,0)</f>
        <v>0</v>
      </c>
      <c r="O1120" s="57" t="n">
        <f aca="false">IF(COUNTIFS(E$2:E1120,E1120,C$2:C1120,C1120,D$2:D1120,D1120)=1,1,0)</f>
        <v>1</v>
      </c>
      <c r="P1120" s="57" t="n">
        <f aca="false">IF(AND(C1120=Calc!$C$3,OR(Calc!$C$4=0,D1120=Calc!$C$4)),ROW(),0)</f>
        <v>0</v>
      </c>
    </row>
    <row r="1121" customFormat="false" ht="15" hidden="false" customHeight="false" outlineLevel="0" collapsed="false">
      <c r="A1121" s="57" t="s">
        <v>1604</v>
      </c>
      <c r="B1121" s="58" t="n">
        <v>45617</v>
      </c>
      <c r="C1121" s="57" t="n">
        <f aca="false">YEAR(B1121)</f>
        <v>2024</v>
      </c>
      <c r="D1121" s="57" t="n">
        <f aca="false">MONTH(B1121)</f>
        <v>11</v>
      </c>
      <c r="E1121" s="57" t="s">
        <v>229</v>
      </c>
      <c r="F1121" s="57" t="s">
        <v>81</v>
      </c>
      <c r="G1121" s="57" t="s">
        <v>40</v>
      </c>
      <c r="H1121" s="57" t="s">
        <v>43</v>
      </c>
      <c r="I1121" s="59" t="n">
        <v>1</v>
      </c>
      <c r="J1121" s="60" t="n">
        <v>29</v>
      </c>
      <c r="K1121" s="60" t="n">
        <v>9</v>
      </c>
      <c r="L1121" s="61" t="n">
        <f aca="false">I1121*J1121</f>
        <v>29</v>
      </c>
      <c r="M1121" s="61" t="n">
        <f aca="false">L1121-I1121*K1121</f>
        <v>20</v>
      </c>
      <c r="N1121" s="57" t="n">
        <f aca="false">IF(COUNTIFS(E$2:E1121,E1121,C$2:C1121,C1121)=1,1,0)</f>
        <v>0</v>
      </c>
      <c r="O1121" s="57" t="n">
        <f aca="false">IF(COUNTIFS(E$2:E1121,E1121,C$2:C1121,C1121,D$2:D1121,D1121)=1,1,0)</f>
        <v>1</v>
      </c>
      <c r="P1121" s="57" t="n">
        <f aca="false">IF(AND(C1121=Calc!$C$3,OR(Calc!$C$4=0,D1121=Calc!$C$4)),ROW(),0)</f>
        <v>0</v>
      </c>
    </row>
    <row r="1122" customFormat="false" ht="15" hidden="false" customHeight="false" outlineLevel="0" collapsed="false">
      <c r="A1122" s="57" t="s">
        <v>1605</v>
      </c>
      <c r="B1122" s="58" t="n">
        <v>45617</v>
      </c>
      <c r="C1122" s="57" t="n">
        <f aca="false">YEAR(B1122)</f>
        <v>2024</v>
      </c>
      <c r="D1122" s="57" t="n">
        <f aca="false">MONTH(B1122)</f>
        <v>11</v>
      </c>
      <c r="E1122" s="57" t="s">
        <v>506</v>
      </c>
      <c r="F1122" s="57" t="s">
        <v>78</v>
      </c>
      <c r="G1122" s="57" t="s">
        <v>45</v>
      </c>
      <c r="H1122" s="57" t="s">
        <v>46</v>
      </c>
      <c r="I1122" s="59" t="n">
        <v>1</v>
      </c>
      <c r="J1122" s="60" t="n">
        <v>149</v>
      </c>
      <c r="K1122" s="60" t="n">
        <v>71</v>
      </c>
      <c r="L1122" s="61" t="n">
        <f aca="false">I1122*J1122</f>
        <v>149</v>
      </c>
      <c r="M1122" s="61" t="n">
        <f aca="false">L1122-I1122*K1122</f>
        <v>78</v>
      </c>
      <c r="N1122" s="57" t="n">
        <f aca="false">IF(COUNTIFS(E$2:E1122,E1122,C$2:C1122,C1122)=1,1,0)</f>
        <v>0</v>
      </c>
      <c r="O1122" s="57" t="n">
        <f aca="false">IF(COUNTIFS(E$2:E1122,E1122,C$2:C1122,C1122,D$2:D1122,D1122)=1,1,0)</f>
        <v>1</v>
      </c>
      <c r="P1122" s="57" t="n">
        <f aca="false">IF(AND(C1122=Calc!$C$3,OR(Calc!$C$4=0,D1122=Calc!$C$4)),ROW(),0)</f>
        <v>0</v>
      </c>
    </row>
    <row r="1123" customFormat="false" ht="15" hidden="false" customHeight="false" outlineLevel="0" collapsed="false">
      <c r="A1123" s="57" t="s">
        <v>1606</v>
      </c>
      <c r="B1123" s="58" t="n">
        <v>45617</v>
      </c>
      <c r="C1123" s="57" t="n">
        <f aca="false">YEAR(B1123)</f>
        <v>2024</v>
      </c>
      <c r="D1123" s="57" t="n">
        <f aca="false">MONTH(B1123)</f>
        <v>11</v>
      </c>
      <c r="E1123" s="57" t="s">
        <v>164</v>
      </c>
      <c r="F1123" s="57" t="s">
        <v>69</v>
      </c>
      <c r="G1123" s="57" t="s">
        <v>40</v>
      </c>
      <c r="H1123" s="57" t="s">
        <v>41</v>
      </c>
      <c r="I1123" s="59" t="n">
        <v>1</v>
      </c>
      <c r="J1123" s="60" t="n">
        <v>46</v>
      </c>
      <c r="K1123" s="60" t="n">
        <v>16</v>
      </c>
      <c r="L1123" s="61" t="n">
        <f aca="false">I1123*J1123</f>
        <v>46</v>
      </c>
      <c r="M1123" s="61" t="n">
        <f aca="false">L1123-I1123*K1123</f>
        <v>30</v>
      </c>
      <c r="N1123" s="57" t="n">
        <f aca="false">IF(COUNTIFS(E$2:E1123,E1123,C$2:C1123,C1123)=1,1,0)</f>
        <v>0</v>
      </c>
      <c r="O1123" s="57" t="n">
        <f aca="false">IF(COUNTIFS(E$2:E1123,E1123,C$2:C1123,C1123,D$2:D1123,D1123)=1,1,0)</f>
        <v>1</v>
      </c>
      <c r="P1123" s="57" t="n">
        <f aca="false">IF(AND(C1123=Calc!$C$3,OR(Calc!$C$4=0,D1123=Calc!$C$4)),ROW(),0)</f>
        <v>0</v>
      </c>
    </row>
    <row r="1124" customFormat="false" ht="15" hidden="false" customHeight="false" outlineLevel="0" collapsed="false">
      <c r="A1124" s="57" t="s">
        <v>1607</v>
      </c>
      <c r="B1124" s="58" t="n">
        <v>45617</v>
      </c>
      <c r="C1124" s="57" t="n">
        <f aca="false">YEAR(B1124)</f>
        <v>2024</v>
      </c>
      <c r="D1124" s="57" t="n">
        <f aca="false">MONTH(B1124)</f>
        <v>11</v>
      </c>
      <c r="E1124" s="57" t="s">
        <v>380</v>
      </c>
      <c r="F1124" s="57" t="s">
        <v>69</v>
      </c>
      <c r="G1124" s="57" t="s">
        <v>40</v>
      </c>
      <c r="H1124" s="57" t="s">
        <v>41</v>
      </c>
      <c r="I1124" s="59" t="n">
        <v>1</v>
      </c>
      <c r="J1124" s="60" t="n">
        <v>46</v>
      </c>
      <c r="K1124" s="60" t="n">
        <v>16</v>
      </c>
      <c r="L1124" s="61" t="n">
        <f aca="false">I1124*J1124</f>
        <v>46</v>
      </c>
      <c r="M1124" s="61" t="n">
        <f aca="false">L1124-I1124*K1124</f>
        <v>30</v>
      </c>
      <c r="N1124" s="57" t="n">
        <f aca="false">IF(COUNTIFS(E$2:E1124,E1124,C$2:C1124,C1124)=1,1,0)</f>
        <v>0</v>
      </c>
      <c r="O1124" s="57" t="n">
        <f aca="false">IF(COUNTIFS(E$2:E1124,E1124,C$2:C1124,C1124,D$2:D1124,D1124)=1,1,0)</f>
        <v>0</v>
      </c>
      <c r="P1124" s="57" t="n">
        <f aca="false">IF(AND(C1124=Calc!$C$3,OR(Calc!$C$4=0,D1124=Calc!$C$4)),ROW(),0)</f>
        <v>0</v>
      </c>
    </row>
    <row r="1125" customFormat="false" ht="15" hidden="false" customHeight="false" outlineLevel="0" collapsed="false">
      <c r="A1125" s="57" t="s">
        <v>1608</v>
      </c>
      <c r="B1125" s="58" t="n">
        <v>45617</v>
      </c>
      <c r="C1125" s="57" t="n">
        <f aca="false">YEAR(B1125)</f>
        <v>2024</v>
      </c>
      <c r="D1125" s="57" t="n">
        <f aca="false">MONTH(B1125)</f>
        <v>11</v>
      </c>
      <c r="E1125" s="57" t="s">
        <v>685</v>
      </c>
      <c r="F1125" s="57" t="s">
        <v>78</v>
      </c>
      <c r="G1125" s="57" t="s">
        <v>50</v>
      </c>
      <c r="H1125" s="57" t="s">
        <v>51</v>
      </c>
      <c r="I1125" s="59" t="n">
        <v>3</v>
      </c>
      <c r="J1125" s="60" t="n">
        <v>69</v>
      </c>
      <c r="K1125" s="60" t="n">
        <v>29</v>
      </c>
      <c r="L1125" s="61" t="n">
        <f aca="false">I1125*J1125</f>
        <v>207</v>
      </c>
      <c r="M1125" s="61" t="n">
        <f aca="false">L1125-I1125*K1125</f>
        <v>120</v>
      </c>
      <c r="N1125" s="57" t="n">
        <f aca="false">IF(COUNTIFS(E$2:E1125,E1125,C$2:C1125,C1125)=1,1,0)</f>
        <v>0</v>
      </c>
      <c r="O1125" s="57" t="n">
        <f aca="false">IF(COUNTIFS(E$2:E1125,E1125,C$2:C1125,C1125,D$2:D1125,D1125)=1,1,0)</f>
        <v>1</v>
      </c>
      <c r="P1125" s="57" t="n">
        <f aca="false">IF(AND(C1125=Calc!$C$3,OR(Calc!$C$4=0,D1125=Calc!$C$4)),ROW(),0)</f>
        <v>0</v>
      </c>
    </row>
    <row r="1126" customFormat="false" ht="15" hidden="false" customHeight="false" outlineLevel="0" collapsed="false">
      <c r="A1126" s="57" t="s">
        <v>1609</v>
      </c>
      <c r="B1126" s="58" t="n">
        <v>45617</v>
      </c>
      <c r="C1126" s="57" t="n">
        <f aca="false">YEAR(B1126)</f>
        <v>2024</v>
      </c>
      <c r="D1126" s="57" t="n">
        <f aca="false">MONTH(B1126)</f>
        <v>11</v>
      </c>
      <c r="E1126" s="57" t="s">
        <v>1493</v>
      </c>
      <c r="F1126" s="57" t="s">
        <v>69</v>
      </c>
      <c r="G1126" s="57" t="s">
        <v>40</v>
      </c>
      <c r="H1126" s="57" t="s">
        <v>43</v>
      </c>
      <c r="I1126" s="59" t="n">
        <v>1</v>
      </c>
      <c r="J1126" s="60" t="n">
        <v>29</v>
      </c>
      <c r="K1126" s="60" t="n">
        <v>9</v>
      </c>
      <c r="L1126" s="61" t="n">
        <f aca="false">I1126*J1126</f>
        <v>29</v>
      </c>
      <c r="M1126" s="61" t="n">
        <f aca="false">L1126-I1126*K1126</f>
        <v>20</v>
      </c>
      <c r="N1126" s="57" t="n">
        <f aca="false">IF(COUNTIFS(E$2:E1126,E1126,C$2:C1126,C1126)=1,1,0)</f>
        <v>0</v>
      </c>
      <c r="O1126" s="57" t="n">
        <f aca="false">IF(COUNTIFS(E$2:E1126,E1126,C$2:C1126,C1126,D$2:D1126,D1126)=1,1,0)</f>
        <v>1</v>
      </c>
      <c r="P1126" s="57" t="n">
        <f aca="false">IF(AND(C1126=Calc!$C$3,OR(Calc!$C$4=0,D1126=Calc!$C$4)),ROW(),0)</f>
        <v>0</v>
      </c>
    </row>
    <row r="1127" customFormat="false" ht="15" hidden="false" customHeight="false" outlineLevel="0" collapsed="false">
      <c r="A1127" s="57" t="s">
        <v>1610</v>
      </c>
      <c r="B1127" s="58" t="n">
        <v>45618</v>
      </c>
      <c r="C1127" s="57" t="n">
        <f aca="false">YEAR(B1127)</f>
        <v>2024</v>
      </c>
      <c r="D1127" s="57" t="n">
        <f aca="false">MONTH(B1127)</f>
        <v>11</v>
      </c>
      <c r="E1127" s="57" t="s">
        <v>177</v>
      </c>
      <c r="F1127" s="57" t="s">
        <v>75</v>
      </c>
      <c r="G1127" s="57" t="s">
        <v>35</v>
      </c>
      <c r="H1127" s="57" t="s">
        <v>36</v>
      </c>
      <c r="I1127" s="59" t="n">
        <v>1</v>
      </c>
      <c r="J1127" s="60" t="n">
        <v>179</v>
      </c>
      <c r="K1127" s="60" t="n">
        <v>92</v>
      </c>
      <c r="L1127" s="61" t="n">
        <f aca="false">I1127*J1127</f>
        <v>179</v>
      </c>
      <c r="M1127" s="61" t="n">
        <f aca="false">L1127-I1127*K1127</f>
        <v>87</v>
      </c>
      <c r="N1127" s="57" t="n">
        <f aca="false">IF(COUNTIFS(E$2:E1127,E1127,C$2:C1127,C1127)=1,1,0)</f>
        <v>0</v>
      </c>
      <c r="O1127" s="57" t="n">
        <f aca="false">IF(COUNTIFS(E$2:E1127,E1127,C$2:C1127,C1127,D$2:D1127,D1127)=1,1,0)</f>
        <v>1</v>
      </c>
      <c r="P1127" s="57" t="n">
        <f aca="false">IF(AND(C1127=Calc!$C$3,OR(Calc!$C$4=0,D1127=Calc!$C$4)),ROW(),0)</f>
        <v>0</v>
      </c>
    </row>
    <row r="1128" customFormat="false" ht="15" hidden="false" customHeight="false" outlineLevel="0" collapsed="false">
      <c r="A1128" s="57" t="s">
        <v>1611</v>
      </c>
      <c r="B1128" s="58" t="n">
        <v>45618</v>
      </c>
      <c r="C1128" s="57" t="n">
        <f aca="false">YEAR(B1128)</f>
        <v>2024</v>
      </c>
      <c r="D1128" s="57" t="n">
        <f aca="false">MONTH(B1128)</f>
        <v>11</v>
      </c>
      <c r="E1128" s="57" t="s">
        <v>914</v>
      </c>
      <c r="F1128" s="57" t="s">
        <v>75</v>
      </c>
      <c r="G1128" s="57" t="s">
        <v>35</v>
      </c>
      <c r="H1128" s="57" t="s">
        <v>38</v>
      </c>
      <c r="I1128" s="59" t="n">
        <v>1</v>
      </c>
      <c r="J1128" s="60" t="n">
        <v>49</v>
      </c>
      <c r="K1128" s="60" t="n">
        <v>22</v>
      </c>
      <c r="L1128" s="61" t="n">
        <f aca="false">I1128*J1128</f>
        <v>49</v>
      </c>
      <c r="M1128" s="61" t="n">
        <f aca="false">L1128-I1128*K1128</f>
        <v>27</v>
      </c>
      <c r="N1128" s="57" t="n">
        <f aca="false">IF(COUNTIFS(E$2:E1128,E1128,C$2:C1128,C1128)=1,1,0)</f>
        <v>0</v>
      </c>
      <c r="O1128" s="57" t="n">
        <f aca="false">IF(COUNTIFS(E$2:E1128,E1128,C$2:C1128,C1128,D$2:D1128,D1128)=1,1,0)</f>
        <v>1</v>
      </c>
      <c r="P1128" s="57" t="n">
        <f aca="false">IF(AND(C1128=Calc!$C$3,OR(Calc!$C$4=0,D1128=Calc!$C$4)),ROW(),0)</f>
        <v>0</v>
      </c>
    </row>
    <row r="1129" customFormat="false" ht="15" hidden="false" customHeight="false" outlineLevel="0" collapsed="false">
      <c r="A1129" s="57" t="s">
        <v>1612</v>
      </c>
      <c r="B1129" s="58" t="n">
        <v>45618</v>
      </c>
      <c r="C1129" s="57" t="n">
        <f aca="false">YEAR(B1129)</f>
        <v>2024</v>
      </c>
      <c r="D1129" s="57" t="n">
        <f aca="false">MONTH(B1129)</f>
        <v>11</v>
      </c>
      <c r="E1129" s="57" t="s">
        <v>770</v>
      </c>
      <c r="F1129" s="57" t="s">
        <v>78</v>
      </c>
      <c r="G1129" s="57" t="s">
        <v>35</v>
      </c>
      <c r="H1129" s="57" t="s">
        <v>36</v>
      </c>
      <c r="I1129" s="59" t="n">
        <v>2</v>
      </c>
      <c r="J1129" s="60" t="n">
        <v>179</v>
      </c>
      <c r="K1129" s="60" t="n">
        <v>92</v>
      </c>
      <c r="L1129" s="61" t="n">
        <f aca="false">I1129*J1129</f>
        <v>358</v>
      </c>
      <c r="M1129" s="61" t="n">
        <f aca="false">L1129-I1129*K1129</f>
        <v>174</v>
      </c>
      <c r="N1129" s="57" t="n">
        <f aca="false">IF(COUNTIFS(E$2:E1129,E1129,C$2:C1129,C1129)=1,1,0)</f>
        <v>0</v>
      </c>
      <c r="O1129" s="57" t="n">
        <f aca="false">IF(COUNTIFS(E$2:E1129,E1129,C$2:C1129,C1129,D$2:D1129,D1129)=1,1,0)</f>
        <v>1</v>
      </c>
      <c r="P1129" s="57" t="n">
        <f aca="false">IF(AND(C1129=Calc!$C$3,OR(Calc!$C$4=0,D1129=Calc!$C$4)),ROW(),0)</f>
        <v>0</v>
      </c>
    </row>
    <row r="1130" customFormat="false" ht="15" hidden="false" customHeight="false" outlineLevel="0" collapsed="false">
      <c r="A1130" s="57" t="s">
        <v>1613</v>
      </c>
      <c r="B1130" s="58" t="n">
        <v>45618</v>
      </c>
      <c r="C1130" s="57" t="n">
        <f aca="false">YEAR(B1130)</f>
        <v>2024</v>
      </c>
      <c r="D1130" s="57" t="n">
        <f aca="false">MONTH(B1130)</f>
        <v>11</v>
      </c>
      <c r="E1130" s="57" t="s">
        <v>841</v>
      </c>
      <c r="F1130" s="57" t="s">
        <v>75</v>
      </c>
      <c r="G1130" s="57" t="s">
        <v>50</v>
      </c>
      <c r="H1130" s="57" t="s">
        <v>49</v>
      </c>
      <c r="I1130" s="59" t="n">
        <v>1</v>
      </c>
      <c r="J1130" s="60" t="n">
        <v>32</v>
      </c>
      <c r="K1130" s="60" t="n">
        <v>7</v>
      </c>
      <c r="L1130" s="61" t="n">
        <f aca="false">I1130*J1130</f>
        <v>32</v>
      </c>
      <c r="M1130" s="61" t="n">
        <f aca="false">L1130-I1130*K1130</f>
        <v>25</v>
      </c>
      <c r="N1130" s="57" t="n">
        <f aca="false">IF(COUNTIFS(E$2:E1130,E1130,C$2:C1130,C1130)=1,1,0)</f>
        <v>0</v>
      </c>
      <c r="O1130" s="57" t="n">
        <f aca="false">IF(COUNTIFS(E$2:E1130,E1130,C$2:C1130,C1130,D$2:D1130,D1130)=1,1,0)</f>
        <v>1</v>
      </c>
      <c r="P1130" s="57" t="n">
        <f aca="false">IF(AND(C1130=Calc!$C$3,OR(Calc!$C$4=0,D1130=Calc!$C$4)),ROW(),0)</f>
        <v>0</v>
      </c>
    </row>
    <row r="1131" customFormat="false" ht="15" hidden="false" customHeight="false" outlineLevel="0" collapsed="false">
      <c r="A1131" s="57" t="s">
        <v>1614</v>
      </c>
      <c r="B1131" s="58" t="n">
        <v>45618</v>
      </c>
      <c r="C1131" s="57" t="n">
        <f aca="false">YEAR(B1131)</f>
        <v>2024</v>
      </c>
      <c r="D1131" s="57" t="n">
        <f aca="false">MONTH(B1131)</f>
        <v>11</v>
      </c>
      <c r="E1131" s="57" t="s">
        <v>761</v>
      </c>
      <c r="F1131" s="57" t="s">
        <v>75</v>
      </c>
      <c r="G1131" s="57" t="s">
        <v>45</v>
      </c>
      <c r="H1131" s="57" t="s">
        <v>47</v>
      </c>
      <c r="I1131" s="59" t="n">
        <v>2</v>
      </c>
      <c r="J1131" s="60" t="n">
        <v>34</v>
      </c>
      <c r="K1131" s="60" t="n">
        <v>12</v>
      </c>
      <c r="L1131" s="61" t="n">
        <f aca="false">I1131*J1131</f>
        <v>68</v>
      </c>
      <c r="M1131" s="61" t="n">
        <f aca="false">L1131-I1131*K1131</f>
        <v>44</v>
      </c>
      <c r="N1131" s="57" t="n">
        <f aca="false">IF(COUNTIFS(E$2:E1131,E1131,C$2:C1131,C1131)=1,1,0)</f>
        <v>0</v>
      </c>
      <c r="O1131" s="57" t="n">
        <f aca="false">IF(COUNTIFS(E$2:E1131,E1131,C$2:C1131,C1131,D$2:D1131,D1131)=1,1,0)</f>
        <v>1</v>
      </c>
      <c r="P1131" s="57" t="n">
        <f aca="false">IF(AND(C1131=Calc!$C$3,OR(Calc!$C$4=0,D1131=Calc!$C$4)),ROW(),0)</f>
        <v>0</v>
      </c>
    </row>
    <row r="1132" customFormat="false" ht="15" hidden="false" customHeight="false" outlineLevel="0" collapsed="false">
      <c r="A1132" s="57" t="s">
        <v>1615</v>
      </c>
      <c r="B1132" s="58" t="n">
        <v>45619</v>
      </c>
      <c r="C1132" s="57" t="n">
        <f aca="false">YEAR(B1132)</f>
        <v>2024</v>
      </c>
      <c r="D1132" s="57" t="n">
        <f aca="false">MONTH(B1132)</f>
        <v>11</v>
      </c>
      <c r="E1132" s="57" t="s">
        <v>85</v>
      </c>
      <c r="F1132" s="57" t="s">
        <v>69</v>
      </c>
      <c r="G1132" s="57" t="s">
        <v>35</v>
      </c>
      <c r="H1132" s="57" t="s">
        <v>34</v>
      </c>
      <c r="I1132" s="59" t="n">
        <v>1</v>
      </c>
      <c r="J1132" s="60" t="n">
        <v>89</v>
      </c>
      <c r="K1132" s="60" t="n">
        <v>41</v>
      </c>
      <c r="L1132" s="61" t="n">
        <f aca="false">I1132*J1132</f>
        <v>89</v>
      </c>
      <c r="M1132" s="61" t="n">
        <f aca="false">L1132-I1132*K1132</f>
        <v>48</v>
      </c>
      <c r="N1132" s="57" t="n">
        <f aca="false">IF(COUNTIFS(E$2:E1132,E1132,C$2:C1132,C1132)=1,1,0)</f>
        <v>0</v>
      </c>
      <c r="O1132" s="57" t="n">
        <f aca="false">IF(COUNTIFS(E$2:E1132,E1132,C$2:C1132,C1132,D$2:D1132,D1132)=1,1,0)</f>
        <v>0</v>
      </c>
      <c r="P1132" s="57" t="n">
        <f aca="false">IF(AND(C1132=Calc!$C$3,OR(Calc!$C$4=0,D1132=Calc!$C$4)),ROW(),0)</f>
        <v>0</v>
      </c>
    </row>
    <row r="1133" customFormat="false" ht="15" hidden="false" customHeight="false" outlineLevel="0" collapsed="false">
      <c r="A1133" s="57" t="s">
        <v>1616</v>
      </c>
      <c r="B1133" s="58" t="n">
        <v>45619</v>
      </c>
      <c r="C1133" s="57" t="n">
        <f aca="false">YEAR(B1133)</f>
        <v>2024</v>
      </c>
      <c r="D1133" s="57" t="n">
        <f aca="false">MONTH(B1133)</f>
        <v>11</v>
      </c>
      <c r="E1133" s="57" t="s">
        <v>512</v>
      </c>
      <c r="F1133" s="57" t="s">
        <v>75</v>
      </c>
      <c r="G1133" s="57" t="s">
        <v>50</v>
      </c>
      <c r="H1133" s="57" t="s">
        <v>49</v>
      </c>
      <c r="I1133" s="59" t="n">
        <v>1</v>
      </c>
      <c r="J1133" s="60" t="n">
        <v>32</v>
      </c>
      <c r="K1133" s="60" t="n">
        <v>7</v>
      </c>
      <c r="L1133" s="61" t="n">
        <f aca="false">I1133*J1133</f>
        <v>32</v>
      </c>
      <c r="M1133" s="61" t="n">
        <f aca="false">L1133-I1133*K1133</f>
        <v>25</v>
      </c>
      <c r="N1133" s="57" t="n">
        <f aca="false">IF(COUNTIFS(E$2:E1133,E1133,C$2:C1133,C1133)=1,1,0)</f>
        <v>0</v>
      </c>
      <c r="O1133" s="57" t="n">
        <f aca="false">IF(COUNTIFS(E$2:E1133,E1133,C$2:C1133,C1133,D$2:D1133,D1133)=1,1,0)</f>
        <v>1</v>
      </c>
      <c r="P1133" s="57" t="n">
        <f aca="false">IF(AND(C1133=Calc!$C$3,OR(Calc!$C$4=0,D1133=Calc!$C$4)),ROW(),0)</f>
        <v>0</v>
      </c>
    </row>
    <row r="1134" customFormat="false" ht="15" hidden="false" customHeight="false" outlineLevel="0" collapsed="false">
      <c r="A1134" s="57" t="s">
        <v>1617</v>
      </c>
      <c r="B1134" s="58" t="n">
        <v>45619</v>
      </c>
      <c r="C1134" s="57" t="n">
        <f aca="false">YEAR(B1134)</f>
        <v>2024</v>
      </c>
      <c r="D1134" s="57" t="n">
        <f aca="false">MONTH(B1134)</f>
        <v>11</v>
      </c>
      <c r="E1134" s="57" t="s">
        <v>386</v>
      </c>
      <c r="F1134" s="57" t="s">
        <v>78</v>
      </c>
      <c r="G1134" s="57" t="s">
        <v>45</v>
      </c>
      <c r="H1134" s="57" t="s">
        <v>46</v>
      </c>
      <c r="I1134" s="59" t="n">
        <v>1</v>
      </c>
      <c r="J1134" s="60" t="n">
        <v>149</v>
      </c>
      <c r="K1134" s="60" t="n">
        <v>71</v>
      </c>
      <c r="L1134" s="61" t="n">
        <f aca="false">I1134*J1134</f>
        <v>149</v>
      </c>
      <c r="M1134" s="61" t="n">
        <f aca="false">L1134-I1134*K1134</f>
        <v>78</v>
      </c>
      <c r="N1134" s="57" t="n">
        <f aca="false">IF(COUNTIFS(E$2:E1134,E1134,C$2:C1134,C1134)=1,1,0)</f>
        <v>0</v>
      </c>
      <c r="O1134" s="57" t="n">
        <f aca="false">IF(COUNTIFS(E$2:E1134,E1134,C$2:C1134,C1134,D$2:D1134,D1134)=1,1,0)</f>
        <v>1</v>
      </c>
      <c r="P1134" s="57" t="n">
        <f aca="false">IF(AND(C1134=Calc!$C$3,OR(Calc!$C$4=0,D1134=Calc!$C$4)),ROW(),0)</f>
        <v>0</v>
      </c>
    </row>
    <row r="1135" customFormat="false" ht="15" hidden="false" customHeight="false" outlineLevel="0" collapsed="false">
      <c r="A1135" s="57" t="s">
        <v>1618</v>
      </c>
      <c r="B1135" s="58" t="n">
        <v>45619</v>
      </c>
      <c r="C1135" s="57" t="n">
        <f aca="false">YEAR(B1135)</f>
        <v>2024</v>
      </c>
      <c r="D1135" s="57" t="n">
        <f aca="false">MONTH(B1135)</f>
        <v>11</v>
      </c>
      <c r="E1135" s="57" t="s">
        <v>1619</v>
      </c>
      <c r="F1135" s="57" t="s">
        <v>72</v>
      </c>
      <c r="G1135" s="57" t="s">
        <v>40</v>
      </c>
      <c r="H1135" s="57" t="s">
        <v>43</v>
      </c>
      <c r="I1135" s="59" t="n">
        <v>1</v>
      </c>
      <c r="J1135" s="60" t="n">
        <v>29</v>
      </c>
      <c r="K1135" s="60" t="n">
        <v>9</v>
      </c>
      <c r="L1135" s="61" t="n">
        <f aca="false">I1135*J1135</f>
        <v>29</v>
      </c>
      <c r="M1135" s="61" t="n">
        <f aca="false">L1135-I1135*K1135</f>
        <v>20</v>
      </c>
      <c r="N1135" s="57" t="n">
        <f aca="false">IF(COUNTIFS(E$2:E1135,E1135,C$2:C1135,C1135)=1,1,0)</f>
        <v>1</v>
      </c>
      <c r="O1135" s="57" t="n">
        <f aca="false">IF(COUNTIFS(E$2:E1135,E1135,C$2:C1135,C1135,D$2:D1135,D1135)=1,1,0)</f>
        <v>1</v>
      </c>
      <c r="P1135" s="57" t="n">
        <f aca="false">IF(AND(C1135=Calc!$C$3,OR(Calc!$C$4=0,D1135=Calc!$C$4)),ROW(),0)</f>
        <v>0</v>
      </c>
    </row>
    <row r="1136" customFormat="false" ht="15" hidden="false" customHeight="false" outlineLevel="0" collapsed="false">
      <c r="A1136" s="57" t="s">
        <v>1620</v>
      </c>
      <c r="B1136" s="58" t="n">
        <v>45619</v>
      </c>
      <c r="C1136" s="57" t="n">
        <f aca="false">YEAR(B1136)</f>
        <v>2024</v>
      </c>
      <c r="D1136" s="57" t="n">
        <f aca="false">MONTH(B1136)</f>
        <v>11</v>
      </c>
      <c r="E1136" s="57" t="s">
        <v>1124</v>
      </c>
      <c r="F1136" s="57" t="s">
        <v>75</v>
      </c>
      <c r="G1136" s="57" t="s">
        <v>35</v>
      </c>
      <c r="H1136" s="57" t="s">
        <v>38</v>
      </c>
      <c r="I1136" s="59" t="n">
        <v>1</v>
      </c>
      <c r="J1136" s="60" t="n">
        <v>49</v>
      </c>
      <c r="K1136" s="60" t="n">
        <v>22</v>
      </c>
      <c r="L1136" s="61" t="n">
        <f aca="false">I1136*J1136</f>
        <v>49</v>
      </c>
      <c r="M1136" s="61" t="n">
        <f aca="false">L1136-I1136*K1136</f>
        <v>27</v>
      </c>
      <c r="N1136" s="57" t="n">
        <f aca="false">IF(COUNTIFS(E$2:E1136,E1136,C$2:C1136,C1136)=1,1,0)</f>
        <v>0</v>
      </c>
      <c r="O1136" s="57" t="n">
        <f aca="false">IF(COUNTIFS(E$2:E1136,E1136,C$2:C1136,C1136,D$2:D1136,D1136)=1,1,0)</f>
        <v>1</v>
      </c>
      <c r="P1136" s="57" t="n">
        <f aca="false">IF(AND(C1136=Calc!$C$3,OR(Calc!$C$4=0,D1136=Calc!$C$4)),ROW(),0)</f>
        <v>0</v>
      </c>
    </row>
    <row r="1137" customFormat="false" ht="15" hidden="false" customHeight="false" outlineLevel="0" collapsed="false">
      <c r="A1137" s="57" t="s">
        <v>1621</v>
      </c>
      <c r="B1137" s="58" t="n">
        <v>45619</v>
      </c>
      <c r="C1137" s="57" t="n">
        <f aca="false">YEAR(B1137)</f>
        <v>2024</v>
      </c>
      <c r="D1137" s="57" t="n">
        <f aca="false">MONTH(B1137)</f>
        <v>11</v>
      </c>
      <c r="E1137" s="57" t="s">
        <v>908</v>
      </c>
      <c r="F1137" s="57" t="s">
        <v>72</v>
      </c>
      <c r="G1137" s="57" t="s">
        <v>40</v>
      </c>
      <c r="H1137" s="57" t="s">
        <v>39</v>
      </c>
      <c r="I1137" s="59" t="n">
        <v>1</v>
      </c>
      <c r="J1137" s="60" t="n">
        <v>54</v>
      </c>
      <c r="K1137" s="60" t="n">
        <v>19</v>
      </c>
      <c r="L1137" s="61" t="n">
        <f aca="false">I1137*J1137</f>
        <v>54</v>
      </c>
      <c r="M1137" s="61" t="n">
        <f aca="false">L1137-I1137*K1137</f>
        <v>35</v>
      </c>
      <c r="N1137" s="57" t="n">
        <f aca="false">IF(COUNTIFS(E$2:E1137,E1137,C$2:C1137,C1137)=1,1,0)</f>
        <v>0</v>
      </c>
      <c r="O1137" s="57" t="n">
        <f aca="false">IF(COUNTIFS(E$2:E1137,E1137,C$2:C1137,C1137,D$2:D1137,D1137)=1,1,0)</f>
        <v>1</v>
      </c>
      <c r="P1137" s="57" t="n">
        <f aca="false">IF(AND(C1137=Calc!$C$3,OR(Calc!$C$4=0,D1137=Calc!$C$4)),ROW(),0)</f>
        <v>0</v>
      </c>
    </row>
    <row r="1138" customFormat="false" ht="15" hidden="false" customHeight="false" outlineLevel="0" collapsed="false">
      <c r="A1138" s="57" t="s">
        <v>1622</v>
      </c>
      <c r="B1138" s="58" t="n">
        <v>45620</v>
      </c>
      <c r="C1138" s="57" t="n">
        <f aca="false">YEAR(B1138)</f>
        <v>2024</v>
      </c>
      <c r="D1138" s="57" t="n">
        <f aca="false">MONTH(B1138)</f>
        <v>11</v>
      </c>
      <c r="E1138" s="57" t="s">
        <v>114</v>
      </c>
      <c r="F1138" s="57" t="s">
        <v>69</v>
      </c>
      <c r="G1138" s="57" t="s">
        <v>40</v>
      </c>
      <c r="H1138" s="57" t="s">
        <v>43</v>
      </c>
      <c r="I1138" s="59" t="n">
        <v>1</v>
      </c>
      <c r="J1138" s="60" t="n">
        <v>29</v>
      </c>
      <c r="K1138" s="60" t="n">
        <v>9</v>
      </c>
      <c r="L1138" s="61" t="n">
        <f aca="false">I1138*J1138</f>
        <v>29</v>
      </c>
      <c r="M1138" s="61" t="n">
        <f aca="false">L1138-I1138*K1138</f>
        <v>20</v>
      </c>
      <c r="N1138" s="57" t="n">
        <f aca="false">IF(COUNTIFS(E$2:E1138,E1138,C$2:C1138,C1138)=1,1,0)</f>
        <v>0</v>
      </c>
      <c r="O1138" s="57" t="n">
        <f aca="false">IF(COUNTIFS(E$2:E1138,E1138,C$2:C1138,C1138,D$2:D1138,D1138)=1,1,0)</f>
        <v>0</v>
      </c>
      <c r="P1138" s="57" t="n">
        <f aca="false">IF(AND(C1138=Calc!$C$3,OR(Calc!$C$4=0,D1138=Calc!$C$4)),ROW(),0)</f>
        <v>0</v>
      </c>
    </row>
    <row r="1139" customFormat="false" ht="15" hidden="false" customHeight="false" outlineLevel="0" collapsed="false">
      <c r="A1139" s="57" t="s">
        <v>1623</v>
      </c>
      <c r="B1139" s="58" t="n">
        <v>45620</v>
      </c>
      <c r="C1139" s="57" t="n">
        <f aca="false">YEAR(B1139)</f>
        <v>2024</v>
      </c>
      <c r="D1139" s="57" t="n">
        <f aca="false">MONTH(B1139)</f>
        <v>11</v>
      </c>
      <c r="E1139" s="57" t="s">
        <v>91</v>
      </c>
      <c r="F1139" s="57" t="s">
        <v>69</v>
      </c>
      <c r="G1139" s="57" t="s">
        <v>35</v>
      </c>
      <c r="H1139" s="57" t="s">
        <v>34</v>
      </c>
      <c r="I1139" s="59" t="n">
        <v>3</v>
      </c>
      <c r="J1139" s="60" t="n">
        <v>89</v>
      </c>
      <c r="K1139" s="60" t="n">
        <v>41</v>
      </c>
      <c r="L1139" s="61" t="n">
        <f aca="false">I1139*J1139</f>
        <v>267</v>
      </c>
      <c r="M1139" s="61" t="n">
        <f aca="false">L1139-I1139*K1139</f>
        <v>144</v>
      </c>
      <c r="N1139" s="57" t="n">
        <f aca="false">IF(COUNTIFS(E$2:E1139,E1139,C$2:C1139,C1139)=1,1,0)</f>
        <v>0</v>
      </c>
      <c r="O1139" s="57" t="n">
        <f aca="false">IF(COUNTIFS(E$2:E1139,E1139,C$2:C1139,C1139,D$2:D1139,D1139)=1,1,0)</f>
        <v>0</v>
      </c>
      <c r="P1139" s="57" t="n">
        <f aca="false">IF(AND(C1139=Calc!$C$3,OR(Calc!$C$4=0,D1139=Calc!$C$4)),ROW(),0)</f>
        <v>0</v>
      </c>
    </row>
    <row r="1140" customFormat="false" ht="15" hidden="false" customHeight="false" outlineLevel="0" collapsed="false">
      <c r="A1140" s="57" t="s">
        <v>1624</v>
      </c>
      <c r="B1140" s="58" t="n">
        <v>45621</v>
      </c>
      <c r="C1140" s="57" t="n">
        <f aca="false">YEAR(B1140)</f>
        <v>2024</v>
      </c>
      <c r="D1140" s="57" t="n">
        <f aca="false">MONTH(B1140)</f>
        <v>11</v>
      </c>
      <c r="E1140" s="57" t="s">
        <v>773</v>
      </c>
      <c r="F1140" s="57" t="s">
        <v>69</v>
      </c>
      <c r="G1140" s="57" t="s">
        <v>54</v>
      </c>
      <c r="H1140" s="57" t="s">
        <v>55</v>
      </c>
      <c r="I1140" s="59" t="n">
        <v>2</v>
      </c>
      <c r="J1140" s="60" t="n">
        <v>64</v>
      </c>
      <c r="K1140" s="60" t="n">
        <v>25</v>
      </c>
      <c r="L1140" s="61" t="n">
        <f aca="false">I1140*J1140</f>
        <v>128</v>
      </c>
      <c r="M1140" s="61" t="n">
        <f aca="false">L1140-I1140*K1140</f>
        <v>78</v>
      </c>
      <c r="N1140" s="57" t="n">
        <f aca="false">IF(COUNTIFS(E$2:E1140,E1140,C$2:C1140,C1140)=1,1,0)</f>
        <v>0</v>
      </c>
      <c r="O1140" s="57" t="n">
        <f aca="false">IF(COUNTIFS(E$2:E1140,E1140,C$2:C1140,C1140,D$2:D1140,D1140)=1,1,0)</f>
        <v>1</v>
      </c>
      <c r="P1140" s="57" t="n">
        <f aca="false">IF(AND(C1140=Calc!$C$3,OR(Calc!$C$4=0,D1140=Calc!$C$4)),ROW(),0)</f>
        <v>0</v>
      </c>
    </row>
    <row r="1141" customFormat="false" ht="15" hidden="false" customHeight="false" outlineLevel="0" collapsed="false">
      <c r="A1141" s="57" t="s">
        <v>1625</v>
      </c>
      <c r="B1141" s="58" t="n">
        <v>45621</v>
      </c>
      <c r="C1141" s="57" t="n">
        <f aca="false">YEAR(B1141)</f>
        <v>2024</v>
      </c>
      <c r="D1141" s="57" t="n">
        <f aca="false">MONTH(B1141)</f>
        <v>11</v>
      </c>
      <c r="E1141" s="57" t="s">
        <v>97</v>
      </c>
      <c r="F1141" s="57" t="s">
        <v>78</v>
      </c>
      <c r="G1141" s="57" t="s">
        <v>35</v>
      </c>
      <c r="H1141" s="57" t="s">
        <v>34</v>
      </c>
      <c r="I1141" s="59" t="n">
        <v>2</v>
      </c>
      <c r="J1141" s="60" t="n">
        <v>89</v>
      </c>
      <c r="K1141" s="60" t="n">
        <v>41</v>
      </c>
      <c r="L1141" s="61" t="n">
        <f aca="false">I1141*J1141</f>
        <v>178</v>
      </c>
      <c r="M1141" s="61" t="n">
        <f aca="false">L1141-I1141*K1141</f>
        <v>96</v>
      </c>
      <c r="N1141" s="57" t="n">
        <f aca="false">IF(COUNTIFS(E$2:E1141,E1141,C$2:C1141,C1141)=1,1,0)</f>
        <v>0</v>
      </c>
      <c r="O1141" s="57" t="n">
        <f aca="false">IF(COUNTIFS(E$2:E1141,E1141,C$2:C1141,C1141,D$2:D1141,D1141)=1,1,0)</f>
        <v>0</v>
      </c>
      <c r="P1141" s="57" t="n">
        <f aca="false">IF(AND(C1141=Calc!$C$3,OR(Calc!$C$4=0,D1141=Calc!$C$4)),ROW(),0)</f>
        <v>0</v>
      </c>
    </row>
    <row r="1142" customFormat="false" ht="15" hidden="false" customHeight="false" outlineLevel="0" collapsed="false">
      <c r="A1142" s="57" t="s">
        <v>1626</v>
      </c>
      <c r="B1142" s="58" t="n">
        <v>45621</v>
      </c>
      <c r="C1142" s="57" t="n">
        <f aca="false">YEAR(B1142)</f>
        <v>2024</v>
      </c>
      <c r="D1142" s="57" t="n">
        <f aca="false">MONTH(B1142)</f>
        <v>11</v>
      </c>
      <c r="E1142" s="57" t="s">
        <v>91</v>
      </c>
      <c r="F1142" s="57" t="s">
        <v>69</v>
      </c>
      <c r="G1142" s="57" t="s">
        <v>35</v>
      </c>
      <c r="H1142" s="57" t="s">
        <v>38</v>
      </c>
      <c r="I1142" s="59" t="n">
        <v>1</v>
      </c>
      <c r="J1142" s="60" t="n">
        <v>49</v>
      </c>
      <c r="K1142" s="60" t="n">
        <v>22</v>
      </c>
      <c r="L1142" s="61" t="n">
        <f aca="false">I1142*J1142</f>
        <v>49</v>
      </c>
      <c r="M1142" s="61" t="n">
        <f aca="false">L1142-I1142*K1142</f>
        <v>27</v>
      </c>
      <c r="N1142" s="57" t="n">
        <f aca="false">IF(COUNTIFS(E$2:E1142,E1142,C$2:C1142,C1142)=1,1,0)</f>
        <v>0</v>
      </c>
      <c r="O1142" s="57" t="n">
        <f aca="false">IF(COUNTIFS(E$2:E1142,E1142,C$2:C1142,C1142,D$2:D1142,D1142)=1,1,0)</f>
        <v>0</v>
      </c>
      <c r="P1142" s="57" t="n">
        <f aca="false">IF(AND(C1142=Calc!$C$3,OR(Calc!$C$4=0,D1142=Calc!$C$4)),ROW(),0)</f>
        <v>0</v>
      </c>
    </row>
    <row r="1143" customFormat="false" ht="15" hidden="false" customHeight="false" outlineLevel="0" collapsed="false">
      <c r="A1143" s="57" t="s">
        <v>1627</v>
      </c>
      <c r="B1143" s="58" t="n">
        <v>45621</v>
      </c>
      <c r="C1143" s="57" t="n">
        <f aca="false">YEAR(B1143)</f>
        <v>2024</v>
      </c>
      <c r="D1143" s="57" t="n">
        <f aca="false">MONTH(B1143)</f>
        <v>11</v>
      </c>
      <c r="E1143" s="57" t="s">
        <v>1304</v>
      </c>
      <c r="F1143" s="57" t="s">
        <v>78</v>
      </c>
      <c r="G1143" s="57" t="s">
        <v>40</v>
      </c>
      <c r="H1143" s="57" t="s">
        <v>42</v>
      </c>
      <c r="I1143" s="59" t="n">
        <v>1</v>
      </c>
      <c r="J1143" s="60" t="n">
        <v>79</v>
      </c>
      <c r="K1143" s="60" t="n">
        <v>31</v>
      </c>
      <c r="L1143" s="61" t="n">
        <f aca="false">I1143*J1143</f>
        <v>79</v>
      </c>
      <c r="M1143" s="61" t="n">
        <f aca="false">L1143-I1143*K1143</f>
        <v>48</v>
      </c>
      <c r="N1143" s="57" t="n">
        <f aca="false">IF(COUNTIFS(E$2:E1143,E1143,C$2:C1143,C1143)=1,1,0)</f>
        <v>0</v>
      </c>
      <c r="O1143" s="57" t="n">
        <f aca="false">IF(COUNTIFS(E$2:E1143,E1143,C$2:C1143,C1143,D$2:D1143,D1143)=1,1,0)</f>
        <v>0</v>
      </c>
      <c r="P1143" s="57" t="n">
        <f aca="false">IF(AND(C1143=Calc!$C$3,OR(Calc!$C$4=0,D1143=Calc!$C$4)),ROW(),0)</f>
        <v>0</v>
      </c>
    </row>
    <row r="1144" customFormat="false" ht="15" hidden="false" customHeight="false" outlineLevel="0" collapsed="false">
      <c r="A1144" s="57" t="s">
        <v>1628</v>
      </c>
      <c r="B1144" s="58" t="n">
        <v>45621</v>
      </c>
      <c r="C1144" s="57" t="n">
        <f aca="false">YEAR(B1144)</f>
        <v>2024</v>
      </c>
      <c r="D1144" s="57" t="n">
        <f aca="false">MONTH(B1144)</f>
        <v>11</v>
      </c>
      <c r="E1144" s="57" t="s">
        <v>168</v>
      </c>
      <c r="F1144" s="57" t="s">
        <v>81</v>
      </c>
      <c r="G1144" s="57" t="s">
        <v>40</v>
      </c>
      <c r="H1144" s="57" t="s">
        <v>42</v>
      </c>
      <c r="I1144" s="59" t="n">
        <v>1</v>
      </c>
      <c r="J1144" s="60" t="n">
        <v>79</v>
      </c>
      <c r="K1144" s="60" t="n">
        <v>31</v>
      </c>
      <c r="L1144" s="61" t="n">
        <f aca="false">I1144*J1144</f>
        <v>79</v>
      </c>
      <c r="M1144" s="61" t="n">
        <f aca="false">L1144-I1144*K1144</f>
        <v>48</v>
      </c>
      <c r="N1144" s="57" t="n">
        <f aca="false">IF(COUNTIFS(E$2:E1144,E1144,C$2:C1144,C1144)=1,1,0)</f>
        <v>0</v>
      </c>
      <c r="O1144" s="57" t="n">
        <f aca="false">IF(COUNTIFS(E$2:E1144,E1144,C$2:C1144,C1144,D$2:D1144,D1144)=1,1,0)</f>
        <v>0</v>
      </c>
      <c r="P1144" s="57" t="n">
        <f aca="false">IF(AND(C1144=Calc!$C$3,OR(Calc!$C$4=0,D1144=Calc!$C$4)),ROW(),0)</f>
        <v>0</v>
      </c>
    </row>
    <row r="1145" customFormat="false" ht="15" hidden="false" customHeight="false" outlineLevel="0" collapsed="false">
      <c r="A1145" s="57" t="s">
        <v>1629</v>
      </c>
      <c r="B1145" s="58" t="n">
        <v>45622</v>
      </c>
      <c r="C1145" s="57" t="n">
        <f aca="false">YEAR(B1145)</f>
        <v>2024</v>
      </c>
      <c r="D1145" s="57" t="n">
        <f aca="false">MONTH(B1145)</f>
        <v>11</v>
      </c>
      <c r="E1145" s="57" t="s">
        <v>146</v>
      </c>
      <c r="F1145" s="57" t="s">
        <v>78</v>
      </c>
      <c r="G1145" s="57" t="s">
        <v>40</v>
      </c>
      <c r="H1145" s="57" t="s">
        <v>39</v>
      </c>
      <c r="I1145" s="59" t="n">
        <v>1</v>
      </c>
      <c r="J1145" s="60" t="n">
        <v>54</v>
      </c>
      <c r="K1145" s="60" t="n">
        <v>19</v>
      </c>
      <c r="L1145" s="61" t="n">
        <f aca="false">I1145*J1145</f>
        <v>54</v>
      </c>
      <c r="M1145" s="61" t="n">
        <f aca="false">L1145-I1145*K1145</f>
        <v>35</v>
      </c>
      <c r="N1145" s="57" t="n">
        <f aca="false">IF(COUNTIFS(E$2:E1145,E1145,C$2:C1145,C1145)=1,1,0)</f>
        <v>0</v>
      </c>
      <c r="O1145" s="57" t="n">
        <f aca="false">IF(COUNTIFS(E$2:E1145,E1145,C$2:C1145,C1145,D$2:D1145,D1145)=1,1,0)</f>
        <v>1</v>
      </c>
      <c r="P1145" s="57" t="n">
        <f aca="false">IF(AND(C1145=Calc!$C$3,OR(Calc!$C$4=0,D1145=Calc!$C$4)),ROW(),0)</f>
        <v>0</v>
      </c>
    </row>
    <row r="1146" customFormat="false" ht="15" hidden="false" customHeight="false" outlineLevel="0" collapsed="false">
      <c r="A1146" s="57" t="s">
        <v>1630</v>
      </c>
      <c r="B1146" s="58" t="n">
        <v>45622</v>
      </c>
      <c r="C1146" s="57" t="n">
        <f aca="false">YEAR(B1146)</f>
        <v>2024</v>
      </c>
      <c r="D1146" s="57" t="n">
        <f aca="false">MONTH(B1146)</f>
        <v>11</v>
      </c>
      <c r="E1146" s="57" t="s">
        <v>1145</v>
      </c>
      <c r="F1146" s="57" t="s">
        <v>78</v>
      </c>
      <c r="G1146" s="57" t="s">
        <v>50</v>
      </c>
      <c r="H1146" s="57" t="s">
        <v>51</v>
      </c>
      <c r="I1146" s="59" t="n">
        <v>1</v>
      </c>
      <c r="J1146" s="60" t="n">
        <v>69</v>
      </c>
      <c r="K1146" s="60" t="n">
        <v>29</v>
      </c>
      <c r="L1146" s="61" t="n">
        <f aca="false">I1146*J1146</f>
        <v>69</v>
      </c>
      <c r="M1146" s="61" t="n">
        <f aca="false">L1146-I1146*K1146</f>
        <v>40</v>
      </c>
      <c r="N1146" s="57" t="n">
        <f aca="false">IF(COUNTIFS(E$2:E1146,E1146,C$2:C1146,C1146)=1,1,0)</f>
        <v>0</v>
      </c>
      <c r="O1146" s="57" t="n">
        <f aca="false">IF(COUNTIFS(E$2:E1146,E1146,C$2:C1146,C1146,D$2:D1146,D1146)=1,1,0)</f>
        <v>1</v>
      </c>
      <c r="P1146" s="57" t="n">
        <f aca="false">IF(AND(C1146=Calc!$C$3,OR(Calc!$C$4=0,D1146=Calc!$C$4)),ROW(),0)</f>
        <v>0</v>
      </c>
    </row>
    <row r="1147" customFormat="false" ht="15" hidden="false" customHeight="false" outlineLevel="0" collapsed="false">
      <c r="A1147" s="57" t="s">
        <v>1631</v>
      </c>
      <c r="B1147" s="58" t="n">
        <v>45622</v>
      </c>
      <c r="C1147" s="57" t="n">
        <f aca="false">YEAR(B1147)</f>
        <v>2024</v>
      </c>
      <c r="D1147" s="57" t="n">
        <f aca="false">MONTH(B1147)</f>
        <v>11</v>
      </c>
      <c r="E1147" s="57" t="s">
        <v>914</v>
      </c>
      <c r="F1147" s="57" t="s">
        <v>75</v>
      </c>
      <c r="G1147" s="57" t="s">
        <v>35</v>
      </c>
      <c r="H1147" s="57" t="s">
        <v>37</v>
      </c>
      <c r="I1147" s="59" t="n">
        <v>2</v>
      </c>
      <c r="J1147" s="60" t="n">
        <v>59</v>
      </c>
      <c r="K1147" s="60" t="n">
        <v>27</v>
      </c>
      <c r="L1147" s="61" t="n">
        <f aca="false">I1147*J1147</f>
        <v>118</v>
      </c>
      <c r="M1147" s="61" t="n">
        <f aca="false">L1147-I1147*K1147</f>
        <v>64</v>
      </c>
      <c r="N1147" s="57" t="n">
        <f aca="false">IF(COUNTIFS(E$2:E1147,E1147,C$2:C1147,C1147)=1,1,0)</f>
        <v>0</v>
      </c>
      <c r="O1147" s="57" t="n">
        <f aca="false">IF(COUNTIFS(E$2:E1147,E1147,C$2:C1147,C1147,D$2:D1147,D1147)=1,1,0)</f>
        <v>0</v>
      </c>
      <c r="P1147" s="57" t="n">
        <f aca="false">IF(AND(C1147=Calc!$C$3,OR(Calc!$C$4=0,D1147=Calc!$C$4)),ROW(),0)</f>
        <v>0</v>
      </c>
    </row>
    <row r="1148" customFormat="false" ht="15" hidden="false" customHeight="false" outlineLevel="0" collapsed="false">
      <c r="A1148" s="57" t="s">
        <v>1632</v>
      </c>
      <c r="B1148" s="58" t="n">
        <v>45622</v>
      </c>
      <c r="C1148" s="57" t="n">
        <f aca="false">YEAR(B1148)</f>
        <v>2024</v>
      </c>
      <c r="D1148" s="57" t="n">
        <f aca="false">MONTH(B1148)</f>
        <v>11</v>
      </c>
      <c r="E1148" s="57" t="s">
        <v>140</v>
      </c>
      <c r="F1148" s="57" t="s">
        <v>75</v>
      </c>
      <c r="G1148" s="57" t="s">
        <v>45</v>
      </c>
      <c r="H1148" s="57" t="s">
        <v>46</v>
      </c>
      <c r="I1148" s="59" t="n">
        <v>1</v>
      </c>
      <c r="J1148" s="60" t="n">
        <v>149</v>
      </c>
      <c r="K1148" s="60" t="n">
        <v>71</v>
      </c>
      <c r="L1148" s="61" t="n">
        <f aca="false">I1148*J1148</f>
        <v>149</v>
      </c>
      <c r="M1148" s="61" t="n">
        <f aca="false">L1148-I1148*K1148</f>
        <v>78</v>
      </c>
      <c r="N1148" s="57" t="n">
        <f aca="false">IF(COUNTIFS(E$2:E1148,E1148,C$2:C1148,C1148)=1,1,0)</f>
        <v>0</v>
      </c>
      <c r="O1148" s="57" t="n">
        <f aca="false">IF(COUNTIFS(E$2:E1148,E1148,C$2:C1148,C1148,D$2:D1148,D1148)=1,1,0)</f>
        <v>1</v>
      </c>
      <c r="P1148" s="57" t="n">
        <f aca="false">IF(AND(C1148=Calc!$C$3,OR(Calc!$C$4=0,D1148=Calc!$C$4)),ROW(),0)</f>
        <v>0</v>
      </c>
    </row>
    <row r="1149" customFormat="false" ht="15" hidden="false" customHeight="false" outlineLevel="0" collapsed="false">
      <c r="A1149" s="57" t="s">
        <v>1633</v>
      </c>
      <c r="B1149" s="58" t="n">
        <v>45622</v>
      </c>
      <c r="C1149" s="57" t="n">
        <f aca="false">YEAR(B1149)</f>
        <v>2024</v>
      </c>
      <c r="D1149" s="57" t="n">
        <f aca="false">MONTH(B1149)</f>
        <v>11</v>
      </c>
      <c r="E1149" s="57" t="s">
        <v>93</v>
      </c>
      <c r="F1149" s="57" t="s">
        <v>81</v>
      </c>
      <c r="G1149" s="57" t="s">
        <v>54</v>
      </c>
      <c r="H1149" s="57" t="s">
        <v>56</v>
      </c>
      <c r="I1149" s="59" t="n">
        <v>2</v>
      </c>
      <c r="J1149" s="60" t="n">
        <v>42</v>
      </c>
      <c r="K1149" s="60" t="n">
        <v>17</v>
      </c>
      <c r="L1149" s="61" t="n">
        <f aca="false">I1149*J1149</f>
        <v>84</v>
      </c>
      <c r="M1149" s="61" t="n">
        <f aca="false">L1149-I1149*K1149</f>
        <v>50</v>
      </c>
      <c r="N1149" s="57" t="n">
        <f aca="false">IF(COUNTIFS(E$2:E1149,E1149,C$2:C1149,C1149)=1,1,0)</f>
        <v>0</v>
      </c>
      <c r="O1149" s="57" t="n">
        <f aca="false">IF(COUNTIFS(E$2:E1149,E1149,C$2:C1149,C1149,D$2:D1149,D1149)=1,1,0)</f>
        <v>1</v>
      </c>
      <c r="P1149" s="57" t="n">
        <f aca="false">IF(AND(C1149=Calc!$C$3,OR(Calc!$C$4=0,D1149=Calc!$C$4)),ROW(),0)</f>
        <v>0</v>
      </c>
    </row>
    <row r="1150" customFormat="false" ht="15" hidden="false" customHeight="false" outlineLevel="0" collapsed="false">
      <c r="A1150" s="57" t="s">
        <v>1634</v>
      </c>
      <c r="B1150" s="58" t="n">
        <v>45623</v>
      </c>
      <c r="C1150" s="57" t="n">
        <f aca="false">YEAR(B1150)</f>
        <v>2024</v>
      </c>
      <c r="D1150" s="57" t="n">
        <f aca="false">MONTH(B1150)</f>
        <v>11</v>
      </c>
      <c r="E1150" s="57" t="s">
        <v>108</v>
      </c>
      <c r="F1150" s="57" t="s">
        <v>75</v>
      </c>
      <c r="G1150" s="57" t="s">
        <v>45</v>
      </c>
      <c r="H1150" s="57" t="s">
        <v>47</v>
      </c>
      <c r="I1150" s="59" t="n">
        <v>1</v>
      </c>
      <c r="J1150" s="60" t="n">
        <v>34</v>
      </c>
      <c r="K1150" s="60" t="n">
        <v>12</v>
      </c>
      <c r="L1150" s="61" t="n">
        <f aca="false">I1150*J1150</f>
        <v>34</v>
      </c>
      <c r="M1150" s="61" t="n">
        <f aca="false">L1150-I1150*K1150</f>
        <v>22</v>
      </c>
      <c r="N1150" s="57" t="n">
        <f aca="false">IF(COUNTIFS(E$2:E1150,E1150,C$2:C1150,C1150)=1,1,0)</f>
        <v>0</v>
      </c>
      <c r="O1150" s="57" t="n">
        <f aca="false">IF(COUNTIFS(E$2:E1150,E1150,C$2:C1150,C1150,D$2:D1150,D1150)=1,1,0)</f>
        <v>1</v>
      </c>
      <c r="P1150" s="57" t="n">
        <f aca="false">IF(AND(C1150=Calc!$C$3,OR(Calc!$C$4=0,D1150=Calc!$C$4)),ROW(),0)</f>
        <v>0</v>
      </c>
    </row>
    <row r="1151" customFormat="false" ht="15" hidden="false" customHeight="false" outlineLevel="0" collapsed="false">
      <c r="A1151" s="57" t="s">
        <v>1635</v>
      </c>
      <c r="B1151" s="58" t="n">
        <v>45623</v>
      </c>
      <c r="C1151" s="57" t="n">
        <f aca="false">YEAR(B1151)</f>
        <v>2024</v>
      </c>
      <c r="D1151" s="57" t="n">
        <f aca="false">MONTH(B1151)</f>
        <v>11</v>
      </c>
      <c r="E1151" s="57" t="s">
        <v>338</v>
      </c>
      <c r="F1151" s="57" t="s">
        <v>78</v>
      </c>
      <c r="G1151" s="57" t="s">
        <v>45</v>
      </c>
      <c r="H1151" s="57" t="s">
        <v>44</v>
      </c>
      <c r="I1151" s="59" t="n">
        <v>1</v>
      </c>
      <c r="J1151" s="60" t="n">
        <v>119</v>
      </c>
      <c r="K1151" s="60" t="n">
        <v>63</v>
      </c>
      <c r="L1151" s="61" t="n">
        <f aca="false">I1151*J1151</f>
        <v>119</v>
      </c>
      <c r="M1151" s="61" t="n">
        <f aca="false">L1151-I1151*K1151</f>
        <v>56</v>
      </c>
      <c r="N1151" s="57" t="n">
        <f aca="false">IF(COUNTIFS(E$2:E1151,E1151,C$2:C1151,C1151)=1,1,0)</f>
        <v>0</v>
      </c>
      <c r="O1151" s="57" t="n">
        <f aca="false">IF(COUNTIFS(E$2:E1151,E1151,C$2:C1151,C1151,D$2:D1151,D1151)=1,1,0)</f>
        <v>1</v>
      </c>
      <c r="P1151" s="57" t="n">
        <f aca="false">IF(AND(C1151=Calc!$C$3,OR(Calc!$C$4=0,D1151=Calc!$C$4)),ROW(),0)</f>
        <v>0</v>
      </c>
    </row>
    <row r="1152" customFormat="false" ht="15" hidden="false" customHeight="false" outlineLevel="0" collapsed="false">
      <c r="A1152" s="57" t="s">
        <v>1636</v>
      </c>
      <c r="B1152" s="58" t="n">
        <v>45623</v>
      </c>
      <c r="C1152" s="57" t="n">
        <f aca="false">YEAR(B1152)</f>
        <v>2024</v>
      </c>
      <c r="D1152" s="57" t="n">
        <f aca="false">MONTH(B1152)</f>
        <v>11</v>
      </c>
      <c r="E1152" s="57" t="s">
        <v>326</v>
      </c>
      <c r="F1152" s="57" t="s">
        <v>78</v>
      </c>
      <c r="G1152" s="57" t="s">
        <v>54</v>
      </c>
      <c r="H1152" s="57" t="s">
        <v>56</v>
      </c>
      <c r="I1152" s="59" t="n">
        <v>1</v>
      </c>
      <c r="J1152" s="60" t="n">
        <v>42</v>
      </c>
      <c r="K1152" s="60" t="n">
        <v>17</v>
      </c>
      <c r="L1152" s="61" t="n">
        <f aca="false">I1152*J1152</f>
        <v>42</v>
      </c>
      <c r="M1152" s="61" t="n">
        <f aca="false">L1152-I1152*K1152</f>
        <v>25</v>
      </c>
      <c r="N1152" s="57" t="n">
        <f aca="false">IF(COUNTIFS(E$2:E1152,E1152,C$2:C1152,C1152)=1,1,0)</f>
        <v>0</v>
      </c>
      <c r="O1152" s="57" t="n">
        <f aca="false">IF(COUNTIFS(E$2:E1152,E1152,C$2:C1152,C1152,D$2:D1152,D1152)=1,1,0)</f>
        <v>1</v>
      </c>
      <c r="P1152" s="57" t="n">
        <f aca="false">IF(AND(C1152=Calc!$C$3,OR(Calc!$C$4=0,D1152=Calc!$C$4)),ROW(),0)</f>
        <v>0</v>
      </c>
    </row>
    <row r="1153" customFormat="false" ht="15" hidden="false" customHeight="false" outlineLevel="0" collapsed="false">
      <c r="A1153" s="57" t="s">
        <v>1637</v>
      </c>
      <c r="B1153" s="58" t="n">
        <v>45623</v>
      </c>
      <c r="C1153" s="57" t="n">
        <f aca="false">YEAR(B1153)</f>
        <v>2024</v>
      </c>
      <c r="D1153" s="57" t="n">
        <f aca="false">MONTH(B1153)</f>
        <v>11</v>
      </c>
      <c r="E1153" s="57" t="s">
        <v>1638</v>
      </c>
      <c r="F1153" s="57" t="s">
        <v>78</v>
      </c>
      <c r="G1153" s="57" t="s">
        <v>45</v>
      </c>
      <c r="H1153" s="57" t="s">
        <v>48</v>
      </c>
      <c r="I1153" s="59" t="n">
        <v>1</v>
      </c>
      <c r="J1153" s="60" t="n">
        <v>99</v>
      </c>
      <c r="K1153" s="60" t="n">
        <v>38</v>
      </c>
      <c r="L1153" s="61" t="n">
        <f aca="false">I1153*J1153</f>
        <v>99</v>
      </c>
      <c r="M1153" s="61" t="n">
        <f aca="false">L1153-I1153*K1153</f>
        <v>61</v>
      </c>
      <c r="N1153" s="57" t="n">
        <f aca="false">IF(COUNTIFS(E$2:E1153,E1153,C$2:C1153,C1153)=1,1,0)</f>
        <v>1</v>
      </c>
      <c r="O1153" s="57" t="n">
        <f aca="false">IF(COUNTIFS(E$2:E1153,E1153,C$2:C1153,C1153,D$2:D1153,D1153)=1,1,0)</f>
        <v>1</v>
      </c>
      <c r="P1153" s="57" t="n">
        <f aca="false">IF(AND(C1153=Calc!$C$3,OR(Calc!$C$4=0,D1153=Calc!$C$4)),ROW(),0)</f>
        <v>0</v>
      </c>
    </row>
    <row r="1154" customFormat="false" ht="15" hidden="false" customHeight="false" outlineLevel="0" collapsed="false">
      <c r="A1154" s="57" t="s">
        <v>1639</v>
      </c>
      <c r="B1154" s="58" t="n">
        <v>45623</v>
      </c>
      <c r="C1154" s="57" t="n">
        <f aca="false">YEAR(B1154)</f>
        <v>2024</v>
      </c>
      <c r="D1154" s="57" t="n">
        <f aca="false">MONTH(B1154)</f>
        <v>11</v>
      </c>
      <c r="E1154" s="57" t="s">
        <v>355</v>
      </c>
      <c r="F1154" s="57" t="s">
        <v>78</v>
      </c>
      <c r="G1154" s="57" t="s">
        <v>40</v>
      </c>
      <c r="H1154" s="57" t="s">
        <v>42</v>
      </c>
      <c r="I1154" s="59" t="n">
        <v>1</v>
      </c>
      <c r="J1154" s="60" t="n">
        <v>79</v>
      </c>
      <c r="K1154" s="60" t="n">
        <v>31</v>
      </c>
      <c r="L1154" s="61" t="n">
        <f aca="false">I1154*J1154</f>
        <v>79</v>
      </c>
      <c r="M1154" s="61" t="n">
        <f aca="false">L1154-I1154*K1154</f>
        <v>48</v>
      </c>
      <c r="N1154" s="57" t="n">
        <f aca="false">IF(COUNTIFS(E$2:E1154,E1154,C$2:C1154,C1154)=1,1,0)</f>
        <v>0</v>
      </c>
      <c r="O1154" s="57" t="n">
        <f aca="false">IF(COUNTIFS(E$2:E1154,E1154,C$2:C1154,C1154,D$2:D1154,D1154)=1,1,0)</f>
        <v>0</v>
      </c>
      <c r="P1154" s="57" t="n">
        <f aca="false">IF(AND(C1154=Calc!$C$3,OR(Calc!$C$4=0,D1154=Calc!$C$4)),ROW(),0)</f>
        <v>0</v>
      </c>
    </row>
    <row r="1155" customFormat="false" ht="15" hidden="false" customHeight="false" outlineLevel="0" collapsed="false">
      <c r="A1155" s="57" t="s">
        <v>1640</v>
      </c>
      <c r="B1155" s="58" t="n">
        <v>45624</v>
      </c>
      <c r="C1155" s="57" t="n">
        <f aca="false">YEAR(B1155)</f>
        <v>2024</v>
      </c>
      <c r="D1155" s="57" t="n">
        <f aca="false">MONTH(B1155)</f>
        <v>11</v>
      </c>
      <c r="E1155" s="57" t="s">
        <v>1022</v>
      </c>
      <c r="F1155" s="57" t="s">
        <v>75</v>
      </c>
      <c r="G1155" s="57" t="s">
        <v>35</v>
      </c>
      <c r="H1155" s="57" t="s">
        <v>37</v>
      </c>
      <c r="I1155" s="59" t="n">
        <v>1</v>
      </c>
      <c r="J1155" s="60" t="n">
        <v>59</v>
      </c>
      <c r="K1155" s="60" t="n">
        <v>27</v>
      </c>
      <c r="L1155" s="61" t="n">
        <f aca="false">I1155*J1155</f>
        <v>59</v>
      </c>
      <c r="M1155" s="61" t="n">
        <f aca="false">L1155-I1155*K1155</f>
        <v>32</v>
      </c>
      <c r="N1155" s="57" t="n">
        <f aca="false">IF(COUNTIFS(E$2:E1155,E1155,C$2:C1155,C1155)=1,1,0)</f>
        <v>0</v>
      </c>
      <c r="O1155" s="57" t="n">
        <f aca="false">IF(COUNTIFS(E$2:E1155,E1155,C$2:C1155,C1155,D$2:D1155,D1155)=1,1,0)</f>
        <v>1</v>
      </c>
      <c r="P1155" s="57" t="n">
        <f aca="false">IF(AND(C1155=Calc!$C$3,OR(Calc!$C$4=0,D1155=Calc!$C$4)),ROW(),0)</f>
        <v>0</v>
      </c>
    </row>
    <row r="1156" customFormat="false" ht="15" hidden="false" customHeight="false" outlineLevel="0" collapsed="false">
      <c r="A1156" s="57" t="s">
        <v>1641</v>
      </c>
      <c r="B1156" s="58" t="n">
        <v>45624</v>
      </c>
      <c r="C1156" s="57" t="n">
        <f aca="false">YEAR(B1156)</f>
        <v>2024</v>
      </c>
      <c r="D1156" s="57" t="n">
        <f aca="false">MONTH(B1156)</f>
        <v>11</v>
      </c>
      <c r="E1156" s="57" t="s">
        <v>510</v>
      </c>
      <c r="F1156" s="57" t="s">
        <v>78</v>
      </c>
      <c r="G1156" s="57" t="s">
        <v>35</v>
      </c>
      <c r="H1156" s="57" t="s">
        <v>38</v>
      </c>
      <c r="I1156" s="59" t="n">
        <v>1</v>
      </c>
      <c r="J1156" s="60" t="n">
        <v>49</v>
      </c>
      <c r="K1156" s="60" t="n">
        <v>22</v>
      </c>
      <c r="L1156" s="61" t="n">
        <f aca="false">I1156*J1156</f>
        <v>49</v>
      </c>
      <c r="M1156" s="61" t="n">
        <f aca="false">L1156-I1156*K1156</f>
        <v>27</v>
      </c>
      <c r="N1156" s="57" t="n">
        <f aca="false">IF(COUNTIFS(E$2:E1156,E1156,C$2:C1156,C1156)=1,1,0)</f>
        <v>0</v>
      </c>
      <c r="O1156" s="57" t="n">
        <f aca="false">IF(COUNTIFS(E$2:E1156,E1156,C$2:C1156,C1156,D$2:D1156,D1156)=1,1,0)</f>
        <v>1</v>
      </c>
      <c r="P1156" s="57" t="n">
        <f aca="false">IF(AND(C1156=Calc!$C$3,OR(Calc!$C$4=0,D1156=Calc!$C$4)),ROW(),0)</f>
        <v>0</v>
      </c>
    </row>
    <row r="1157" customFormat="false" ht="15" hidden="false" customHeight="false" outlineLevel="0" collapsed="false">
      <c r="A1157" s="57" t="s">
        <v>1642</v>
      </c>
      <c r="B1157" s="58" t="n">
        <v>45624</v>
      </c>
      <c r="C1157" s="57" t="n">
        <f aca="false">YEAR(B1157)</f>
        <v>2024</v>
      </c>
      <c r="D1157" s="57" t="n">
        <f aca="false">MONTH(B1157)</f>
        <v>11</v>
      </c>
      <c r="E1157" s="57" t="s">
        <v>97</v>
      </c>
      <c r="F1157" s="57" t="s">
        <v>78</v>
      </c>
      <c r="G1157" s="57" t="s">
        <v>45</v>
      </c>
      <c r="H1157" s="57" t="s">
        <v>47</v>
      </c>
      <c r="I1157" s="59" t="n">
        <v>3</v>
      </c>
      <c r="J1157" s="60" t="n">
        <v>34</v>
      </c>
      <c r="K1157" s="60" t="n">
        <v>12</v>
      </c>
      <c r="L1157" s="61" t="n">
        <f aca="false">I1157*J1157</f>
        <v>102</v>
      </c>
      <c r="M1157" s="61" t="n">
        <f aca="false">L1157-I1157*K1157</f>
        <v>66</v>
      </c>
      <c r="N1157" s="57" t="n">
        <f aca="false">IF(COUNTIFS(E$2:E1157,E1157,C$2:C1157,C1157)=1,1,0)</f>
        <v>0</v>
      </c>
      <c r="O1157" s="57" t="n">
        <f aca="false">IF(COUNTIFS(E$2:E1157,E1157,C$2:C1157,C1157,D$2:D1157,D1157)=1,1,0)</f>
        <v>0</v>
      </c>
      <c r="P1157" s="57" t="n">
        <f aca="false">IF(AND(C1157=Calc!$C$3,OR(Calc!$C$4=0,D1157=Calc!$C$4)),ROW(),0)</f>
        <v>0</v>
      </c>
    </row>
    <row r="1158" customFormat="false" ht="15" hidden="false" customHeight="false" outlineLevel="0" collapsed="false">
      <c r="A1158" s="57" t="s">
        <v>1643</v>
      </c>
      <c r="B1158" s="58" t="n">
        <v>45624</v>
      </c>
      <c r="C1158" s="57" t="n">
        <f aca="false">YEAR(B1158)</f>
        <v>2024</v>
      </c>
      <c r="D1158" s="57" t="n">
        <f aca="false">MONTH(B1158)</f>
        <v>11</v>
      </c>
      <c r="E1158" s="57" t="s">
        <v>193</v>
      </c>
      <c r="F1158" s="57" t="s">
        <v>78</v>
      </c>
      <c r="G1158" s="57" t="s">
        <v>35</v>
      </c>
      <c r="H1158" s="57" t="s">
        <v>34</v>
      </c>
      <c r="I1158" s="59" t="n">
        <v>1</v>
      </c>
      <c r="J1158" s="60" t="n">
        <v>89</v>
      </c>
      <c r="K1158" s="60" t="n">
        <v>41</v>
      </c>
      <c r="L1158" s="61" t="n">
        <f aca="false">I1158*J1158</f>
        <v>89</v>
      </c>
      <c r="M1158" s="61" t="n">
        <f aca="false">L1158-I1158*K1158</f>
        <v>48</v>
      </c>
      <c r="N1158" s="57" t="n">
        <f aca="false">IF(COUNTIFS(E$2:E1158,E1158,C$2:C1158,C1158)=1,1,0)</f>
        <v>0</v>
      </c>
      <c r="O1158" s="57" t="n">
        <f aca="false">IF(COUNTIFS(E$2:E1158,E1158,C$2:C1158,C1158,D$2:D1158,D1158)=1,1,0)</f>
        <v>0</v>
      </c>
      <c r="P1158" s="57" t="n">
        <f aca="false">IF(AND(C1158=Calc!$C$3,OR(Calc!$C$4=0,D1158=Calc!$C$4)),ROW(),0)</f>
        <v>0</v>
      </c>
    </row>
    <row r="1159" customFormat="false" ht="15" hidden="false" customHeight="false" outlineLevel="0" collapsed="false">
      <c r="A1159" s="57" t="s">
        <v>1644</v>
      </c>
      <c r="B1159" s="58" t="n">
        <v>45625</v>
      </c>
      <c r="C1159" s="57" t="n">
        <f aca="false">YEAR(B1159)</f>
        <v>2024</v>
      </c>
      <c r="D1159" s="57" t="n">
        <f aca="false">MONTH(B1159)</f>
        <v>11</v>
      </c>
      <c r="E1159" s="57" t="s">
        <v>240</v>
      </c>
      <c r="F1159" s="57" t="s">
        <v>75</v>
      </c>
      <c r="G1159" s="57" t="s">
        <v>45</v>
      </c>
      <c r="H1159" s="57" t="s">
        <v>44</v>
      </c>
      <c r="I1159" s="59" t="n">
        <v>2</v>
      </c>
      <c r="J1159" s="60" t="n">
        <v>119</v>
      </c>
      <c r="K1159" s="60" t="n">
        <v>63</v>
      </c>
      <c r="L1159" s="61" t="n">
        <f aca="false">I1159*J1159</f>
        <v>238</v>
      </c>
      <c r="M1159" s="61" t="n">
        <f aca="false">L1159-I1159*K1159</f>
        <v>112</v>
      </c>
      <c r="N1159" s="57" t="n">
        <f aca="false">IF(COUNTIFS(E$2:E1159,E1159,C$2:C1159,C1159)=1,1,0)</f>
        <v>0</v>
      </c>
      <c r="O1159" s="57" t="n">
        <f aca="false">IF(COUNTIFS(E$2:E1159,E1159,C$2:C1159,C1159,D$2:D1159,D1159)=1,1,0)</f>
        <v>1</v>
      </c>
      <c r="P1159" s="57" t="n">
        <f aca="false">IF(AND(C1159=Calc!$C$3,OR(Calc!$C$4=0,D1159=Calc!$C$4)),ROW(),0)</f>
        <v>0</v>
      </c>
    </row>
    <row r="1160" customFormat="false" ht="15" hidden="false" customHeight="false" outlineLevel="0" collapsed="false">
      <c r="A1160" s="57" t="s">
        <v>1645</v>
      </c>
      <c r="B1160" s="58" t="n">
        <v>45625</v>
      </c>
      <c r="C1160" s="57" t="n">
        <f aca="false">YEAR(B1160)</f>
        <v>2024</v>
      </c>
      <c r="D1160" s="57" t="n">
        <f aca="false">MONTH(B1160)</f>
        <v>11</v>
      </c>
      <c r="E1160" s="57" t="s">
        <v>349</v>
      </c>
      <c r="F1160" s="57" t="s">
        <v>72</v>
      </c>
      <c r="G1160" s="57" t="s">
        <v>35</v>
      </c>
      <c r="H1160" s="57" t="s">
        <v>37</v>
      </c>
      <c r="I1160" s="59" t="n">
        <v>2</v>
      </c>
      <c r="J1160" s="60" t="n">
        <v>59</v>
      </c>
      <c r="K1160" s="60" t="n">
        <v>27</v>
      </c>
      <c r="L1160" s="61" t="n">
        <f aca="false">I1160*J1160</f>
        <v>118</v>
      </c>
      <c r="M1160" s="61" t="n">
        <f aca="false">L1160-I1160*K1160</f>
        <v>64</v>
      </c>
      <c r="N1160" s="57" t="n">
        <f aca="false">IF(COUNTIFS(E$2:E1160,E1160,C$2:C1160,C1160)=1,1,0)</f>
        <v>0</v>
      </c>
      <c r="O1160" s="57" t="n">
        <f aca="false">IF(COUNTIFS(E$2:E1160,E1160,C$2:C1160,C1160,D$2:D1160,D1160)=1,1,0)</f>
        <v>1</v>
      </c>
      <c r="P1160" s="57" t="n">
        <f aca="false">IF(AND(C1160=Calc!$C$3,OR(Calc!$C$4=0,D1160=Calc!$C$4)),ROW(),0)</f>
        <v>0</v>
      </c>
    </row>
    <row r="1161" customFormat="false" ht="15" hidden="false" customHeight="false" outlineLevel="0" collapsed="false">
      <c r="A1161" s="57" t="s">
        <v>1646</v>
      </c>
      <c r="B1161" s="58" t="n">
        <v>45625</v>
      </c>
      <c r="C1161" s="57" t="n">
        <f aca="false">YEAR(B1161)</f>
        <v>2024</v>
      </c>
      <c r="D1161" s="57" t="n">
        <f aca="false">MONTH(B1161)</f>
        <v>11</v>
      </c>
      <c r="E1161" s="57" t="s">
        <v>510</v>
      </c>
      <c r="F1161" s="57" t="s">
        <v>78</v>
      </c>
      <c r="G1161" s="57" t="s">
        <v>50</v>
      </c>
      <c r="H1161" s="57" t="s">
        <v>49</v>
      </c>
      <c r="I1161" s="59" t="n">
        <v>1</v>
      </c>
      <c r="J1161" s="60" t="n">
        <v>32</v>
      </c>
      <c r="K1161" s="60" t="n">
        <v>7</v>
      </c>
      <c r="L1161" s="61" t="n">
        <f aca="false">I1161*J1161</f>
        <v>32</v>
      </c>
      <c r="M1161" s="61" t="n">
        <f aca="false">L1161-I1161*K1161</f>
        <v>25</v>
      </c>
      <c r="N1161" s="57" t="n">
        <f aca="false">IF(COUNTIFS(E$2:E1161,E1161,C$2:C1161,C1161)=1,1,0)</f>
        <v>0</v>
      </c>
      <c r="O1161" s="57" t="n">
        <f aca="false">IF(COUNTIFS(E$2:E1161,E1161,C$2:C1161,C1161,D$2:D1161,D1161)=1,1,0)</f>
        <v>0</v>
      </c>
      <c r="P1161" s="57" t="n">
        <f aca="false">IF(AND(C1161=Calc!$C$3,OR(Calc!$C$4=0,D1161=Calc!$C$4)),ROW(),0)</f>
        <v>0</v>
      </c>
    </row>
    <row r="1162" customFormat="false" ht="15" hidden="false" customHeight="false" outlineLevel="0" collapsed="false">
      <c r="A1162" s="57" t="s">
        <v>1647</v>
      </c>
      <c r="B1162" s="58" t="n">
        <v>45625</v>
      </c>
      <c r="C1162" s="57" t="n">
        <f aca="false">YEAR(B1162)</f>
        <v>2024</v>
      </c>
      <c r="D1162" s="57" t="n">
        <f aca="false">MONTH(B1162)</f>
        <v>11</v>
      </c>
      <c r="E1162" s="57" t="s">
        <v>203</v>
      </c>
      <c r="F1162" s="57" t="s">
        <v>78</v>
      </c>
      <c r="G1162" s="57" t="s">
        <v>35</v>
      </c>
      <c r="H1162" s="57" t="s">
        <v>38</v>
      </c>
      <c r="I1162" s="59" t="n">
        <v>2</v>
      </c>
      <c r="J1162" s="60" t="n">
        <v>49</v>
      </c>
      <c r="K1162" s="60" t="n">
        <v>22</v>
      </c>
      <c r="L1162" s="61" t="n">
        <f aca="false">I1162*J1162</f>
        <v>98</v>
      </c>
      <c r="M1162" s="61" t="n">
        <f aca="false">L1162-I1162*K1162</f>
        <v>54</v>
      </c>
      <c r="N1162" s="57" t="n">
        <f aca="false">IF(COUNTIFS(E$2:E1162,E1162,C$2:C1162,C1162)=1,1,0)</f>
        <v>0</v>
      </c>
      <c r="O1162" s="57" t="n">
        <f aca="false">IF(COUNTIFS(E$2:E1162,E1162,C$2:C1162,C1162,D$2:D1162,D1162)=1,1,0)</f>
        <v>1</v>
      </c>
      <c r="P1162" s="57" t="n">
        <f aca="false">IF(AND(C1162=Calc!$C$3,OR(Calc!$C$4=0,D1162=Calc!$C$4)),ROW(),0)</f>
        <v>0</v>
      </c>
    </row>
    <row r="1163" customFormat="false" ht="15" hidden="false" customHeight="false" outlineLevel="0" collapsed="false">
      <c r="A1163" s="57" t="s">
        <v>1648</v>
      </c>
      <c r="B1163" s="58" t="n">
        <v>45625</v>
      </c>
      <c r="C1163" s="57" t="n">
        <f aca="false">YEAR(B1163)</f>
        <v>2024</v>
      </c>
      <c r="D1163" s="57" t="n">
        <f aca="false">MONTH(B1163)</f>
        <v>11</v>
      </c>
      <c r="E1163" s="57" t="s">
        <v>903</v>
      </c>
      <c r="F1163" s="57" t="s">
        <v>69</v>
      </c>
      <c r="G1163" s="57" t="s">
        <v>35</v>
      </c>
      <c r="H1163" s="57" t="s">
        <v>38</v>
      </c>
      <c r="I1163" s="59" t="n">
        <v>1</v>
      </c>
      <c r="J1163" s="60" t="n">
        <v>49</v>
      </c>
      <c r="K1163" s="60" t="n">
        <v>22</v>
      </c>
      <c r="L1163" s="61" t="n">
        <f aca="false">I1163*J1163</f>
        <v>49</v>
      </c>
      <c r="M1163" s="61" t="n">
        <f aca="false">L1163-I1163*K1163</f>
        <v>27</v>
      </c>
      <c r="N1163" s="57" t="n">
        <f aca="false">IF(COUNTIFS(E$2:E1163,E1163,C$2:C1163,C1163)=1,1,0)</f>
        <v>0</v>
      </c>
      <c r="O1163" s="57" t="n">
        <f aca="false">IF(COUNTIFS(E$2:E1163,E1163,C$2:C1163,C1163,D$2:D1163,D1163)=1,1,0)</f>
        <v>1</v>
      </c>
      <c r="P1163" s="57" t="n">
        <f aca="false">IF(AND(C1163=Calc!$C$3,OR(Calc!$C$4=0,D1163=Calc!$C$4)),ROW(),0)</f>
        <v>0</v>
      </c>
    </row>
    <row r="1164" customFormat="false" ht="15" hidden="false" customHeight="false" outlineLevel="0" collapsed="false">
      <c r="A1164" s="57" t="s">
        <v>1649</v>
      </c>
      <c r="B1164" s="58" t="n">
        <v>45626</v>
      </c>
      <c r="C1164" s="57" t="n">
        <f aca="false">YEAR(B1164)</f>
        <v>2024</v>
      </c>
      <c r="D1164" s="57" t="n">
        <f aca="false">MONTH(B1164)</f>
        <v>11</v>
      </c>
      <c r="E1164" s="57" t="s">
        <v>1650</v>
      </c>
      <c r="F1164" s="57" t="s">
        <v>72</v>
      </c>
      <c r="G1164" s="57" t="s">
        <v>40</v>
      </c>
      <c r="H1164" s="57" t="s">
        <v>39</v>
      </c>
      <c r="I1164" s="59" t="n">
        <v>3</v>
      </c>
      <c r="J1164" s="60" t="n">
        <v>54</v>
      </c>
      <c r="K1164" s="60" t="n">
        <v>19</v>
      </c>
      <c r="L1164" s="61" t="n">
        <f aca="false">I1164*J1164</f>
        <v>162</v>
      </c>
      <c r="M1164" s="61" t="n">
        <f aca="false">L1164-I1164*K1164</f>
        <v>105</v>
      </c>
      <c r="N1164" s="57" t="n">
        <f aca="false">IF(COUNTIFS(E$2:E1164,E1164,C$2:C1164,C1164)=1,1,0)</f>
        <v>1</v>
      </c>
      <c r="O1164" s="57" t="n">
        <f aca="false">IF(COUNTIFS(E$2:E1164,E1164,C$2:C1164,C1164,D$2:D1164,D1164)=1,1,0)</f>
        <v>1</v>
      </c>
      <c r="P1164" s="57" t="n">
        <f aca="false">IF(AND(C1164=Calc!$C$3,OR(Calc!$C$4=0,D1164=Calc!$C$4)),ROW(),0)</f>
        <v>0</v>
      </c>
    </row>
    <row r="1165" customFormat="false" ht="15" hidden="false" customHeight="false" outlineLevel="0" collapsed="false">
      <c r="A1165" s="57" t="s">
        <v>1651</v>
      </c>
      <c r="B1165" s="58" t="n">
        <v>45626</v>
      </c>
      <c r="C1165" s="57" t="n">
        <f aca="false">YEAR(B1165)</f>
        <v>2024</v>
      </c>
      <c r="D1165" s="57" t="n">
        <f aca="false">MONTH(B1165)</f>
        <v>11</v>
      </c>
      <c r="E1165" s="57" t="s">
        <v>311</v>
      </c>
      <c r="F1165" s="57" t="s">
        <v>69</v>
      </c>
      <c r="G1165" s="57" t="s">
        <v>40</v>
      </c>
      <c r="H1165" s="57" t="s">
        <v>42</v>
      </c>
      <c r="I1165" s="59" t="n">
        <v>1</v>
      </c>
      <c r="J1165" s="60" t="n">
        <v>79</v>
      </c>
      <c r="K1165" s="60" t="n">
        <v>31</v>
      </c>
      <c r="L1165" s="61" t="n">
        <f aca="false">I1165*J1165</f>
        <v>79</v>
      </c>
      <c r="M1165" s="61" t="n">
        <f aca="false">L1165-I1165*K1165</f>
        <v>48</v>
      </c>
      <c r="N1165" s="57" t="n">
        <f aca="false">IF(COUNTIFS(E$2:E1165,E1165,C$2:C1165,C1165)=1,1,0)</f>
        <v>0</v>
      </c>
      <c r="O1165" s="57" t="n">
        <f aca="false">IF(COUNTIFS(E$2:E1165,E1165,C$2:C1165,C1165,D$2:D1165,D1165)=1,1,0)</f>
        <v>1</v>
      </c>
      <c r="P1165" s="57" t="n">
        <f aca="false">IF(AND(C1165=Calc!$C$3,OR(Calc!$C$4=0,D1165=Calc!$C$4)),ROW(),0)</f>
        <v>0</v>
      </c>
    </row>
    <row r="1166" customFormat="false" ht="15" hidden="false" customHeight="false" outlineLevel="0" collapsed="false">
      <c r="A1166" s="57" t="s">
        <v>1652</v>
      </c>
      <c r="B1166" s="58" t="n">
        <v>45626</v>
      </c>
      <c r="C1166" s="57" t="n">
        <f aca="false">YEAR(B1166)</f>
        <v>2024</v>
      </c>
      <c r="D1166" s="57" t="n">
        <f aca="false">MONTH(B1166)</f>
        <v>11</v>
      </c>
      <c r="E1166" s="57" t="s">
        <v>613</v>
      </c>
      <c r="F1166" s="57" t="s">
        <v>72</v>
      </c>
      <c r="G1166" s="57" t="s">
        <v>35</v>
      </c>
      <c r="H1166" s="57" t="s">
        <v>36</v>
      </c>
      <c r="I1166" s="59" t="n">
        <v>2</v>
      </c>
      <c r="J1166" s="60" t="n">
        <v>179</v>
      </c>
      <c r="K1166" s="60" t="n">
        <v>92</v>
      </c>
      <c r="L1166" s="61" t="n">
        <f aca="false">I1166*J1166</f>
        <v>358</v>
      </c>
      <c r="M1166" s="61" t="n">
        <f aca="false">L1166-I1166*K1166</f>
        <v>174</v>
      </c>
      <c r="N1166" s="57" t="n">
        <f aca="false">IF(COUNTIFS(E$2:E1166,E1166,C$2:C1166,C1166)=1,1,0)</f>
        <v>0</v>
      </c>
      <c r="O1166" s="57" t="n">
        <f aca="false">IF(COUNTIFS(E$2:E1166,E1166,C$2:C1166,C1166,D$2:D1166,D1166)=1,1,0)</f>
        <v>1</v>
      </c>
      <c r="P1166" s="57" t="n">
        <f aca="false">IF(AND(C1166=Calc!$C$3,OR(Calc!$C$4=0,D1166=Calc!$C$4)),ROW(),0)</f>
        <v>0</v>
      </c>
    </row>
    <row r="1167" customFormat="false" ht="15" hidden="false" customHeight="false" outlineLevel="0" collapsed="false">
      <c r="A1167" s="57" t="s">
        <v>1653</v>
      </c>
      <c r="B1167" s="58" t="n">
        <v>45627</v>
      </c>
      <c r="C1167" s="57" t="n">
        <f aca="false">YEAR(B1167)</f>
        <v>2024</v>
      </c>
      <c r="D1167" s="57" t="n">
        <f aca="false">MONTH(B1167)</f>
        <v>12</v>
      </c>
      <c r="E1167" s="57" t="s">
        <v>1342</v>
      </c>
      <c r="F1167" s="57" t="s">
        <v>72</v>
      </c>
      <c r="G1167" s="57" t="s">
        <v>35</v>
      </c>
      <c r="H1167" s="57" t="s">
        <v>38</v>
      </c>
      <c r="I1167" s="59" t="n">
        <v>1</v>
      </c>
      <c r="J1167" s="60" t="n">
        <v>49</v>
      </c>
      <c r="K1167" s="60" t="n">
        <v>22</v>
      </c>
      <c r="L1167" s="61" t="n">
        <f aca="false">I1167*J1167</f>
        <v>49</v>
      </c>
      <c r="M1167" s="61" t="n">
        <f aca="false">L1167-I1167*K1167</f>
        <v>27</v>
      </c>
      <c r="N1167" s="57" t="n">
        <f aca="false">IF(COUNTIFS(E$2:E1167,E1167,C$2:C1167,C1167)=1,1,0)</f>
        <v>0</v>
      </c>
      <c r="O1167" s="57" t="n">
        <f aca="false">IF(COUNTIFS(E$2:E1167,E1167,C$2:C1167,C1167,D$2:D1167,D1167)=1,1,0)</f>
        <v>1</v>
      </c>
      <c r="P1167" s="57" t="n">
        <f aca="false">IF(AND(C1167=Calc!$C$3,OR(Calc!$C$4=0,D1167=Calc!$C$4)),ROW(),0)</f>
        <v>0</v>
      </c>
    </row>
    <row r="1168" customFormat="false" ht="15" hidden="false" customHeight="false" outlineLevel="0" collapsed="false">
      <c r="A1168" s="57" t="s">
        <v>1654</v>
      </c>
      <c r="B1168" s="58" t="n">
        <v>45627</v>
      </c>
      <c r="C1168" s="57" t="n">
        <f aca="false">YEAR(B1168)</f>
        <v>2024</v>
      </c>
      <c r="D1168" s="57" t="n">
        <f aca="false">MONTH(B1168)</f>
        <v>12</v>
      </c>
      <c r="E1168" s="57" t="s">
        <v>1062</v>
      </c>
      <c r="F1168" s="57" t="s">
        <v>78</v>
      </c>
      <c r="G1168" s="57" t="s">
        <v>35</v>
      </c>
      <c r="H1168" s="57" t="s">
        <v>34</v>
      </c>
      <c r="I1168" s="59" t="n">
        <v>1</v>
      </c>
      <c r="J1168" s="60" t="n">
        <v>89</v>
      </c>
      <c r="K1168" s="60" t="n">
        <v>41</v>
      </c>
      <c r="L1168" s="61" t="n">
        <f aca="false">I1168*J1168</f>
        <v>89</v>
      </c>
      <c r="M1168" s="61" t="n">
        <f aca="false">L1168-I1168*K1168</f>
        <v>48</v>
      </c>
      <c r="N1168" s="57" t="n">
        <f aca="false">IF(COUNTIFS(E$2:E1168,E1168,C$2:C1168,C1168)=1,1,0)</f>
        <v>0</v>
      </c>
      <c r="O1168" s="57" t="n">
        <f aca="false">IF(COUNTIFS(E$2:E1168,E1168,C$2:C1168,C1168,D$2:D1168,D1168)=1,1,0)</f>
        <v>1</v>
      </c>
      <c r="P1168" s="57" t="n">
        <f aca="false">IF(AND(C1168=Calc!$C$3,OR(Calc!$C$4=0,D1168=Calc!$C$4)),ROW(),0)</f>
        <v>0</v>
      </c>
    </row>
    <row r="1169" customFormat="false" ht="15" hidden="false" customHeight="false" outlineLevel="0" collapsed="false">
      <c r="A1169" s="57" t="s">
        <v>1655</v>
      </c>
      <c r="B1169" s="58" t="n">
        <v>45627</v>
      </c>
      <c r="C1169" s="57" t="n">
        <f aca="false">YEAR(B1169)</f>
        <v>2024</v>
      </c>
      <c r="D1169" s="57" t="n">
        <f aca="false">MONTH(B1169)</f>
        <v>12</v>
      </c>
      <c r="E1169" s="57" t="s">
        <v>998</v>
      </c>
      <c r="F1169" s="57" t="s">
        <v>81</v>
      </c>
      <c r="G1169" s="57" t="s">
        <v>35</v>
      </c>
      <c r="H1169" s="57" t="s">
        <v>34</v>
      </c>
      <c r="I1169" s="59" t="n">
        <v>1</v>
      </c>
      <c r="J1169" s="60" t="n">
        <v>89</v>
      </c>
      <c r="K1169" s="60" t="n">
        <v>41</v>
      </c>
      <c r="L1169" s="61" t="n">
        <f aca="false">I1169*J1169</f>
        <v>89</v>
      </c>
      <c r="M1169" s="61" t="n">
        <f aca="false">L1169-I1169*K1169</f>
        <v>48</v>
      </c>
      <c r="N1169" s="57" t="n">
        <f aca="false">IF(COUNTIFS(E$2:E1169,E1169,C$2:C1169,C1169)=1,1,0)</f>
        <v>0</v>
      </c>
      <c r="O1169" s="57" t="n">
        <f aca="false">IF(COUNTIFS(E$2:E1169,E1169,C$2:C1169,C1169,D$2:D1169,D1169)=1,1,0)</f>
        <v>1</v>
      </c>
      <c r="P1169" s="57" t="n">
        <f aca="false">IF(AND(C1169=Calc!$C$3,OR(Calc!$C$4=0,D1169=Calc!$C$4)),ROW(),0)</f>
        <v>0</v>
      </c>
    </row>
    <row r="1170" customFormat="false" ht="15" hidden="false" customHeight="false" outlineLevel="0" collapsed="false">
      <c r="A1170" s="57" t="s">
        <v>1656</v>
      </c>
      <c r="B1170" s="58" t="n">
        <v>45627</v>
      </c>
      <c r="C1170" s="57" t="n">
        <f aca="false">YEAR(B1170)</f>
        <v>2024</v>
      </c>
      <c r="D1170" s="57" t="n">
        <f aca="false">MONTH(B1170)</f>
        <v>12</v>
      </c>
      <c r="E1170" s="57" t="s">
        <v>613</v>
      </c>
      <c r="F1170" s="57" t="s">
        <v>72</v>
      </c>
      <c r="G1170" s="57" t="s">
        <v>45</v>
      </c>
      <c r="H1170" s="57" t="s">
        <v>48</v>
      </c>
      <c r="I1170" s="59" t="n">
        <v>2</v>
      </c>
      <c r="J1170" s="60" t="n">
        <v>99</v>
      </c>
      <c r="K1170" s="60" t="n">
        <v>38</v>
      </c>
      <c r="L1170" s="61" t="n">
        <f aca="false">I1170*J1170</f>
        <v>198</v>
      </c>
      <c r="M1170" s="61" t="n">
        <f aca="false">L1170-I1170*K1170</f>
        <v>122</v>
      </c>
      <c r="N1170" s="57" t="n">
        <f aca="false">IF(COUNTIFS(E$2:E1170,E1170,C$2:C1170,C1170)=1,1,0)</f>
        <v>0</v>
      </c>
      <c r="O1170" s="57" t="n">
        <f aca="false">IF(COUNTIFS(E$2:E1170,E1170,C$2:C1170,C1170,D$2:D1170,D1170)=1,1,0)</f>
        <v>1</v>
      </c>
      <c r="P1170" s="57" t="n">
        <f aca="false">IF(AND(C1170=Calc!$C$3,OR(Calc!$C$4=0,D1170=Calc!$C$4)),ROW(),0)</f>
        <v>0</v>
      </c>
    </row>
    <row r="1171" customFormat="false" ht="15" hidden="false" customHeight="false" outlineLevel="0" collapsed="false">
      <c r="A1171" s="57" t="s">
        <v>1657</v>
      </c>
      <c r="B1171" s="58" t="n">
        <v>45627</v>
      </c>
      <c r="C1171" s="57" t="n">
        <f aca="false">YEAR(B1171)</f>
        <v>2024</v>
      </c>
      <c r="D1171" s="57" t="n">
        <f aca="false">MONTH(B1171)</f>
        <v>12</v>
      </c>
      <c r="E1171" s="57" t="s">
        <v>1658</v>
      </c>
      <c r="F1171" s="57" t="s">
        <v>69</v>
      </c>
      <c r="G1171" s="57" t="s">
        <v>35</v>
      </c>
      <c r="H1171" s="57" t="s">
        <v>38</v>
      </c>
      <c r="I1171" s="59" t="n">
        <v>1</v>
      </c>
      <c r="J1171" s="60" t="n">
        <v>49</v>
      </c>
      <c r="K1171" s="60" t="n">
        <v>22</v>
      </c>
      <c r="L1171" s="61" t="n">
        <f aca="false">I1171*J1171</f>
        <v>49</v>
      </c>
      <c r="M1171" s="61" t="n">
        <f aca="false">L1171-I1171*K1171</f>
        <v>27</v>
      </c>
      <c r="N1171" s="57" t="n">
        <f aca="false">IF(COUNTIFS(E$2:E1171,E1171,C$2:C1171,C1171)=1,1,0)</f>
        <v>1</v>
      </c>
      <c r="O1171" s="57" t="n">
        <f aca="false">IF(COUNTIFS(E$2:E1171,E1171,C$2:C1171,C1171,D$2:D1171,D1171)=1,1,0)</f>
        <v>1</v>
      </c>
      <c r="P1171" s="57" t="n">
        <f aca="false">IF(AND(C1171=Calc!$C$3,OR(Calc!$C$4=0,D1171=Calc!$C$4)),ROW(),0)</f>
        <v>0</v>
      </c>
    </row>
    <row r="1172" customFormat="false" ht="15" hidden="false" customHeight="false" outlineLevel="0" collapsed="false">
      <c r="A1172" s="57" t="s">
        <v>1659</v>
      </c>
      <c r="B1172" s="58" t="n">
        <v>45627</v>
      </c>
      <c r="C1172" s="57" t="n">
        <f aca="false">YEAR(B1172)</f>
        <v>2024</v>
      </c>
      <c r="D1172" s="57" t="n">
        <f aca="false">MONTH(B1172)</f>
        <v>12</v>
      </c>
      <c r="E1172" s="57" t="s">
        <v>569</v>
      </c>
      <c r="F1172" s="57" t="s">
        <v>72</v>
      </c>
      <c r="G1172" s="57" t="s">
        <v>40</v>
      </c>
      <c r="H1172" s="57" t="s">
        <v>39</v>
      </c>
      <c r="I1172" s="59" t="n">
        <v>1</v>
      </c>
      <c r="J1172" s="60" t="n">
        <v>54</v>
      </c>
      <c r="K1172" s="60" t="n">
        <v>19</v>
      </c>
      <c r="L1172" s="61" t="n">
        <f aca="false">I1172*J1172</f>
        <v>54</v>
      </c>
      <c r="M1172" s="61" t="n">
        <f aca="false">L1172-I1172*K1172</f>
        <v>35</v>
      </c>
      <c r="N1172" s="57" t="n">
        <f aca="false">IF(COUNTIFS(E$2:E1172,E1172,C$2:C1172,C1172)=1,1,0)</f>
        <v>0</v>
      </c>
      <c r="O1172" s="57" t="n">
        <f aca="false">IF(COUNTIFS(E$2:E1172,E1172,C$2:C1172,C1172,D$2:D1172,D1172)=1,1,0)</f>
        <v>1</v>
      </c>
      <c r="P1172" s="57" t="n">
        <f aca="false">IF(AND(C1172=Calc!$C$3,OR(Calc!$C$4=0,D1172=Calc!$C$4)),ROW(),0)</f>
        <v>0</v>
      </c>
    </row>
    <row r="1173" customFormat="false" ht="15" hidden="false" customHeight="false" outlineLevel="0" collapsed="false">
      <c r="A1173" s="57" t="s">
        <v>1660</v>
      </c>
      <c r="B1173" s="58" t="n">
        <v>45628</v>
      </c>
      <c r="C1173" s="57" t="n">
        <f aca="false">YEAR(B1173)</f>
        <v>2024</v>
      </c>
      <c r="D1173" s="57" t="n">
        <f aca="false">MONTH(B1173)</f>
        <v>12</v>
      </c>
      <c r="E1173" s="57" t="s">
        <v>231</v>
      </c>
      <c r="F1173" s="57" t="s">
        <v>72</v>
      </c>
      <c r="G1173" s="57" t="s">
        <v>35</v>
      </c>
      <c r="H1173" s="57" t="s">
        <v>37</v>
      </c>
      <c r="I1173" s="59" t="n">
        <v>1</v>
      </c>
      <c r="J1173" s="60" t="n">
        <v>59</v>
      </c>
      <c r="K1173" s="60" t="n">
        <v>27</v>
      </c>
      <c r="L1173" s="61" t="n">
        <f aca="false">I1173*J1173</f>
        <v>59</v>
      </c>
      <c r="M1173" s="61" t="n">
        <f aca="false">L1173-I1173*K1173</f>
        <v>32</v>
      </c>
      <c r="N1173" s="57" t="n">
        <f aca="false">IF(COUNTIFS(E$2:E1173,E1173,C$2:C1173,C1173)=1,1,0)</f>
        <v>0</v>
      </c>
      <c r="O1173" s="57" t="n">
        <f aca="false">IF(COUNTIFS(E$2:E1173,E1173,C$2:C1173,C1173,D$2:D1173,D1173)=1,1,0)</f>
        <v>1</v>
      </c>
      <c r="P1173" s="57" t="n">
        <f aca="false">IF(AND(C1173=Calc!$C$3,OR(Calc!$C$4=0,D1173=Calc!$C$4)),ROW(),0)</f>
        <v>0</v>
      </c>
    </row>
    <row r="1174" customFormat="false" ht="15" hidden="false" customHeight="false" outlineLevel="0" collapsed="false">
      <c r="A1174" s="57" t="s">
        <v>1661</v>
      </c>
      <c r="B1174" s="58" t="n">
        <v>45628</v>
      </c>
      <c r="C1174" s="57" t="n">
        <f aca="false">YEAR(B1174)</f>
        <v>2024</v>
      </c>
      <c r="D1174" s="57" t="n">
        <f aca="false">MONTH(B1174)</f>
        <v>12</v>
      </c>
      <c r="E1174" s="57" t="s">
        <v>1024</v>
      </c>
      <c r="F1174" s="57" t="s">
        <v>72</v>
      </c>
      <c r="G1174" s="57" t="s">
        <v>45</v>
      </c>
      <c r="H1174" s="57" t="s">
        <v>46</v>
      </c>
      <c r="I1174" s="59" t="n">
        <v>1</v>
      </c>
      <c r="J1174" s="60" t="n">
        <v>149</v>
      </c>
      <c r="K1174" s="60" t="n">
        <v>71</v>
      </c>
      <c r="L1174" s="61" t="n">
        <f aca="false">I1174*J1174</f>
        <v>149</v>
      </c>
      <c r="M1174" s="61" t="n">
        <f aca="false">L1174-I1174*K1174</f>
        <v>78</v>
      </c>
      <c r="N1174" s="57" t="n">
        <f aca="false">IF(COUNTIFS(E$2:E1174,E1174,C$2:C1174,C1174)=1,1,0)</f>
        <v>0</v>
      </c>
      <c r="O1174" s="57" t="n">
        <f aca="false">IF(COUNTIFS(E$2:E1174,E1174,C$2:C1174,C1174,D$2:D1174,D1174)=1,1,0)</f>
        <v>1</v>
      </c>
      <c r="P1174" s="57" t="n">
        <f aca="false">IF(AND(C1174=Calc!$C$3,OR(Calc!$C$4=0,D1174=Calc!$C$4)),ROW(),0)</f>
        <v>0</v>
      </c>
    </row>
    <row r="1175" customFormat="false" ht="15" hidden="false" customHeight="false" outlineLevel="0" collapsed="false">
      <c r="A1175" s="57" t="s">
        <v>1662</v>
      </c>
      <c r="B1175" s="58" t="n">
        <v>45628</v>
      </c>
      <c r="C1175" s="57" t="n">
        <f aca="false">YEAR(B1175)</f>
        <v>2024</v>
      </c>
      <c r="D1175" s="57" t="n">
        <f aca="false">MONTH(B1175)</f>
        <v>12</v>
      </c>
      <c r="E1175" s="57" t="s">
        <v>553</v>
      </c>
      <c r="F1175" s="57" t="s">
        <v>72</v>
      </c>
      <c r="G1175" s="57" t="s">
        <v>50</v>
      </c>
      <c r="H1175" s="57" t="s">
        <v>52</v>
      </c>
      <c r="I1175" s="59" t="n">
        <v>1</v>
      </c>
      <c r="J1175" s="60" t="n">
        <v>45</v>
      </c>
      <c r="K1175" s="60" t="n">
        <v>14</v>
      </c>
      <c r="L1175" s="61" t="n">
        <f aca="false">I1175*J1175</f>
        <v>45</v>
      </c>
      <c r="M1175" s="61" t="n">
        <f aca="false">L1175-I1175*K1175</f>
        <v>31</v>
      </c>
      <c r="N1175" s="57" t="n">
        <f aca="false">IF(COUNTIFS(E$2:E1175,E1175,C$2:C1175,C1175)=1,1,0)</f>
        <v>0</v>
      </c>
      <c r="O1175" s="57" t="n">
        <f aca="false">IF(COUNTIFS(E$2:E1175,E1175,C$2:C1175,C1175,D$2:D1175,D1175)=1,1,0)</f>
        <v>1</v>
      </c>
      <c r="P1175" s="57" t="n">
        <f aca="false">IF(AND(C1175=Calc!$C$3,OR(Calc!$C$4=0,D1175=Calc!$C$4)),ROW(),0)</f>
        <v>0</v>
      </c>
    </row>
    <row r="1176" customFormat="false" ht="15" hidden="false" customHeight="false" outlineLevel="0" collapsed="false">
      <c r="A1176" s="57" t="s">
        <v>1663</v>
      </c>
      <c r="B1176" s="58" t="n">
        <v>45628</v>
      </c>
      <c r="C1176" s="57" t="n">
        <f aca="false">YEAR(B1176)</f>
        <v>2024</v>
      </c>
      <c r="D1176" s="57" t="n">
        <f aca="false">MONTH(B1176)</f>
        <v>12</v>
      </c>
      <c r="E1176" s="57" t="s">
        <v>1664</v>
      </c>
      <c r="F1176" s="57" t="s">
        <v>69</v>
      </c>
      <c r="G1176" s="57" t="s">
        <v>40</v>
      </c>
      <c r="H1176" s="57" t="s">
        <v>39</v>
      </c>
      <c r="I1176" s="59" t="n">
        <v>1</v>
      </c>
      <c r="J1176" s="60" t="n">
        <v>54</v>
      </c>
      <c r="K1176" s="60" t="n">
        <v>19</v>
      </c>
      <c r="L1176" s="61" t="n">
        <f aca="false">I1176*J1176</f>
        <v>54</v>
      </c>
      <c r="M1176" s="61" t="n">
        <f aca="false">L1176-I1176*K1176</f>
        <v>35</v>
      </c>
      <c r="N1176" s="57" t="n">
        <f aca="false">IF(COUNTIFS(E$2:E1176,E1176,C$2:C1176,C1176)=1,1,0)</f>
        <v>1</v>
      </c>
      <c r="O1176" s="57" t="n">
        <f aca="false">IF(COUNTIFS(E$2:E1176,E1176,C$2:C1176,C1176,D$2:D1176,D1176)=1,1,0)</f>
        <v>1</v>
      </c>
      <c r="P1176" s="57" t="n">
        <f aca="false">IF(AND(C1176=Calc!$C$3,OR(Calc!$C$4=0,D1176=Calc!$C$4)),ROW(),0)</f>
        <v>0</v>
      </c>
    </row>
    <row r="1177" customFormat="false" ht="15" hidden="false" customHeight="false" outlineLevel="0" collapsed="false">
      <c r="A1177" s="57" t="s">
        <v>1665</v>
      </c>
      <c r="B1177" s="58" t="n">
        <v>45628</v>
      </c>
      <c r="C1177" s="57" t="n">
        <f aca="false">YEAR(B1177)</f>
        <v>2024</v>
      </c>
      <c r="D1177" s="57" t="n">
        <f aca="false">MONTH(B1177)</f>
        <v>12</v>
      </c>
      <c r="E1177" s="57" t="s">
        <v>187</v>
      </c>
      <c r="F1177" s="57" t="s">
        <v>78</v>
      </c>
      <c r="G1177" s="57" t="s">
        <v>40</v>
      </c>
      <c r="H1177" s="57" t="s">
        <v>42</v>
      </c>
      <c r="I1177" s="59" t="n">
        <v>1</v>
      </c>
      <c r="J1177" s="60" t="n">
        <v>79</v>
      </c>
      <c r="K1177" s="60" t="n">
        <v>31</v>
      </c>
      <c r="L1177" s="61" t="n">
        <f aca="false">I1177*J1177</f>
        <v>79</v>
      </c>
      <c r="M1177" s="61" t="n">
        <f aca="false">L1177-I1177*K1177</f>
        <v>48</v>
      </c>
      <c r="N1177" s="57" t="n">
        <f aca="false">IF(COUNTIFS(E$2:E1177,E1177,C$2:C1177,C1177)=1,1,0)</f>
        <v>0</v>
      </c>
      <c r="O1177" s="57" t="n">
        <f aca="false">IF(COUNTIFS(E$2:E1177,E1177,C$2:C1177,C1177,D$2:D1177,D1177)=1,1,0)</f>
        <v>1</v>
      </c>
      <c r="P1177" s="57" t="n">
        <f aca="false">IF(AND(C1177=Calc!$C$3,OR(Calc!$C$4=0,D1177=Calc!$C$4)),ROW(),0)</f>
        <v>0</v>
      </c>
    </row>
    <row r="1178" customFormat="false" ht="15" hidden="false" customHeight="false" outlineLevel="0" collapsed="false">
      <c r="A1178" s="57" t="s">
        <v>1666</v>
      </c>
      <c r="B1178" s="58" t="n">
        <v>45629</v>
      </c>
      <c r="C1178" s="57" t="n">
        <f aca="false">YEAR(B1178)</f>
        <v>2024</v>
      </c>
      <c r="D1178" s="57" t="n">
        <f aca="false">MONTH(B1178)</f>
        <v>12</v>
      </c>
      <c r="E1178" s="57" t="s">
        <v>461</v>
      </c>
      <c r="F1178" s="57" t="s">
        <v>78</v>
      </c>
      <c r="G1178" s="57" t="s">
        <v>35</v>
      </c>
      <c r="H1178" s="57" t="s">
        <v>38</v>
      </c>
      <c r="I1178" s="59" t="n">
        <v>1</v>
      </c>
      <c r="J1178" s="60" t="n">
        <v>49</v>
      </c>
      <c r="K1178" s="60" t="n">
        <v>22</v>
      </c>
      <c r="L1178" s="61" t="n">
        <f aca="false">I1178*J1178</f>
        <v>49</v>
      </c>
      <c r="M1178" s="61" t="n">
        <f aca="false">L1178-I1178*K1178</f>
        <v>27</v>
      </c>
      <c r="N1178" s="57" t="n">
        <f aca="false">IF(COUNTIFS(E$2:E1178,E1178,C$2:C1178,C1178)=1,1,0)</f>
        <v>0</v>
      </c>
      <c r="O1178" s="57" t="n">
        <f aca="false">IF(COUNTIFS(E$2:E1178,E1178,C$2:C1178,C1178,D$2:D1178,D1178)=1,1,0)</f>
        <v>1</v>
      </c>
      <c r="P1178" s="57" t="n">
        <f aca="false">IF(AND(C1178=Calc!$C$3,OR(Calc!$C$4=0,D1178=Calc!$C$4)),ROW(),0)</f>
        <v>0</v>
      </c>
    </row>
    <row r="1179" customFormat="false" ht="15" hidden="false" customHeight="false" outlineLevel="0" collapsed="false">
      <c r="A1179" s="57" t="s">
        <v>1667</v>
      </c>
      <c r="B1179" s="58" t="n">
        <v>45629</v>
      </c>
      <c r="C1179" s="57" t="n">
        <f aca="false">YEAR(B1179)</f>
        <v>2024</v>
      </c>
      <c r="D1179" s="57" t="n">
        <f aca="false">MONTH(B1179)</f>
        <v>12</v>
      </c>
      <c r="E1179" s="57" t="s">
        <v>646</v>
      </c>
      <c r="F1179" s="57" t="s">
        <v>81</v>
      </c>
      <c r="G1179" s="57" t="s">
        <v>45</v>
      </c>
      <c r="H1179" s="57" t="s">
        <v>48</v>
      </c>
      <c r="I1179" s="59" t="n">
        <v>1</v>
      </c>
      <c r="J1179" s="60" t="n">
        <v>99</v>
      </c>
      <c r="K1179" s="60" t="n">
        <v>38</v>
      </c>
      <c r="L1179" s="61" t="n">
        <f aca="false">I1179*J1179</f>
        <v>99</v>
      </c>
      <c r="M1179" s="61" t="n">
        <f aca="false">L1179-I1179*K1179</f>
        <v>61</v>
      </c>
      <c r="N1179" s="57" t="n">
        <f aca="false">IF(COUNTIFS(E$2:E1179,E1179,C$2:C1179,C1179)=1,1,0)</f>
        <v>0</v>
      </c>
      <c r="O1179" s="57" t="n">
        <f aca="false">IF(COUNTIFS(E$2:E1179,E1179,C$2:C1179,C1179,D$2:D1179,D1179)=1,1,0)</f>
        <v>1</v>
      </c>
      <c r="P1179" s="57" t="n">
        <f aca="false">IF(AND(C1179=Calc!$C$3,OR(Calc!$C$4=0,D1179=Calc!$C$4)),ROW(),0)</f>
        <v>0</v>
      </c>
    </row>
    <row r="1180" customFormat="false" ht="15" hidden="false" customHeight="false" outlineLevel="0" collapsed="false">
      <c r="A1180" s="57" t="s">
        <v>1668</v>
      </c>
      <c r="B1180" s="58" t="n">
        <v>45629</v>
      </c>
      <c r="C1180" s="57" t="n">
        <f aca="false">YEAR(B1180)</f>
        <v>2024</v>
      </c>
      <c r="D1180" s="57" t="n">
        <f aca="false">MONTH(B1180)</f>
        <v>12</v>
      </c>
      <c r="E1180" s="57" t="s">
        <v>68</v>
      </c>
      <c r="F1180" s="57" t="s">
        <v>69</v>
      </c>
      <c r="G1180" s="57" t="s">
        <v>35</v>
      </c>
      <c r="H1180" s="57" t="s">
        <v>36</v>
      </c>
      <c r="I1180" s="59" t="n">
        <v>1</v>
      </c>
      <c r="J1180" s="60" t="n">
        <v>179</v>
      </c>
      <c r="K1180" s="60" t="n">
        <v>92</v>
      </c>
      <c r="L1180" s="61" t="n">
        <f aca="false">I1180*J1180</f>
        <v>179</v>
      </c>
      <c r="M1180" s="61" t="n">
        <f aca="false">L1180-I1180*K1180</f>
        <v>87</v>
      </c>
      <c r="N1180" s="57" t="n">
        <f aca="false">IF(COUNTIFS(E$2:E1180,E1180,C$2:C1180,C1180)=1,1,0)</f>
        <v>0</v>
      </c>
      <c r="O1180" s="57" t="n">
        <f aca="false">IF(COUNTIFS(E$2:E1180,E1180,C$2:C1180,C1180,D$2:D1180,D1180)=1,1,0)</f>
        <v>1</v>
      </c>
      <c r="P1180" s="57" t="n">
        <f aca="false">IF(AND(C1180=Calc!$C$3,OR(Calc!$C$4=0,D1180=Calc!$C$4)),ROW(),0)</f>
        <v>0</v>
      </c>
    </row>
    <row r="1181" customFormat="false" ht="15" hidden="false" customHeight="false" outlineLevel="0" collapsed="false">
      <c r="A1181" s="57" t="s">
        <v>1669</v>
      </c>
      <c r="B1181" s="58" t="n">
        <v>45629</v>
      </c>
      <c r="C1181" s="57" t="n">
        <f aca="false">YEAR(B1181)</f>
        <v>2024</v>
      </c>
      <c r="D1181" s="57" t="n">
        <f aca="false">MONTH(B1181)</f>
        <v>12</v>
      </c>
      <c r="E1181" s="57" t="s">
        <v>1172</v>
      </c>
      <c r="F1181" s="57" t="s">
        <v>75</v>
      </c>
      <c r="G1181" s="57" t="s">
        <v>35</v>
      </c>
      <c r="H1181" s="57" t="s">
        <v>37</v>
      </c>
      <c r="I1181" s="59" t="n">
        <v>1</v>
      </c>
      <c r="J1181" s="60" t="n">
        <v>59</v>
      </c>
      <c r="K1181" s="60" t="n">
        <v>27</v>
      </c>
      <c r="L1181" s="61" t="n">
        <f aca="false">I1181*J1181</f>
        <v>59</v>
      </c>
      <c r="M1181" s="61" t="n">
        <f aca="false">L1181-I1181*K1181</f>
        <v>32</v>
      </c>
      <c r="N1181" s="57" t="n">
        <f aca="false">IF(COUNTIFS(E$2:E1181,E1181,C$2:C1181,C1181)=1,1,0)</f>
        <v>0</v>
      </c>
      <c r="O1181" s="57" t="n">
        <f aca="false">IF(COUNTIFS(E$2:E1181,E1181,C$2:C1181,C1181,D$2:D1181,D1181)=1,1,0)</f>
        <v>1</v>
      </c>
      <c r="P1181" s="57" t="n">
        <f aca="false">IF(AND(C1181=Calc!$C$3,OR(Calc!$C$4=0,D1181=Calc!$C$4)),ROW(),0)</f>
        <v>0</v>
      </c>
    </row>
    <row r="1182" customFormat="false" ht="15" hidden="false" customHeight="false" outlineLevel="0" collapsed="false">
      <c r="A1182" s="57" t="s">
        <v>1670</v>
      </c>
      <c r="B1182" s="58" t="n">
        <v>45629</v>
      </c>
      <c r="C1182" s="57" t="n">
        <f aca="false">YEAR(B1182)</f>
        <v>2024</v>
      </c>
      <c r="D1182" s="57" t="n">
        <f aca="false">MONTH(B1182)</f>
        <v>12</v>
      </c>
      <c r="E1182" s="57" t="s">
        <v>183</v>
      </c>
      <c r="F1182" s="57" t="s">
        <v>72</v>
      </c>
      <c r="G1182" s="57" t="s">
        <v>35</v>
      </c>
      <c r="H1182" s="57" t="s">
        <v>34</v>
      </c>
      <c r="I1182" s="59" t="n">
        <v>1</v>
      </c>
      <c r="J1182" s="60" t="n">
        <v>89</v>
      </c>
      <c r="K1182" s="60" t="n">
        <v>41</v>
      </c>
      <c r="L1182" s="61" t="n">
        <f aca="false">I1182*J1182</f>
        <v>89</v>
      </c>
      <c r="M1182" s="61" t="n">
        <f aca="false">L1182-I1182*K1182</f>
        <v>48</v>
      </c>
      <c r="N1182" s="57" t="n">
        <f aca="false">IF(COUNTIFS(E$2:E1182,E1182,C$2:C1182,C1182)=1,1,0)</f>
        <v>0</v>
      </c>
      <c r="O1182" s="57" t="n">
        <f aca="false">IF(COUNTIFS(E$2:E1182,E1182,C$2:C1182,C1182,D$2:D1182,D1182)=1,1,0)</f>
        <v>1</v>
      </c>
      <c r="P1182" s="57" t="n">
        <f aca="false">IF(AND(C1182=Calc!$C$3,OR(Calc!$C$4=0,D1182=Calc!$C$4)),ROW(),0)</f>
        <v>0</v>
      </c>
    </row>
    <row r="1183" customFormat="false" ht="15" hidden="false" customHeight="false" outlineLevel="0" collapsed="false">
      <c r="A1183" s="57" t="s">
        <v>1671</v>
      </c>
      <c r="B1183" s="58" t="n">
        <v>45630</v>
      </c>
      <c r="C1183" s="57" t="n">
        <f aca="false">YEAR(B1183)</f>
        <v>2024</v>
      </c>
      <c r="D1183" s="57" t="n">
        <f aca="false">MONTH(B1183)</f>
        <v>12</v>
      </c>
      <c r="E1183" s="57" t="s">
        <v>996</v>
      </c>
      <c r="F1183" s="57" t="s">
        <v>75</v>
      </c>
      <c r="G1183" s="57" t="s">
        <v>35</v>
      </c>
      <c r="H1183" s="57" t="s">
        <v>36</v>
      </c>
      <c r="I1183" s="59" t="n">
        <v>1</v>
      </c>
      <c r="J1183" s="60" t="n">
        <v>179</v>
      </c>
      <c r="K1183" s="60" t="n">
        <v>92</v>
      </c>
      <c r="L1183" s="61" t="n">
        <f aca="false">I1183*J1183</f>
        <v>179</v>
      </c>
      <c r="M1183" s="61" t="n">
        <f aca="false">L1183-I1183*K1183</f>
        <v>87</v>
      </c>
      <c r="N1183" s="57" t="n">
        <f aca="false">IF(COUNTIFS(E$2:E1183,E1183,C$2:C1183,C1183)=1,1,0)</f>
        <v>0</v>
      </c>
      <c r="O1183" s="57" t="n">
        <f aca="false">IF(COUNTIFS(E$2:E1183,E1183,C$2:C1183,C1183,D$2:D1183,D1183)=1,1,0)</f>
        <v>1</v>
      </c>
      <c r="P1183" s="57" t="n">
        <f aca="false">IF(AND(C1183=Calc!$C$3,OR(Calc!$C$4=0,D1183=Calc!$C$4)),ROW(),0)</f>
        <v>0</v>
      </c>
    </row>
    <row r="1184" customFormat="false" ht="15" hidden="false" customHeight="false" outlineLevel="0" collapsed="false">
      <c r="A1184" s="57" t="s">
        <v>1672</v>
      </c>
      <c r="B1184" s="58" t="n">
        <v>45630</v>
      </c>
      <c r="C1184" s="57" t="n">
        <f aca="false">YEAR(B1184)</f>
        <v>2024</v>
      </c>
      <c r="D1184" s="57" t="n">
        <f aca="false">MONTH(B1184)</f>
        <v>12</v>
      </c>
      <c r="E1184" s="57" t="s">
        <v>820</v>
      </c>
      <c r="F1184" s="57" t="s">
        <v>78</v>
      </c>
      <c r="G1184" s="57" t="s">
        <v>35</v>
      </c>
      <c r="H1184" s="57" t="s">
        <v>37</v>
      </c>
      <c r="I1184" s="59" t="n">
        <v>2</v>
      </c>
      <c r="J1184" s="60" t="n">
        <v>59</v>
      </c>
      <c r="K1184" s="60" t="n">
        <v>27</v>
      </c>
      <c r="L1184" s="61" t="n">
        <f aca="false">I1184*J1184</f>
        <v>118</v>
      </c>
      <c r="M1184" s="61" t="n">
        <f aca="false">L1184-I1184*K1184</f>
        <v>64</v>
      </c>
      <c r="N1184" s="57" t="n">
        <f aca="false">IF(COUNTIFS(E$2:E1184,E1184,C$2:C1184,C1184)=1,1,0)</f>
        <v>0</v>
      </c>
      <c r="O1184" s="57" t="n">
        <f aca="false">IF(COUNTIFS(E$2:E1184,E1184,C$2:C1184,C1184,D$2:D1184,D1184)=1,1,0)</f>
        <v>1</v>
      </c>
      <c r="P1184" s="57" t="n">
        <f aca="false">IF(AND(C1184=Calc!$C$3,OR(Calc!$C$4=0,D1184=Calc!$C$4)),ROW(),0)</f>
        <v>0</v>
      </c>
    </row>
    <row r="1185" customFormat="false" ht="15" hidden="false" customHeight="false" outlineLevel="0" collapsed="false">
      <c r="A1185" s="57" t="s">
        <v>1673</v>
      </c>
      <c r="B1185" s="58" t="n">
        <v>45630</v>
      </c>
      <c r="C1185" s="57" t="n">
        <f aca="false">YEAR(B1185)</f>
        <v>2024</v>
      </c>
      <c r="D1185" s="57" t="n">
        <f aca="false">MONTH(B1185)</f>
        <v>12</v>
      </c>
      <c r="E1185" s="57" t="s">
        <v>363</v>
      </c>
      <c r="F1185" s="57" t="s">
        <v>81</v>
      </c>
      <c r="G1185" s="57" t="s">
        <v>40</v>
      </c>
      <c r="H1185" s="57" t="s">
        <v>42</v>
      </c>
      <c r="I1185" s="59" t="n">
        <v>1</v>
      </c>
      <c r="J1185" s="60" t="n">
        <v>79</v>
      </c>
      <c r="K1185" s="60" t="n">
        <v>31</v>
      </c>
      <c r="L1185" s="61" t="n">
        <f aca="false">I1185*J1185</f>
        <v>79</v>
      </c>
      <c r="M1185" s="61" t="n">
        <f aca="false">L1185-I1185*K1185</f>
        <v>48</v>
      </c>
      <c r="N1185" s="57" t="n">
        <f aca="false">IF(COUNTIFS(E$2:E1185,E1185,C$2:C1185,C1185)=1,1,0)</f>
        <v>0</v>
      </c>
      <c r="O1185" s="57" t="n">
        <f aca="false">IF(COUNTIFS(E$2:E1185,E1185,C$2:C1185,C1185,D$2:D1185,D1185)=1,1,0)</f>
        <v>1</v>
      </c>
      <c r="P1185" s="57" t="n">
        <f aca="false">IF(AND(C1185=Calc!$C$3,OR(Calc!$C$4=0,D1185=Calc!$C$4)),ROW(),0)</f>
        <v>0</v>
      </c>
    </row>
    <row r="1186" customFormat="false" ht="15" hidden="false" customHeight="false" outlineLevel="0" collapsed="false">
      <c r="A1186" s="57" t="s">
        <v>1674</v>
      </c>
      <c r="B1186" s="58" t="n">
        <v>45630</v>
      </c>
      <c r="C1186" s="57" t="n">
        <f aca="false">YEAR(B1186)</f>
        <v>2024</v>
      </c>
      <c r="D1186" s="57" t="n">
        <f aca="false">MONTH(B1186)</f>
        <v>12</v>
      </c>
      <c r="E1186" s="57" t="s">
        <v>328</v>
      </c>
      <c r="F1186" s="57" t="s">
        <v>69</v>
      </c>
      <c r="G1186" s="57" t="s">
        <v>45</v>
      </c>
      <c r="H1186" s="57" t="s">
        <v>48</v>
      </c>
      <c r="I1186" s="59" t="n">
        <v>1</v>
      </c>
      <c r="J1186" s="60" t="n">
        <v>99</v>
      </c>
      <c r="K1186" s="60" t="n">
        <v>38</v>
      </c>
      <c r="L1186" s="61" t="n">
        <f aca="false">I1186*J1186</f>
        <v>99</v>
      </c>
      <c r="M1186" s="61" t="n">
        <f aca="false">L1186-I1186*K1186</f>
        <v>61</v>
      </c>
      <c r="N1186" s="57" t="n">
        <f aca="false">IF(COUNTIFS(E$2:E1186,E1186,C$2:C1186,C1186)=1,1,0)</f>
        <v>0</v>
      </c>
      <c r="O1186" s="57" t="n">
        <f aca="false">IF(COUNTIFS(E$2:E1186,E1186,C$2:C1186,C1186,D$2:D1186,D1186)=1,1,0)</f>
        <v>1</v>
      </c>
      <c r="P1186" s="57" t="n">
        <f aca="false">IF(AND(C1186=Calc!$C$3,OR(Calc!$C$4=0,D1186=Calc!$C$4)),ROW(),0)</f>
        <v>0</v>
      </c>
    </row>
    <row r="1187" customFormat="false" ht="15" hidden="false" customHeight="false" outlineLevel="0" collapsed="false">
      <c r="A1187" s="57" t="s">
        <v>1675</v>
      </c>
      <c r="B1187" s="58" t="n">
        <v>45630</v>
      </c>
      <c r="C1187" s="57" t="n">
        <f aca="false">YEAR(B1187)</f>
        <v>2024</v>
      </c>
      <c r="D1187" s="57" t="n">
        <f aca="false">MONTH(B1187)</f>
        <v>12</v>
      </c>
      <c r="E1187" s="57" t="s">
        <v>558</v>
      </c>
      <c r="F1187" s="57" t="s">
        <v>81</v>
      </c>
      <c r="G1187" s="57" t="s">
        <v>50</v>
      </c>
      <c r="H1187" s="57" t="s">
        <v>52</v>
      </c>
      <c r="I1187" s="59" t="n">
        <v>1</v>
      </c>
      <c r="J1187" s="60" t="n">
        <v>45</v>
      </c>
      <c r="K1187" s="60" t="n">
        <v>14</v>
      </c>
      <c r="L1187" s="61" t="n">
        <f aca="false">I1187*J1187</f>
        <v>45</v>
      </c>
      <c r="M1187" s="61" t="n">
        <f aca="false">L1187-I1187*K1187</f>
        <v>31</v>
      </c>
      <c r="N1187" s="57" t="n">
        <f aca="false">IF(COUNTIFS(E$2:E1187,E1187,C$2:C1187,C1187)=1,1,0)</f>
        <v>0</v>
      </c>
      <c r="O1187" s="57" t="n">
        <f aca="false">IF(COUNTIFS(E$2:E1187,E1187,C$2:C1187,C1187,D$2:D1187,D1187)=1,1,0)</f>
        <v>1</v>
      </c>
      <c r="P1187" s="57" t="n">
        <f aca="false">IF(AND(C1187=Calc!$C$3,OR(Calc!$C$4=0,D1187=Calc!$C$4)),ROW(),0)</f>
        <v>0</v>
      </c>
    </row>
    <row r="1188" customFormat="false" ht="15" hidden="false" customHeight="false" outlineLevel="0" collapsed="false">
      <c r="A1188" s="57" t="s">
        <v>1676</v>
      </c>
      <c r="B1188" s="58" t="n">
        <v>45630</v>
      </c>
      <c r="C1188" s="57" t="n">
        <f aca="false">YEAR(B1188)</f>
        <v>2024</v>
      </c>
      <c r="D1188" s="57" t="n">
        <f aca="false">MONTH(B1188)</f>
        <v>12</v>
      </c>
      <c r="E1188" s="57" t="s">
        <v>1392</v>
      </c>
      <c r="F1188" s="57" t="s">
        <v>78</v>
      </c>
      <c r="G1188" s="57" t="s">
        <v>35</v>
      </c>
      <c r="H1188" s="57" t="s">
        <v>36</v>
      </c>
      <c r="I1188" s="59" t="n">
        <v>1</v>
      </c>
      <c r="J1188" s="60" t="n">
        <v>179</v>
      </c>
      <c r="K1188" s="60" t="n">
        <v>92</v>
      </c>
      <c r="L1188" s="61" t="n">
        <f aca="false">I1188*J1188</f>
        <v>179</v>
      </c>
      <c r="M1188" s="61" t="n">
        <f aca="false">L1188-I1188*K1188</f>
        <v>87</v>
      </c>
      <c r="N1188" s="57" t="n">
        <f aca="false">IF(COUNTIFS(E$2:E1188,E1188,C$2:C1188,C1188)=1,1,0)</f>
        <v>0</v>
      </c>
      <c r="O1188" s="57" t="n">
        <f aca="false">IF(COUNTIFS(E$2:E1188,E1188,C$2:C1188,C1188,D$2:D1188,D1188)=1,1,0)</f>
        <v>1</v>
      </c>
      <c r="P1188" s="57" t="n">
        <f aca="false">IF(AND(C1188=Calc!$C$3,OR(Calc!$C$4=0,D1188=Calc!$C$4)),ROW(),0)</f>
        <v>0</v>
      </c>
    </row>
    <row r="1189" customFormat="false" ht="15" hidden="false" customHeight="false" outlineLevel="0" collapsed="false">
      <c r="A1189" s="57" t="s">
        <v>1677</v>
      </c>
      <c r="B1189" s="58" t="n">
        <v>45631</v>
      </c>
      <c r="C1189" s="57" t="n">
        <f aca="false">YEAR(B1189)</f>
        <v>2024</v>
      </c>
      <c r="D1189" s="57" t="n">
        <f aca="false">MONTH(B1189)</f>
        <v>12</v>
      </c>
      <c r="E1189" s="57" t="s">
        <v>477</v>
      </c>
      <c r="F1189" s="57" t="s">
        <v>78</v>
      </c>
      <c r="G1189" s="57" t="s">
        <v>40</v>
      </c>
      <c r="H1189" s="57" t="s">
        <v>41</v>
      </c>
      <c r="I1189" s="59" t="n">
        <v>1</v>
      </c>
      <c r="J1189" s="60" t="n">
        <v>46</v>
      </c>
      <c r="K1189" s="60" t="n">
        <v>16</v>
      </c>
      <c r="L1189" s="61" t="n">
        <f aca="false">I1189*J1189</f>
        <v>46</v>
      </c>
      <c r="M1189" s="61" t="n">
        <f aca="false">L1189-I1189*K1189</f>
        <v>30</v>
      </c>
      <c r="N1189" s="57" t="n">
        <f aca="false">IF(COUNTIFS(E$2:E1189,E1189,C$2:C1189,C1189)=1,1,0)</f>
        <v>0</v>
      </c>
      <c r="O1189" s="57" t="n">
        <f aca="false">IF(COUNTIFS(E$2:E1189,E1189,C$2:C1189,C1189,D$2:D1189,D1189)=1,1,0)</f>
        <v>1</v>
      </c>
      <c r="P1189" s="57" t="n">
        <f aca="false">IF(AND(C1189=Calc!$C$3,OR(Calc!$C$4=0,D1189=Calc!$C$4)),ROW(),0)</f>
        <v>0</v>
      </c>
    </row>
    <row r="1190" customFormat="false" ht="15" hidden="false" customHeight="false" outlineLevel="0" collapsed="false">
      <c r="A1190" s="57" t="s">
        <v>1678</v>
      </c>
      <c r="B1190" s="58" t="n">
        <v>45631</v>
      </c>
      <c r="C1190" s="57" t="n">
        <f aca="false">YEAR(B1190)</f>
        <v>2024</v>
      </c>
      <c r="D1190" s="57" t="n">
        <f aca="false">MONTH(B1190)</f>
        <v>12</v>
      </c>
      <c r="E1190" s="57" t="s">
        <v>434</v>
      </c>
      <c r="F1190" s="57" t="s">
        <v>78</v>
      </c>
      <c r="G1190" s="57" t="s">
        <v>35</v>
      </c>
      <c r="H1190" s="57" t="s">
        <v>36</v>
      </c>
      <c r="I1190" s="59" t="n">
        <v>1</v>
      </c>
      <c r="J1190" s="60" t="n">
        <v>179</v>
      </c>
      <c r="K1190" s="60" t="n">
        <v>92</v>
      </c>
      <c r="L1190" s="61" t="n">
        <f aca="false">I1190*J1190</f>
        <v>179</v>
      </c>
      <c r="M1190" s="61" t="n">
        <f aca="false">L1190-I1190*K1190</f>
        <v>87</v>
      </c>
      <c r="N1190" s="57" t="n">
        <f aca="false">IF(COUNTIFS(E$2:E1190,E1190,C$2:C1190,C1190)=1,1,0)</f>
        <v>0</v>
      </c>
      <c r="O1190" s="57" t="n">
        <f aca="false">IF(COUNTIFS(E$2:E1190,E1190,C$2:C1190,C1190,D$2:D1190,D1190)=1,1,0)</f>
        <v>1</v>
      </c>
      <c r="P1190" s="57" t="n">
        <f aca="false">IF(AND(C1190=Calc!$C$3,OR(Calc!$C$4=0,D1190=Calc!$C$4)),ROW(),0)</f>
        <v>0</v>
      </c>
    </row>
    <row r="1191" customFormat="false" ht="15" hidden="false" customHeight="false" outlineLevel="0" collapsed="false">
      <c r="A1191" s="57" t="s">
        <v>1679</v>
      </c>
      <c r="B1191" s="58" t="n">
        <v>45631</v>
      </c>
      <c r="C1191" s="57" t="n">
        <f aca="false">YEAR(B1191)</f>
        <v>2024</v>
      </c>
      <c r="D1191" s="57" t="n">
        <f aca="false">MONTH(B1191)</f>
        <v>12</v>
      </c>
      <c r="E1191" s="57" t="s">
        <v>448</v>
      </c>
      <c r="F1191" s="57" t="s">
        <v>69</v>
      </c>
      <c r="G1191" s="57" t="s">
        <v>35</v>
      </c>
      <c r="H1191" s="57" t="s">
        <v>36</v>
      </c>
      <c r="I1191" s="59" t="n">
        <v>3</v>
      </c>
      <c r="J1191" s="60" t="n">
        <v>179</v>
      </c>
      <c r="K1191" s="60" t="n">
        <v>92</v>
      </c>
      <c r="L1191" s="61" t="n">
        <f aca="false">I1191*J1191</f>
        <v>537</v>
      </c>
      <c r="M1191" s="61" t="n">
        <f aca="false">L1191-I1191*K1191</f>
        <v>261</v>
      </c>
      <c r="N1191" s="57" t="n">
        <f aca="false">IF(COUNTIFS(E$2:E1191,E1191,C$2:C1191,C1191)=1,1,0)</f>
        <v>0</v>
      </c>
      <c r="O1191" s="57" t="n">
        <f aca="false">IF(COUNTIFS(E$2:E1191,E1191,C$2:C1191,C1191,D$2:D1191,D1191)=1,1,0)</f>
        <v>1</v>
      </c>
      <c r="P1191" s="57" t="n">
        <f aca="false">IF(AND(C1191=Calc!$C$3,OR(Calc!$C$4=0,D1191=Calc!$C$4)),ROW(),0)</f>
        <v>0</v>
      </c>
    </row>
    <row r="1192" customFormat="false" ht="15" hidden="false" customHeight="false" outlineLevel="0" collapsed="false">
      <c r="A1192" s="57" t="s">
        <v>1680</v>
      </c>
      <c r="B1192" s="58" t="n">
        <v>45631</v>
      </c>
      <c r="C1192" s="57" t="n">
        <f aca="false">YEAR(B1192)</f>
        <v>2024</v>
      </c>
      <c r="D1192" s="57" t="n">
        <f aca="false">MONTH(B1192)</f>
        <v>12</v>
      </c>
      <c r="E1192" s="57" t="s">
        <v>1681</v>
      </c>
      <c r="F1192" s="57" t="s">
        <v>75</v>
      </c>
      <c r="G1192" s="57" t="s">
        <v>40</v>
      </c>
      <c r="H1192" s="57" t="s">
        <v>39</v>
      </c>
      <c r="I1192" s="59" t="n">
        <v>2</v>
      </c>
      <c r="J1192" s="60" t="n">
        <v>54</v>
      </c>
      <c r="K1192" s="60" t="n">
        <v>19</v>
      </c>
      <c r="L1192" s="61" t="n">
        <f aca="false">I1192*J1192</f>
        <v>108</v>
      </c>
      <c r="M1192" s="61" t="n">
        <f aca="false">L1192-I1192*K1192</f>
        <v>70</v>
      </c>
      <c r="N1192" s="57" t="n">
        <f aca="false">IF(COUNTIFS(E$2:E1192,E1192,C$2:C1192,C1192)=1,1,0)</f>
        <v>1</v>
      </c>
      <c r="O1192" s="57" t="n">
        <f aca="false">IF(COUNTIFS(E$2:E1192,E1192,C$2:C1192,C1192,D$2:D1192,D1192)=1,1,0)</f>
        <v>1</v>
      </c>
      <c r="P1192" s="57" t="n">
        <f aca="false">IF(AND(C1192=Calc!$C$3,OR(Calc!$C$4=0,D1192=Calc!$C$4)),ROW(),0)</f>
        <v>0</v>
      </c>
    </row>
    <row r="1193" customFormat="false" ht="15" hidden="false" customHeight="false" outlineLevel="0" collapsed="false">
      <c r="A1193" s="57" t="s">
        <v>1682</v>
      </c>
      <c r="B1193" s="58" t="n">
        <v>45631</v>
      </c>
      <c r="C1193" s="57" t="n">
        <f aca="false">YEAR(B1193)</f>
        <v>2024</v>
      </c>
      <c r="D1193" s="57" t="n">
        <f aca="false">MONTH(B1193)</f>
        <v>12</v>
      </c>
      <c r="E1193" s="57" t="s">
        <v>91</v>
      </c>
      <c r="F1193" s="57" t="s">
        <v>69</v>
      </c>
      <c r="G1193" s="57" t="s">
        <v>35</v>
      </c>
      <c r="H1193" s="57" t="s">
        <v>37</v>
      </c>
      <c r="I1193" s="59" t="n">
        <v>1</v>
      </c>
      <c r="J1193" s="60" t="n">
        <v>59</v>
      </c>
      <c r="K1193" s="60" t="n">
        <v>27</v>
      </c>
      <c r="L1193" s="61" t="n">
        <f aca="false">I1193*J1193</f>
        <v>59</v>
      </c>
      <c r="M1193" s="61" t="n">
        <f aca="false">L1193-I1193*K1193</f>
        <v>32</v>
      </c>
      <c r="N1193" s="57" t="n">
        <f aca="false">IF(COUNTIFS(E$2:E1193,E1193,C$2:C1193,C1193)=1,1,0)</f>
        <v>0</v>
      </c>
      <c r="O1193" s="57" t="n">
        <f aca="false">IF(COUNTIFS(E$2:E1193,E1193,C$2:C1193,C1193,D$2:D1193,D1193)=1,1,0)</f>
        <v>1</v>
      </c>
      <c r="P1193" s="57" t="n">
        <f aca="false">IF(AND(C1193=Calc!$C$3,OR(Calc!$C$4=0,D1193=Calc!$C$4)),ROW(),0)</f>
        <v>0</v>
      </c>
    </row>
    <row r="1194" customFormat="false" ht="15" hidden="false" customHeight="false" outlineLevel="0" collapsed="false">
      <c r="A1194" s="57" t="s">
        <v>1683</v>
      </c>
      <c r="B1194" s="58" t="n">
        <v>45631</v>
      </c>
      <c r="C1194" s="57" t="n">
        <f aca="false">YEAR(B1194)</f>
        <v>2024</v>
      </c>
      <c r="D1194" s="57" t="n">
        <f aca="false">MONTH(B1194)</f>
        <v>12</v>
      </c>
      <c r="E1194" s="57" t="s">
        <v>315</v>
      </c>
      <c r="F1194" s="57" t="s">
        <v>69</v>
      </c>
      <c r="G1194" s="57" t="s">
        <v>35</v>
      </c>
      <c r="H1194" s="57" t="s">
        <v>34</v>
      </c>
      <c r="I1194" s="59" t="n">
        <v>1</v>
      </c>
      <c r="J1194" s="60" t="n">
        <v>89</v>
      </c>
      <c r="K1194" s="60" t="n">
        <v>41</v>
      </c>
      <c r="L1194" s="61" t="n">
        <f aca="false">I1194*J1194</f>
        <v>89</v>
      </c>
      <c r="M1194" s="61" t="n">
        <f aca="false">L1194-I1194*K1194</f>
        <v>48</v>
      </c>
      <c r="N1194" s="57" t="n">
        <f aca="false">IF(COUNTIFS(E$2:E1194,E1194,C$2:C1194,C1194)=1,1,0)</f>
        <v>0</v>
      </c>
      <c r="O1194" s="57" t="n">
        <f aca="false">IF(COUNTIFS(E$2:E1194,E1194,C$2:C1194,C1194,D$2:D1194,D1194)=1,1,0)</f>
        <v>1</v>
      </c>
      <c r="P1194" s="57" t="n">
        <f aca="false">IF(AND(C1194=Calc!$C$3,OR(Calc!$C$4=0,D1194=Calc!$C$4)),ROW(),0)</f>
        <v>0</v>
      </c>
    </row>
    <row r="1195" customFormat="false" ht="15" hidden="false" customHeight="false" outlineLevel="0" collapsed="false">
      <c r="A1195" s="57" t="s">
        <v>1684</v>
      </c>
      <c r="B1195" s="58" t="n">
        <v>45631</v>
      </c>
      <c r="C1195" s="57" t="n">
        <f aca="false">YEAR(B1195)</f>
        <v>2024</v>
      </c>
      <c r="D1195" s="57" t="n">
        <f aca="false">MONTH(B1195)</f>
        <v>12</v>
      </c>
      <c r="E1195" s="57" t="s">
        <v>1257</v>
      </c>
      <c r="F1195" s="57" t="s">
        <v>69</v>
      </c>
      <c r="G1195" s="57" t="s">
        <v>40</v>
      </c>
      <c r="H1195" s="57" t="s">
        <v>39</v>
      </c>
      <c r="I1195" s="59" t="n">
        <v>3</v>
      </c>
      <c r="J1195" s="60" t="n">
        <v>54</v>
      </c>
      <c r="K1195" s="60" t="n">
        <v>19</v>
      </c>
      <c r="L1195" s="61" t="n">
        <f aca="false">I1195*J1195</f>
        <v>162</v>
      </c>
      <c r="M1195" s="61" t="n">
        <f aca="false">L1195-I1195*K1195</f>
        <v>105</v>
      </c>
      <c r="N1195" s="57" t="n">
        <f aca="false">IF(COUNTIFS(E$2:E1195,E1195,C$2:C1195,C1195)=1,1,0)</f>
        <v>0</v>
      </c>
      <c r="O1195" s="57" t="n">
        <f aca="false">IF(COUNTIFS(E$2:E1195,E1195,C$2:C1195,C1195,D$2:D1195,D1195)=1,1,0)</f>
        <v>1</v>
      </c>
      <c r="P1195" s="57" t="n">
        <f aca="false">IF(AND(C1195=Calc!$C$3,OR(Calc!$C$4=0,D1195=Calc!$C$4)),ROW(),0)</f>
        <v>0</v>
      </c>
    </row>
    <row r="1196" customFormat="false" ht="15" hidden="false" customHeight="false" outlineLevel="0" collapsed="false">
      <c r="A1196" s="57" t="s">
        <v>1685</v>
      </c>
      <c r="B1196" s="58" t="n">
        <v>45632</v>
      </c>
      <c r="C1196" s="57" t="n">
        <f aca="false">YEAR(B1196)</f>
        <v>2024</v>
      </c>
      <c r="D1196" s="57" t="n">
        <f aca="false">MONTH(B1196)</f>
        <v>12</v>
      </c>
      <c r="E1196" s="57" t="s">
        <v>506</v>
      </c>
      <c r="F1196" s="57" t="s">
        <v>78</v>
      </c>
      <c r="G1196" s="57" t="s">
        <v>50</v>
      </c>
      <c r="H1196" s="57" t="s">
        <v>52</v>
      </c>
      <c r="I1196" s="59" t="n">
        <v>1</v>
      </c>
      <c r="J1196" s="60" t="n">
        <v>45</v>
      </c>
      <c r="K1196" s="60" t="n">
        <v>14</v>
      </c>
      <c r="L1196" s="61" t="n">
        <f aca="false">I1196*J1196</f>
        <v>45</v>
      </c>
      <c r="M1196" s="61" t="n">
        <f aca="false">L1196-I1196*K1196</f>
        <v>31</v>
      </c>
      <c r="N1196" s="57" t="n">
        <f aca="false">IF(COUNTIFS(E$2:E1196,E1196,C$2:C1196,C1196)=1,1,0)</f>
        <v>0</v>
      </c>
      <c r="O1196" s="57" t="n">
        <f aca="false">IF(COUNTIFS(E$2:E1196,E1196,C$2:C1196,C1196,D$2:D1196,D1196)=1,1,0)</f>
        <v>1</v>
      </c>
      <c r="P1196" s="57" t="n">
        <f aca="false">IF(AND(C1196=Calc!$C$3,OR(Calc!$C$4=0,D1196=Calc!$C$4)),ROW(),0)</f>
        <v>0</v>
      </c>
    </row>
    <row r="1197" customFormat="false" ht="15" hidden="false" customHeight="false" outlineLevel="0" collapsed="false">
      <c r="A1197" s="57" t="s">
        <v>1686</v>
      </c>
      <c r="B1197" s="58" t="n">
        <v>45632</v>
      </c>
      <c r="C1197" s="57" t="n">
        <f aca="false">YEAR(B1197)</f>
        <v>2024</v>
      </c>
      <c r="D1197" s="57" t="n">
        <f aca="false">MONTH(B1197)</f>
        <v>12</v>
      </c>
      <c r="E1197" s="57" t="s">
        <v>440</v>
      </c>
      <c r="F1197" s="57" t="s">
        <v>78</v>
      </c>
      <c r="G1197" s="57" t="s">
        <v>35</v>
      </c>
      <c r="H1197" s="57" t="s">
        <v>38</v>
      </c>
      <c r="I1197" s="59" t="n">
        <v>1</v>
      </c>
      <c r="J1197" s="60" t="n">
        <v>49</v>
      </c>
      <c r="K1197" s="60" t="n">
        <v>22</v>
      </c>
      <c r="L1197" s="61" t="n">
        <f aca="false">I1197*J1197</f>
        <v>49</v>
      </c>
      <c r="M1197" s="61" t="n">
        <f aca="false">L1197-I1197*K1197</f>
        <v>27</v>
      </c>
      <c r="N1197" s="57" t="n">
        <f aca="false">IF(COUNTIFS(E$2:E1197,E1197,C$2:C1197,C1197)=1,1,0)</f>
        <v>0</v>
      </c>
      <c r="O1197" s="57" t="n">
        <f aca="false">IF(COUNTIFS(E$2:E1197,E1197,C$2:C1197,C1197,D$2:D1197,D1197)=1,1,0)</f>
        <v>1</v>
      </c>
      <c r="P1197" s="57" t="n">
        <f aca="false">IF(AND(C1197=Calc!$C$3,OR(Calc!$C$4=0,D1197=Calc!$C$4)),ROW(),0)</f>
        <v>0</v>
      </c>
    </row>
    <row r="1198" customFormat="false" ht="15" hidden="false" customHeight="false" outlineLevel="0" collapsed="false">
      <c r="A1198" s="57" t="s">
        <v>1687</v>
      </c>
      <c r="B1198" s="58" t="n">
        <v>45632</v>
      </c>
      <c r="C1198" s="57" t="n">
        <f aca="false">YEAR(B1198)</f>
        <v>2024</v>
      </c>
      <c r="D1198" s="57" t="n">
        <f aca="false">MONTH(B1198)</f>
        <v>12</v>
      </c>
      <c r="E1198" s="57" t="s">
        <v>1688</v>
      </c>
      <c r="F1198" s="57" t="s">
        <v>72</v>
      </c>
      <c r="G1198" s="57" t="s">
        <v>35</v>
      </c>
      <c r="H1198" s="57" t="s">
        <v>34</v>
      </c>
      <c r="I1198" s="59" t="n">
        <v>2</v>
      </c>
      <c r="J1198" s="60" t="n">
        <v>89</v>
      </c>
      <c r="K1198" s="60" t="n">
        <v>41</v>
      </c>
      <c r="L1198" s="61" t="n">
        <f aca="false">I1198*J1198</f>
        <v>178</v>
      </c>
      <c r="M1198" s="61" t="n">
        <f aca="false">L1198-I1198*K1198</f>
        <v>96</v>
      </c>
      <c r="N1198" s="57" t="n">
        <f aca="false">IF(COUNTIFS(E$2:E1198,E1198,C$2:C1198,C1198)=1,1,0)</f>
        <v>1</v>
      </c>
      <c r="O1198" s="57" t="n">
        <f aca="false">IF(COUNTIFS(E$2:E1198,E1198,C$2:C1198,C1198,D$2:D1198,D1198)=1,1,0)</f>
        <v>1</v>
      </c>
      <c r="P1198" s="57" t="n">
        <f aca="false">IF(AND(C1198=Calc!$C$3,OR(Calc!$C$4=0,D1198=Calc!$C$4)),ROW(),0)</f>
        <v>0</v>
      </c>
    </row>
    <row r="1199" customFormat="false" ht="15" hidden="false" customHeight="false" outlineLevel="0" collapsed="false">
      <c r="A1199" s="57" t="s">
        <v>1689</v>
      </c>
      <c r="B1199" s="58" t="n">
        <v>45632</v>
      </c>
      <c r="C1199" s="57" t="n">
        <f aca="false">YEAR(B1199)</f>
        <v>2024</v>
      </c>
      <c r="D1199" s="57" t="n">
        <f aca="false">MONTH(B1199)</f>
        <v>12</v>
      </c>
      <c r="E1199" s="57" t="s">
        <v>148</v>
      </c>
      <c r="F1199" s="57" t="s">
        <v>78</v>
      </c>
      <c r="G1199" s="57" t="s">
        <v>45</v>
      </c>
      <c r="H1199" s="57" t="s">
        <v>44</v>
      </c>
      <c r="I1199" s="59" t="n">
        <v>3</v>
      </c>
      <c r="J1199" s="60" t="n">
        <v>119</v>
      </c>
      <c r="K1199" s="60" t="n">
        <v>63</v>
      </c>
      <c r="L1199" s="61" t="n">
        <f aca="false">I1199*J1199</f>
        <v>357</v>
      </c>
      <c r="M1199" s="61" t="n">
        <f aca="false">L1199-I1199*K1199</f>
        <v>168</v>
      </c>
      <c r="N1199" s="57" t="n">
        <f aca="false">IF(COUNTIFS(E$2:E1199,E1199,C$2:C1199,C1199)=1,1,0)</f>
        <v>0</v>
      </c>
      <c r="O1199" s="57" t="n">
        <f aca="false">IF(COUNTIFS(E$2:E1199,E1199,C$2:C1199,C1199,D$2:D1199,D1199)=1,1,0)</f>
        <v>1</v>
      </c>
      <c r="P1199" s="57" t="n">
        <f aca="false">IF(AND(C1199=Calc!$C$3,OR(Calc!$C$4=0,D1199=Calc!$C$4)),ROW(),0)</f>
        <v>0</v>
      </c>
    </row>
    <row r="1200" customFormat="false" ht="15" hidden="false" customHeight="false" outlineLevel="0" collapsed="false">
      <c r="A1200" s="57" t="s">
        <v>1690</v>
      </c>
      <c r="B1200" s="58" t="n">
        <v>45632</v>
      </c>
      <c r="C1200" s="57" t="n">
        <f aca="false">YEAR(B1200)</f>
        <v>2024</v>
      </c>
      <c r="D1200" s="57" t="n">
        <f aca="false">MONTH(B1200)</f>
        <v>12</v>
      </c>
      <c r="E1200" s="57" t="s">
        <v>1691</v>
      </c>
      <c r="F1200" s="57" t="s">
        <v>72</v>
      </c>
      <c r="G1200" s="57" t="s">
        <v>35</v>
      </c>
      <c r="H1200" s="57" t="s">
        <v>34</v>
      </c>
      <c r="I1200" s="59" t="n">
        <v>1</v>
      </c>
      <c r="J1200" s="60" t="n">
        <v>89</v>
      </c>
      <c r="K1200" s="60" t="n">
        <v>41</v>
      </c>
      <c r="L1200" s="61" t="n">
        <f aca="false">I1200*J1200</f>
        <v>89</v>
      </c>
      <c r="M1200" s="61" t="n">
        <f aca="false">L1200-I1200*K1200</f>
        <v>48</v>
      </c>
      <c r="N1200" s="57" t="n">
        <f aca="false">IF(COUNTIFS(E$2:E1200,E1200,C$2:C1200,C1200)=1,1,0)</f>
        <v>1</v>
      </c>
      <c r="O1200" s="57" t="n">
        <f aca="false">IF(COUNTIFS(E$2:E1200,E1200,C$2:C1200,C1200,D$2:D1200,D1200)=1,1,0)</f>
        <v>1</v>
      </c>
      <c r="P1200" s="57" t="n">
        <f aca="false">IF(AND(C1200=Calc!$C$3,OR(Calc!$C$4=0,D1200=Calc!$C$4)),ROW(),0)</f>
        <v>0</v>
      </c>
    </row>
    <row r="1201" customFormat="false" ht="15" hidden="false" customHeight="false" outlineLevel="0" collapsed="false">
      <c r="A1201" s="57" t="s">
        <v>1692</v>
      </c>
      <c r="B1201" s="58" t="n">
        <v>45632</v>
      </c>
      <c r="C1201" s="57" t="n">
        <f aca="false">YEAR(B1201)</f>
        <v>2024</v>
      </c>
      <c r="D1201" s="57" t="n">
        <f aca="false">MONTH(B1201)</f>
        <v>12</v>
      </c>
      <c r="E1201" s="57" t="s">
        <v>122</v>
      </c>
      <c r="F1201" s="57" t="s">
        <v>81</v>
      </c>
      <c r="G1201" s="57" t="s">
        <v>40</v>
      </c>
      <c r="H1201" s="57" t="s">
        <v>42</v>
      </c>
      <c r="I1201" s="59" t="n">
        <v>1</v>
      </c>
      <c r="J1201" s="60" t="n">
        <v>79</v>
      </c>
      <c r="K1201" s="60" t="n">
        <v>31</v>
      </c>
      <c r="L1201" s="61" t="n">
        <f aca="false">I1201*J1201</f>
        <v>79</v>
      </c>
      <c r="M1201" s="61" t="n">
        <f aca="false">L1201-I1201*K1201</f>
        <v>48</v>
      </c>
      <c r="N1201" s="57" t="n">
        <f aca="false">IF(COUNTIFS(E$2:E1201,E1201,C$2:C1201,C1201)=1,1,0)</f>
        <v>0</v>
      </c>
      <c r="O1201" s="57" t="n">
        <f aca="false">IF(COUNTIFS(E$2:E1201,E1201,C$2:C1201,C1201,D$2:D1201,D1201)=1,1,0)</f>
        <v>1</v>
      </c>
      <c r="P1201" s="57" t="n">
        <f aca="false">IF(AND(C1201=Calc!$C$3,OR(Calc!$C$4=0,D1201=Calc!$C$4)),ROW(),0)</f>
        <v>0</v>
      </c>
    </row>
    <row r="1202" customFormat="false" ht="15" hidden="false" customHeight="false" outlineLevel="0" collapsed="false">
      <c r="A1202" s="57" t="s">
        <v>1693</v>
      </c>
      <c r="B1202" s="58" t="n">
        <v>45632</v>
      </c>
      <c r="C1202" s="57" t="n">
        <f aca="false">YEAR(B1202)</f>
        <v>2024</v>
      </c>
      <c r="D1202" s="57" t="n">
        <f aca="false">MONTH(B1202)</f>
        <v>12</v>
      </c>
      <c r="E1202" s="57" t="s">
        <v>281</v>
      </c>
      <c r="F1202" s="57" t="s">
        <v>81</v>
      </c>
      <c r="G1202" s="57" t="s">
        <v>45</v>
      </c>
      <c r="H1202" s="57" t="s">
        <v>46</v>
      </c>
      <c r="I1202" s="59" t="n">
        <v>2</v>
      </c>
      <c r="J1202" s="60" t="n">
        <v>149</v>
      </c>
      <c r="K1202" s="60" t="n">
        <v>71</v>
      </c>
      <c r="L1202" s="61" t="n">
        <f aca="false">I1202*J1202</f>
        <v>298</v>
      </c>
      <c r="M1202" s="61" t="n">
        <f aca="false">L1202-I1202*K1202</f>
        <v>156</v>
      </c>
      <c r="N1202" s="57" t="n">
        <f aca="false">IF(COUNTIFS(E$2:E1202,E1202,C$2:C1202,C1202)=1,1,0)</f>
        <v>0</v>
      </c>
      <c r="O1202" s="57" t="n">
        <f aca="false">IF(COUNTIFS(E$2:E1202,E1202,C$2:C1202,C1202,D$2:D1202,D1202)=1,1,0)</f>
        <v>1</v>
      </c>
      <c r="P1202" s="57" t="n">
        <f aca="false">IF(AND(C1202=Calc!$C$3,OR(Calc!$C$4=0,D1202=Calc!$C$4)),ROW(),0)</f>
        <v>0</v>
      </c>
    </row>
    <row r="1203" customFormat="false" ht="15" hidden="false" customHeight="false" outlineLevel="0" collapsed="false">
      <c r="A1203" s="57" t="s">
        <v>1694</v>
      </c>
      <c r="B1203" s="58" t="n">
        <v>45633</v>
      </c>
      <c r="C1203" s="57" t="n">
        <f aca="false">YEAR(B1203)</f>
        <v>2024</v>
      </c>
      <c r="D1203" s="57" t="n">
        <f aca="false">MONTH(B1203)</f>
        <v>12</v>
      </c>
      <c r="E1203" s="57" t="s">
        <v>508</v>
      </c>
      <c r="F1203" s="57" t="s">
        <v>81</v>
      </c>
      <c r="G1203" s="57" t="s">
        <v>40</v>
      </c>
      <c r="H1203" s="57" t="s">
        <v>43</v>
      </c>
      <c r="I1203" s="59" t="n">
        <v>1</v>
      </c>
      <c r="J1203" s="60" t="n">
        <v>29</v>
      </c>
      <c r="K1203" s="60" t="n">
        <v>9</v>
      </c>
      <c r="L1203" s="61" t="n">
        <f aca="false">I1203*J1203</f>
        <v>29</v>
      </c>
      <c r="M1203" s="61" t="n">
        <f aca="false">L1203-I1203*K1203</f>
        <v>20</v>
      </c>
      <c r="N1203" s="57" t="n">
        <f aca="false">IF(COUNTIFS(E$2:E1203,E1203,C$2:C1203,C1203)=1,1,0)</f>
        <v>0</v>
      </c>
      <c r="O1203" s="57" t="n">
        <f aca="false">IF(COUNTIFS(E$2:E1203,E1203,C$2:C1203,C1203,D$2:D1203,D1203)=1,1,0)</f>
        <v>1</v>
      </c>
      <c r="P1203" s="57" t="n">
        <f aca="false">IF(AND(C1203=Calc!$C$3,OR(Calc!$C$4=0,D1203=Calc!$C$4)),ROW(),0)</f>
        <v>0</v>
      </c>
    </row>
    <row r="1204" customFormat="false" ht="15" hidden="false" customHeight="false" outlineLevel="0" collapsed="false">
      <c r="A1204" s="57" t="s">
        <v>1695</v>
      </c>
      <c r="B1204" s="58" t="n">
        <v>45633</v>
      </c>
      <c r="C1204" s="57" t="n">
        <f aca="false">YEAR(B1204)</f>
        <v>2024</v>
      </c>
      <c r="D1204" s="57" t="n">
        <f aca="false">MONTH(B1204)</f>
        <v>12</v>
      </c>
      <c r="E1204" s="57" t="s">
        <v>183</v>
      </c>
      <c r="F1204" s="57" t="s">
        <v>72</v>
      </c>
      <c r="G1204" s="57" t="s">
        <v>50</v>
      </c>
      <c r="H1204" s="57" t="s">
        <v>49</v>
      </c>
      <c r="I1204" s="59" t="n">
        <v>1</v>
      </c>
      <c r="J1204" s="60" t="n">
        <v>32</v>
      </c>
      <c r="K1204" s="60" t="n">
        <v>7</v>
      </c>
      <c r="L1204" s="61" t="n">
        <f aca="false">I1204*J1204</f>
        <v>32</v>
      </c>
      <c r="M1204" s="61" t="n">
        <f aca="false">L1204-I1204*K1204</f>
        <v>25</v>
      </c>
      <c r="N1204" s="57" t="n">
        <f aca="false">IF(COUNTIFS(E$2:E1204,E1204,C$2:C1204,C1204)=1,1,0)</f>
        <v>0</v>
      </c>
      <c r="O1204" s="57" t="n">
        <f aca="false">IF(COUNTIFS(E$2:E1204,E1204,C$2:C1204,C1204,D$2:D1204,D1204)=1,1,0)</f>
        <v>0</v>
      </c>
      <c r="P1204" s="57" t="n">
        <f aca="false">IF(AND(C1204=Calc!$C$3,OR(Calc!$C$4=0,D1204=Calc!$C$4)),ROW(),0)</f>
        <v>0</v>
      </c>
    </row>
    <row r="1205" customFormat="false" ht="15" hidden="false" customHeight="false" outlineLevel="0" collapsed="false">
      <c r="A1205" s="57" t="s">
        <v>1696</v>
      </c>
      <c r="B1205" s="58" t="n">
        <v>45633</v>
      </c>
      <c r="C1205" s="57" t="n">
        <f aca="false">YEAR(B1205)</f>
        <v>2024</v>
      </c>
      <c r="D1205" s="57" t="n">
        <f aca="false">MONTH(B1205)</f>
        <v>12</v>
      </c>
      <c r="E1205" s="57" t="s">
        <v>91</v>
      </c>
      <c r="F1205" s="57" t="s">
        <v>69</v>
      </c>
      <c r="G1205" s="57" t="s">
        <v>54</v>
      </c>
      <c r="H1205" s="57" t="s">
        <v>55</v>
      </c>
      <c r="I1205" s="59" t="n">
        <v>1</v>
      </c>
      <c r="J1205" s="60" t="n">
        <v>64</v>
      </c>
      <c r="K1205" s="60" t="n">
        <v>25</v>
      </c>
      <c r="L1205" s="61" t="n">
        <f aca="false">I1205*J1205</f>
        <v>64</v>
      </c>
      <c r="M1205" s="61" t="n">
        <f aca="false">L1205-I1205*K1205</f>
        <v>39</v>
      </c>
      <c r="N1205" s="57" t="n">
        <f aca="false">IF(COUNTIFS(E$2:E1205,E1205,C$2:C1205,C1205)=1,1,0)</f>
        <v>0</v>
      </c>
      <c r="O1205" s="57" t="n">
        <f aca="false">IF(COUNTIFS(E$2:E1205,E1205,C$2:C1205,C1205,D$2:D1205,D1205)=1,1,0)</f>
        <v>0</v>
      </c>
      <c r="P1205" s="57" t="n">
        <f aca="false">IF(AND(C1205=Calc!$C$3,OR(Calc!$C$4=0,D1205=Calc!$C$4)),ROW(),0)</f>
        <v>0</v>
      </c>
    </row>
    <row r="1206" customFormat="false" ht="15" hidden="false" customHeight="false" outlineLevel="0" collapsed="false">
      <c r="A1206" s="57" t="s">
        <v>1697</v>
      </c>
      <c r="B1206" s="58" t="n">
        <v>45633</v>
      </c>
      <c r="C1206" s="57" t="n">
        <f aca="false">YEAR(B1206)</f>
        <v>2024</v>
      </c>
      <c r="D1206" s="57" t="n">
        <f aca="false">MONTH(B1206)</f>
        <v>12</v>
      </c>
      <c r="E1206" s="57" t="s">
        <v>823</v>
      </c>
      <c r="F1206" s="57" t="s">
        <v>81</v>
      </c>
      <c r="G1206" s="57" t="s">
        <v>35</v>
      </c>
      <c r="H1206" s="57" t="s">
        <v>37</v>
      </c>
      <c r="I1206" s="59" t="n">
        <v>2</v>
      </c>
      <c r="J1206" s="60" t="n">
        <v>59</v>
      </c>
      <c r="K1206" s="60" t="n">
        <v>27</v>
      </c>
      <c r="L1206" s="61" t="n">
        <f aca="false">I1206*J1206</f>
        <v>118</v>
      </c>
      <c r="M1206" s="61" t="n">
        <f aca="false">L1206-I1206*K1206</f>
        <v>64</v>
      </c>
      <c r="N1206" s="57" t="n">
        <f aca="false">IF(COUNTIFS(E$2:E1206,E1206,C$2:C1206,C1206)=1,1,0)</f>
        <v>0</v>
      </c>
      <c r="O1206" s="57" t="n">
        <f aca="false">IF(COUNTIFS(E$2:E1206,E1206,C$2:C1206,C1206,D$2:D1206,D1206)=1,1,0)</f>
        <v>1</v>
      </c>
      <c r="P1206" s="57" t="n">
        <f aca="false">IF(AND(C1206=Calc!$C$3,OR(Calc!$C$4=0,D1206=Calc!$C$4)),ROW(),0)</f>
        <v>0</v>
      </c>
    </row>
    <row r="1207" customFormat="false" ht="15" hidden="false" customHeight="false" outlineLevel="0" collapsed="false">
      <c r="A1207" s="57" t="s">
        <v>1698</v>
      </c>
      <c r="B1207" s="58" t="n">
        <v>45633</v>
      </c>
      <c r="C1207" s="57" t="n">
        <f aca="false">YEAR(B1207)</f>
        <v>2024</v>
      </c>
      <c r="D1207" s="57" t="n">
        <f aca="false">MONTH(B1207)</f>
        <v>12</v>
      </c>
      <c r="E1207" s="57" t="s">
        <v>479</v>
      </c>
      <c r="F1207" s="57" t="s">
        <v>72</v>
      </c>
      <c r="G1207" s="57" t="s">
        <v>40</v>
      </c>
      <c r="H1207" s="57" t="s">
        <v>41</v>
      </c>
      <c r="I1207" s="59" t="n">
        <v>1</v>
      </c>
      <c r="J1207" s="60" t="n">
        <v>46</v>
      </c>
      <c r="K1207" s="60" t="n">
        <v>16</v>
      </c>
      <c r="L1207" s="61" t="n">
        <f aca="false">I1207*J1207</f>
        <v>46</v>
      </c>
      <c r="M1207" s="61" t="n">
        <f aca="false">L1207-I1207*K1207</f>
        <v>30</v>
      </c>
      <c r="N1207" s="57" t="n">
        <f aca="false">IF(COUNTIFS(E$2:E1207,E1207,C$2:C1207,C1207)=1,1,0)</f>
        <v>0</v>
      </c>
      <c r="O1207" s="57" t="n">
        <f aca="false">IF(COUNTIFS(E$2:E1207,E1207,C$2:C1207,C1207,D$2:D1207,D1207)=1,1,0)</f>
        <v>1</v>
      </c>
      <c r="P1207" s="57" t="n">
        <f aca="false">IF(AND(C1207=Calc!$C$3,OR(Calc!$C$4=0,D1207=Calc!$C$4)),ROW(),0)</f>
        <v>0</v>
      </c>
    </row>
    <row r="1208" customFormat="false" ht="15" hidden="false" customHeight="false" outlineLevel="0" collapsed="false">
      <c r="A1208" s="57" t="s">
        <v>1699</v>
      </c>
      <c r="B1208" s="58" t="n">
        <v>45633</v>
      </c>
      <c r="C1208" s="57" t="n">
        <f aca="false">YEAR(B1208)</f>
        <v>2024</v>
      </c>
      <c r="D1208" s="57" t="n">
        <f aca="false">MONTH(B1208)</f>
        <v>12</v>
      </c>
      <c r="E1208" s="57" t="s">
        <v>1700</v>
      </c>
      <c r="F1208" s="57" t="s">
        <v>72</v>
      </c>
      <c r="G1208" s="57" t="s">
        <v>45</v>
      </c>
      <c r="H1208" s="57" t="s">
        <v>46</v>
      </c>
      <c r="I1208" s="59" t="n">
        <v>2</v>
      </c>
      <c r="J1208" s="60" t="n">
        <v>149</v>
      </c>
      <c r="K1208" s="60" t="n">
        <v>71</v>
      </c>
      <c r="L1208" s="61" t="n">
        <f aca="false">I1208*J1208</f>
        <v>298</v>
      </c>
      <c r="M1208" s="61" t="n">
        <f aca="false">L1208-I1208*K1208</f>
        <v>156</v>
      </c>
      <c r="N1208" s="57" t="n">
        <f aca="false">IF(COUNTIFS(E$2:E1208,E1208,C$2:C1208,C1208)=1,1,0)</f>
        <v>1</v>
      </c>
      <c r="O1208" s="57" t="n">
        <f aca="false">IF(COUNTIFS(E$2:E1208,E1208,C$2:C1208,C1208,D$2:D1208,D1208)=1,1,0)</f>
        <v>1</v>
      </c>
      <c r="P1208" s="57" t="n">
        <f aca="false">IF(AND(C1208=Calc!$C$3,OR(Calc!$C$4=0,D1208=Calc!$C$4)),ROW(),0)</f>
        <v>0</v>
      </c>
    </row>
    <row r="1209" customFormat="false" ht="15" hidden="false" customHeight="false" outlineLevel="0" collapsed="false">
      <c r="A1209" s="57" t="s">
        <v>1701</v>
      </c>
      <c r="B1209" s="58" t="n">
        <v>45634</v>
      </c>
      <c r="C1209" s="57" t="n">
        <f aca="false">YEAR(B1209)</f>
        <v>2024</v>
      </c>
      <c r="D1209" s="57" t="n">
        <f aca="false">MONTH(B1209)</f>
        <v>12</v>
      </c>
      <c r="E1209" s="57" t="s">
        <v>261</v>
      </c>
      <c r="F1209" s="57" t="s">
        <v>75</v>
      </c>
      <c r="G1209" s="57" t="s">
        <v>35</v>
      </c>
      <c r="H1209" s="57" t="s">
        <v>34</v>
      </c>
      <c r="I1209" s="59" t="n">
        <v>1</v>
      </c>
      <c r="J1209" s="60" t="n">
        <v>89</v>
      </c>
      <c r="K1209" s="60" t="n">
        <v>41</v>
      </c>
      <c r="L1209" s="61" t="n">
        <f aca="false">I1209*J1209</f>
        <v>89</v>
      </c>
      <c r="M1209" s="61" t="n">
        <f aca="false">L1209-I1209*K1209</f>
        <v>48</v>
      </c>
      <c r="N1209" s="57" t="n">
        <f aca="false">IF(COUNTIFS(E$2:E1209,E1209,C$2:C1209,C1209)=1,1,0)</f>
        <v>0</v>
      </c>
      <c r="O1209" s="57" t="n">
        <f aca="false">IF(COUNTIFS(E$2:E1209,E1209,C$2:C1209,C1209,D$2:D1209,D1209)=1,1,0)</f>
        <v>1</v>
      </c>
      <c r="P1209" s="57" t="n">
        <f aca="false">IF(AND(C1209=Calc!$C$3,OR(Calc!$C$4=0,D1209=Calc!$C$4)),ROW(),0)</f>
        <v>0</v>
      </c>
    </row>
    <row r="1210" customFormat="false" ht="15" hidden="false" customHeight="false" outlineLevel="0" collapsed="false">
      <c r="A1210" s="57" t="s">
        <v>1702</v>
      </c>
      <c r="B1210" s="58" t="n">
        <v>45634</v>
      </c>
      <c r="C1210" s="57" t="n">
        <f aca="false">YEAR(B1210)</f>
        <v>2024</v>
      </c>
      <c r="D1210" s="57" t="n">
        <f aca="false">MONTH(B1210)</f>
        <v>12</v>
      </c>
      <c r="E1210" s="57" t="s">
        <v>1703</v>
      </c>
      <c r="F1210" s="57" t="s">
        <v>72</v>
      </c>
      <c r="G1210" s="57" t="s">
        <v>45</v>
      </c>
      <c r="H1210" s="57" t="s">
        <v>46</v>
      </c>
      <c r="I1210" s="59" t="n">
        <v>1</v>
      </c>
      <c r="J1210" s="60" t="n">
        <v>149</v>
      </c>
      <c r="K1210" s="60" t="n">
        <v>71</v>
      </c>
      <c r="L1210" s="61" t="n">
        <f aca="false">I1210*J1210</f>
        <v>149</v>
      </c>
      <c r="M1210" s="61" t="n">
        <f aca="false">L1210-I1210*K1210</f>
        <v>78</v>
      </c>
      <c r="N1210" s="57" t="n">
        <f aca="false">IF(COUNTIFS(E$2:E1210,E1210,C$2:C1210,C1210)=1,1,0)</f>
        <v>1</v>
      </c>
      <c r="O1210" s="57" t="n">
        <f aca="false">IF(COUNTIFS(E$2:E1210,E1210,C$2:C1210,C1210,D$2:D1210,D1210)=1,1,0)</f>
        <v>1</v>
      </c>
      <c r="P1210" s="57" t="n">
        <f aca="false">IF(AND(C1210=Calc!$C$3,OR(Calc!$C$4=0,D1210=Calc!$C$4)),ROW(),0)</f>
        <v>0</v>
      </c>
    </row>
    <row r="1211" customFormat="false" ht="15" hidden="false" customHeight="false" outlineLevel="0" collapsed="false">
      <c r="A1211" s="57" t="s">
        <v>1704</v>
      </c>
      <c r="B1211" s="58" t="n">
        <v>45634</v>
      </c>
      <c r="C1211" s="57" t="n">
        <f aca="false">YEAR(B1211)</f>
        <v>2024</v>
      </c>
      <c r="D1211" s="57" t="n">
        <f aca="false">MONTH(B1211)</f>
        <v>12</v>
      </c>
      <c r="E1211" s="57" t="s">
        <v>156</v>
      </c>
      <c r="F1211" s="57" t="s">
        <v>75</v>
      </c>
      <c r="G1211" s="57" t="s">
        <v>50</v>
      </c>
      <c r="H1211" s="57" t="s">
        <v>49</v>
      </c>
      <c r="I1211" s="59" t="n">
        <v>1</v>
      </c>
      <c r="J1211" s="60" t="n">
        <v>32</v>
      </c>
      <c r="K1211" s="60" t="n">
        <v>7</v>
      </c>
      <c r="L1211" s="61" t="n">
        <f aca="false">I1211*J1211</f>
        <v>32</v>
      </c>
      <c r="M1211" s="61" t="n">
        <f aca="false">L1211-I1211*K1211</f>
        <v>25</v>
      </c>
      <c r="N1211" s="57" t="n">
        <f aca="false">IF(COUNTIFS(E$2:E1211,E1211,C$2:C1211,C1211)=1,1,0)</f>
        <v>0</v>
      </c>
      <c r="O1211" s="57" t="n">
        <f aca="false">IF(COUNTIFS(E$2:E1211,E1211,C$2:C1211,C1211,D$2:D1211,D1211)=1,1,0)</f>
        <v>1</v>
      </c>
      <c r="P1211" s="57" t="n">
        <f aca="false">IF(AND(C1211=Calc!$C$3,OR(Calc!$C$4=0,D1211=Calc!$C$4)),ROW(),0)</f>
        <v>0</v>
      </c>
    </row>
    <row r="1212" customFormat="false" ht="15" hidden="false" customHeight="false" outlineLevel="0" collapsed="false">
      <c r="A1212" s="57" t="s">
        <v>1705</v>
      </c>
      <c r="B1212" s="58" t="n">
        <v>45634</v>
      </c>
      <c r="C1212" s="57" t="n">
        <f aca="false">YEAR(B1212)</f>
        <v>2024</v>
      </c>
      <c r="D1212" s="57" t="n">
        <f aca="false">MONTH(B1212)</f>
        <v>12</v>
      </c>
      <c r="E1212" s="57" t="s">
        <v>440</v>
      </c>
      <c r="F1212" s="57" t="s">
        <v>78</v>
      </c>
      <c r="G1212" s="57" t="s">
        <v>45</v>
      </c>
      <c r="H1212" s="57" t="s">
        <v>48</v>
      </c>
      <c r="I1212" s="59" t="n">
        <v>1</v>
      </c>
      <c r="J1212" s="60" t="n">
        <v>99</v>
      </c>
      <c r="K1212" s="60" t="n">
        <v>38</v>
      </c>
      <c r="L1212" s="61" t="n">
        <f aca="false">I1212*J1212</f>
        <v>99</v>
      </c>
      <c r="M1212" s="61" t="n">
        <f aca="false">L1212-I1212*K1212</f>
        <v>61</v>
      </c>
      <c r="N1212" s="57" t="n">
        <f aca="false">IF(COUNTIFS(E$2:E1212,E1212,C$2:C1212,C1212)=1,1,0)</f>
        <v>0</v>
      </c>
      <c r="O1212" s="57" t="n">
        <f aca="false">IF(COUNTIFS(E$2:E1212,E1212,C$2:C1212,C1212,D$2:D1212,D1212)=1,1,0)</f>
        <v>0</v>
      </c>
      <c r="P1212" s="57" t="n">
        <f aca="false">IF(AND(C1212=Calc!$C$3,OR(Calc!$C$4=0,D1212=Calc!$C$4)),ROW(),0)</f>
        <v>0</v>
      </c>
    </row>
    <row r="1213" customFormat="false" ht="15" hidden="false" customHeight="false" outlineLevel="0" collapsed="false">
      <c r="A1213" s="57" t="s">
        <v>1706</v>
      </c>
      <c r="B1213" s="58" t="n">
        <v>45634</v>
      </c>
      <c r="C1213" s="57" t="n">
        <f aca="false">YEAR(B1213)</f>
        <v>2024</v>
      </c>
      <c r="D1213" s="57" t="n">
        <f aca="false">MONTH(B1213)</f>
        <v>12</v>
      </c>
      <c r="E1213" s="57" t="s">
        <v>479</v>
      </c>
      <c r="F1213" s="57" t="s">
        <v>72</v>
      </c>
      <c r="G1213" s="57" t="s">
        <v>35</v>
      </c>
      <c r="H1213" s="57" t="s">
        <v>38</v>
      </c>
      <c r="I1213" s="59" t="n">
        <v>1</v>
      </c>
      <c r="J1213" s="60" t="n">
        <v>49</v>
      </c>
      <c r="K1213" s="60" t="n">
        <v>22</v>
      </c>
      <c r="L1213" s="61" t="n">
        <f aca="false">I1213*J1213</f>
        <v>49</v>
      </c>
      <c r="M1213" s="61" t="n">
        <f aca="false">L1213-I1213*K1213</f>
        <v>27</v>
      </c>
      <c r="N1213" s="57" t="n">
        <f aca="false">IF(COUNTIFS(E$2:E1213,E1213,C$2:C1213,C1213)=1,1,0)</f>
        <v>0</v>
      </c>
      <c r="O1213" s="57" t="n">
        <f aca="false">IF(COUNTIFS(E$2:E1213,E1213,C$2:C1213,C1213,D$2:D1213,D1213)=1,1,0)</f>
        <v>0</v>
      </c>
      <c r="P1213" s="57" t="n">
        <f aca="false">IF(AND(C1213=Calc!$C$3,OR(Calc!$C$4=0,D1213=Calc!$C$4)),ROW(),0)</f>
        <v>0</v>
      </c>
    </row>
    <row r="1214" customFormat="false" ht="15" hidden="false" customHeight="false" outlineLevel="0" collapsed="false">
      <c r="A1214" s="57" t="s">
        <v>1707</v>
      </c>
      <c r="B1214" s="58" t="n">
        <v>45634</v>
      </c>
      <c r="C1214" s="57" t="n">
        <f aca="false">YEAR(B1214)</f>
        <v>2024</v>
      </c>
      <c r="D1214" s="57" t="n">
        <f aca="false">MONTH(B1214)</f>
        <v>12</v>
      </c>
      <c r="E1214" s="57" t="s">
        <v>428</v>
      </c>
      <c r="F1214" s="57" t="s">
        <v>78</v>
      </c>
      <c r="G1214" s="57" t="s">
        <v>35</v>
      </c>
      <c r="H1214" s="57" t="s">
        <v>34</v>
      </c>
      <c r="I1214" s="59" t="n">
        <v>1</v>
      </c>
      <c r="J1214" s="60" t="n">
        <v>89</v>
      </c>
      <c r="K1214" s="60" t="n">
        <v>41</v>
      </c>
      <c r="L1214" s="61" t="n">
        <f aca="false">I1214*J1214</f>
        <v>89</v>
      </c>
      <c r="M1214" s="61" t="n">
        <f aca="false">L1214-I1214*K1214</f>
        <v>48</v>
      </c>
      <c r="N1214" s="57" t="n">
        <f aca="false">IF(COUNTIFS(E$2:E1214,E1214,C$2:C1214,C1214)=1,1,0)</f>
        <v>0</v>
      </c>
      <c r="O1214" s="57" t="n">
        <f aca="false">IF(COUNTIFS(E$2:E1214,E1214,C$2:C1214,C1214,D$2:D1214,D1214)=1,1,0)</f>
        <v>1</v>
      </c>
      <c r="P1214" s="57" t="n">
        <f aca="false">IF(AND(C1214=Calc!$C$3,OR(Calc!$C$4=0,D1214=Calc!$C$4)),ROW(),0)</f>
        <v>0</v>
      </c>
    </row>
    <row r="1215" customFormat="false" ht="15" hidden="false" customHeight="false" outlineLevel="0" collapsed="false">
      <c r="A1215" s="57" t="s">
        <v>1708</v>
      </c>
      <c r="B1215" s="58" t="n">
        <v>45634</v>
      </c>
      <c r="C1215" s="57" t="n">
        <f aca="false">YEAR(B1215)</f>
        <v>2024</v>
      </c>
      <c r="D1215" s="57" t="n">
        <f aca="false">MONTH(B1215)</f>
        <v>12</v>
      </c>
      <c r="E1215" s="57" t="s">
        <v>208</v>
      </c>
      <c r="F1215" s="57" t="s">
        <v>81</v>
      </c>
      <c r="G1215" s="57" t="s">
        <v>50</v>
      </c>
      <c r="H1215" s="57" t="s">
        <v>51</v>
      </c>
      <c r="I1215" s="59" t="n">
        <v>1</v>
      </c>
      <c r="J1215" s="60" t="n">
        <v>69</v>
      </c>
      <c r="K1215" s="60" t="n">
        <v>29</v>
      </c>
      <c r="L1215" s="61" t="n">
        <f aca="false">I1215*J1215</f>
        <v>69</v>
      </c>
      <c r="M1215" s="61" t="n">
        <f aca="false">L1215-I1215*K1215</f>
        <v>40</v>
      </c>
      <c r="N1215" s="57" t="n">
        <f aca="false">IF(COUNTIFS(E$2:E1215,E1215,C$2:C1215,C1215)=1,1,0)</f>
        <v>0</v>
      </c>
      <c r="O1215" s="57" t="n">
        <f aca="false">IF(COUNTIFS(E$2:E1215,E1215,C$2:C1215,C1215,D$2:D1215,D1215)=1,1,0)</f>
        <v>1</v>
      </c>
      <c r="P1215" s="57" t="n">
        <f aca="false">IF(AND(C1215=Calc!$C$3,OR(Calc!$C$4=0,D1215=Calc!$C$4)),ROW(),0)</f>
        <v>0</v>
      </c>
    </row>
    <row r="1216" customFormat="false" ht="15" hidden="false" customHeight="false" outlineLevel="0" collapsed="false">
      <c r="A1216" s="57" t="s">
        <v>1709</v>
      </c>
      <c r="B1216" s="58" t="n">
        <v>45635</v>
      </c>
      <c r="C1216" s="57" t="n">
        <f aca="false">YEAR(B1216)</f>
        <v>2024</v>
      </c>
      <c r="D1216" s="57" t="n">
        <f aca="false">MONTH(B1216)</f>
        <v>12</v>
      </c>
      <c r="E1216" s="57" t="s">
        <v>725</v>
      </c>
      <c r="F1216" s="57" t="s">
        <v>69</v>
      </c>
      <c r="G1216" s="57" t="s">
        <v>35</v>
      </c>
      <c r="H1216" s="57" t="s">
        <v>38</v>
      </c>
      <c r="I1216" s="59" t="n">
        <v>1</v>
      </c>
      <c r="J1216" s="60" t="n">
        <v>49</v>
      </c>
      <c r="K1216" s="60" t="n">
        <v>22</v>
      </c>
      <c r="L1216" s="61" t="n">
        <f aca="false">I1216*J1216</f>
        <v>49</v>
      </c>
      <c r="M1216" s="61" t="n">
        <f aca="false">L1216-I1216*K1216</f>
        <v>27</v>
      </c>
      <c r="N1216" s="57" t="n">
        <f aca="false">IF(COUNTIFS(E$2:E1216,E1216,C$2:C1216,C1216)=1,1,0)</f>
        <v>0</v>
      </c>
      <c r="O1216" s="57" t="n">
        <f aca="false">IF(COUNTIFS(E$2:E1216,E1216,C$2:C1216,C1216,D$2:D1216,D1216)=1,1,0)</f>
        <v>1</v>
      </c>
      <c r="P1216" s="57" t="n">
        <f aca="false">IF(AND(C1216=Calc!$C$3,OR(Calc!$C$4=0,D1216=Calc!$C$4)),ROW(),0)</f>
        <v>0</v>
      </c>
    </row>
    <row r="1217" customFormat="false" ht="15" hidden="false" customHeight="false" outlineLevel="0" collapsed="false">
      <c r="A1217" s="57" t="s">
        <v>1710</v>
      </c>
      <c r="B1217" s="58" t="n">
        <v>45635</v>
      </c>
      <c r="C1217" s="57" t="n">
        <f aca="false">YEAR(B1217)</f>
        <v>2024</v>
      </c>
      <c r="D1217" s="57" t="n">
        <f aca="false">MONTH(B1217)</f>
        <v>12</v>
      </c>
      <c r="E1217" s="57" t="s">
        <v>512</v>
      </c>
      <c r="F1217" s="57" t="s">
        <v>75</v>
      </c>
      <c r="G1217" s="57" t="s">
        <v>40</v>
      </c>
      <c r="H1217" s="57" t="s">
        <v>43</v>
      </c>
      <c r="I1217" s="59" t="n">
        <v>1</v>
      </c>
      <c r="J1217" s="60" t="n">
        <v>29</v>
      </c>
      <c r="K1217" s="60" t="n">
        <v>9</v>
      </c>
      <c r="L1217" s="61" t="n">
        <f aca="false">I1217*J1217</f>
        <v>29</v>
      </c>
      <c r="M1217" s="61" t="n">
        <f aca="false">L1217-I1217*K1217</f>
        <v>20</v>
      </c>
      <c r="N1217" s="57" t="n">
        <f aca="false">IF(COUNTIFS(E$2:E1217,E1217,C$2:C1217,C1217)=1,1,0)</f>
        <v>0</v>
      </c>
      <c r="O1217" s="57" t="n">
        <f aca="false">IF(COUNTIFS(E$2:E1217,E1217,C$2:C1217,C1217,D$2:D1217,D1217)=1,1,0)</f>
        <v>1</v>
      </c>
      <c r="P1217" s="57" t="n">
        <f aca="false">IF(AND(C1217=Calc!$C$3,OR(Calc!$C$4=0,D1217=Calc!$C$4)),ROW(),0)</f>
        <v>0</v>
      </c>
    </row>
    <row r="1218" customFormat="false" ht="15" hidden="false" customHeight="false" outlineLevel="0" collapsed="false">
      <c r="A1218" s="57" t="s">
        <v>1711</v>
      </c>
      <c r="B1218" s="58" t="n">
        <v>45635</v>
      </c>
      <c r="C1218" s="57" t="n">
        <f aca="false">YEAR(B1218)</f>
        <v>2024</v>
      </c>
      <c r="D1218" s="57" t="n">
        <f aca="false">MONTH(B1218)</f>
        <v>12</v>
      </c>
      <c r="E1218" s="57" t="s">
        <v>395</v>
      </c>
      <c r="F1218" s="57" t="s">
        <v>69</v>
      </c>
      <c r="G1218" s="57" t="s">
        <v>40</v>
      </c>
      <c r="H1218" s="57" t="s">
        <v>42</v>
      </c>
      <c r="I1218" s="59" t="n">
        <v>1</v>
      </c>
      <c r="J1218" s="60" t="n">
        <v>79</v>
      </c>
      <c r="K1218" s="60" t="n">
        <v>31</v>
      </c>
      <c r="L1218" s="61" t="n">
        <f aca="false">I1218*J1218</f>
        <v>79</v>
      </c>
      <c r="M1218" s="61" t="n">
        <f aca="false">L1218-I1218*K1218</f>
        <v>48</v>
      </c>
      <c r="N1218" s="57" t="n">
        <f aca="false">IF(COUNTIFS(E$2:E1218,E1218,C$2:C1218,C1218)=1,1,0)</f>
        <v>0</v>
      </c>
      <c r="O1218" s="57" t="n">
        <f aca="false">IF(COUNTIFS(E$2:E1218,E1218,C$2:C1218,C1218,D$2:D1218,D1218)=1,1,0)</f>
        <v>1</v>
      </c>
      <c r="P1218" s="57" t="n">
        <f aca="false">IF(AND(C1218=Calc!$C$3,OR(Calc!$C$4=0,D1218=Calc!$C$4)),ROW(),0)</f>
        <v>0</v>
      </c>
    </row>
    <row r="1219" customFormat="false" ht="15" hidden="false" customHeight="false" outlineLevel="0" collapsed="false">
      <c r="A1219" s="57" t="s">
        <v>1712</v>
      </c>
      <c r="B1219" s="58" t="n">
        <v>45635</v>
      </c>
      <c r="C1219" s="57" t="n">
        <f aca="false">YEAR(B1219)</f>
        <v>2024</v>
      </c>
      <c r="D1219" s="57" t="n">
        <f aca="false">MONTH(B1219)</f>
        <v>12</v>
      </c>
      <c r="E1219" s="57" t="s">
        <v>71</v>
      </c>
      <c r="F1219" s="57" t="s">
        <v>72</v>
      </c>
      <c r="G1219" s="57" t="s">
        <v>45</v>
      </c>
      <c r="H1219" s="57" t="s">
        <v>44</v>
      </c>
      <c r="I1219" s="59" t="n">
        <v>1</v>
      </c>
      <c r="J1219" s="60" t="n">
        <v>119</v>
      </c>
      <c r="K1219" s="60" t="n">
        <v>63</v>
      </c>
      <c r="L1219" s="61" t="n">
        <f aca="false">I1219*J1219</f>
        <v>119</v>
      </c>
      <c r="M1219" s="61" t="n">
        <f aca="false">L1219-I1219*K1219</f>
        <v>56</v>
      </c>
      <c r="N1219" s="57" t="n">
        <f aca="false">IF(COUNTIFS(E$2:E1219,E1219,C$2:C1219,C1219)=1,1,0)</f>
        <v>0</v>
      </c>
      <c r="O1219" s="57" t="n">
        <f aca="false">IF(COUNTIFS(E$2:E1219,E1219,C$2:C1219,C1219,D$2:D1219,D1219)=1,1,0)</f>
        <v>1</v>
      </c>
      <c r="P1219" s="57" t="n">
        <f aca="false">IF(AND(C1219=Calc!$C$3,OR(Calc!$C$4=0,D1219=Calc!$C$4)),ROW(),0)</f>
        <v>0</v>
      </c>
    </row>
    <row r="1220" customFormat="false" ht="15" hidden="false" customHeight="false" outlineLevel="0" collapsed="false">
      <c r="A1220" s="57" t="s">
        <v>1713</v>
      </c>
      <c r="B1220" s="58" t="n">
        <v>45635</v>
      </c>
      <c r="C1220" s="57" t="n">
        <f aca="false">YEAR(B1220)</f>
        <v>2024</v>
      </c>
      <c r="D1220" s="57" t="n">
        <f aca="false">MONTH(B1220)</f>
        <v>12</v>
      </c>
      <c r="E1220" s="57" t="s">
        <v>1714</v>
      </c>
      <c r="F1220" s="57" t="s">
        <v>75</v>
      </c>
      <c r="G1220" s="57" t="s">
        <v>35</v>
      </c>
      <c r="H1220" s="57" t="s">
        <v>37</v>
      </c>
      <c r="I1220" s="59" t="n">
        <v>1</v>
      </c>
      <c r="J1220" s="60" t="n">
        <v>59</v>
      </c>
      <c r="K1220" s="60" t="n">
        <v>27</v>
      </c>
      <c r="L1220" s="61" t="n">
        <f aca="false">I1220*J1220</f>
        <v>59</v>
      </c>
      <c r="M1220" s="61" t="n">
        <f aca="false">L1220-I1220*K1220</f>
        <v>32</v>
      </c>
      <c r="N1220" s="57" t="n">
        <f aca="false">IF(COUNTIFS(E$2:E1220,E1220,C$2:C1220,C1220)=1,1,0)</f>
        <v>1</v>
      </c>
      <c r="O1220" s="57" t="n">
        <f aca="false">IF(COUNTIFS(E$2:E1220,E1220,C$2:C1220,C1220,D$2:D1220,D1220)=1,1,0)</f>
        <v>1</v>
      </c>
      <c r="P1220" s="57" t="n">
        <f aca="false">IF(AND(C1220=Calc!$C$3,OR(Calc!$C$4=0,D1220=Calc!$C$4)),ROW(),0)</f>
        <v>0</v>
      </c>
    </row>
    <row r="1221" customFormat="false" ht="15" hidden="false" customHeight="false" outlineLevel="0" collapsed="false">
      <c r="A1221" s="57" t="s">
        <v>1715</v>
      </c>
      <c r="B1221" s="58" t="n">
        <v>45636</v>
      </c>
      <c r="C1221" s="57" t="n">
        <f aca="false">YEAR(B1221)</f>
        <v>2024</v>
      </c>
      <c r="D1221" s="57" t="n">
        <f aca="false">MONTH(B1221)</f>
        <v>12</v>
      </c>
      <c r="E1221" s="57" t="s">
        <v>1145</v>
      </c>
      <c r="F1221" s="57" t="s">
        <v>78</v>
      </c>
      <c r="G1221" s="57" t="s">
        <v>35</v>
      </c>
      <c r="H1221" s="57" t="s">
        <v>37</v>
      </c>
      <c r="I1221" s="59" t="n">
        <v>1</v>
      </c>
      <c r="J1221" s="60" t="n">
        <v>59</v>
      </c>
      <c r="K1221" s="60" t="n">
        <v>27</v>
      </c>
      <c r="L1221" s="61" t="n">
        <f aca="false">I1221*J1221</f>
        <v>59</v>
      </c>
      <c r="M1221" s="61" t="n">
        <f aca="false">L1221-I1221*K1221</f>
        <v>32</v>
      </c>
      <c r="N1221" s="57" t="n">
        <f aca="false">IF(COUNTIFS(E$2:E1221,E1221,C$2:C1221,C1221)=1,1,0)</f>
        <v>0</v>
      </c>
      <c r="O1221" s="57" t="n">
        <f aca="false">IF(COUNTIFS(E$2:E1221,E1221,C$2:C1221,C1221,D$2:D1221,D1221)=1,1,0)</f>
        <v>1</v>
      </c>
      <c r="P1221" s="57" t="n">
        <f aca="false">IF(AND(C1221=Calc!$C$3,OR(Calc!$C$4=0,D1221=Calc!$C$4)),ROW(),0)</f>
        <v>0</v>
      </c>
    </row>
    <row r="1222" customFormat="false" ht="15" hidden="false" customHeight="false" outlineLevel="0" collapsed="false">
      <c r="A1222" s="57" t="s">
        <v>1716</v>
      </c>
      <c r="B1222" s="58" t="n">
        <v>45636</v>
      </c>
      <c r="C1222" s="57" t="n">
        <f aca="false">YEAR(B1222)</f>
        <v>2024</v>
      </c>
      <c r="D1222" s="57" t="n">
        <f aca="false">MONTH(B1222)</f>
        <v>12</v>
      </c>
      <c r="E1222" s="57" t="s">
        <v>372</v>
      </c>
      <c r="F1222" s="57" t="s">
        <v>81</v>
      </c>
      <c r="G1222" s="57" t="s">
        <v>35</v>
      </c>
      <c r="H1222" s="57" t="s">
        <v>37</v>
      </c>
      <c r="I1222" s="59" t="n">
        <v>1</v>
      </c>
      <c r="J1222" s="60" t="n">
        <v>59</v>
      </c>
      <c r="K1222" s="60" t="n">
        <v>27</v>
      </c>
      <c r="L1222" s="61" t="n">
        <f aca="false">I1222*J1222</f>
        <v>59</v>
      </c>
      <c r="M1222" s="61" t="n">
        <f aca="false">L1222-I1222*K1222</f>
        <v>32</v>
      </c>
      <c r="N1222" s="57" t="n">
        <f aca="false">IF(COUNTIFS(E$2:E1222,E1222,C$2:C1222,C1222)=1,1,0)</f>
        <v>0</v>
      </c>
      <c r="O1222" s="57" t="n">
        <f aca="false">IF(COUNTIFS(E$2:E1222,E1222,C$2:C1222,C1222,D$2:D1222,D1222)=1,1,0)</f>
        <v>1</v>
      </c>
      <c r="P1222" s="57" t="n">
        <f aca="false">IF(AND(C1222=Calc!$C$3,OR(Calc!$C$4=0,D1222=Calc!$C$4)),ROW(),0)</f>
        <v>0</v>
      </c>
    </row>
    <row r="1223" customFormat="false" ht="15" hidden="false" customHeight="false" outlineLevel="0" collapsed="false">
      <c r="A1223" s="57" t="s">
        <v>1717</v>
      </c>
      <c r="B1223" s="58" t="n">
        <v>45636</v>
      </c>
      <c r="C1223" s="57" t="n">
        <f aca="false">YEAR(B1223)</f>
        <v>2024</v>
      </c>
      <c r="D1223" s="57" t="n">
        <f aca="false">MONTH(B1223)</f>
        <v>12</v>
      </c>
      <c r="E1223" s="57" t="s">
        <v>983</v>
      </c>
      <c r="F1223" s="57" t="s">
        <v>72</v>
      </c>
      <c r="G1223" s="57" t="s">
        <v>35</v>
      </c>
      <c r="H1223" s="57" t="s">
        <v>34</v>
      </c>
      <c r="I1223" s="59" t="n">
        <v>1</v>
      </c>
      <c r="J1223" s="60" t="n">
        <v>89</v>
      </c>
      <c r="K1223" s="60" t="n">
        <v>41</v>
      </c>
      <c r="L1223" s="61" t="n">
        <f aca="false">I1223*J1223</f>
        <v>89</v>
      </c>
      <c r="M1223" s="61" t="n">
        <f aca="false">L1223-I1223*K1223</f>
        <v>48</v>
      </c>
      <c r="N1223" s="57" t="n">
        <f aca="false">IF(COUNTIFS(E$2:E1223,E1223,C$2:C1223,C1223)=1,1,0)</f>
        <v>0</v>
      </c>
      <c r="O1223" s="57" t="n">
        <f aca="false">IF(COUNTIFS(E$2:E1223,E1223,C$2:C1223,C1223,D$2:D1223,D1223)=1,1,0)</f>
        <v>1</v>
      </c>
      <c r="P1223" s="57" t="n">
        <f aca="false">IF(AND(C1223=Calc!$C$3,OR(Calc!$C$4=0,D1223=Calc!$C$4)),ROW(),0)</f>
        <v>0</v>
      </c>
    </row>
    <row r="1224" customFormat="false" ht="15" hidden="false" customHeight="false" outlineLevel="0" collapsed="false">
      <c r="A1224" s="57" t="s">
        <v>1718</v>
      </c>
      <c r="B1224" s="58" t="n">
        <v>45636</v>
      </c>
      <c r="C1224" s="57" t="n">
        <f aca="false">YEAR(B1224)</f>
        <v>2024</v>
      </c>
      <c r="D1224" s="57" t="n">
        <f aca="false">MONTH(B1224)</f>
        <v>12</v>
      </c>
      <c r="E1224" s="57" t="s">
        <v>960</v>
      </c>
      <c r="F1224" s="57" t="s">
        <v>75</v>
      </c>
      <c r="G1224" s="57" t="s">
        <v>50</v>
      </c>
      <c r="H1224" s="57" t="s">
        <v>52</v>
      </c>
      <c r="I1224" s="59" t="n">
        <v>1</v>
      </c>
      <c r="J1224" s="60" t="n">
        <v>45</v>
      </c>
      <c r="K1224" s="60" t="n">
        <v>14</v>
      </c>
      <c r="L1224" s="61" t="n">
        <f aca="false">I1224*J1224</f>
        <v>45</v>
      </c>
      <c r="M1224" s="61" t="n">
        <f aca="false">L1224-I1224*K1224</f>
        <v>31</v>
      </c>
      <c r="N1224" s="57" t="n">
        <f aca="false">IF(COUNTIFS(E$2:E1224,E1224,C$2:C1224,C1224)=1,1,0)</f>
        <v>0</v>
      </c>
      <c r="O1224" s="57" t="n">
        <f aca="false">IF(COUNTIFS(E$2:E1224,E1224,C$2:C1224,C1224,D$2:D1224,D1224)=1,1,0)</f>
        <v>1</v>
      </c>
      <c r="P1224" s="57" t="n">
        <f aca="false">IF(AND(C1224=Calc!$C$3,OR(Calc!$C$4=0,D1224=Calc!$C$4)),ROW(),0)</f>
        <v>0</v>
      </c>
    </row>
    <row r="1225" customFormat="false" ht="15" hidden="false" customHeight="false" outlineLevel="0" collapsed="false">
      <c r="A1225" s="57" t="s">
        <v>1719</v>
      </c>
      <c r="B1225" s="58" t="n">
        <v>45636</v>
      </c>
      <c r="C1225" s="57" t="n">
        <f aca="false">YEAR(B1225)</f>
        <v>2024</v>
      </c>
      <c r="D1225" s="57" t="n">
        <f aca="false">MONTH(B1225)</f>
        <v>12</v>
      </c>
      <c r="E1225" s="57" t="s">
        <v>361</v>
      </c>
      <c r="F1225" s="57" t="s">
        <v>69</v>
      </c>
      <c r="G1225" s="57" t="s">
        <v>35</v>
      </c>
      <c r="H1225" s="57" t="s">
        <v>38</v>
      </c>
      <c r="I1225" s="59" t="n">
        <v>2</v>
      </c>
      <c r="J1225" s="60" t="n">
        <v>49</v>
      </c>
      <c r="K1225" s="60" t="n">
        <v>22</v>
      </c>
      <c r="L1225" s="61" t="n">
        <f aca="false">I1225*J1225</f>
        <v>98</v>
      </c>
      <c r="M1225" s="61" t="n">
        <f aca="false">L1225-I1225*K1225</f>
        <v>54</v>
      </c>
      <c r="N1225" s="57" t="n">
        <f aca="false">IF(COUNTIFS(E$2:E1225,E1225,C$2:C1225,C1225)=1,1,0)</f>
        <v>0</v>
      </c>
      <c r="O1225" s="57" t="n">
        <f aca="false">IF(COUNTIFS(E$2:E1225,E1225,C$2:C1225,C1225,D$2:D1225,D1225)=1,1,0)</f>
        <v>1</v>
      </c>
      <c r="P1225" s="57" t="n">
        <f aca="false">IF(AND(C1225=Calc!$C$3,OR(Calc!$C$4=0,D1225=Calc!$C$4)),ROW(),0)</f>
        <v>0</v>
      </c>
    </row>
    <row r="1226" customFormat="false" ht="15" hidden="false" customHeight="false" outlineLevel="0" collapsed="false">
      <c r="A1226" s="57" t="s">
        <v>1720</v>
      </c>
      <c r="B1226" s="58" t="n">
        <v>45636</v>
      </c>
      <c r="C1226" s="57" t="n">
        <f aca="false">YEAR(B1226)</f>
        <v>2024</v>
      </c>
      <c r="D1226" s="57" t="n">
        <f aca="false">MONTH(B1226)</f>
        <v>12</v>
      </c>
      <c r="E1226" s="57" t="s">
        <v>144</v>
      </c>
      <c r="F1226" s="57" t="s">
        <v>78</v>
      </c>
      <c r="G1226" s="57" t="s">
        <v>45</v>
      </c>
      <c r="H1226" s="57" t="s">
        <v>46</v>
      </c>
      <c r="I1226" s="59" t="n">
        <v>2</v>
      </c>
      <c r="J1226" s="60" t="n">
        <v>149</v>
      </c>
      <c r="K1226" s="60" t="n">
        <v>71</v>
      </c>
      <c r="L1226" s="61" t="n">
        <f aca="false">I1226*J1226</f>
        <v>298</v>
      </c>
      <c r="M1226" s="61" t="n">
        <f aca="false">L1226-I1226*K1226</f>
        <v>156</v>
      </c>
      <c r="N1226" s="57" t="n">
        <f aca="false">IF(COUNTIFS(E$2:E1226,E1226,C$2:C1226,C1226)=1,1,0)</f>
        <v>0</v>
      </c>
      <c r="O1226" s="57" t="n">
        <f aca="false">IF(COUNTIFS(E$2:E1226,E1226,C$2:C1226,C1226,D$2:D1226,D1226)=1,1,0)</f>
        <v>1</v>
      </c>
      <c r="P1226" s="57" t="n">
        <f aca="false">IF(AND(C1226=Calc!$C$3,OR(Calc!$C$4=0,D1226=Calc!$C$4)),ROW(),0)</f>
        <v>0</v>
      </c>
    </row>
    <row r="1227" customFormat="false" ht="15" hidden="false" customHeight="false" outlineLevel="0" collapsed="false">
      <c r="A1227" s="57" t="s">
        <v>1721</v>
      </c>
      <c r="B1227" s="58" t="n">
        <v>45637</v>
      </c>
      <c r="C1227" s="57" t="n">
        <f aca="false">YEAR(B1227)</f>
        <v>2024</v>
      </c>
      <c r="D1227" s="57" t="n">
        <f aca="false">MONTH(B1227)</f>
        <v>12</v>
      </c>
      <c r="E1227" s="57" t="s">
        <v>1014</v>
      </c>
      <c r="F1227" s="57" t="s">
        <v>69</v>
      </c>
      <c r="G1227" s="57" t="s">
        <v>50</v>
      </c>
      <c r="H1227" s="57" t="s">
        <v>51</v>
      </c>
      <c r="I1227" s="59" t="n">
        <v>2</v>
      </c>
      <c r="J1227" s="60" t="n">
        <v>69</v>
      </c>
      <c r="K1227" s="60" t="n">
        <v>29</v>
      </c>
      <c r="L1227" s="61" t="n">
        <f aca="false">I1227*J1227</f>
        <v>138</v>
      </c>
      <c r="M1227" s="61" t="n">
        <f aca="false">L1227-I1227*K1227</f>
        <v>80</v>
      </c>
      <c r="N1227" s="57" t="n">
        <f aca="false">IF(COUNTIFS(E$2:E1227,E1227,C$2:C1227,C1227)=1,1,0)</f>
        <v>0</v>
      </c>
      <c r="O1227" s="57" t="n">
        <f aca="false">IF(COUNTIFS(E$2:E1227,E1227,C$2:C1227,C1227,D$2:D1227,D1227)=1,1,0)</f>
        <v>1</v>
      </c>
      <c r="P1227" s="57" t="n">
        <f aca="false">IF(AND(C1227=Calc!$C$3,OR(Calc!$C$4=0,D1227=Calc!$C$4)),ROW(),0)</f>
        <v>0</v>
      </c>
    </row>
    <row r="1228" customFormat="false" ht="15" hidden="false" customHeight="false" outlineLevel="0" collapsed="false">
      <c r="A1228" s="57" t="s">
        <v>1722</v>
      </c>
      <c r="B1228" s="58" t="n">
        <v>45637</v>
      </c>
      <c r="C1228" s="57" t="n">
        <f aca="false">YEAR(B1228)</f>
        <v>2024</v>
      </c>
      <c r="D1228" s="57" t="n">
        <f aca="false">MONTH(B1228)</f>
        <v>12</v>
      </c>
      <c r="E1228" s="57" t="s">
        <v>208</v>
      </c>
      <c r="F1228" s="57" t="s">
        <v>81</v>
      </c>
      <c r="G1228" s="57" t="s">
        <v>40</v>
      </c>
      <c r="H1228" s="57" t="s">
        <v>41</v>
      </c>
      <c r="I1228" s="59" t="n">
        <v>3</v>
      </c>
      <c r="J1228" s="60" t="n">
        <v>46</v>
      </c>
      <c r="K1228" s="60" t="n">
        <v>16</v>
      </c>
      <c r="L1228" s="61" t="n">
        <f aca="false">I1228*J1228</f>
        <v>138</v>
      </c>
      <c r="M1228" s="61" t="n">
        <f aca="false">L1228-I1228*K1228</f>
        <v>90</v>
      </c>
      <c r="N1228" s="57" t="n">
        <f aca="false">IF(COUNTIFS(E$2:E1228,E1228,C$2:C1228,C1228)=1,1,0)</f>
        <v>0</v>
      </c>
      <c r="O1228" s="57" t="n">
        <f aca="false">IF(COUNTIFS(E$2:E1228,E1228,C$2:C1228,C1228,D$2:D1228,D1228)=1,1,0)</f>
        <v>0</v>
      </c>
      <c r="P1228" s="57" t="n">
        <f aca="false">IF(AND(C1228=Calc!$C$3,OR(Calc!$C$4=0,D1228=Calc!$C$4)),ROW(),0)</f>
        <v>0</v>
      </c>
    </row>
    <row r="1229" customFormat="false" ht="15" hidden="false" customHeight="false" outlineLevel="0" collapsed="false">
      <c r="A1229" s="57" t="s">
        <v>1723</v>
      </c>
      <c r="B1229" s="58" t="n">
        <v>45637</v>
      </c>
      <c r="C1229" s="57" t="n">
        <f aca="false">YEAR(B1229)</f>
        <v>2024</v>
      </c>
      <c r="D1229" s="57" t="n">
        <f aca="false">MONTH(B1229)</f>
        <v>12</v>
      </c>
      <c r="E1229" s="57" t="s">
        <v>263</v>
      </c>
      <c r="F1229" s="57" t="s">
        <v>69</v>
      </c>
      <c r="G1229" s="57" t="s">
        <v>54</v>
      </c>
      <c r="H1229" s="57" t="s">
        <v>53</v>
      </c>
      <c r="I1229" s="59" t="n">
        <v>1</v>
      </c>
      <c r="J1229" s="60" t="n">
        <v>39</v>
      </c>
      <c r="K1229" s="60" t="n">
        <v>13</v>
      </c>
      <c r="L1229" s="61" t="n">
        <f aca="false">I1229*J1229</f>
        <v>39</v>
      </c>
      <c r="M1229" s="61" t="n">
        <f aca="false">L1229-I1229*K1229</f>
        <v>26</v>
      </c>
      <c r="N1229" s="57" t="n">
        <f aca="false">IF(COUNTIFS(E$2:E1229,E1229,C$2:C1229,C1229)=1,1,0)</f>
        <v>0</v>
      </c>
      <c r="O1229" s="57" t="n">
        <f aca="false">IF(COUNTIFS(E$2:E1229,E1229,C$2:C1229,C1229,D$2:D1229,D1229)=1,1,0)</f>
        <v>1</v>
      </c>
      <c r="P1229" s="57" t="n">
        <f aca="false">IF(AND(C1229=Calc!$C$3,OR(Calc!$C$4=0,D1229=Calc!$C$4)),ROW(),0)</f>
        <v>0</v>
      </c>
    </row>
    <row r="1230" customFormat="false" ht="15" hidden="false" customHeight="false" outlineLevel="0" collapsed="false">
      <c r="A1230" s="57" t="s">
        <v>1724</v>
      </c>
      <c r="B1230" s="58" t="n">
        <v>45637</v>
      </c>
      <c r="C1230" s="57" t="n">
        <f aca="false">YEAR(B1230)</f>
        <v>2024</v>
      </c>
      <c r="D1230" s="57" t="n">
        <f aca="false">MONTH(B1230)</f>
        <v>12</v>
      </c>
      <c r="E1230" s="57" t="s">
        <v>508</v>
      </c>
      <c r="F1230" s="57" t="s">
        <v>81</v>
      </c>
      <c r="G1230" s="57" t="s">
        <v>35</v>
      </c>
      <c r="H1230" s="57" t="s">
        <v>34</v>
      </c>
      <c r="I1230" s="59" t="n">
        <v>1</v>
      </c>
      <c r="J1230" s="60" t="n">
        <v>89</v>
      </c>
      <c r="K1230" s="60" t="n">
        <v>41</v>
      </c>
      <c r="L1230" s="61" t="n">
        <f aca="false">I1230*J1230</f>
        <v>89</v>
      </c>
      <c r="M1230" s="61" t="n">
        <f aca="false">L1230-I1230*K1230</f>
        <v>48</v>
      </c>
      <c r="N1230" s="57" t="n">
        <f aca="false">IF(COUNTIFS(E$2:E1230,E1230,C$2:C1230,C1230)=1,1,0)</f>
        <v>0</v>
      </c>
      <c r="O1230" s="57" t="n">
        <f aca="false">IF(COUNTIFS(E$2:E1230,E1230,C$2:C1230,C1230,D$2:D1230,D1230)=1,1,0)</f>
        <v>0</v>
      </c>
      <c r="P1230" s="57" t="n">
        <f aca="false">IF(AND(C1230=Calc!$C$3,OR(Calc!$C$4=0,D1230=Calc!$C$4)),ROW(),0)</f>
        <v>0</v>
      </c>
    </row>
    <row r="1231" customFormat="false" ht="15" hidden="false" customHeight="false" outlineLevel="0" collapsed="false">
      <c r="A1231" s="57" t="s">
        <v>1725</v>
      </c>
      <c r="B1231" s="58" t="n">
        <v>45637</v>
      </c>
      <c r="C1231" s="57" t="n">
        <f aca="false">YEAR(B1231)</f>
        <v>2024</v>
      </c>
      <c r="D1231" s="57" t="n">
        <f aca="false">MONTH(B1231)</f>
        <v>12</v>
      </c>
      <c r="E1231" s="57" t="s">
        <v>323</v>
      </c>
      <c r="F1231" s="57" t="s">
        <v>75</v>
      </c>
      <c r="G1231" s="57" t="s">
        <v>40</v>
      </c>
      <c r="H1231" s="57" t="s">
        <v>43</v>
      </c>
      <c r="I1231" s="59" t="n">
        <v>1</v>
      </c>
      <c r="J1231" s="60" t="n">
        <v>29</v>
      </c>
      <c r="K1231" s="60" t="n">
        <v>9</v>
      </c>
      <c r="L1231" s="61" t="n">
        <f aca="false">I1231*J1231</f>
        <v>29</v>
      </c>
      <c r="M1231" s="61" t="n">
        <f aca="false">L1231-I1231*K1231</f>
        <v>20</v>
      </c>
      <c r="N1231" s="57" t="n">
        <f aca="false">IF(COUNTIFS(E$2:E1231,E1231,C$2:C1231,C1231)=1,1,0)</f>
        <v>0</v>
      </c>
      <c r="O1231" s="57" t="n">
        <f aca="false">IF(COUNTIFS(E$2:E1231,E1231,C$2:C1231,C1231,D$2:D1231,D1231)=1,1,0)</f>
        <v>1</v>
      </c>
      <c r="P1231" s="57" t="n">
        <f aca="false">IF(AND(C1231=Calc!$C$3,OR(Calc!$C$4=0,D1231=Calc!$C$4)),ROW(),0)</f>
        <v>0</v>
      </c>
    </row>
    <row r="1232" customFormat="false" ht="15" hidden="false" customHeight="false" outlineLevel="0" collapsed="false">
      <c r="A1232" s="57" t="s">
        <v>1726</v>
      </c>
      <c r="B1232" s="58" t="n">
        <v>45637</v>
      </c>
      <c r="C1232" s="57" t="n">
        <f aca="false">YEAR(B1232)</f>
        <v>2024</v>
      </c>
      <c r="D1232" s="57" t="n">
        <f aca="false">MONTH(B1232)</f>
        <v>12</v>
      </c>
      <c r="E1232" s="57" t="s">
        <v>743</v>
      </c>
      <c r="F1232" s="57" t="s">
        <v>69</v>
      </c>
      <c r="G1232" s="57" t="s">
        <v>40</v>
      </c>
      <c r="H1232" s="57" t="s">
        <v>41</v>
      </c>
      <c r="I1232" s="59" t="n">
        <v>1</v>
      </c>
      <c r="J1232" s="60" t="n">
        <v>46</v>
      </c>
      <c r="K1232" s="60" t="n">
        <v>16</v>
      </c>
      <c r="L1232" s="61" t="n">
        <f aca="false">I1232*J1232</f>
        <v>46</v>
      </c>
      <c r="M1232" s="61" t="n">
        <f aca="false">L1232-I1232*K1232</f>
        <v>30</v>
      </c>
      <c r="N1232" s="57" t="n">
        <f aca="false">IF(COUNTIFS(E$2:E1232,E1232,C$2:C1232,C1232)=1,1,0)</f>
        <v>0</v>
      </c>
      <c r="O1232" s="57" t="n">
        <f aca="false">IF(COUNTIFS(E$2:E1232,E1232,C$2:C1232,C1232,D$2:D1232,D1232)=1,1,0)</f>
        <v>1</v>
      </c>
      <c r="P1232" s="57" t="n">
        <f aca="false">IF(AND(C1232=Calc!$C$3,OR(Calc!$C$4=0,D1232=Calc!$C$4)),ROW(),0)</f>
        <v>0</v>
      </c>
    </row>
    <row r="1233" customFormat="false" ht="15" hidden="false" customHeight="false" outlineLevel="0" collapsed="false">
      <c r="A1233" s="57" t="s">
        <v>1727</v>
      </c>
      <c r="B1233" s="58" t="n">
        <v>45638</v>
      </c>
      <c r="C1233" s="57" t="n">
        <f aca="false">YEAR(B1233)</f>
        <v>2024</v>
      </c>
      <c r="D1233" s="57" t="n">
        <f aca="false">MONTH(B1233)</f>
        <v>12</v>
      </c>
      <c r="E1233" s="57" t="s">
        <v>1728</v>
      </c>
      <c r="F1233" s="57" t="s">
        <v>75</v>
      </c>
      <c r="G1233" s="57" t="s">
        <v>35</v>
      </c>
      <c r="H1233" s="57" t="s">
        <v>34</v>
      </c>
      <c r="I1233" s="59" t="n">
        <v>1</v>
      </c>
      <c r="J1233" s="60" t="n">
        <v>89</v>
      </c>
      <c r="K1233" s="60" t="n">
        <v>41</v>
      </c>
      <c r="L1233" s="61" t="n">
        <f aca="false">I1233*J1233</f>
        <v>89</v>
      </c>
      <c r="M1233" s="61" t="n">
        <f aca="false">L1233-I1233*K1233</f>
        <v>48</v>
      </c>
      <c r="N1233" s="57" t="n">
        <f aca="false">IF(COUNTIFS(E$2:E1233,E1233,C$2:C1233,C1233)=1,1,0)</f>
        <v>1</v>
      </c>
      <c r="O1233" s="57" t="n">
        <f aca="false">IF(COUNTIFS(E$2:E1233,E1233,C$2:C1233,C1233,D$2:D1233,D1233)=1,1,0)</f>
        <v>1</v>
      </c>
      <c r="P1233" s="57" t="n">
        <f aca="false">IF(AND(C1233=Calc!$C$3,OR(Calc!$C$4=0,D1233=Calc!$C$4)),ROW(),0)</f>
        <v>0</v>
      </c>
    </row>
    <row r="1234" customFormat="false" ht="15" hidden="false" customHeight="false" outlineLevel="0" collapsed="false">
      <c r="A1234" s="57" t="s">
        <v>1729</v>
      </c>
      <c r="B1234" s="58" t="n">
        <v>45638</v>
      </c>
      <c r="C1234" s="57" t="n">
        <f aca="false">YEAR(B1234)</f>
        <v>2024</v>
      </c>
      <c r="D1234" s="57" t="n">
        <f aca="false">MONTH(B1234)</f>
        <v>12</v>
      </c>
      <c r="E1234" s="57" t="s">
        <v>937</v>
      </c>
      <c r="F1234" s="57" t="s">
        <v>81</v>
      </c>
      <c r="G1234" s="57" t="s">
        <v>35</v>
      </c>
      <c r="H1234" s="57" t="s">
        <v>38</v>
      </c>
      <c r="I1234" s="59" t="n">
        <v>1</v>
      </c>
      <c r="J1234" s="60" t="n">
        <v>49</v>
      </c>
      <c r="K1234" s="60" t="n">
        <v>22</v>
      </c>
      <c r="L1234" s="61" t="n">
        <f aca="false">I1234*J1234</f>
        <v>49</v>
      </c>
      <c r="M1234" s="61" t="n">
        <f aca="false">L1234-I1234*K1234</f>
        <v>27</v>
      </c>
      <c r="N1234" s="57" t="n">
        <f aca="false">IF(COUNTIFS(E$2:E1234,E1234,C$2:C1234,C1234)=1,1,0)</f>
        <v>0</v>
      </c>
      <c r="O1234" s="57" t="n">
        <f aca="false">IF(COUNTIFS(E$2:E1234,E1234,C$2:C1234,C1234,D$2:D1234,D1234)=1,1,0)</f>
        <v>1</v>
      </c>
      <c r="P1234" s="57" t="n">
        <f aca="false">IF(AND(C1234=Calc!$C$3,OR(Calc!$C$4=0,D1234=Calc!$C$4)),ROW(),0)</f>
        <v>0</v>
      </c>
    </row>
    <row r="1235" customFormat="false" ht="15" hidden="false" customHeight="false" outlineLevel="0" collapsed="false">
      <c r="A1235" s="57" t="s">
        <v>1730</v>
      </c>
      <c r="B1235" s="58" t="n">
        <v>45638</v>
      </c>
      <c r="C1235" s="57" t="n">
        <f aca="false">YEAR(B1235)</f>
        <v>2024</v>
      </c>
      <c r="D1235" s="57" t="n">
        <f aca="false">MONTH(B1235)</f>
        <v>12</v>
      </c>
      <c r="E1235" s="57" t="s">
        <v>203</v>
      </c>
      <c r="F1235" s="57" t="s">
        <v>78</v>
      </c>
      <c r="G1235" s="57" t="s">
        <v>35</v>
      </c>
      <c r="H1235" s="57" t="s">
        <v>36</v>
      </c>
      <c r="I1235" s="59" t="n">
        <v>2</v>
      </c>
      <c r="J1235" s="60" t="n">
        <v>179</v>
      </c>
      <c r="K1235" s="60" t="n">
        <v>92</v>
      </c>
      <c r="L1235" s="61" t="n">
        <f aca="false">I1235*J1235</f>
        <v>358</v>
      </c>
      <c r="M1235" s="61" t="n">
        <f aca="false">L1235-I1235*K1235</f>
        <v>174</v>
      </c>
      <c r="N1235" s="57" t="n">
        <f aca="false">IF(COUNTIFS(E$2:E1235,E1235,C$2:C1235,C1235)=1,1,0)</f>
        <v>0</v>
      </c>
      <c r="O1235" s="57" t="n">
        <f aca="false">IF(COUNTIFS(E$2:E1235,E1235,C$2:C1235,C1235,D$2:D1235,D1235)=1,1,0)</f>
        <v>1</v>
      </c>
      <c r="P1235" s="57" t="n">
        <f aca="false">IF(AND(C1235=Calc!$C$3,OR(Calc!$C$4=0,D1235=Calc!$C$4)),ROW(),0)</f>
        <v>0</v>
      </c>
    </row>
    <row r="1236" customFormat="false" ht="15" hidden="false" customHeight="false" outlineLevel="0" collapsed="false">
      <c r="A1236" s="57" t="s">
        <v>1731</v>
      </c>
      <c r="B1236" s="58" t="n">
        <v>45638</v>
      </c>
      <c r="C1236" s="57" t="n">
        <f aca="false">YEAR(B1236)</f>
        <v>2024</v>
      </c>
      <c r="D1236" s="57" t="n">
        <f aca="false">MONTH(B1236)</f>
        <v>12</v>
      </c>
      <c r="E1236" s="57" t="s">
        <v>547</v>
      </c>
      <c r="F1236" s="57" t="s">
        <v>72</v>
      </c>
      <c r="G1236" s="57" t="s">
        <v>45</v>
      </c>
      <c r="H1236" s="57" t="s">
        <v>44</v>
      </c>
      <c r="I1236" s="59" t="n">
        <v>1</v>
      </c>
      <c r="J1236" s="60" t="n">
        <v>119</v>
      </c>
      <c r="K1236" s="60" t="n">
        <v>63</v>
      </c>
      <c r="L1236" s="61" t="n">
        <f aca="false">I1236*J1236</f>
        <v>119</v>
      </c>
      <c r="M1236" s="61" t="n">
        <f aca="false">L1236-I1236*K1236</f>
        <v>56</v>
      </c>
      <c r="N1236" s="57" t="n">
        <f aca="false">IF(COUNTIFS(E$2:E1236,E1236,C$2:C1236,C1236)=1,1,0)</f>
        <v>0</v>
      </c>
      <c r="O1236" s="57" t="n">
        <f aca="false">IF(COUNTIFS(E$2:E1236,E1236,C$2:C1236,C1236,D$2:D1236,D1236)=1,1,0)</f>
        <v>1</v>
      </c>
      <c r="P1236" s="57" t="n">
        <f aca="false">IF(AND(C1236=Calc!$C$3,OR(Calc!$C$4=0,D1236=Calc!$C$4)),ROW(),0)</f>
        <v>0</v>
      </c>
    </row>
    <row r="1237" customFormat="false" ht="15" hidden="false" customHeight="false" outlineLevel="0" collapsed="false">
      <c r="A1237" s="57" t="s">
        <v>1732</v>
      </c>
      <c r="B1237" s="58" t="n">
        <v>45638</v>
      </c>
      <c r="C1237" s="57" t="n">
        <f aca="false">YEAR(B1237)</f>
        <v>2024</v>
      </c>
      <c r="D1237" s="57" t="n">
        <f aca="false">MONTH(B1237)</f>
        <v>12</v>
      </c>
      <c r="E1237" s="57" t="s">
        <v>1733</v>
      </c>
      <c r="F1237" s="57" t="s">
        <v>75</v>
      </c>
      <c r="G1237" s="57" t="s">
        <v>40</v>
      </c>
      <c r="H1237" s="57" t="s">
        <v>43</v>
      </c>
      <c r="I1237" s="59" t="n">
        <v>2</v>
      </c>
      <c r="J1237" s="60" t="n">
        <v>29</v>
      </c>
      <c r="K1237" s="60" t="n">
        <v>9</v>
      </c>
      <c r="L1237" s="61" t="n">
        <f aca="false">I1237*J1237</f>
        <v>58</v>
      </c>
      <c r="M1237" s="61" t="n">
        <f aca="false">L1237-I1237*K1237</f>
        <v>40</v>
      </c>
      <c r="N1237" s="57" t="n">
        <f aca="false">IF(COUNTIFS(E$2:E1237,E1237,C$2:C1237,C1237)=1,1,0)</f>
        <v>1</v>
      </c>
      <c r="O1237" s="57" t="n">
        <f aca="false">IF(COUNTIFS(E$2:E1237,E1237,C$2:C1237,C1237,D$2:D1237,D1237)=1,1,0)</f>
        <v>1</v>
      </c>
      <c r="P1237" s="57" t="n">
        <f aca="false">IF(AND(C1237=Calc!$C$3,OR(Calc!$C$4=0,D1237=Calc!$C$4)),ROW(),0)</f>
        <v>0</v>
      </c>
    </row>
    <row r="1238" customFormat="false" ht="15" hidden="false" customHeight="false" outlineLevel="0" collapsed="false">
      <c r="A1238" s="57" t="s">
        <v>1734</v>
      </c>
      <c r="B1238" s="58" t="n">
        <v>45638</v>
      </c>
      <c r="C1238" s="57" t="n">
        <f aca="false">YEAR(B1238)</f>
        <v>2024</v>
      </c>
      <c r="D1238" s="57" t="n">
        <f aca="false">MONTH(B1238)</f>
        <v>12</v>
      </c>
      <c r="E1238" s="57" t="s">
        <v>1122</v>
      </c>
      <c r="F1238" s="57" t="s">
        <v>75</v>
      </c>
      <c r="G1238" s="57" t="s">
        <v>40</v>
      </c>
      <c r="H1238" s="57" t="s">
        <v>42</v>
      </c>
      <c r="I1238" s="59" t="n">
        <v>1</v>
      </c>
      <c r="J1238" s="60" t="n">
        <v>79</v>
      </c>
      <c r="K1238" s="60" t="n">
        <v>31</v>
      </c>
      <c r="L1238" s="61" t="n">
        <f aca="false">I1238*J1238</f>
        <v>79</v>
      </c>
      <c r="M1238" s="61" t="n">
        <f aca="false">L1238-I1238*K1238</f>
        <v>48</v>
      </c>
      <c r="N1238" s="57" t="n">
        <f aca="false">IF(COUNTIFS(E$2:E1238,E1238,C$2:C1238,C1238)=1,1,0)</f>
        <v>0</v>
      </c>
      <c r="O1238" s="57" t="n">
        <f aca="false">IF(COUNTIFS(E$2:E1238,E1238,C$2:C1238,C1238,D$2:D1238,D1238)=1,1,0)</f>
        <v>1</v>
      </c>
      <c r="P1238" s="57" t="n">
        <f aca="false">IF(AND(C1238=Calc!$C$3,OR(Calc!$C$4=0,D1238=Calc!$C$4)),ROW(),0)</f>
        <v>0</v>
      </c>
    </row>
    <row r="1239" customFormat="false" ht="15" hidden="false" customHeight="false" outlineLevel="0" collapsed="false">
      <c r="A1239" s="57" t="s">
        <v>1735</v>
      </c>
      <c r="B1239" s="58" t="n">
        <v>45639</v>
      </c>
      <c r="C1239" s="57" t="n">
        <f aca="false">YEAR(B1239)</f>
        <v>2024</v>
      </c>
      <c r="D1239" s="57" t="n">
        <f aca="false">MONTH(B1239)</f>
        <v>12</v>
      </c>
      <c r="E1239" s="57" t="s">
        <v>1728</v>
      </c>
      <c r="F1239" s="57" t="s">
        <v>75</v>
      </c>
      <c r="G1239" s="57" t="s">
        <v>35</v>
      </c>
      <c r="H1239" s="57" t="s">
        <v>34</v>
      </c>
      <c r="I1239" s="59" t="n">
        <v>1</v>
      </c>
      <c r="J1239" s="60" t="n">
        <v>89</v>
      </c>
      <c r="K1239" s="60" t="n">
        <v>41</v>
      </c>
      <c r="L1239" s="61" t="n">
        <f aca="false">I1239*J1239</f>
        <v>89</v>
      </c>
      <c r="M1239" s="61" t="n">
        <f aca="false">L1239-I1239*K1239</f>
        <v>48</v>
      </c>
      <c r="N1239" s="57" t="n">
        <f aca="false">IF(COUNTIFS(E$2:E1239,E1239,C$2:C1239,C1239)=1,1,0)</f>
        <v>0</v>
      </c>
      <c r="O1239" s="57" t="n">
        <f aca="false">IF(COUNTIFS(E$2:E1239,E1239,C$2:C1239,C1239,D$2:D1239,D1239)=1,1,0)</f>
        <v>0</v>
      </c>
      <c r="P1239" s="57" t="n">
        <f aca="false">IF(AND(C1239=Calc!$C$3,OR(Calc!$C$4=0,D1239=Calc!$C$4)),ROW(),0)</f>
        <v>0</v>
      </c>
    </row>
    <row r="1240" customFormat="false" ht="15" hidden="false" customHeight="false" outlineLevel="0" collapsed="false">
      <c r="A1240" s="57" t="s">
        <v>1736</v>
      </c>
      <c r="B1240" s="58" t="n">
        <v>45639</v>
      </c>
      <c r="C1240" s="57" t="n">
        <f aca="false">YEAR(B1240)</f>
        <v>2024</v>
      </c>
      <c r="D1240" s="57" t="n">
        <f aca="false">MONTH(B1240)</f>
        <v>12</v>
      </c>
      <c r="E1240" s="57" t="s">
        <v>415</v>
      </c>
      <c r="F1240" s="57" t="s">
        <v>75</v>
      </c>
      <c r="G1240" s="57" t="s">
        <v>50</v>
      </c>
      <c r="H1240" s="57" t="s">
        <v>51</v>
      </c>
      <c r="I1240" s="59" t="n">
        <v>1</v>
      </c>
      <c r="J1240" s="60" t="n">
        <v>69</v>
      </c>
      <c r="K1240" s="60" t="n">
        <v>29</v>
      </c>
      <c r="L1240" s="61" t="n">
        <f aca="false">I1240*J1240</f>
        <v>69</v>
      </c>
      <c r="M1240" s="61" t="n">
        <f aca="false">L1240-I1240*K1240</f>
        <v>40</v>
      </c>
      <c r="N1240" s="57" t="n">
        <f aca="false">IF(COUNTIFS(E$2:E1240,E1240,C$2:C1240,C1240)=1,1,0)</f>
        <v>0</v>
      </c>
      <c r="O1240" s="57" t="n">
        <f aca="false">IF(COUNTIFS(E$2:E1240,E1240,C$2:C1240,C1240,D$2:D1240,D1240)=1,1,0)</f>
        <v>1</v>
      </c>
      <c r="P1240" s="57" t="n">
        <f aca="false">IF(AND(C1240=Calc!$C$3,OR(Calc!$C$4=0,D1240=Calc!$C$4)),ROW(),0)</f>
        <v>0</v>
      </c>
    </row>
    <row r="1241" customFormat="false" ht="15" hidden="false" customHeight="false" outlineLevel="0" collapsed="false">
      <c r="A1241" s="57" t="s">
        <v>1737</v>
      </c>
      <c r="B1241" s="58" t="n">
        <v>45639</v>
      </c>
      <c r="C1241" s="57" t="n">
        <f aca="false">YEAR(B1241)</f>
        <v>2024</v>
      </c>
      <c r="D1241" s="57" t="n">
        <f aca="false">MONTH(B1241)</f>
        <v>12</v>
      </c>
      <c r="E1241" s="57" t="s">
        <v>1738</v>
      </c>
      <c r="F1241" s="57" t="s">
        <v>75</v>
      </c>
      <c r="G1241" s="57" t="s">
        <v>45</v>
      </c>
      <c r="H1241" s="57" t="s">
        <v>47</v>
      </c>
      <c r="I1241" s="59" t="n">
        <v>1</v>
      </c>
      <c r="J1241" s="60" t="n">
        <v>34</v>
      </c>
      <c r="K1241" s="60" t="n">
        <v>12</v>
      </c>
      <c r="L1241" s="61" t="n">
        <f aca="false">I1241*J1241</f>
        <v>34</v>
      </c>
      <c r="M1241" s="61" t="n">
        <f aca="false">L1241-I1241*K1241</f>
        <v>22</v>
      </c>
      <c r="N1241" s="57" t="n">
        <f aca="false">IF(COUNTIFS(E$2:E1241,E1241,C$2:C1241,C1241)=1,1,0)</f>
        <v>1</v>
      </c>
      <c r="O1241" s="57" t="n">
        <f aca="false">IF(COUNTIFS(E$2:E1241,E1241,C$2:C1241,C1241,D$2:D1241,D1241)=1,1,0)</f>
        <v>1</v>
      </c>
      <c r="P1241" s="57" t="n">
        <f aca="false">IF(AND(C1241=Calc!$C$3,OR(Calc!$C$4=0,D1241=Calc!$C$4)),ROW(),0)</f>
        <v>0</v>
      </c>
    </row>
    <row r="1242" customFormat="false" ht="15" hidden="false" customHeight="false" outlineLevel="0" collapsed="false">
      <c r="A1242" s="57" t="s">
        <v>1739</v>
      </c>
      <c r="B1242" s="58" t="n">
        <v>45639</v>
      </c>
      <c r="C1242" s="57" t="n">
        <f aca="false">YEAR(B1242)</f>
        <v>2024</v>
      </c>
      <c r="D1242" s="57" t="n">
        <f aca="false">MONTH(B1242)</f>
        <v>12</v>
      </c>
      <c r="E1242" s="57" t="s">
        <v>948</v>
      </c>
      <c r="F1242" s="57" t="s">
        <v>81</v>
      </c>
      <c r="G1242" s="57" t="s">
        <v>45</v>
      </c>
      <c r="H1242" s="57" t="s">
        <v>47</v>
      </c>
      <c r="I1242" s="59" t="n">
        <v>1</v>
      </c>
      <c r="J1242" s="60" t="n">
        <v>34</v>
      </c>
      <c r="K1242" s="60" t="n">
        <v>12</v>
      </c>
      <c r="L1242" s="61" t="n">
        <f aca="false">I1242*J1242</f>
        <v>34</v>
      </c>
      <c r="M1242" s="61" t="n">
        <f aca="false">L1242-I1242*K1242</f>
        <v>22</v>
      </c>
      <c r="N1242" s="57" t="n">
        <f aca="false">IF(COUNTIFS(E$2:E1242,E1242,C$2:C1242,C1242)=1,1,0)</f>
        <v>0</v>
      </c>
      <c r="O1242" s="57" t="n">
        <f aca="false">IF(COUNTIFS(E$2:E1242,E1242,C$2:C1242,C1242,D$2:D1242,D1242)=1,1,0)</f>
        <v>1</v>
      </c>
      <c r="P1242" s="57" t="n">
        <f aca="false">IF(AND(C1242=Calc!$C$3,OR(Calc!$C$4=0,D1242=Calc!$C$4)),ROW(),0)</f>
        <v>0</v>
      </c>
    </row>
    <row r="1243" customFormat="false" ht="15" hidden="false" customHeight="false" outlineLevel="0" collapsed="false">
      <c r="A1243" s="57" t="s">
        <v>1740</v>
      </c>
      <c r="B1243" s="58" t="n">
        <v>45639</v>
      </c>
      <c r="C1243" s="57" t="n">
        <f aca="false">YEAR(B1243)</f>
        <v>2024</v>
      </c>
      <c r="D1243" s="57" t="n">
        <f aca="false">MONTH(B1243)</f>
        <v>12</v>
      </c>
      <c r="E1243" s="57" t="s">
        <v>277</v>
      </c>
      <c r="F1243" s="57" t="s">
        <v>75</v>
      </c>
      <c r="G1243" s="57" t="s">
        <v>35</v>
      </c>
      <c r="H1243" s="57" t="s">
        <v>37</v>
      </c>
      <c r="I1243" s="59" t="n">
        <v>1</v>
      </c>
      <c r="J1243" s="60" t="n">
        <v>59</v>
      </c>
      <c r="K1243" s="60" t="n">
        <v>27</v>
      </c>
      <c r="L1243" s="61" t="n">
        <f aca="false">I1243*J1243</f>
        <v>59</v>
      </c>
      <c r="M1243" s="61" t="n">
        <f aca="false">L1243-I1243*K1243</f>
        <v>32</v>
      </c>
      <c r="N1243" s="57" t="n">
        <f aca="false">IF(COUNTIFS(E$2:E1243,E1243,C$2:C1243,C1243)=1,1,0)</f>
        <v>0</v>
      </c>
      <c r="O1243" s="57" t="n">
        <f aca="false">IF(COUNTIFS(E$2:E1243,E1243,C$2:C1243,C1243,D$2:D1243,D1243)=1,1,0)</f>
        <v>1</v>
      </c>
      <c r="P1243" s="57" t="n">
        <f aca="false">IF(AND(C1243=Calc!$C$3,OR(Calc!$C$4=0,D1243=Calc!$C$4)),ROW(),0)</f>
        <v>0</v>
      </c>
    </row>
    <row r="1244" customFormat="false" ht="15" hidden="false" customHeight="false" outlineLevel="0" collapsed="false">
      <c r="A1244" s="57" t="s">
        <v>1741</v>
      </c>
      <c r="B1244" s="58" t="n">
        <v>45639</v>
      </c>
      <c r="C1244" s="57" t="n">
        <f aca="false">YEAR(B1244)</f>
        <v>2024</v>
      </c>
      <c r="D1244" s="57" t="n">
        <f aca="false">MONTH(B1244)</f>
        <v>12</v>
      </c>
      <c r="E1244" s="57" t="s">
        <v>983</v>
      </c>
      <c r="F1244" s="57" t="s">
        <v>72</v>
      </c>
      <c r="G1244" s="57" t="s">
        <v>40</v>
      </c>
      <c r="H1244" s="57" t="s">
        <v>43</v>
      </c>
      <c r="I1244" s="59" t="n">
        <v>3</v>
      </c>
      <c r="J1244" s="60" t="n">
        <v>29</v>
      </c>
      <c r="K1244" s="60" t="n">
        <v>9</v>
      </c>
      <c r="L1244" s="61" t="n">
        <f aca="false">I1244*J1244</f>
        <v>87</v>
      </c>
      <c r="M1244" s="61" t="n">
        <f aca="false">L1244-I1244*K1244</f>
        <v>60</v>
      </c>
      <c r="N1244" s="57" t="n">
        <f aca="false">IF(COUNTIFS(E$2:E1244,E1244,C$2:C1244,C1244)=1,1,0)</f>
        <v>0</v>
      </c>
      <c r="O1244" s="57" t="n">
        <f aca="false">IF(COUNTIFS(E$2:E1244,E1244,C$2:C1244,C1244,D$2:D1244,D1244)=1,1,0)</f>
        <v>0</v>
      </c>
      <c r="P1244" s="57" t="n">
        <f aca="false">IF(AND(C1244=Calc!$C$3,OR(Calc!$C$4=0,D1244=Calc!$C$4)),ROW(),0)</f>
        <v>0</v>
      </c>
    </row>
    <row r="1245" customFormat="false" ht="15" hidden="false" customHeight="false" outlineLevel="0" collapsed="false">
      <c r="A1245" s="57" t="s">
        <v>1742</v>
      </c>
      <c r="B1245" s="58" t="n">
        <v>45640</v>
      </c>
      <c r="C1245" s="57" t="n">
        <f aca="false">YEAR(B1245)</f>
        <v>2024</v>
      </c>
      <c r="D1245" s="57" t="n">
        <f aca="false">MONTH(B1245)</f>
        <v>12</v>
      </c>
      <c r="E1245" s="57" t="s">
        <v>183</v>
      </c>
      <c r="F1245" s="57" t="s">
        <v>72</v>
      </c>
      <c r="G1245" s="57" t="s">
        <v>45</v>
      </c>
      <c r="H1245" s="57" t="s">
        <v>46</v>
      </c>
      <c r="I1245" s="59" t="n">
        <v>3</v>
      </c>
      <c r="J1245" s="60" t="n">
        <v>149</v>
      </c>
      <c r="K1245" s="60" t="n">
        <v>71</v>
      </c>
      <c r="L1245" s="61" t="n">
        <f aca="false">I1245*J1245</f>
        <v>447</v>
      </c>
      <c r="M1245" s="61" t="n">
        <f aca="false">L1245-I1245*K1245</f>
        <v>234</v>
      </c>
      <c r="N1245" s="57" t="n">
        <f aca="false">IF(COUNTIFS(E$2:E1245,E1245,C$2:C1245,C1245)=1,1,0)</f>
        <v>0</v>
      </c>
      <c r="O1245" s="57" t="n">
        <f aca="false">IF(COUNTIFS(E$2:E1245,E1245,C$2:C1245,C1245,D$2:D1245,D1245)=1,1,0)</f>
        <v>0</v>
      </c>
      <c r="P1245" s="57" t="n">
        <f aca="false">IF(AND(C1245=Calc!$C$3,OR(Calc!$C$4=0,D1245=Calc!$C$4)),ROW(),0)</f>
        <v>0</v>
      </c>
    </row>
    <row r="1246" customFormat="false" ht="15" hidden="false" customHeight="false" outlineLevel="0" collapsed="false">
      <c r="A1246" s="57" t="s">
        <v>1743</v>
      </c>
      <c r="B1246" s="58" t="n">
        <v>45640</v>
      </c>
      <c r="C1246" s="57" t="n">
        <f aca="false">YEAR(B1246)</f>
        <v>2024</v>
      </c>
      <c r="D1246" s="57" t="n">
        <f aca="false">MONTH(B1246)</f>
        <v>12</v>
      </c>
      <c r="E1246" s="57" t="s">
        <v>181</v>
      </c>
      <c r="F1246" s="57" t="s">
        <v>69</v>
      </c>
      <c r="G1246" s="57" t="s">
        <v>35</v>
      </c>
      <c r="H1246" s="57" t="s">
        <v>37</v>
      </c>
      <c r="I1246" s="59" t="n">
        <v>1</v>
      </c>
      <c r="J1246" s="60" t="n">
        <v>59</v>
      </c>
      <c r="K1246" s="60" t="n">
        <v>27</v>
      </c>
      <c r="L1246" s="61" t="n">
        <f aca="false">I1246*J1246</f>
        <v>59</v>
      </c>
      <c r="M1246" s="61" t="n">
        <f aca="false">L1246-I1246*K1246</f>
        <v>32</v>
      </c>
      <c r="N1246" s="57" t="n">
        <f aca="false">IF(COUNTIFS(E$2:E1246,E1246,C$2:C1246,C1246)=1,1,0)</f>
        <v>0</v>
      </c>
      <c r="O1246" s="57" t="n">
        <f aca="false">IF(COUNTIFS(E$2:E1246,E1246,C$2:C1246,C1246,D$2:D1246,D1246)=1,1,0)</f>
        <v>1</v>
      </c>
      <c r="P1246" s="57" t="n">
        <f aca="false">IF(AND(C1246=Calc!$C$3,OR(Calc!$C$4=0,D1246=Calc!$C$4)),ROW(),0)</f>
        <v>0</v>
      </c>
    </row>
    <row r="1247" customFormat="false" ht="15" hidden="false" customHeight="false" outlineLevel="0" collapsed="false">
      <c r="A1247" s="57" t="s">
        <v>1744</v>
      </c>
      <c r="B1247" s="58" t="n">
        <v>45640</v>
      </c>
      <c r="C1247" s="57" t="n">
        <f aca="false">YEAR(B1247)</f>
        <v>2024</v>
      </c>
      <c r="D1247" s="57" t="n">
        <f aca="false">MONTH(B1247)</f>
        <v>12</v>
      </c>
      <c r="E1247" s="57" t="s">
        <v>725</v>
      </c>
      <c r="F1247" s="57" t="s">
        <v>69</v>
      </c>
      <c r="G1247" s="57" t="s">
        <v>40</v>
      </c>
      <c r="H1247" s="57" t="s">
        <v>41</v>
      </c>
      <c r="I1247" s="59" t="n">
        <v>2</v>
      </c>
      <c r="J1247" s="60" t="n">
        <v>46</v>
      </c>
      <c r="K1247" s="60" t="n">
        <v>16</v>
      </c>
      <c r="L1247" s="61" t="n">
        <f aca="false">I1247*J1247</f>
        <v>92</v>
      </c>
      <c r="M1247" s="61" t="n">
        <f aca="false">L1247-I1247*K1247</f>
        <v>60</v>
      </c>
      <c r="N1247" s="57" t="n">
        <f aca="false">IF(COUNTIFS(E$2:E1247,E1247,C$2:C1247,C1247)=1,1,0)</f>
        <v>0</v>
      </c>
      <c r="O1247" s="57" t="n">
        <f aca="false">IF(COUNTIFS(E$2:E1247,E1247,C$2:C1247,C1247,D$2:D1247,D1247)=1,1,0)</f>
        <v>0</v>
      </c>
      <c r="P1247" s="57" t="n">
        <f aca="false">IF(AND(C1247=Calc!$C$3,OR(Calc!$C$4=0,D1247=Calc!$C$4)),ROW(),0)</f>
        <v>0</v>
      </c>
    </row>
    <row r="1248" customFormat="false" ht="15" hidden="false" customHeight="false" outlineLevel="0" collapsed="false">
      <c r="A1248" s="57" t="s">
        <v>1745</v>
      </c>
      <c r="B1248" s="58" t="n">
        <v>45640</v>
      </c>
      <c r="C1248" s="57" t="n">
        <f aca="false">YEAR(B1248)</f>
        <v>2024</v>
      </c>
      <c r="D1248" s="57" t="n">
        <f aca="false">MONTH(B1248)</f>
        <v>12</v>
      </c>
      <c r="E1248" s="57" t="s">
        <v>1304</v>
      </c>
      <c r="F1248" s="57" t="s">
        <v>78</v>
      </c>
      <c r="G1248" s="57" t="s">
        <v>40</v>
      </c>
      <c r="H1248" s="57" t="s">
        <v>39</v>
      </c>
      <c r="I1248" s="59" t="n">
        <v>1</v>
      </c>
      <c r="J1248" s="60" t="n">
        <v>54</v>
      </c>
      <c r="K1248" s="60" t="n">
        <v>19</v>
      </c>
      <c r="L1248" s="61" t="n">
        <f aca="false">I1248*J1248</f>
        <v>54</v>
      </c>
      <c r="M1248" s="61" t="n">
        <f aca="false">L1248-I1248*K1248</f>
        <v>35</v>
      </c>
      <c r="N1248" s="57" t="n">
        <f aca="false">IF(COUNTIFS(E$2:E1248,E1248,C$2:C1248,C1248)=1,1,0)</f>
        <v>0</v>
      </c>
      <c r="O1248" s="57" t="n">
        <f aca="false">IF(COUNTIFS(E$2:E1248,E1248,C$2:C1248,C1248,D$2:D1248,D1248)=1,1,0)</f>
        <v>1</v>
      </c>
      <c r="P1248" s="57" t="n">
        <f aca="false">IF(AND(C1248=Calc!$C$3,OR(Calc!$C$4=0,D1248=Calc!$C$4)),ROW(),0)</f>
        <v>0</v>
      </c>
    </row>
    <row r="1249" customFormat="false" ht="15" hidden="false" customHeight="false" outlineLevel="0" collapsed="false">
      <c r="A1249" s="57" t="s">
        <v>1746</v>
      </c>
      <c r="B1249" s="58" t="n">
        <v>45640</v>
      </c>
      <c r="C1249" s="57" t="n">
        <f aca="false">YEAR(B1249)</f>
        <v>2024</v>
      </c>
      <c r="D1249" s="57" t="n">
        <f aca="false">MONTH(B1249)</f>
        <v>12</v>
      </c>
      <c r="E1249" s="57" t="s">
        <v>1747</v>
      </c>
      <c r="F1249" s="57" t="s">
        <v>72</v>
      </c>
      <c r="G1249" s="57" t="s">
        <v>50</v>
      </c>
      <c r="H1249" s="57" t="s">
        <v>49</v>
      </c>
      <c r="I1249" s="59" t="n">
        <v>1</v>
      </c>
      <c r="J1249" s="60" t="n">
        <v>32</v>
      </c>
      <c r="K1249" s="60" t="n">
        <v>7</v>
      </c>
      <c r="L1249" s="61" t="n">
        <f aca="false">I1249*J1249</f>
        <v>32</v>
      </c>
      <c r="M1249" s="61" t="n">
        <f aca="false">L1249-I1249*K1249</f>
        <v>25</v>
      </c>
      <c r="N1249" s="57" t="n">
        <f aca="false">IF(COUNTIFS(E$2:E1249,E1249,C$2:C1249,C1249)=1,1,0)</f>
        <v>1</v>
      </c>
      <c r="O1249" s="57" t="n">
        <f aca="false">IF(COUNTIFS(E$2:E1249,E1249,C$2:C1249,C1249,D$2:D1249,D1249)=1,1,0)</f>
        <v>1</v>
      </c>
      <c r="P1249" s="57" t="n">
        <f aca="false">IF(AND(C1249=Calc!$C$3,OR(Calc!$C$4=0,D1249=Calc!$C$4)),ROW(),0)</f>
        <v>0</v>
      </c>
    </row>
    <row r="1250" customFormat="false" ht="15" hidden="false" customHeight="false" outlineLevel="0" collapsed="false">
      <c r="A1250" s="57" t="s">
        <v>1748</v>
      </c>
      <c r="B1250" s="58" t="n">
        <v>45640</v>
      </c>
      <c r="C1250" s="57" t="n">
        <f aca="false">YEAR(B1250)</f>
        <v>2024</v>
      </c>
      <c r="D1250" s="57" t="n">
        <f aca="false">MONTH(B1250)</f>
        <v>12</v>
      </c>
      <c r="E1250" s="57" t="s">
        <v>1046</v>
      </c>
      <c r="F1250" s="57" t="s">
        <v>69</v>
      </c>
      <c r="G1250" s="57" t="s">
        <v>35</v>
      </c>
      <c r="H1250" s="57" t="s">
        <v>36</v>
      </c>
      <c r="I1250" s="59" t="n">
        <v>2</v>
      </c>
      <c r="J1250" s="60" t="n">
        <v>179</v>
      </c>
      <c r="K1250" s="60" t="n">
        <v>92</v>
      </c>
      <c r="L1250" s="61" t="n">
        <f aca="false">I1250*J1250</f>
        <v>358</v>
      </c>
      <c r="M1250" s="61" t="n">
        <f aca="false">L1250-I1250*K1250</f>
        <v>174</v>
      </c>
      <c r="N1250" s="57" t="n">
        <f aca="false">IF(COUNTIFS(E$2:E1250,E1250,C$2:C1250,C1250)=1,1,0)</f>
        <v>0</v>
      </c>
      <c r="O1250" s="57" t="n">
        <f aca="false">IF(COUNTIFS(E$2:E1250,E1250,C$2:C1250,C1250,D$2:D1250,D1250)=1,1,0)</f>
        <v>1</v>
      </c>
      <c r="P1250" s="57" t="n">
        <f aca="false">IF(AND(C1250=Calc!$C$3,OR(Calc!$C$4=0,D1250=Calc!$C$4)),ROW(),0)</f>
        <v>0</v>
      </c>
    </row>
    <row r="1251" customFormat="false" ht="15" hidden="false" customHeight="false" outlineLevel="0" collapsed="false">
      <c r="A1251" s="57" t="s">
        <v>1749</v>
      </c>
      <c r="B1251" s="58" t="n">
        <v>45641</v>
      </c>
      <c r="C1251" s="57" t="n">
        <f aca="false">YEAR(B1251)</f>
        <v>2024</v>
      </c>
      <c r="D1251" s="57" t="n">
        <f aca="false">MONTH(B1251)</f>
        <v>12</v>
      </c>
      <c r="E1251" s="57" t="s">
        <v>148</v>
      </c>
      <c r="F1251" s="57" t="s">
        <v>78</v>
      </c>
      <c r="G1251" s="57" t="s">
        <v>35</v>
      </c>
      <c r="H1251" s="57" t="s">
        <v>37</v>
      </c>
      <c r="I1251" s="59" t="n">
        <v>1</v>
      </c>
      <c r="J1251" s="60" t="n">
        <v>59</v>
      </c>
      <c r="K1251" s="60" t="n">
        <v>27</v>
      </c>
      <c r="L1251" s="61" t="n">
        <f aca="false">I1251*J1251</f>
        <v>59</v>
      </c>
      <c r="M1251" s="61" t="n">
        <f aca="false">L1251-I1251*K1251</f>
        <v>32</v>
      </c>
      <c r="N1251" s="57" t="n">
        <f aca="false">IF(COUNTIFS(E$2:E1251,E1251,C$2:C1251,C1251)=1,1,0)</f>
        <v>0</v>
      </c>
      <c r="O1251" s="57" t="n">
        <f aca="false">IF(COUNTIFS(E$2:E1251,E1251,C$2:C1251,C1251,D$2:D1251,D1251)=1,1,0)</f>
        <v>0</v>
      </c>
      <c r="P1251" s="57" t="n">
        <f aca="false">IF(AND(C1251=Calc!$C$3,OR(Calc!$C$4=0,D1251=Calc!$C$4)),ROW(),0)</f>
        <v>0</v>
      </c>
    </row>
    <row r="1252" customFormat="false" ht="15" hidden="false" customHeight="false" outlineLevel="0" collapsed="false">
      <c r="A1252" s="57" t="s">
        <v>1750</v>
      </c>
      <c r="B1252" s="58" t="n">
        <v>45641</v>
      </c>
      <c r="C1252" s="57" t="n">
        <f aca="false">YEAR(B1252)</f>
        <v>2024</v>
      </c>
      <c r="D1252" s="57" t="n">
        <f aca="false">MONTH(B1252)</f>
        <v>12</v>
      </c>
      <c r="E1252" s="57" t="s">
        <v>935</v>
      </c>
      <c r="F1252" s="57" t="s">
        <v>72</v>
      </c>
      <c r="G1252" s="57" t="s">
        <v>35</v>
      </c>
      <c r="H1252" s="57" t="s">
        <v>37</v>
      </c>
      <c r="I1252" s="59" t="n">
        <v>1</v>
      </c>
      <c r="J1252" s="60" t="n">
        <v>59</v>
      </c>
      <c r="K1252" s="60" t="n">
        <v>27</v>
      </c>
      <c r="L1252" s="61" t="n">
        <f aca="false">I1252*J1252</f>
        <v>59</v>
      </c>
      <c r="M1252" s="61" t="n">
        <f aca="false">L1252-I1252*K1252</f>
        <v>32</v>
      </c>
      <c r="N1252" s="57" t="n">
        <f aca="false">IF(COUNTIFS(E$2:E1252,E1252,C$2:C1252,C1252)=1,1,0)</f>
        <v>0</v>
      </c>
      <c r="O1252" s="57" t="n">
        <f aca="false">IF(COUNTIFS(E$2:E1252,E1252,C$2:C1252,C1252,D$2:D1252,D1252)=1,1,0)</f>
        <v>1</v>
      </c>
      <c r="P1252" s="57" t="n">
        <f aca="false">IF(AND(C1252=Calc!$C$3,OR(Calc!$C$4=0,D1252=Calc!$C$4)),ROW(),0)</f>
        <v>0</v>
      </c>
    </row>
    <row r="1253" customFormat="false" ht="15" hidden="false" customHeight="false" outlineLevel="0" collapsed="false">
      <c r="A1253" s="57" t="s">
        <v>1751</v>
      </c>
      <c r="B1253" s="58" t="n">
        <v>45641</v>
      </c>
      <c r="C1253" s="57" t="n">
        <f aca="false">YEAR(B1253)</f>
        <v>2024</v>
      </c>
      <c r="D1253" s="57" t="n">
        <f aca="false">MONTH(B1253)</f>
        <v>12</v>
      </c>
      <c r="E1253" s="57" t="s">
        <v>998</v>
      </c>
      <c r="F1253" s="57" t="s">
        <v>81</v>
      </c>
      <c r="G1253" s="57" t="s">
        <v>54</v>
      </c>
      <c r="H1253" s="57" t="s">
        <v>53</v>
      </c>
      <c r="I1253" s="59" t="n">
        <v>1</v>
      </c>
      <c r="J1253" s="60" t="n">
        <v>39</v>
      </c>
      <c r="K1253" s="60" t="n">
        <v>13</v>
      </c>
      <c r="L1253" s="61" t="n">
        <f aca="false">I1253*J1253</f>
        <v>39</v>
      </c>
      <c r="M1253" s="61" t="n">
        <f aca="false">L1253-I1253*K1253</f>
        <v>26</v>
      </c>
      <c r="N1253" s="57" t="n">
        <f aca="false">IF(COUNTIFS(E$2:E1253,E1253,C$2:C1253,C1253)=1,1,0)</f>
        <v>0</v>
      </c>
      <c r="O1253" s="57" t="n">
        <f aca="false">IF(COUNTIFS(E$2:E1253,E1253,C$2:C1253,C1253,D$2:D1253,D1253)=1,1,0)</f>
        <v>0</v>
      </c>
      <c r="P1253" s="57" t="n">
        <f aca="false">IF(AND(C1253=Calc!$C$3,OR(Calc!$C$4=0,D1253=Calc!$C$4)),ROW(),0)</f>
        <v>0</v>
      </c>
    </row>
    <row r="1254" customFormat="false" ht="15" hidden="false" customHeight="false" outlineLevel="0" collapsed="false">
      <c r="A1254" s="57" t="s">
        <v>1752</v>
      </c>
      <c r="B1254" s="58" t="n">
        <v>45641</v>
      </c>
      <c r="C1254" s="57" t="n">
        <f aca="false">YEAR(B1254)</f>
        <v>2024</v>
      </c>
      <c r="D1254" s="57" t="n">
        <f aca="false">MONTH(B1254)</f>
        <v>12</v>
      </c>
      <c r="E1254" s="57" t="s">
        <v>512</v>
      </c>
      <c r="F1254" s="57" t="s">
        <v>75</v>
      </c>
      <c r="G1254" s="57" t="s">
        <v>35</v>
      </c>
      <c r="H1254" s="57" t="s">
        <v>37</v>
      </c>
      <c r="I1254" s="59" t="n">
        <v>1</v>
      </c>
      <c r="J1254" s="60" t="n">
        <v>59</v>
      </c>
      <c r="K1254" s="60" t="n">
        <v>27</v>
      </c>
      <c r="L1254" s="61" t="n">
        <f aca="false">I1254*J1254</f>
        <v>59</v>
      </c>
      <c r="M1254" s="61" t="n">
        <f aca="false">L1254-I1254*K1254</f>
        <v>32</v>
      </c>
      <c r="N1254" s="57" t="n">
        <f aca="false">IF(COUNTIFS(E$2:E1254,E1254,C$2:C1254,C1254)=1,1,0)</f>
        <v>0</v>
      </c>
      <c r="O1254" s="57" t="n">
        <f aca="false">IF(COUNTIFS(E$2:E1254,E1254,C$2:C1254,C1254,D$2:D1254,D1254)=1,1,0)</f>
        <v>0</v>
      </c>
      <c r="P1254" s="57" t="n">
        <f aca="false">IF(AND(C1254=Calc!$C$3,OR(Calc!$C$4=0,D1254=Calc!$C$4)),ROW(),0)</f>
        <v>0</v>
      </c>
    </row>
    <row r="1255" customFormat="false" ht="15" hidden="false" customHeight="false" outlineLevel="0" collapsed="false">
      <c r="A1255" s="57" t="s">
        <v>1753</v>
      </c>
      <c r="B1255" s="58" t="n">
        <v>45641</v>
      </c>
      <c r="C1255" s="57" t="n">
        <f aca="false">YEAR(B1255)</f>
        <v>2024</v>
      </c>
      <c r="D1255" s="57" t="n">
        <f aca="false">MONTH(B1255)</f>
        <v>12</v>
      </c>
      <c r="E1255" s="57" t="s">
        <v>1218</v>
      </c>
      <c r="F1255" s="57" t="s">
        <v>81</v>
      </c>
      <c r="G1255" s="57" t="s">
        <v>35</v>
      </c>
      <c r="H1255" s="57" t="s">
        <v>37</v>
      </c>
      <c r="I1255" s="59" t="n">
        <v>1</v>
      </c>
      <c r="J1255" s="60" t="n">
        <v>59</v>
      </c>
      <c r="K1255" s="60" t="n">
        <v>27</v>
      </c>
      <c r="L1255" s="61" t="n">
        <f aca="false">I1255*J1255</f>
        <v>59</v>
      </c>
      <c r="M1255" s="61" t="n">
        <f aca="false">L1255-I1255*K1255</f>
        <v>32</v>
      </c>
      <c r="N1255" s="57" t="n">
        <f aca="false">IF(COUNTIFS(E$2:E1255,E1255,C$2:C1255,C1255)=1,1,0)</f>
        <v>0</v>
      </c>
      <c r="O1255" s="57" t="n">
        <f aca="false">IF(COUNTIFS(E$2:E1255,E1255,C$2:C1255,C1255,D$2:D1255,D1255)=1,1,0)</f>
        <v>1</v>
      </c>
      <c r="P1255" s="57" t="n">
        <f aca="false">IF(AND(C1255=Calc!$C$3,OR(Calc!$C$4=0,D1255=Calc!$C$4)),ROW(),0)</f>
        <v>0</v>
      </c>
    </row>
    <row r="1256" customFormat="false" ht="15" hidden="false" customHeight="false" outlineLevel="0" collapsed="false">
      <c r="A1256" s="57" t="s">
        <v>1754</v>
      </c>
      <c r="B1256" s="58" t="n">
        <v>45641</v>
      </c>
      <c r="C1256" s="57" t="n">
        <f aca="false">YEAR(B1256)</f>
        <v>2024</v>
      </c>
      <c r="D1256" s="57" t="n">
        <f aca="false">MONTH(B1256)</f>
        <v>12</v>
      </c>
      <c r="E1256" s="57" t="s">
        <v>170</v>
      </c>
      <c r="F1256" s="57" t="s">
        <v>69</v>
      </c>
      <c r="G1256" s="57" t="s">
        <v>50</v>
      </c>
      <c r="H1256" s="57" t="s">
        <v>51</v>
      </c>
      <c r="I1256" s="59" t="n">
        <v>1</v>
      </c>
      <c r="J1256" s="60" t="n">
        <v>69</v>
      </c>
      <c r="K1256" s="60" t="n">
        <v>29</v>
      </c>
      <c r="L1256" s="61" t="n">
        <f aca="false">I1256*J1256</f>
        <v>69</v>
      </c>
      <c r="M1256" s="61" t="n">
        <f aca="false">L1256-I1256*K1256</f>
        <v>40</v>
      </c>
      <c r="N1256" s="57" t="n">
        <f aca="false">IF(COUNTIFS(E$2:E1256,E1256,C$2:C1256,C1256)=1,1,0)</f>
        <v>0</v>
      </c>
      <c r="O1256" s="57" t="n">
        <f aca="false">IF(COUNTIFS(E$2:E1256,E1256,C$2:C1256,C1256,D$2:D1256,D1256)=1,1,0)</f>
        <v>1</v>
      </c>
      <c r="P1256" s="57" t="n">
        <f aca="false">IF(AND(C1256=Calc!$C$3,OR(Calc!$C$4=0,D1256=Calc!$C$4)),ROW(),0)</f>
        <v>0</v>
      </c>
    </row>
    <row r="1257" customFormat="false" ht="15" hidden="false" customHeight="false" outlineLevel="0" collapsed="false">
      <c r="A1257" s="57" t="s">
        <v>1755</v>
      </c>
      <c r="B1257" s="58" t="n">
        <v>45641</v>
      </c>
      <c r="C1257" s="57" t="n">
        <f aca="false">YEAR(B1257)</f>
        <v>2024</v>
      </c>
      <c r="D1257" s="57" t="n">
        <f aca="false">MONTH(B1257)</f>
        <v>12</v>
      </c>
      <c r="E1257" s="57" t="s">
        <v>183</v>
      </c>
      <c r="F1257" s="57" t="s">
        <v>72</v>
      </c>
      <c r="G1257" s="57" t="s">
        <v>35</v>
      </c>
      <c r="H1257" s="57" t="s">
        <v>36</v>
      </c>
      <c r="I1257" s="59" t="n">
        <v>2</v>
      </c>
      <c r="J1257" s="60" t="n">
        <v>179</v>
      </c>
      <c r="K1257" s="60" t="n">
        <v>92</v>
      </c>
      <c r="L1257" s="61" t="n">
        <f aca="false">I1257*J1257</f>
        <v>358</v>
      </c>
      <c r="M1257" s="61" t="n">
        <f aca="false">L1257-I1257*K1257</f>
        <v>174</v>
      </c>
      <c r="N1257" s="57" t="n">
        <f aca="false">IF(COUNTIFS(E$2:E1257,E1257,C$2:C1257,C1257)=1,1,0)</f>
        <v>0</v>
      </c>
      <c r="O1257" s="57" t="n">
        <f aca="false">IF(COUNTIFS(E$2:E1257,E1257,C$2:C1257,C1257,D$2:D1257,D1257)=1,1,0)</f>
        <v>0</v>
      </c>
      <c r="P1257" s="57" t="n">
        <f aca="false">IF(AND(C1257=Calc!$C$3,OR(Calc!$C$4=0,D1257=Calc!$C$4)),ROW(),0)</f>
        <v>0</v>
      </c>
    </row>
    <row r="1258" customFormat="false" ht="15" hidden="false" customHeight="false" outlineLevel="0" collapsed="false">
      <c r="A1258" s="57" t="s">
        <v>1756</v>
      </c>
      <c r="B1258" s="58" t="n">
        <v>45642</v>
      </c>
      <c r="C1258" s="57" t="n">
        <f aca="false">YEAR(B1258)</f>
        <v>2024</v>
      </c>
      <c r="D1258" s="57" t="n">
        <f aca="false">MONTH(B1258)</f>
        <v>12</v>
      </c>
      <c r="E1258" s="57" t="s">
        <v>108</v>
      </c>
      <c r="F1258" s="57" t="s">
        <v>75</v>
      </c>
      <c r="G1258" s="57" t="s">
        <v>35</v>
      </c>
      <c r="H1258" s="57" t="s">
        <v>37</v>
      </c>
      <c r="I1258" s="59" t="n">
        <v>1</v>
      </c>
      <c r="J1258" s="60" t="n">
        <v>59</v>
      </c>
      <c r="K1258" s="60" t="n">
        <v>27</v>
      </c>
      <c r="L1258" s="61" t="n">
        <f aca="false">I1258*J1258</f>
        <v>59</v>
      </c>
      <c r="M1258" s="61" t="n">
        <f aca="false">L1258-I1258*K1258</f>
        <v>32</v>
      </c>
      <c r="N1258" s="57" t="n">
        <f aca="false">IF(COUNTIFS(E$2:E1258,E1258,C$2:C1258,C1258)=1,1,0)</f>
        <v>0</v>
      </c>
      <c r="O1258" s="57" t="n">
        <f aca="false">IF(COUNTIFS(E$2:E1258,E1258,C$2:C1258,C1258,D$2:D1258,D1258)=1,1,0)</f>
        <v>1</v>
      </c>
      <c r="P1258" s="57" t="n">
        <f aca="false">IF(AND(C1258=Calc!$C$3,OR(Calc!$C$4=0,D1258=Calc!$C$4)),ROW(),0)</f>
        <v>0</v>
      </c>
    </row>
    <row r="1259" customFormat="false" ht="15" hidden="false" customHeight="false" outlineLevel="0" collapsed="false">
      <c r="A1259" s="57" t="s">
        <v>1757</v>
      </c>
      <c r="B1259" s="58" t="n">
        <v>45642</v>
      </c>
      <c r="C1259" s="57" t="n">
        <f aca="false">YEAR(B1259)</f>
        <v>2024</v>
      </c>
      <c r="D1259" s="57" t="n">
        <f aca="false">MONTH(B1259)</f>
        <v>12</v>
      </c>
      <c r="E1259" s="57" t="s">
        <v>490</v>
      </c>
      <c r="F1259" s="57" t="s">
        <v>72</v>
      </c>
      <c r="G1259" s="57" t="s">
        <v>40</v>
      </c>
      <c r="H1259" s="57" t="s">
        <v>42</v>
      </c>
      <c r="I1259" s="59" t="n">
        <v>1</v>
      </c>
      <c r="J1259" s="60" t="n">
        <v>79</v>
      </c>
      <c r="K1259" s="60" t="n">
        <v>31</v>
      </c>
      <c r="L1259" s="61" t="n">
        <f aca="false">I1259*J1259</f>
        <v>79</v>
      </c>
      <c r="M1259" s="61" t="n">
        <f aca="false">L1259-I1259*K1259</f>
        <v>48</v>
      </c>
      <c r="N1259" s="57" t="n">
        <f aca="false">IF(COUNTIFS(E$2:E1259,E1259,C$2:C1259,C1259)=1,1,0)</f>
        <v>0</v>
      </c>
      <c r="O1259" s="57" t="n">
        <f aca="false">IF(COUNTIFS(E$2:E1259,E1259,C$2:C1259,C1259,D$2:D1259,D1259)=1,1,0)</f>
        <v>1</v>
      </c>
      <c r="P1259" s="57" t="n">
        <f aca="false">IF(AND(C1259=Calc!$C$3,OR(Calc!$C$4=0,D1259=Calc!$C$4)),ROW(),0)</f>
        <v>0</v>
      </c>
    </row>
    <row r="1260" customFormat="false" ht="15" hidden="false" customHeight="false" outlineLevel="0" collapsed="false">
      <c r="A1260" s="57" t="s">
        <v>1758</v>
      </c>
      <c r="B1260" s="58" t="n">
        <v>45642</v>
      </c>
      <c r="C1260" s="57" t="n">
        <f aca="false">YEAR(B1260)</f>
        <v>2024</v>
      </c>
      <c r="D1260" s="57" t="n">
        <f aca="false">MONTH(B1260)</f>
        <v>12</v>
      </c>
      <c r="E1260" s="57" t="s">
        <v>1759</v>
      </c>
      <c r="F1260" s="57" t="s">
        <v>72</v>
      </c>
      <c r="G1260" s="57" t="s">
        <v>40</v>
      </c>
      <c r="H1260" s="57" t="s">
        <v>43</v>
      </c>
      <c r="I1260" s="59" t="n">
        <v>2</v>
      </c>
      <c r="J1260" s="60" t="n">
        <v>29</v>
      </c>
      <c r="K1260" s="60" t="n">
        <v>9</v>
      </c>
      <c r="L1260" s="61" t="n">
        <f aca="false">I1260*J1260</f>
        <v>58</v>
      </c>
      <c r="M1260" s="61" t="n">
        <f aca="false">L1260-I1260*K1260</f>
        <v>40</v>
      </c>
      <c r="N1260" s="57" t="n">
        <f aca="false">IF(COUNTIFS(E$2:E1260,E1260,C$2:C1260,C1260)=1,1,0)</f>
        <v>1</v>
      </c>
      <c r="O1260" s="57" t="n">
        <f aca="false">IF(COUNTIFS(E$2:E1260,E1260,C$2:C1260,C1260,D$2:D1260,D1260)=1,1,0)</f>
        <v>1</v>
      </c>
      <c r="P1260" s="57" t="n">
        <f aca="false">IF(AND(C1260=Calc!$C$3,OR(Calc!$C$4=0,D1260=Calc!$C$4)),ROW(),0)</f>
        <v>0</v>
      </c>
    </row>
    <row r="1261" customFormat="false" ht="15" hidden="false" customHeight="false" outlineLevel="0" collapsed="false">
      <c r="A1261" s="57" t="s">
        <v>1760</v>
      </c>
      <c r="B1261" s="58" t="n">
        <v>45642</v>
      </c>
      <c r="C1261" s="57" t="n">
        <f aca="false">YEAR(B1261)</f>
        <v>2024</v>
      </c>
      <c r="D1261" s="57" t="n">
        <f aca="false">MONTH(B1261)</f>
        <v>12</v>
      </c>
      <c r="E1261" s="57" t="s">
        <v>1234</v>
      </c>
      <c r="F1261" s="57" t="s">
        <v>78</v>
      </c>
      <c r="G1261" s="57" t="s">
        <v>45</v>
      </c>
      <c r="H1261" s="57" t="s">
        <v>47</v>
      </c>
      <c r="I1261" s="59" t="n">
        <v>1</v>
      </c>
      <c r="J1261" s="60" t="n">
        <v>34</v>
      </c>
      <c r="K1261" s="60" t="n">
        <v>12</v>
      </c>
      <c r="L1261" s="61" t="n">
        <f aca="false">I1261*J1261</f>
        <v>34</v>
      </c>
      <c r="M1261" s="61" t="n">
        <f aca="false">L1261-I1261*K1261</f>
        <v>22</v>
      </c>
      <c r="N1261" s="57" t="n">
        <f aca="false">IF(COUNTIFS(E$2:E1261,E1261,C$2:C1261,C1261)=1,1,0)</f>
        <v>0</v>
      </c>
      <c r="O1261" s="57" t="n">
        <f aca="false">IF(COUNTIFS(E$2:E1261,E1261,C$2:C1261,C1261,D$2:D1261,D1261)=1,1,0)</f>
        <v>1</v>
      </c>
      <c r="P1261" s="57" t="n">
        <f aca="false">IF(AND(C1261=Calc!$C$3,OR(Calc!$C$4=0,D1261=Calc!$C$4)),ROW(),0)</f>
        <v>0</v>
      </c>
    </row>
    <row r="1262" customFormat="false" ht="15" hidden="false" customHeight="false" outlineLevel="0" collapsed="false">
      <c r="A1262" s="57" t="s">
        <v>1761</v>
      </c>
      <c r="B1262" s="58" t="n">
        <v>45642</v>
      </c>
      <c r="C1262" s="57" t="n">
        <f aca="false">YEAR(B1262)</f>
        <v>2024</v>
      </c>
      <c r="D1262" s="57" t="n">
        <f aca="false">MONTH(B1262)</f>
        <v>12</v>
      </c>
      <c r="E1262" s="57" t="s">
        <v>1290</v>
      </c>
      <c r="F1262" s="57" t="s">
        <v>75</v>
      </c>
      <c r="G1262" s="57" t="s">
        <v>40</v>
      </c>
      <c r="H1262" s="57" t="s">
        <v>43</v>
      </c>
      <c r="I1262" s="59" t="n">
        <v>1</v>
      </c>
      <c r="J1262" s="60" t="n">
        <v>29</v>
      </c>
      <c r="K1262" s="60" t="n">
        <v>9</v>
      </c>
      <c r="L1262" s="61" t="n">
        <f aca="false">I1262*J1262</f>
        <v>29</v>
      </c>
      <c r="M1262" s="61" t="n">
        <f aca="false">L1262-I1262*K1262</f>
        <v>20</v>
      </c>
      <c r="N1262" s="57" t="n">
        <f aca="false">IF(COUNTIFS(E$2:E1262,E1262,C$2:C1262,C1262)=1,1,0)</f>
        <v>0</v>
      </c>
      <c r="O1262" s="57" t="n">
        <f aca="false">IF(COUNTIFS(E$2:E1262,E1262,C$2:C1262,C1262,D$2:D1262,D1262)=1,1,0)</f>
        <v>1</v>
      </c>
      <c r="P1262" s="57" t="n">
        <f aca="false">IF(AND(C1262=Calc!$C$3,OR(Calc!$C$4=0,D1262=Calc!$C$4)),ROW(),0)</f>
        <v>0</v>
      </c>
    </row>
    <row r="1263" customFormat="false" ht="15" hidden="false" customHeight="false" outlineLevel="0" collapsed="false">
      <c r="A1263" s="57" t="s">
        <v>1762</v>
      </c>
      <c r="B1263" s="58" t="n">
        <v>45642</v>
      </c>
      <c r="C1263" s="57" t="n">
        <f aca="false">YEAR(B1263)</f>
        <v>2024</v>
      </c>
      <c r="D1263" s="57" t="n">
        <f aca="false">MONTH(B1263)</f>
        <v>12</v>
      </c>
      <c r="E1263" s="57" t="s">
        <v>206</v>
      </c>
      <c r="F1263" s="57" t="s">
        <v>78</v>
      </c>
      <c r="G1263" s="57" t="s">
        <v>40</v>
      </c>
      <c r="H1263" s="57" t="s">
        <v>39</v>
      </c>
      <c r="I1263" s="59" t="n">
        <v>1</v>
      </c>
      <c r="J1263" s="60" t="n">
        <v>54</v>
      </c>
      <c r="K1263" s="60" t="n">
        <v>19</v>
      </c>
      <c r="L1263" s="61" t="n">
        <f aca="false">I1263*J1263</f>
        <v>54</v>
      </c>
      <c r="M1263" s="61" t="n">
        <f aca="false">L1263-I1263*K1263</f>
        <v>35</v>
      </c>
      <c r="N1263" s="57" t="n">
        <f aca="false">IF(COUNTIFS(E$2:E1263,E1263,C$2:C1263,C1263)=1,1,0)</f>
        <v>0</v>
      </c>
      <c r="O1263" s="57" t="n">
        <f aca="false">IF(COUNTIFS(E$2:E1263,E1263,C$2:C1263,C1263,D$2:D1263,D1263)=1,1,0)</f>
        <v>1</v>
      </c>
      <c r="P1263" s="57" t="n">
        <f aca="false">IF(AND(C1263=Calc!$C$3,OR(Calc!$C$4=0,D1263=Calc!$C$4)),ROW(),0)</f>
        <v>0</v>
      </c>
    </row>
    <row r="1264" customFormat="false" ht="15" hidden="false" customHeight="false" outlineLevel="0" collapsed="false">
      <c r="A1264" s="57" t="s">
        <v>1763</v>
      </c>
      <c r="B1264" s="58" t="n">
        <v>45642</v>
      </c>
      <c r="C1264" s="57" t="n">
        <f aca="false">YEAR(B1264)</f>
        <v>2024</v>
      </c>
      <c r="D1264" s="57" t="n">
        <f aca="false">MONTH(B1264)</f>
        <v>12</v>
      </c>
      <c r="E1264" s="57" t="s">
        <v>728</v>
      </c>
      <c r="F1264" s="57" t="s">
        <v>78</v>
      </c>
      <c r="G1264" s="57" t="s">
        <v>50</v>
      </c>
      <c r="H1264" s="57" t="s">
        <v>49</v>
      </c>
      <c r="I1264" s="59" t="n">
        <v>2</v>
      </c>
      <c r="J1264" s="60" t="n">
        <v>32</v>
      </c>
      <c r="K1264" s="60" t="n">
        <v>7</v>
      </c>
      <c r="L1264" s="61" t="n">
        <f aca="false">I1264*J1264</f>
        <v>64</v>
      </c>
      <c r="M1264" s="61" t="n">
        <f aca="false">L1264-I1264*K1264</f>
        <v>50</v>
      </c>
      <c r="N1264" s="57" t="n">
        <f aca="false">IF(COUNTIFS(E$2:E1264,E1264,C$2:C1264,C1264)=1,1,0)</f>
        <v>0</v>
      </c>
      <c r="O1264" s="57" t="n">
        <f aca="false">IF(COUNTIFS(E$2:E1264,E1264,C$2:C1264,C1264,D$2:D1264,D1264)=1,1,0)</f>
        <v>1</v>
      </c>
      <c r="P1264" s="57" t="n">
        <f aca="false">IF(AND(C1264=Calc!$C$3,OR(Calc!$C$4=0,D1264=Calc!$C$4)),ROW(),0)</f>
        <v>0</v>
      </c>
    </row>
    <row r="1265" customFormat="false" ht="15" hidden="false" customHeight="false" outlineLevel="0" collapsed="false">
      <c r="A1265" s="57" t="s">
        <v>1764</v>
      </c>
      <c r="B1265" s="58" t="n">
        <v>45643</v>
      </c>
      <c r="C1265" s="57" t="n">
        <f aca="false">YEAR(B1265)</f>
        <v>2024</v>
      </c>
      <c r="D1265" s="57" t="n">
        <f aca="false">MONTH(B1265)</f>
        <v>12</v>
      </c>
      <c r="E1265" s="57" t="s">
        <v>368</v>
      </c>
      <c r="F1265" s="57" t="s">
        <v>69</v>
      </c>
      <c r="G1265" s="57" t="s">
        <v>54</v>
      </c>
      <c r="H1265" s="57" t="s">
        <v>55</v>
      </c>
      <c r="I1265" s="59" t="n">
        <v>2</v>
      </c>
      <c r="J1265" s="60" t="n">
        <v>64</v>
      </c>
      <c r="K1265" s="60" t="n">
        <v>25</v>
      </c>
      <c r="L1265" s="61" t="n">
        <f aca="false">I1265*J1265</f>
        <v>128</v>
      </c>
      <c r="M1265" s="61" t="n">
        <f aca="false">L1265-I1265*K1265</f>
        <v>78</v>
      </c>
      <c r="N1265" s="57" t="n">
        <f aca="false">IF(COUNTIFS(E$2:E1265,E1265,C$2:C1265,C1265)=1,1,0)</f>
        <v>0</v>
      </c>
      <c r="O1265" s="57" t="n">
        <f aca="false">IF(COUNTIFS(E$2:E1265,E1265,C$2:C1265,C1265,D$2:D1265,D1265)=1,1,0)</f>
        <v>1</v>
      </c>
      <c r="P1265" s="57" t="n">
        <f aca="false">IF(AND(C1265=Calc!$C$3,OR(Calc!$C$4=0,D1265=Calc!$C$4)),ROW(),0)</f>
        <v>0</v>
      </c>
    </row>
    <row r="1266" customFormat="false" ht="15" hidden="false" customHeight="false" outlineLevel="0" collapsed="false">
      <c r="A1266" s="57" t="s">
        <v>1765</v>
      </c>
      <c r="B1266" s="58" t="n">
        <v>45643</v>
      </c>
      <c r="C1266" s="57" t="n">
        <f aca="false">YEAR(B1266)</f>
        <v>2024</v>
      </c>
      <c r="D1266" s="57" t="n">
        <f aca="false">MONTH(B1266)</f>
        <v>12</v>
      </c>
      <c r="E1266" s="57" t="s">
        <v>494</v>
      </c>
      <c r="F1266" s="57" t="s">
        <v>78</v>
      </c>
      <c r="G1266" s="57" t="s">
        <v>40</v>
      </c>
      <c r="H1266" s="57" t="s">
        <v>42</v>
      </c>
      <c r="I1266" s="59" t="n">
        <v>2</v>
      </c>
      <c r="J1266" s="60" t="n">
        <v>79</v>
      </c>
      <c r="K1266" s="60" t="n">
        <v>31</v>
      </c>
      <c r="L1266" s="61" t="n">
        <f aca="false">I1266*J1266</f>
        <v>158</v>
      </c>
      <c r="M1266" s="61" t="n">
        <f aca="false">L1266-I1266*K1266</f>
        <v>96</v>
      </c>
      <c r="N1266" s="57" t="n">
        <f aca="false">IF(COUNTIFS(E$2:E1266,E1266,C$2:C1266,C1266)=1,1,0)</f>
        <v>0</v>
      </c>
      <c r="O1266" s="57" t="n">
        <f aca="false">IF(COUNTIFS(E$2:E1266,E1266,C$2:C1266,C1266,D$2:D1266,D1266)=1,1,0)</f>
        <v>1</v>
      </c>
      <c r="P1266" s="57" t="n">
        <f aca="false">IF(AND(C1266=Calc!$C$3,OR(Calc!$C$4=0,D1266=Calc!$C$4)),ROW(),0)</f>
        <v>0</v>
      </c>
    </row>
    <row r="1267" customFormat="false" ht="15" hidden="false" customHeight="false" outlineLevel="0" collapsed="false">
      <c r="A1267" s="57" t="s">
        <v>1766</v>
      </c>
      <c r="B1267" s="58" t="n">
        <v>45643</v>
      </c>
      <c r="C1267" s="57" t="n">
        <f aca="false">YEAR(B1267)</f>
        <v>2024</v>
      </c>
      <c r="D1267" s="57" t="n">
        <f aca="false">MONTH(B1267)</f>
        <v>12</v>
      </c>
      <c r="E1267" s="57" t="s">
        <v>404</v>
      </c>
      <c r="F1267" s="57" t="s">
        <v>75</v>
      </c>
      <c r="G1267" s="57" t="s">
        <v>40</v>
      </c>
      <c r="H1267" s="57" t="s">
        <v>39</v>
      </c>
      <c r="I1267" s="59" t="n">
        <v>1</v>
      </c>
      <c r="J1267" s="60" t="n">
        <v>54</v>
      </c>
      <c r="K1267" s="60" t="n">
        <v>19</v>
      </c>
      <c r="L1267" s="61" t="n">
        <f aca="false">I1267*J1267</f>
        <v>54</v>
      </c>
      <c r="M1267" s="61" t="n">
        <f aca="false">L1267-I1267*K1267</f>
        <v>35</v>
      </c>
      <c r="N1267" s="57" t="n">
        <f aca="false">IF(COUNTIFS(E$2:E1267,E1267,C$2:C1267,C1267)=1,1,0)</f>
        <v>0</v>
      </c>
      <c r="O1267" s="57" t="n">
        <f aca="false">IF(COUNTIFS(E$2:E1267,E1267,C$2:C1267,C1267,D$2:D1267,D1267)=1,1,0)</f>
        <v>1</v>
      </c>
      <c r="P1267" s="57" t="n">
        <f aca="false">IF(AND(C1267=Calc!$C$3,OR(Calc!$C$4=0,D1267=Calc!$C$4)),ROW(),0)</f>
        <v>0</v>
      </c>
    </row>
    <row r="1268" customFormat="false" ht="15" hidden="false" customHeight="false" outlineLevel="0" collapsed="false">
      <c r="A1268" s="57" t="s">
        <v>1767</v>
      </c>
      <c r="B1268" s="58" t="n">
        <v>45643</v>
      </c>
      <c r="C1268" s="57" t="n">
        <f aca="false">YEAR(B1268)</f>
        <v>2024</v>
      </c>
      <c r="D1268" s="57" t="n">
        <f aca="false">MONTH(B1268)</f>
        <v>12</v>
      </c>
      <c r="E1268" s="57" t="s">
        <v>1124</v>
      </c>
      <c r="F1268" s="57" t="s">
        <v>75</v>
      </c>
      <c r="G1268" s="57" t="s">
        <v>54</v>
      </c>
      <c r="H1268" s="57" t="s">
        <v>56</v>
      </c>
      <c r="I1268" s="59" t="n">
        <v>1</v>
      </c>
      <c r="J1268" s="60" t="n">
        <v>42</v>
      </c>
      <c r="K1268" s="60" t="n">
        <v>17</v>
      </c>
      <c r="L1268" s="61" t="n">
        <f aca="false">I1268*J1268</f>
        <v>42</v>
      </c>
      <c r="M1268" s="61" t="n">
        <f aca="false">L1268-I1268*K1268</f>
        <v>25</v>
      </c>
      <c r="N1268" s="57" t="n">
        <f aca="false">IF(COUNTIFS(E$2:E1268,E1268,C$2:C1268,C1268)=1,1,0)</f>
        <v>0</v>
      </c>
      <c r="O1268" s="57" t="n">
        <f aca="false">IF(COUNTIFS(E$2:E1268,E1268,C$2:C1268,C1268,D$2:D1268,D1268)=1,1,0)</f>
        <v>1</v>
      </c>
      <c r="P1268" s="57" t="n">
        <f aca="false">IF(AND(C1268=Calc!$C$3,OR(Calc!$C$4=0,D1268=Calc!$C$4)),ROW(),0)</f>
        <v>0</v>
      </c>
    </row>
    <row r="1269" customFormat="false" ht="15" hidden="false" customHeight="false" outlineLevel="0" collapsed="false">
      <c r="A1269" s="57" t="s">
        <v>1768</v>
      </c>
      <c r="B1269" s="58" t="n">
        <v>45643</v>
      </c>
      <c r="C1269" s="57" t="n">
        <f aca="false">YEAR(B1269)</f>
        <v>2024</v>
      </c>
      <c r="D1269" s="57" t="n">
        <f aca="false">MONTH(B1269)</f>
        <v>12</v>
      </c>
      <c r="E1269" s="57" t="s">
        <v>1382</v>
      </c>
      <c r="F1269" s="57" t="s">
        <v>81</v>
      </c>
      <c r="G1269" s="57" t="s">
        <v>45</v>
      </c>
      <c r="H1269" s="57" t="s">
        <v>47</v>
      </c>
      <c r="I1269" s="59" t="n">
        <v>1</v>
      </c>
      <c r="J1269" s="60" t="n">
        <v>34</v>
      </c>
      <c r="K1269" s="60" t="n">
        <v>12</v>
      </c>
      <c r="L1269" s="61" t="n">
        <f aca="false">I1269*J1269</f>
        <v>34</v>
      </c>
      <c r="M1269" s="61" t="n">
        <f aca="false">L1269-I1269*K1269</f>
        <v>22</v>
      </c>
      <c r="N1269" s="57" t="n">
        <f aca="false">IF(COUNTIFS(E$2:E1269,E1269,C$2:C1269,C1269)=1,1,0)</f>
        <v>0</v>
      </c>
      <c r="O1269" s="57" t="n">
        <f aca="false">IF(COUNTIFS(E$2:E1269,E1269,C$2:C1269,C1269,D$2:D1269,D1269)=1,1,0)</f>
        <v>1</v>
      </c>
      <c r="P1269" s="57" t="n">
        <f aca="false">IF(AND(C1269=Calc!$C$3,OR(Calc!$C$4=0,D1269=Calc!$C$4)),ROW(),0)</f>
        <v>0</v>
      </c>
    </row>
    <row r="1270" customFormat="false" ht="15" hidden="false" customHeight="false" outlineLevel="0" collapsed="false">
      <c r="A1270" s="57" t="s">
        <v>1769</v>
      </c>
      <c r="B1270" s="58" t="n">
        <v>45643</v>
      </c>
      <c r="C1270" s="57" t="n">
        <f aca="false">YEAR(B1270)</f>
        <v>2024</v>
      </c>
      <c r="D1270" s="57" t="n">
        <f aca="false">MONTH(B1270)</f>
        <v>12</v>
      </c>
      <c r="E1270" s="57" t="s">
        <v>1084</v>
      </c>
      <c r="F1270" s="57" t="s">
        <v>78</v>
      </c>
      <c r="G1270" s="57" t="s">
        <v>45</v>
      </c>
      <c r="H1270" s="57" t="s">
        <v>48</v>
      </c>
      <c r="I1270" s="59" t="n">
        <v>1</v>
      </c>
      <c r="J1270" s="60" t="n">
        <v>99</v>
      </c>
      <c r="K1270" s="60" t="n">
        <v>38</v>
      </c>
      <c r="L1270" s="61" t="n">
        <f aca="false">I1270*J1270</f>
        <v>99</v>
      </c>
      <c r="M1270" s="61" t="n">
        <f aca="false">L1270-I1270*K1270</f>
        <v>61</v>
      </c>
      <c r="N1270" s="57" t="n">
        <f aca="false">IF(COUNTIFS(E$2:E1270,E1270,C$2:C1270,C1270)=1,1,0)</f>
        <v>0</v>
      </c>
      <c r="O1270" s="57" t="n">
        <f aca="false">IF(COUNTIFS(E$2:E1270,E1270,C$2:C1270,C1270,D$2:D1270,D1270)=1,1,0)</f>
        <v>1</v>
      </c>
      <c r="P1270" s="57" t="n">
        <f aca="false">IF(AND(C1270=Calc!$C$3,OR(Calc!$C$4=0,D1270=Calc!$C$4)),ROW(),0)</f>
        <v>0</v>
      </c>
    </row>
    <row r="1271" customFormat="false" ht="15" hidden="false" customHeight="false" outlineLevel="0" collapsed="false">
      <c r="A1271" s="57" t="s">
        <v>1770</v>
      </c>
      <c r="B1271" s="58" t="n">
        <v>45644</v>
      </c>
      <c r="C1271" s="57" t="n">
        <f aca="false">YEAR(B1271)</f>
        <v>2024</v>
      </c>
      <c r="D1271" s="57" t="n">
        <f aca="false">MONTH(B1271)</f>
        <v>12</v>
      </c>
      <c r="E1271" s="57" t="s">
        <v>908</v>
      </c>
      <c r="F1271" s="57" t="s">
        <v>72</v>
      </c>
      <c r="G1271" s="57" t="s">
        <v>50</v>
      </c>
      <c r="H1271" s="57" t="s">
        <v>49</v>
      </c>
      <c r="I1271" s="59" t="n">
        <v>1</v>
      </c>
      <c r="J1271" s="60" t="n">
        <v>32</v>
      </c>
      <c r="K1271" s="60" t="n">
        <v>7</v>
      </c>
      <c r="L1271" s="61" t="n">
        <f aca="false">I1271*J1271</f>
        <v>32</v>
      </c>
      <c r="M1271" s="61" t="n">
        <f aca="false">L1271-I1271*K1271</f>
        <v>25</v>
      </c>
      <c r="N1271" s="57" t="n">
        <f aca="false">IF(COUNTIFS(E$2:E1271,E1271,C$2:C1271,C1271)=1,1,0)</f>
        <v>0</v>
      </c>
      <c r="O1271" s="57" t="n">
        <f aca="false">IF(COUNTIFS(E$2:E1271,E1271,C$2:C1271,C1271,D$2:D1271,D1271)=1,1,0)</f>
        <v>1</v>
      </c>
      <c r="P1271" s="57" t="n">
        <f aca="false">IF(AND(C1271=Calc!$C$3,OR(Calc!$C$4=0,D1271=Calc!$C$4)),ROW(),0)</f>
        <v>0</v>
      </c>
    </row>
    <row r="1272" customFormat="false" ht="15" hidden="false" customHeight="false" outlineLevel="0" collapsed="false">
      <c r="A1272" s="57" t="s">
        <v>1771</v>
      </c>
      <c r="B1272" s="58" t="n">
        <v>45644</v>
      </c>
      <c r="C1272" s="57" t="n">
        <f aca="false">YEAR(B1272)</f>
        <v>2024</v>
      </c>
      <c r="D1272" s="57" t="n">
        <f aca="false">MONTH(B1272)</f>
        <v>12</v>
      </c>
      <c r="E1272" s="57" t="s">
        <v>219</v>
      </c>
      <c r="F1272" s="57" t="s">
        <v>78</v>
      </c>
      <c r="G1272" s="57" t="s">
        <v>45</v>
      </c>
      <c r="H1272" s="57" t="s">
        <v>44</v>
      </c>
      <c r="I1272" s="59" t="n">
        <v>1</v>
      </c>
      <c r="J1272" s="60" t="n">
        <v>119</v>
      </c>
      <c r="K1272" s="60" t="n">
        <v>63</v>
      </c>
      <c r="L1272" s="61" t="n">
        <f aca="false">I1272*J1272</f>
        <v>119</v>
      </c>
      <c r="M1272" s="61" t="n">
        <f aca="false">L1272-I1272*K1272</f>
        <v>56</v>
      </c>
      <c r="N1272" s="57" t="n">
        <f aca="false">IF(COUNTIFS(E$2:E1272,E1272,C$2:C1272,C1272)=1,1,0)</f>
        <v>0</v>
      </c>
      <c r="O1272" s="57" t="n">
        <f aca="false">IF(COUNTIFS(E$2:E1272,E1272,C$2:C1272,C1272,D$2:D1272,D1272)=1,1,0)</f>
        <v>1</v>
      </c>
      <c r="P1272" s="57" t="n">
        <f aca="false">IF(AND(C1272=Calc!$C$3,OR(Calc!$C$4=0,D1272=Calc!$C$4)),ROW(),0)</f>
        <v>0</v>
      </c>
    </row>
    <row r="1273" customFormat="false" ht="15" hidden="false" customHeight="false" outlineLevel="0" collapsed="false">
      <c r="A1273" s="57" t="s">
        <v>1772</v>
      </c>
      <c r="B1273" s="58" t="n">
        <v>45644</v>
      </c>
      <c r="C1273" s="57" t="n">
        <f aca="false">YEAR(B1273)</f>
        <v>2024</v>
      </c>
      <c r="D1273" s="57" t="n">
        <f aca="false">MONTH(B1273)</f>
        <v>12</v>
      </c>
      <c r="E1273" s="57" t="s">
        <v>1580</v>
      </c>
      <c r="F1273" s="57" t="s">
        <v>78</v>
      </c>
      <c r="G1273" s="57" t="s">
        <v>40</v>
      </c>
      <c r="H1273" s="57" t="s">
        <v>41</v>
      </c>
      <c r="I1273" s="59" t="n">
        <v>1</v>
      </c>
      <c r="J1273" s="60" t="n">
        <v>46</v>
      </c>
      <c r="K1273" s="60" t="n">
        <v>16</v>
      </c>
      <c r="L1273" s="61" t="n">
        <f aca="false">I1273*J1273</f>
        <v>46</v>
      </c>
      <c r="M1273" s="61" t="n">
        <f aca="false">L1273-I1273*K1273</f>
        <v>30</v>
      </c>
      <c r="N1273" s="57" t="n">
        <f aca="false">IF(COUNTIFS(E$2:E1273,E1273,C$2:C1273,C1273)=1,1,0)</f>
        <v>0</v>
      </c>
      <c r="O1273" s="57" t="n">
        <f aca="false">IF(COUNTIFS(E$2:E1273,E1273,C$2:C1273,C1273,D$2:D1273,D1273)=1,1,0)</f>
        <v>1</v>
      </c>
      <c r="P1273" s="57" t="n">
        <f aca="false">IF(AND(C1273=Calc!$C$3,OR(Calc!$C$4=0,D1273=Calc!$C$4)),ROW(),0)</f>
        <v>0</v>
      </c>
    </row>
    <row r="1274" customFormat="false" ht="15" hidden="false" customHeight="false" outlineLevel="0" collapsed="false">
      <c r="A1274" s="57" t="s">
        <v>1773</v>
      </c>
      <c r="B1274" s="58" t="n">
        <v>45644</v>
      </c>
      <c r="C1274" s="57" t="n">
        <f aca="false">YEAR(B1274)</f>
        <v>2024</v>
      </c>
      <c r="D1274" s="57" t="n">
        <f aca="false">MONTH(B1274)</f>
        <v>12</v>
      </c>
      <c r="E1274" s="57" t="s">
        <v>219</v>
      </c>
      <c r="F1274" s="57" t="s">
        <v>78</v>
      </c>
      <c r="G1274" s="57" t="s">
        <v>45</v>
      </c>
      <c r="H1274" s="57" t="s">
        <v>48</v>
      </c>
      <c r="I1274" s="59" t="n">
        <v>1</v>
      </c>
      <c r="J1274" s="60" t="n">
        <v>99</v>
      </c>
      <c r="K1274" s="60" t="n">
        <v>38</v>
      </c>
      <c r="L1274" s="61" t="n">
        <f aca="false">I1274*J1274</f>
        <v>99</v>
      </c>
      <c r="M1274" s="61" t="n">
        <f aca="false">L1274-I1274*K1274</f>
        <v>61</v>
      </c>
      <c r="N1274" s="57" t="n">
        <f aca="false">IF(COUNTIFS(E$2:E1274,E1274,C$2:C1274,C1274)=1,1,0)</f>
        <v>0</v>
      </c>
      <c r="O1274" s="57" t="n">
        <f aca="false">IF(COUNTIFS(E$2:E1274,E1274,C$2:C1274,C1274,D$2:D1274,D1274)=1,1,0)</f>
        <v>0</v>
      </c>
      <c r="P1274" s="57" t="n">
        <f aca="false">IF(AND(C1274=Calc!$C$3,OR(Calc!$C$4=0,D1274=Calc!$C$4)),ROW(),0)</f>
        <v>0</v>
      </c>
    </row>
    <row r="1275" customFormat="false" ht="15" hidden="false" customHeight="false" outlineLevel="0" collapsed="false">
      <c r="A1275" s="57" t="s">
        <v>1774</v>
      </c>
      <c r="B1275" s="58" t="n">
        <v>45644</v>
      </c>
      <c r="C1275" s="57" t="n">
        <f aca="false">YEAR(B1275)</f>
        <v>2024</v>
      </c>
      <c r="D1275" s="57" t="n">
        <f aca="false">MONTH(B1275)</f>
        <v>12</v>
      </c>
      <c r="E1275" s="57" t="s">
        <v>558</v>
      </c>
      <c r="F1275" s="57" t="s">
        <v>81</v>
      </c>
      <c r="G1275" s="57" t="s">
        <v>45</v>
      </c>
      <c r="H1275" s="57" t="s">
        <v>48</v>
      </c>
      <c r="I1275" s="59" t="n">
        <v>1</v>
      </c>
      <c r="J1275" s="60" t="n">
        <v>99</v>
      </c>
      <c r="K1275" s="60" t="n">
        <v>38</v>
      </c>
      <c r="L1275" s="61" t="n">
        <f aca="false">I1275*J1275</f>
        <v>99</v>
      </c>
      <c r="M1275" s="61" t="n">
        <f aca="false">L1275-I1275*K1275</f>
        <v>61</v>
      </c>
      <c r="N1275" s="57" t="n">
        <f aca="false">IF(COUNTIFS(E$2:E1275,E1275,C$2:C1275,C1275)=1,1,0)</f>
        <v>0</v>
      </c>
      <c r="O1275" s="57" t="n">
        <f aca="false">IF(COUNTIFS(E$2:E1275,E1275,C$2:C1275,C1275,D$2:D1275,D1275)=1,1,0)</f>
        <v>0</v>
      </c>
      <c r="P1275" s="57" t="n">
        <f aca="false">IF(AND(C1275=Calc!$C$3,OR(Calc!$C$4=0,D1275=Calc!$C$4)),ROW(),0)</f>
        <v>0</v>
      </c>
    </row>
    <row r="1276" customFormat="false" ht="15" hidden="false" customHeight="false" outlineLevel="0" collapsed="false">
      <c r="A1276" s="57" t="s">
        <v>1775</v>
      </c>
      <c r="B1276" s="58" t="n">
        <v>45644</v>
      </c>
      <c r="C1276" s="57" t="n">
        <f aca="false">YEAR(B1276)</f>
        <v>2024</v>
      </c>
      <c r="D1276" s="57" t="n">
        <f aca="false">MONTH(B1276)</f>
        <v>12</v>
      </c>
      <c r="E1276" s="57" t="s">
        <v>613</v>
      </c>
      <c r="F1276" s="57" t="s">
        <v>72</v>
      </c>
      <c r="G1276" s="57" t="s">
        <v>35</v>
      </c>
      <c r="H1276" s="57" t="s">
        <v>38</v>
      </c>
      <c r="I1276" s="59" t="n">
        <v>1</v>
      </c>
      <c r="J1276" s="60" t="n">
        <v>49</v>
      </c>
      <c r="K1276" s="60" t="n">
        <v>22</v>
      </c>
      <c r="L1276" s="61" t="n">
        <f aca="false">I1276*J1276</f>
        <v>49</v>
      </c>
      <c r="M1276" s="61" t="n">
        <f aca="false">L1276-I1276*K1276</f>
        <v>27</v>
      </c>
      <c r="N1276" s="57" t="n">
        <f aca="false">IF(COUNTIFS(E$2:E1276,E1276,C$2:C1276,C1276)=1,1,0)</f>
        <v>0</v>
      </c>
      <c r="O1276" s="57" t="n">
        <f aca="false">IF(COUNTIFS(E$2:E1276,E1276,C$2:C1276,C1276,D$2:D1276,D1276)=1,1,0)</f>
        <v>0</v>
      </c>
      <c r="P1276" s="57" t="n">
        <f aca="false">IF(AND(C1276=Calc!$C$3,OR(Calc!$C$4=0,D1276=Calc!$C$4)),ROW(),0)</f>
        <v>0</v>
      </c>
    </row>
    <row r="1277" customFormat="false" ht="15" hidden="false" customHeight="false" outlineLevel="0" collapsed="false">
      <c r="A1277" s="57" t="s">
        <v>1776</v>
      </c>
      <c r="B1277" s="58" t="n">
        <v>45644</v>
      </c>
      <c r="C1277" s="57" t="n">
        <f aca="false">YEAR(B1277)</f>
        <v>2024</v>
      </c>
      <c r="D1277" s="57" t="n">
        <f aca="false">MONTH(B1277)</f>
        <v>12</v>
      </c>
      <c r="E1277" s="57" t="s">
        <v>1589</v>
      </c>
      <c r="F1277" s="57" t="s">
        <v>78</v>
      </c>
      <c r="G1277" s="57" t="s">
        <v>35</v>
      </c>
      <c r="H1277" s="57" t="s">
        <v>38</v>
      </c>
      <c r="I1277" s="59" t="n">
        <v>1</v>
      </c>
      <c r="J1277" s="60" t="n">
        <v>49</v>
      </c>
      <c r="K1277" s="60" t="n">
        <v>22</v>
      </c>
      <c r="L1277" s="61" t="n">
        <f aca="false">I1277*J1277</f>
        <v>49</v>
      </c>
      <c r="M1277" s="61" t="n">
        <f aca="false">L1277-I1277*K1277</f>
        <v>27</v>
      </c>
      <c r="N1277" s="57" t="n">
        <f aca="false">IF(COUNTIFS(E$2:E1277,E1277,C$2:C1277,C1277)=1,1,0)</f>
        <v>0</v>
      </c>
      <c r="O1277" s="57" t="n">
        <f aca="false">IF(COUNTIFS(E$2:E1277,E1277,C$2:C1277,C1277,D$2:D1277,D1277)=1,1,0)</f>
        <v>1</v>
      </c>
      <c r="P1277" s="57" t="n">
        <f aca="false">IF(AND(C1277=Calc!$C$3,OR(Calc!$C$4=0,D1277=Calc!$C$4)),ROW(),0)</f>
        <v>0</v>
      </c>
    </row>
    <row r="1278" customFormat="false" ht="15" hidden="false" customHeight="false" outlineLevel="0" collapsed="false">
      <c r="A1278" s="57" t="s">
        <v>1777</v>
      </c>
      <c r="B1278" s="58" t="n">
        <v>45645</v>
      </c>
      <c r="C1278" s="57" t="n">
        <f aca="false">YEAR(B1278)</f>
        <v>2024</v>
      </c>
      <c r="D1278" s="57" t="n">
        <f aca="false">MONTH(B1278)</f>
        <v>12</v>
      </c>
      <c r="E1278" s="57" t="s">
        <v>566</v>
      </c>
      <c r="F1278" s="57" t="s">
        <v>69</v>
      </c>
      <c r="G1278" s="57" t="s">
        <v>35</v>
      </c>
      <c r="H1278" s="57" t="s">
        <v>36</v>
      </c>
      <c r="I1278" s="59" t="n">
        <v>1</v>
      </c>
      <c r="J1278" s="60" t="n">
        <v>179</v>
      </c>
      <c r="K1278" s="60" t="n">
        <v>92</v>
      </c>
      <c r="L1278" s="61" t="n">
        <f aca="false">I1278*J1278</f>
        <v>179</v>
      </c>
      <c r="M1278" s="61" t="n">
        <f aca="false">L1278-I1278*K1278</f>
        <v>87</v>
      </c>
      <c r="N1278" s="57" t="n">
        <f aca="false">IF(COUNTIFS(E$2:E1278,E1278,C$2:C1278,C1278)=1,1,0)</f>
        <v>0</v>
      </c>
      <c r="O1278" s="57" t="n">
        <f aca="false">IF(COUNTIFS(E$2:E1278,E1278,C$2:C1278,C1278,D$2:D1278,D1278)=1,1,0)</f>
        <v>1</v>
      </c>
      <c r="P1278" s="57" t="n">
        <f aca="false">IF(AND(C1278=Calc!$C$3,OR(Calc!$C$4=0,D1278=Calc!$C$4)),ROW(),0)</f>
        <v>0</v>
      </c>
    </row>
    <row r="1279" customFormat="false" ht="15" hidden="false" customHeight="false" outlineLevel="0" collapsed="false">
      <c r="A1279" s="57" t="s">
        <v>1778</v>
      </c>
      <c r="B1279" s="58" t="n">
        <v>45645</v>
      </c>
      <c r="C1279" s="57" t="n">
        <f aca="false">YEAR(B1279)</f>
        <v>2024</v>
      </c>
      <c r="D1279" s="57" t="n">
        <f aca="false">MONTH(B1279)</f>
        <v>12</v>
      </c>
      <c r="E1279" s="57" t="s">
        <v>1077</v>
      </c>
      <c r="F1279" s="57" t="s">
        <v>81</v>
      </c>
      <c r="G1279" s="57" t="s">
        <v>35</v>
      </c>
      <c r="H1279" s="57" t="s">
        <v>34</v>
      </c>
      <c r="I1279" s="59" t="n">
        <v>1</v>
      </c>
      <c r="J1279" s="60" t="n">
        <v>89</v>
      </c>
      <c r="K1279" s="60" t="n">
        <v>41</v>
      </c>
      <c r="L1279" s="61" t="n">
        <f aca="false">I1279*J1279</f>
        <v>89</v>
      </c>
      <c r="M1279" s="61" t="n">
        <f aca="false">L1279-I1279*K1279</f>
        <v>48</v>
      </c>
      <c r="N1279" s="57" t="n">
        <f aca="false">IF(COUNTIFS(E$2:E1279,E1279,C$2:C1279,C1279)=1,1,0)</f>
        <v>0</v>
      </c>
      <c r="O1279" s="57" t="n">
        <f aca="false">IF(COUNTIFS(E$2:E1279,E1279,C$2:C1279,C1279,D$2:D1279,D1279)=1,1,0)</f>
        <v>1</v>
      </c>
      <c r="P1279" s="57" t="n">
        <f aca="false">IF(AND(C1279=Calc!$C$3,OR(Calc!$C$4=0,D1279=Calc!$C$4)),ROW(),0)</f>
        <v>0</v>
      </c>
    </row>
    <row r="1280" customFormat="false" ht="15" hidden="false" customHeight="false" outlineLevel="0" collapsed="false">
      <c r="A1280" s="57" t="s">
        <v>1779</v>
      </c>
      <c r="B1280" s="58" t="n">
        <v>45645</v>
      </c>
      <c r="C1280" s="57" t="n">
        <f aca="false">YEAR(B1280)</f>
        <v>2024</v>
      </c>
      <c r="D1280" s="57" t="n">
        <f aca="false">MONTH(B1280)</f>
        <v>12</v>
      </c>
      <c r="E1280" s="57" t="s">
        <v>91</v>
      </c>
      <c r="F1280" s="57" t="s">
        <v>69</v>
      </c>
      <c r="G1280" s="57" t="s">
        <v>35</v>
      </c>
      <c r="H1280" s="57" t="s">
        <v>36</v>
      </c>
      <c r="I1280" s="59" t="n">
        <v>1</v>
      </c>
      <c r="J1280" s="60" t="n">
        <v>179</v>
      </c>
      <c r="K1280" s="60" t="n">
        <v>92</v>
      </c>
      <c r="L1280" s="61" t="n">
        <f aca="false">I1280*J1280</f>
        <v>179</v>
      </c>
      <c r="M1280" s="61" t="n">
        <f aca="false">L1280-I1280*K1280</f>
        <v>87</v>
      </c>
      <c r="N1280" s="57" t="n">
        <f aca="false">IF(COUNTIFS(E$2:E1280,E1280,C$2:C1280,C1280)=1,1,0)</f>
        <v>0</v>
      </c>
      <c r="O1280" s="57" t="n">
        <f aca="false">IF(COUNTIFS(E$2:E1280,E1280,C$2:C1280,C1280,D$2:D1280,D1280)=1,1,0)</f>
        <v>0</v>
      </c>
      <c r="P1280" s="57" t="n">
        <f aca="false">IF(AND(C1280=Calc!$C$3,OR(Calc!$C$4=0,D1280=Calc!$C$4)),ROW(),0)</f>
        <v>0</v>
      </c>
    </row>
    <row r="1281" customFormat="false" ht="15" hidden="false" customHeight="false" outlineLevel="0" collapsed="false">
      <c r="A1281" s="57" t="s">
        <v>1780</v>
      </c>
      <c r="B1281" s="58" t="n">
        <v>45645</v>
      </c>
      <c r="C1281" s="57" t="n">
        <f aca="false">YEAR(B1281)</f>
        <v>2024</v>
      </c>
      <c r="D1281" s="57" t="n">
        <f aca="false">MONTH(B1281)</f>
        <v>12</v>
      </c>
      <c r="E1281" s="57" t="s">
        <v>589</v>
      </c>
      <c r="F1281" s="57" t="s">
        <v>75</v>
      </c>
      <c r="G1281" s="57" t="s">
        <v>35</v>
      </c>
      <c r="H1281" s="57" t="s">
        <v>38</v>
      </c>
      <c r="I1281" s="59" t="n">
        <v>1</v>
      </c>
      <c r="J1281" s="60" t="n">
        <v>49</v>
      </c>
      <c r="K1281" s="60" t="n">
        <v>22</v>
      </c>
      <c r="L1281" s="61" t="n">
        <f aca="false">I1281*J1281</f>
        <v>49</v>
      </c>
      <c r="M1281" s="61" t="n">
        <f aca="false">L1281-I1281*K1281</f>
        <v>27</v>
      </c>
      <c r="N1281" s="57" t="n">
        <f aca="false">IF(COUNTIFS(E$2:E1281,E1281,C$2:C1281,C1281)=1,1,0)</f>
        <v>0</v>
      </c>
      <c r="O1281" s="57" t="n">
        <f aca="false">IF(COUNTIFS(E$2:E1281,E1281,C$2:C1281,C1281,D$2:D1281,D1281)=1,1,0)</f>
        <v>1</v>
      </c>
      <c r="P1281" s="57" t="n">
        <f aca="false">IF(AND(C1281=Calc!$C$3,OR(Calc!$C$4=0,D1281=Calc!$C$4)),ROW(),0)</f>
        <v>0</v>
      </c>
    </row>
    <row r="1282" customFormat="false" ht="15" hidden="false" customHeight="false" outlineLevel="0" collapsed="false">
      <c r="A1282" s="57" t="s">
        <v>1781</v>
      </c>
      <c r="B1282" s="58" t="n">
        <v>45645</v>
      </c>
      <c r="C1282" s="57" t="n">
        <f aca="false">YEAR(B1282)</f>
        <v>2024</v>
      </c>
      <c r="D1282" s="57" t="n">
        <f aca="false">MONTH(B1282)</f>
        <v>12</v>
      </c>
      <c r="E1282" s="57" t="s">
        <v>1553</v>
      </c>
      <c r="F1282" s="57" t="s">
        <v>81</v>
      </c>
      <c r="G1282" s="57" t="s">
        <v>35</v>
      </c>
      <c r="H1282" s="57" t="s">
        <v>34</v>
      </c>
      <c r="I1282" s="59" t="n">
        <v>2</v>
      </c>
      <c r="J1282" s="60" t="n">
        <v>89</v>
      </c>
      <c r="K1282" s="60" t="n">
        <v>41</v>
      </c>
      <c r="L1282" s="61" t="n">
        <f aca="false">I1282*J1282</f>
        <v>178</v>
      </c>
      <c r="M1282" s="61" t="n">
        <f aca="false">L1282-I1282*K1282</f>
        <v>96</v>
      </c>
      <c r="N1282" s="57" t="n">
        <f aca="false">IF(COUNTIFS(E$2:E1282,E1282,C$2:C1282,C1282)=1,1,0)</f>
        <v>0</v>
      </c>
      <c r="O1282" s="57" t="n">
        <f aca="false">IF(COUNTIFS(E$2:E1282,E1282,C$2:C1282,C1282,D$2:D1282,D1282)=1,1,0)</f>
        <v>1</v>
      </c>
      <c r="P1282" s="57" t="n">
        <f aca="false">IF(AND(C1282=Calc!$C$3,OR(Calc!$C$4=0,D1282=Calc!$C$4)),ROW(),0)</f>
        <v>0</v>
      </c>
    </row>
    <row r="1283" customFormat="false" ht="15" hidden="false" customHeight="false" outlineLevel="0" collapsed="false">
      <c r="A1283" s="57" t="s">
        <v>1782</v>
      </c>
      <c r="B1283" s="58" t="n">
        <v>45645</v>
      </c>
      <c r="C1283" s="57" t="n">
        <f aca="false">YEAR(B1283)</f>
        <v>2024</v>
      </c>
      <c r="D1283" s="57" t="n">
        <f aca="false">MONTH(B1283)</f>
        <v>12</v>
      </c>
      <c r="E1283" s="57" t="s">
        <v>508</v>
      </c>
      <c r="F1283" s="57" t="s">
        <v>81</v>
      </c>
      <c r="G1283" s="57" t="s">
        <v>45</v>
      </c>
      <c r="H1283" s="57" t="s">
        <v>46</v>
      </c>
      <c r="I1283" s="59" t="n">
        <v>3</v>
      </c>
      <c r="J1283" s="60" t="n">
        <v>149</v>
      </c>
      <c r="K1283" s="60" t="n">
        <v>71</v>
      </c>
      <c r="L1283" s="61" t="n">
        <f aca="false">I1283*J1283</f>
        <v>447</v>
      </c>
      <c r="M1283" s="61" t="n">
        <f aca="false">L1283-I1283*K1283</f>
        <v>234</v>
      </c>
      <c r="N1283" s="57" t="n">
        <f aca="false">IF(COUNTIFS(E$2:E1283,E1283,C$2:C1283,C1283)=1,1,0)</f>
        <v>0</v>
      </c>
      <c r="O1283" s="57" t="n">
        <f aca="false">IF(COUNTIFS(E$2:E1283,E1283,C$2:C1283,C1283,D$2:D1283,D1283)=1,1,0)</f>
        <v>0</v>
      </c>
      <c r="P1283" s="57" t="n">
        <f aca="false">IF(AND(C1283=Calc!$C$3,OR(Calc!$C$4=0,D1283=Calc!$C$4)),ROW(),0)</f>
        <v>0</v>
      </c>
    </row>
    <row r="1284" customFormat="false" ht="15" hidden="false" customHeight="false" outlineLevel="0" collapsed="false">
      <c r="A1284" s="57" t="s">
        <v>1783</v>
      </c>
      <c r="B1284" s="58" t="n">
        <v>45646</v>
      </c>
      <c r="C1284" s="57" t="n">
        <f aca="false">YEAR(B1284)</f>
        <v>2024</v>
      </c>
      <c r="D1284" s="57" t="n">
        <f aca="false">MONTH(B1284)</f>
        <v>12</v>
      </c>
      <c r="E1284" s="57" t="s">
        <v>292</v>
      </c>
      <c r="F1284" s="57" t="s">
        <v>72</v>
      </c>
      <c r="G1284" s="57" t="s">
        <v>35</v>
      </c>
      <c r="H1284" s="57" t="s">
        <v>34</v>
      </c>
      <c r="I1284" s="59" t="n">
        <v>1</v>
      </c>
      <c r="J1284" s="60" t="n">
        <v>89</v>
      </c>
      <c r="K1284" s="60" t="n">
        <v>41</v>
      </c>
      <c r="L1284" s="61" t="n">
        <f aca="false">I1284*J1284</f>
        <v>89</v>
      </c>
      <c r="M1284" s="61" t="n">
        <f aca="false">L1284-I1284*K1284</f>
        <v>48</v>
      </c>
      <c r="N1284" s="57" t="n">
        <f aca="false">IF(COUNTIFS(E$2:E1284,E1284,C$2:C1284,C1284)=1,1,0)</f>
        <v>0</v>
      </c>
      <c r="O1284" s="57" t="n">
        <f aca="false">IF(COUNTIFS(E$2:E1284,E1284,C$2:C1284,C1284,D$2:D1284,D1284)=1,1,0)</f>
        <v>1</v>
      </c>
      <c r="P1284" s="57" t="n">
        <f aca="false">IF(AND(C1284=Calc!$C$3,OR(Calc!$C$4=0,D1284=Calc!$C$4)),ROW(),0)</f>
        <v>0</v>
      </c>
    </row>
    <row r="1285" customFormat="false" ht="15" hidden="false" customHeight="false" outlineLevel="0" collapsed="false">
      <c r="A1285" s="57" t="s">
        <v>1784</v>
      </c>
      <c r="B1285" s="58" t="n">
        <v>45646</v>
      </c>
      <c r="C1285" s="57" t="n">
        <f aca="false">YEAR(B1285)</f>
        <v>2024</v>
      </c>
      <c r="D1285" s="57" t="n">
        <f aca="false">MONTH(B1285)</f>
        <v>12</v>
      </c>
      <c r="E1285" s="57" t="s">
        <v>68</v>
      </c>
      <c r="F1285" s="57" t="s">
        <v>69</v>
      </c>
      <c r="G1285" s="57" t="s">
        <v>35</v>
      </c>
      <c r="H1285" s="57" t="s">
        <v>36</v>
      </c>
      <c r="I1285" s="59" t="n">
        <v>1</v>
      </c>
      <c r="J1285" s="60" t="n">
        <v>179</v>
      </c>
      <c r="K1285" s="60" t="n">
        <v>92</v>
      </c>
      <c r="L1285" s="61" t="n">
        <f aca="false">I1285*J1285</f>
        <v>179</v>
      </c>
      <c r="M1285" s="61" t="n">
        <f aca="false">L1285-I1285*K1285</f>
        <v>87</v>
      </c>
      <c r="N1285" s="57" t="n">
        <f aca="false">IF(COUNTIFS(E$2:E1285,E1285,C$2:C1285,C1285)=1,1,0)</f>
        <v>0</v>
      </c>
      <c r="O1285" s="57" t="n">
        <f aca="false">IF(COUNTIFS(E$2:E1285,E1285,C$2:C1285,C1285,D$2:D1285,D1285)=1,1,0)</f>
        <v>0</v>
      </c>
      <c r="P1285" s="57" t="n">
        <f aca="false">IF(AND(C1285=Calc!$C$3,OR(Calc!$C$4=0,D1285=Calc!$C$4)),ROW(),0)</f>
        <v>0</v>
      </c>
    </row>
    <row r="1286" customFormat="false" ht="15" hidden="false" customHeight="false" outlineLevel="0" collapsed="false">
      <c r="A1286" s="57" t="s">
        <v>1785</v>
      </c>
      <c r="B1286" s="58" t="n">
        <v>45646</v>
      </c>
      <c r="C1286" s="57" t="n">
        <f aca="false">YEAR(B1286)</f>
        <v>2024</v>
      </c>
      <c r="D1286" s="57" t="n">
        <f aca="false">MONTH(B1286)</f>
        <v>12</v>
      </c>
      <c r="E1286" s="57" t="s">
        <v>158</v>
      </c>
      <c r="F1286" s="57" t="s">
        <v>81</v>
      </c>
      <c r="G1286" s="57" t="s">
        <v>45</v>
      </c>
      <c r="H1286" s="57" t="s">
        <v>48</v>
      </c>
      <c r="I1286" s="59" t="n">
        <v>1</v>
      </c>
      <c r="J1286" s="60" t="n">
        <v>99</v>
      </c>
      <c r="K1286" s="60" t="n">
        <v>38</v>
      </c>
      <c r="L1286" s="61" t="n">
        <f aca="false">I1286*J1286</f>
        <v>99</v>
      </c>
      <c r="M1286" s="61" t="n">
        <f aca="false">L1286-I1286*K1286</f>
        <v>61</v>
      </c>
      <c r="N1286" s="57" t="n">
        <f aca="false">IF(COUNTIFS(E$2:E1286,E1286,C$2:C1286,C1286)=1,1,0)</f>
        <v>0</v>
      </c>
      <c r="O1286" s="57" t="n">
        <f aca="false">IF(COUNTIFS(E$2:E1286,E1286,C$2:C1286,C1286,D$2:D1286,D1286)=1,1,0)</f>
        <v>1</v>
      </c>
      <c r="P1286" s="57" t="n">
        <f aca="false">IF(AND(C1286=Calc!$C$3,OR(Calc!$C$4=0,D1286=Calc!$C$4)),ROW(),0)</f>
        <v>0</v>
      </c>
    </row>
    <row r="1287" customFormat="false" ht="15" hidden="false" customHeight="false" outlineLevel="0" collapsed="false">
      <c r="A1287" s="57" t="s">
        <v>1786</v>
      </c>
      <c r="B1287" s="58" t="n">
        <v>45646</v>
      </c>
      <c r="C1287" s="57" t="n">
        <f aca="false">YEAR(B1287)</f>
        <v>2024</v>
      </c>
      <c r="D1287" s="57" t="n">
        <f aca="false">MONTH(B1287)</f>
        <v>12</v>
      </c>
      <c r="E1287" s="57" t="s">
        <v>164</v>
      </c>
      <c r="F1287" s="57" t="s">
        <v>69</v>
      </c>
      <c r="G1287" s="57" t="s">
        <v>45</v>
      </c>
      <c r="H1287" s="57" t="s">
        <v>47</v>
      </c>
      <c r="I1287" s="59" t="n">
        <v>1</v>
      </c>
      <c r="J1287" s="60" t="n">
        <v>34</v>
      </c>
      <c r="K1287" s="60" t="n">
        <v>12</v>
      </c>
      <c r="L1287" s="61" t="n">
        <f aca="false">I1287*J1287</f>
        <v>34</v>
      </c>
      <c r="M1287" s="61" t="n">
        <f aca="false">L1287-I1287*K1287</f>
        <v>22</v>
      </c>
      <c r="N1287" s="57" t="n">
        <f aca="false">IF(COUNTIFS(E$2:E1287,E1287,C$2:C1287,C1287)=1,1,0)</f>
        <v>0</v>
      </c>
      <c r="O1287" s="57" t="n">
        <f aca="false">IF(COUNTIFS(E$2:E1287,E1287,C$2:C1287,C1287,D$2:D1287,D1287)=1,1,0)</f>
        <v>1</v>
      </c>
      <c r="P1287" s="57" t="n">
        <f aca="false">IF(AND(C1287=Calc!$C$3,OR(Calc!$C$4=0,D1287=Calc!$C$4)),ROW(),0)</f>
        <v>0</v>
      </c>
    </row>
    <row r="1288" customFormat="false" ht="15" hidden="false" customHeight="false" outlineLevel="0" collapsed="false">
      <c r="A1288" s="57" t="s">
        <v>1787</v>
      </c>
      <c r="B1288" s="58" t="n">
        <v>45646</v>
      </c>
      <c r="C1288" s="57" t="n">
        <f aca="false">YEAR(B1288)</f>
        <v>2024</v>
      </c>
      <c r="D1288" s="57" t="n">
        <f aca="false">MONTH(B1288)</f>
        <v>12</v>
      </c>
      <c r="E1288" s="57" t="s">
        <v>725</v>
      </c>
      <c r="F1288" s="57" t="s">
        <v>69</v>
      </c>
      <c r="G1288" s="57" t="s">
        <v>45</v>
      </c>
      <c r="H1288" s="57" t="s">
        <v>46</v>
      </c>
      <c r="I1288" s="59" t="n">
        <v>1</v>
      </c>
      <c r="J1288" s="60" t="n">
        <v>149</v>
      </c>
      <c r="K1288" s="60" t="n">
        <v>71</v>
      </c>
      <c r="L1288" s="61" t="n">
        <f aca="false">I1288*J1288</f>
        <v>149</v>
      </c>
      <c r="M1288" s="61" t="n">
        <f aca="false">L1288-I1288*K1288</f>
        <v>78</v>
      </c>
      <c r="N1288" s="57" t="n">
        <f aca="false">IF(COUNTIFS(E$2:E1288,E1288,C$2:C1288,C1288)=1,1,0)</f>
        <v>0</v>
      </c>
      <c r="O1288" s="57" t="n">
        <f aca="false">IF(COUNTIFS(E$2:E1288,E1288,C$2:C1288,C1288,D$2:D1288,D1288)=1,1,0)</f>
        <v>0</v>
      </c>
      <c r="P1288" s="57" t="n">
        <f aca="false">IF(AND(C1288=Calc!$C$3,OR(Calc!$C$4=0,D1288=Calc!$C$4)),ROW(),0)</f>
        <v>0</v>
      </c>
    </row>
    <row r="1289" customFormat="false" ht="15" hidden="false" customHeight="false" outlineLevel="0" collapsed="false">
      <c r="A1289" s="57" t="s">
        <v>1788</v>
      </c>
      <c r="B1289" s="58" t="n">
        <v>45647</v>
      </c>
      <c r="C1289" s="57" t="n">
        <f aca="false">YEAR(B1289)</f>
        <v>2024</v>
      </c>
      <c r="D1289" s="57" t="n">
        <f aca="false">MONTH(B1289)</f>
        <v>12</v>
      </c>
      <c r="E1289" s="57" t="s">
        <v>430</v>
      </c>
      <c r="F1289" s="57" t="s">
        <v>72</v>
      </c>
      <c r="G1289" s="57" t="s">
        <v>35</v>
      </c>
      <c r="H1289" s="57" t="s">
        <v>34</v>
      </c>
      <c r="I1289" s="59" t="n">
        <v>2</v>
      </c>
      <c r="J1289" s="60" t="n">
        <v>89</v>
      </c>
      <c r="K1289" s="60" t="n">
        <v>41</v>
      </c>
      <c r="L1289" s="61" t="n">
        <f aca="false">I1289*J1289</f>
        <v>178</v>
      </c>
      <c r="M1289" s="61" t="n">
        <f aca="false">L1289-I1289*K1289</f>
        <v>96</v>
      </c>
      <c r="N1289" s="57" t="n">
        <f aca="false">IF(COUNTIFS(E$2:E1289,E1289,C$2:C1289,C1289)=1,1,0)</f>
        <v>0</v>
      </c>
      <c r="O1289" s="57" t="n">
        <f aca="false">IF(COUNTIFS(E$2:E1289,E1289,C$2:C1289,C1289,D$2:D1289,D1289)=1,1,0)</f>
        <v>1</v>
      </c>
      <c r="P1289" s="57" t="n">
        <f aca="false">IF(AND(C1289=Calc!$C$3,OR(Calc!$C$4=0,D1289=Calc!$C$4)),ROW(),0)</f>
        <v>0</v>
      </c>
    </row>
    <row r="1290" customFormat="false" ht="15" hidden="false" customHeight="false" outlineLevel="0" collapsed="false">
      <c r="A1290" s="57" t="s">
        <v>1789</v>
      </c>
      <c r="B1290" s="58" t="n">
        <v>45647</v>
      </c>
      <c r="C1290" s="57" t="n">
        <f aca="false">YEAR(B1290)</f>
        <v>2024</v>
      </c>
      <c r="D1290" s="57" t="n">
        <f aca="false">MONTH(B1290)</f>
        <v>12</v>
      </c>
      <c r="E1290" s="57" t="s">
        <v>238</v>
      </c>
      <c r="F1290" s="57" t="s">
        <v>78</v>
      </c>
      <c r="G1290" s="57" t="s">
        <v>35</v>
      </c>
      <c r="H1290" s="57" t="s">
        <v>34</v>
      </c>
      <c r="I1290" s="59" t="n">
        <v>1</v>
      </c>
      <c r="J1290" s="60" t="n">
        <v>89</v>
      </c>
      <c r="K1290" s="60" t="n">
        <v>41</v>
      </c>
      <c r="L1290" s="61" t="n">
        <f aca="false">I1290*J1290</f>
        <v>89</v>
      </c>
      <c r="M1290" s="61" t="n">
        <f aca="false">L1290-I1290*K1290</f>
        <v>48</v>
      </c>
      <c r="N1290" s="57" t="n">
        <f aca="false">IF(COUNTIFS(E$2:E1290,E1290,C$2:C1290,C1290)=1,1,0)</f>
        <v>0</v>
      </c>
      <c r="O1290" s="57" t="n">
        <f aca="false">IF(COUNTIFS(E$2:E1290,E1290,C$2:C1290,C1290,D$2:D1290,D1290)=1,1,0)</f>
        <v>1</v>
      </c>
      <c r="P1290" s="57" t="n">
        <f aca="false">IF(AND(C1290=Calc!$C$3,OR(Calc!$C$4=0,D1290=Calc!$C$4)),ROW(),0)</f>
        <v>0</v>
      </c>
    </row>
    <row r="1291" customFormat="false" ht="15" hidden="false" customHeight="false" outlineLevel="0" collapsed="false">
      <c r="A1291" s="57" t="s">
        <v>1790</v>
      </c>
      <c r="B1291" s="58" t="n">
        <v>45647</v>
      </c>
      <c r="C1291" s="57" t="n">
        <f aca="false">YEAR(B1291)</f>
        <v>2024</v>
      </c>
      <c r="D1291" s="57" t="n">
        <f aca="false">MONTH(B1291)</f>
        <v>12</v>
      </c>
      <c r="E1291" s="57" t="s">
        <v>307</v>
      </c>
      <c r="F1291" s="57" t="s">
        <v>69</v>
      </c>
      <c r="G1291" s="57" t="s">
        <v>45</v>
      </c>
      <c r="H1291" s="57" t="s">
        <v>44</v>
      </c>
      <c r="I1291" s="59" t="n">
        <v>2</v>
      </c>
      <c r="J1291" s="60" t="n">
        <v>119</v>
      </c>
      <c r="K1291" s="60" t="n">
        <v>63</v>
      </c>
      <c r="L1291" s="61" t="n">
        <f aca="false">I1291*J1291</f>
        <v>238</v>
      </c>
      <c r="M1291" s="61" t="n">
        <f aca="false">L1291-I1291*K1291</f>
        <v>112</v>
      </c>
      <c r="N1291" s="57" t="n">
        <f aca="false">IF(COUNTIFS(E$2:E1291,E1291,C$2:C1291,C1291)=1,1,0)</f>
        <v>0</v>
      </c>
      <c r="O1291" s="57" t="n">
        <f aca="false">IF(COUNTIFS(E$2:E1291,E1291,C$2:C1291,C1291,D$2:D1291,D1291)=1,1,0)</f>
        <v>1</v>
      </c>
      <c r="P1291" s="57" t="n">
        <f aca="false">IF(AND(C1291=Calc!$C$3,OR(Calc!$C$4=0,D1291=Calc!$C$4)),ROW(),0)</f>
        <v>0</v>
      </c>
    </row>
    <row r="1292" customFormat="false" ht="15" hidden="false" customHeight="false" outlineLevel="0" collapsed="false">
      <c r="A1292" s="57" t="s">
        <v>1791</v>
      </c>
      <c r="B1292" s="58" t="n">
        <v>45647</v>
      </c>
      <c r="C1292" s="57" t="n">
        <f aca="false">YEAR(B1292)</f>
        <v>2024</v>
      </c>
      <c r="D1292" s="57" t="n">
        <f aca="false">MONTH(B1292)</f>
        <v>12</v>
      </c>
      <c r="E1292" s="57" t="s">
        <v>1792</v>
      </c>
      <c r="F1292" s="57" t="s">
        <v>75</v>
      </c>
      <c r="G1292" s="57" t="s">
        <v>45</v>
      </c>
      <c r="H1292" s="57" t="s">
        <v>47</v>
      </c>
      <c r="I1292" s="59" t="n">
        <v>1</v>
      </c>
      <c r="J1292" s="60" t="n">
        <v>34</v>
      </c>
      <c r="K1292" s="60" t="n">
        <v>12</v>
      </c>
      <c r="L1292" s="61" t="n">
        <f aca="false">I1292*J1292</f>
        <v>34</v>
      </c>
      <c r="M1292" s="61" t="n">
        <f aca="false">L1292-I1292*K1292</f>
        <v>22</v>
      </c>
      <c r="N1292" s="57" t="n">
        <f aca="false">IF(COUNTIFS(E$2:E1292,E1292,C$2:C1292,C1292)=1,1,0)</f>
        <v>1</v>
      </c>
      <c r="O1292" s="57" t="n">
        <f aca="false">IF(COUNTIFS(E$2:E1292,E1292,C$2:C1292,C1292,D$2:D1292,D1292)=1,1,0)</f>
        <v>1</v>
      </c>
      <c r="P1292" s="57" t="n">
        <f aca="false">IF(AND(C1292=Calc!$C$3,OR(Calc!$C$4=0,D1292=Calc!$C$4)),ROW(),0)</f>
        <v>0</v>
      </c>
    </row>
    <row r="1293" customFormat="false" ht="15" hidden="false" customHeight="false" outlineLevel="0" collapsed="false">
      <c r="A1293" s="57" t="s">
        <v>1793</v>
      </c>
      <c r="B1293" s="58" t="n">
        <v>45647</v>
      </c>
      <c r="C1293" s="57" t="n">
        <f aca="false">YEAR(B1293)</f>
        <v>2024</v>
      </c>
      <c r="D1293" s="57" t="n">
        <f aca="false">MONTH(B1293)</f>
        <v>12</v>
      </c>
      <c r="E1293" s="57" t="s">
        <v>986</v>
      </c>
      <c r="F1293" s="57" t="s">
        <v>75</v>
      </c>
      <c r="G1293" s="57" t="s">
        <v>45</v>
      </c>
      <c r="H1293" s="57" t="s">
        <v>48</v>
      </c>
      <c r="I1293" s="59" t="n">
        <v>1</v>
      </c>
      <c r="J1293" s="60" t="n">
        <v>99</v>
      </c>
      <c r="K1293" s="60" t="n">
        <v>38</v>
      </c>
      <c r="L1293" s="61" t="n">
        <f aca="false">I1293*J1293</f>
        <v>99</v>
      </c>
      <c r="M1293" s="61" t="n">
        <f aca="false">L1293-I1293*K1293</f>
        <v>61</v>
      </c>
      <c r="N1293" s="57" t="n">
        <f aca="false">IF(COUNTIFS(E$2:E1293,E1293,C$2:C1293,C1293)=1,1,0)</f>
        <v>0</v>
      </c>
      <c r="O1293" s="57" t="n">
        <f aca="false">IF(COUNTIFS(E$2:E1293,E1293,C$2:C1293,C1293,D$2:D1293,D1293)=1,1,0)</f>
        <v>1</v>
      </c>
      <c r="P1293" s="57" t="n">
        <f aca="false">IF(AND(C1293=Calc!$C$3,OR(Calc!$C$4=0,D1293=Calc!$C$4)),ROW(),0)</f>
        <v>0</v>
      </c>
    </row>
    <row r="1294" customFormat="false" ht="15" hidden="false" customHeight="false" outlineLevel="0" collapsed="false">
      <c r="A1294" s="57" t="s">
        <v>1794</v>
      </c>
      <c r="B1294" s="58" t="n">
        <v>45647</v>
      </c>
      <c r="C1294" s="57" t="n">
        <f aca="false">YEAR(B1294)</f>
        <v>2024</v>
      </c>
      <c r="D1294" s="57" t="n">
        <f aca="false">MONTH(B1294)</f>
        <v>12</v>
      </c>
      <c r="E1294" s="57" t="s">
        <v>601</v>
      </c>
      <c r="F1294" s="57" t="s">
        <v>78</v>
      </c>
      <c r="G1294" s="57" t="s">
        <v>45</v>
      </c>
      <c r="H1294" s="57" t="s">
        <v>44</v>
      </c>
      <c r="I1294" s="59" t="n">
        <v>1</v>
      </c>
      <c r="J1294" s="60" t="n">
        <v>119</v>
      </c>
      <c r="K1294" s="60" t="n">
        <v>63</v>
      </c>
      <c r="L1294" s="61" t="n">
        <f aca="false">I1294*J1294</f>
        <v>119</v>
      </c>
      <c r="M1294" s="61" t="n">
        <f aca="false">L1294-I1294*K1294</f>
        <v>56</v>
      </c>
      <c r="N1294" s="57" t="n">
        <f aca="false">IF(COUNTIFS(E$2:E1294,E1294,C$2:C1294,C1294)=1,1,0)</f>
        <v>0</v>
      </c>
      <c r="O1294" s="57" t="n">
        <f aca="false">IF(COUNTIFS(E$2:E1294,E1294,C$2:C1294,C1294,D$2:D1294,D1294)=1,1,0)</f>
        <v>1</v>
      </c>
      <c r="P1294" s="57" t="n">
        <f aca="false">IF(AND(C1294=Calc!$C$3,OR(Calc!$C$4=0,D1294=Calc!$C$4)),ROW(),0)</f>
        <v>0</v>
      </c>
    </row>
    <row r="1295" customFormat="false" ht="15" hidden="false" customHeight="false" outlineLevel="0" collapsed="false">
      <c r="A1295" s="57" t="s">
        <v>1795</v>
      </c>
      <c r="B1295" s="58" t="n">
        <v>45648</v>
      </c>
      <c r="C1295" s="57" t="n">
        <f aca="false">YEAR(B1295)</f>
        <v>2024</v>
      </c>
      <c r="D1295" s="57" t="n">
        <f aca="false">MONTH(B1295)</f>
        <v>12</v>
      </c>
      <c r="E1295" s="57" t="s">
        <v>743</v>
      </c>
      <c r="F1295" s="57" t="s">
        <v>69</v>
      </c>
      <c r="G1295" s="57" t="s">
        <v>35</v>
      </c>
      <c r="H1295" s="57" t="s">
        <v>37</v>
      </c>
      <c r="I1295" s="59" t="n">
        <v>1</v>
      </c>
      <c r="J1295" s="60" t="n">
        <v>59</v>
      </c>
      <c r="K1295" s="60" t="n">
        <v>27</v>
      </c>
      <c r="L1295" s="61" t="n">
        <f aca="false">I1295*J1295</f>
        <v>59</v>
      </c>
      <c r="M1295" s="61" t="n">
        <f aca="false">L1295-I1295*K1295</f>
        <v>32</v>
      </c>
      <c r="N1295" s="57" t="n">
        <f aca="false">IF(COUNTIFS(E$2:E1295,E1295,C$2:C1295,C1295)=1,1,0)</f>
        <v>0</v>
      </c>
      <c r="O1295" s="57" t="n">
        <f aca="false">IF(COUNTIFS(E$2:E1295,E1295,C$2:C1295,C1295,D$2:D1295,D1295)=1,1,0)</f>
        <v>0</v>
      </c>
      <c r="P1295" s="57" t="n">
        <f aca="false">IF(AND(C1295=Calc!$C$3,OR(Calc!$C$4=0,D1295=Calc!$C$4)),ROW(),0)</f>
        <v>0</v>
      </c>
    </row>
    <row r="1296" customFormat="false" ht="15" hidden="false" customHeight="false" outlineLevel="0" collapsed="false">
      <c r="A1296" s="57" t="s">
        <v>1796</v>
      </c>
      <c r="B1296" s="58" t="n">
        <v>45648</v>
      </c>
      <c r="C1296" s="57" t="n">
        <f aca="false">YEAR(B1296)</f>
        <v>2024</v>
      </c>
      <c r="D1296" s="57" t="n">
        <f aca="false">MONTH(B1296)</f>
        <v>12</v>
      </c>
      <c r="E1296" s="57" t="s">
        <v>277</v>
      </c>
      <c r="F1296" s="57" t="s">
        <v>75</v>
      </c>
      <c r="G1296" s="57" t="s">
        <v>35</v>
      </c>
      <c r="H1296" s="57" t="s">
        <v>34</v>
      </c>
      <c r="I1296" s="59" t="n">
        <v>1</v>
      </c>
      <c r="J1296" s="60" t="n">
        <v>89</v>
      </c>
      <c r="K1296" s="60" t="n">
        <v>41</v>
      </c>
      <c r="L1296" s="61" t="n">
        <f aca="false">I1296*J1296</f>
        <v>89</v>
      </c>
      <c r="M1296" s="61" t="n">
        <f aca="false">L1296-I1296*K1296</f>
        <v>48</v>
      </c>
      <c r="N1296" s="57" t="n">
        <f aca="false">IF(COUNTIFS(E$2:E1296,E1296,C$2:C1296,C1296)=1,1,0)</f>
        <v>0</v>
      </c>
      <c r="O1296" s="57" t="n">
        <f aca="false">IF(COUNTIFS(E$2:E1296,E1296,C$2:C1296,C1296,D$2:D1296,D1296)=1,1,0)</f>
        <v>0</v>
      </c>
      <c r="P1296" s="57" t="n">
        <f aca="false">IF(AND(C1296=Calc!$C$3,OR(Calc!$C$4=0,D1296=Calc!$C$4)),ROW(),0)</f>
        <v>0</v>
      </c>
    </row>
    <row r="1297" customFormat="false" ht="15" hidden="false" customHeight="false" outlineLevel="0" collapsed="false">
      <c r="A1297" s="57" t="s">
        <v>1797</v>
      </c>
      <c r="B1297" s="58" t="n">
        <v>45648</v>
      </c>
      <c r="C1297" s="57" t="n">
        <f aca="false">YEAR(B1297)</f>
        <v>2024</v>
      </c>
      <c r="D1297" s="57" t="n">
        <f aca="false">MONTH(B1297)</f>
        <v>12</v>
      </c>
      <c r="E1297" s="57" t="s">
        <v>446</v>
      </c>
      <c r="F1297" s="57" t="s">
        <v>75</v>
      </c>
      <c r="G1297" s="57" t="s">
        <v>35</v>
      </c>
      <c r="H1297" s="57" t="s">
        <v>38</v>
      </c>
      <c r="I1297" s="59" t="n">
        <v>1</v>
      </c>
      <c r="J1297" s="60" t="n">
        <v>49</v>
      </c>
      <c r="K1297" s="60" t="n">
        <v>22</v>
      </c>
      <c r="L1297" s="61" t="n">
        <f aca="false">I1297*J1297</f>
        <v>49</v>
      </c>
      <c r="M1297" s="61" t="n">
        <f aca="false">L1297-I1297*K1297</f>
        <v>27</v>
      </c>
      <c r="N1297" s="57" t="n">
        <f aca="false">IF(COUNTIFS(E$2:E1297,E1297,C$2:C1297,C1297)=1,1,0)</f>
        <v>0</v>
      </c>
      <c r="O1297" s="57" t="n">
        <f aca="false">IF(COUNTIFS(E$2:E1297,E1297,C$2:C1297,C1297,D$2:D1297,D1297)=1,1,0)</f>
        <v>1</v>
      </c>
      <c r="P1297" s="57" t="n">
        <f aca="false">IF(AND(C1297=Calc!$C$3,OR(Calc!$C$4=0,D1297=Calc!$C$4)),ROW(),0)</f>
        <v>0</v>
      </c>
    </row>
    <row r="1298" customFormat="false" ht="15" hidden="false" customHeight="false" outlineLevel="0" collapsed="false">
      <c r="A1298" s="57" t="s">
        <v>1798</v>
      </c>
      <c r="B1298" s="58" t="n">
        <v>45648</v>
      </c>
      <c r="C1298" s="57" t="n">
        <f aca="false">YEAR(B1298)</f>
        <v>2024</v>
      </c>
      <c r="D1298" s="57" t="n">
        <f aca="false">MONTH(B1298)</f>
        <v>12</v>
      </c>
      <c r="E1298" s="57" t="s">
        <v>494</v>
      </c>
      <c r="F1298" s="57" t="s">
        <v>78</v>
      </c>
      <c r="G1298" s="57" t="s">
        <v>50</v>
      </c>
      <c r="H1298" s="57" t="s">
        <v>49</v>
      </c>
      <c r="I1298" s="59" t="n">
        <v>1</v>
      </c>
      <c r="J1298" s="60" t="n">
        <v>32</v>
      </c>
      <c r="K1298" s="60" t="n">
        <v>7</v>
      </c>
      <c r="L1298" s="61" t="n">
        <f aca="false">I1298*J1298</f>
        <v>32</v>
      </c>
      <c r="M1298" s="61" t="n">
        <f aca="false">L1298-I1298*K1298</f>
        <v>25</v>
      </c>
      <c r="N1298" s="57" t="n">
        <f aca="false">IF(COUNTIFS(E$2:E1298,E1298,C$2:C1298,C1298)=1,1,0)</f>
        <v>0</v>
      </c>
      <c r="O1298" s="57" t="n">
        <f aca="false">IF(COUNTIFS(E$2:E1298,E1298,C$2:C1298,C1298,D$2:D1298,D1298)=1,1,0)</f>
        <v>0</v>
      </c>
      <c r="P1298" s="57" t="n">
        <f aca="false">IF(AND(C1298=Calc!$C$3,OR(Calc!$C$4=0,D1298=Calc!$C$4)),ROW(),0)</f>
        <v>0</v>
      </c>
    </row>
    <row r="1299" customFormat="false" ht="15" hidden="false" customHeight="false" outlineLevel="0" collapsed="false">
      <c r="A1299" s="57" t="s">
        <v>1799</v>
      </c>
      <c r="B1299" s="58" t="n">
        <v>45648</v>
      </c>
      <c r="C1299" s="57" t="n">
        <f aca="false">YEAR(B1299)</f>
        <v>2024</v>
      </c>
      <c r="D1299" s="57" t="n">
        <f aca="false">MONTH(B1299)</f>
        <v>12</v>
      </c>
      <c r="E1299" s="57" t="s">
        <v>238</v>
      </c>
      <c r="F1299" s="57" t="s">
        <v>78</v>
      </c>
      <c r="G1299" s="57" t="s">
        <v>35</v>
      </c>
      <c r="H1299" s="57" t="s">
        <v>36</v>
      </c>
      <c r="I1299" s="59" t="n">
        <v>1</v>
      </c>
      <c r="J1299" s="60" t="n">
        <v>179</v>
      </c>
      <c r="K1299" s="60" t="n">
        <v>92</v>
      </c>
      <c r="L1299" s="61" t="n">
        <f aca="false">I1299*J1299</f>
        <v>179</v>
      </c>
      <c r="M1299" s="61" t="n">
        <f aca="false">L1299-I1299*K1299</f>
        <v>87</v>
      </c>
      <c r="N1299" s="57" t="n">
        <f aca="false">IF(COUNTIFS(E$2:E1299,E1299,C$2:C1299,C1299)=1,1,0)</f>
        <v>0</v>
      </c>
      <c r="O1299" s="57" t="n">
        <f aca="false">IF(COUNTIFS(E$2:E1299,E1299,C$2:C1299,C1299,D$2:D1299,D1299)=1,1,0)</f>
        <v>0</v>
      </c>
      <c r="P1299" s="57" t="n">
        <f aca="false">IF(AND(C1299=Calc!$C$3,OR(Calc!$C$4=0,D1299=Calc!$C$4)),ROW(),0)</f>
        <v>0</v>
      </c>
    </row>
    <row r="1300" customFormat="false" ht="15" hidden="false" customHeight="false" outlineLevel="0" collapsed="false">
      <c r="A1300" s="57" t="s">
        <v>1800</v>
      </c>
      <c r="B1300" s="58" t="n">
        <v>45648</v>
      </c>
      <c r="C1300" s="57" t="n">
        <f aca="false">YEAR(B1300)</f>
        <v>2024</v>
      </c>
      <c r="D1300" s="57" t="n">
        <f aca="false">MONTH(B1300)</f>
        <v>12</v>
      </c>
      <c r="E1300" s="57" t="s">
        <v>743</v>
      </c>
      <c r="F1300" s="57" t="s">
        <v>69</v>
      </c>
      <c r="G1300" s="57" t="s">
        <v>35</v>
      </c>
      <c r="H1300" s="57" t="s">
        <v>36</v>
      </c>
      <c r="I1300" s="59" t="n">
        <v>1</v>
      </c>
      <c r="J1300" s="60" t="n">
        <v>179</v>
      </c>
      <c r="K1300" s="60" t="n">
        <v>92</v>
      </c>
      <c r="L1300" s="61" t="n">
        <f aca="false">I1300*J1300</f>
        <v>179</v>
      </c>
      <c r="M1300" s="61" t="n">
        <f aca="false">L1300-I1300*K1300</f>
        <v>87</v>
      </c>
      <c r="N1300" s="57" t="n">
        <f aca="false">IF(COUNTIFS(E$2:E1300,E1300,C$2:C1300,C1300)=1,1,0)</f>
        <v>0</v>
      </c>
      <c r="O1300" s="57" t="n">
        <f aca="false">IF(COUNTIFS(E$2:E1300,E1300,C$2:C1300,C1300,D$2:D1300,D1300)=1,1,0)</f>
        <v>0</v>
      </c>
      <c r="P1300" s="57" t="n">
        <f aca="false">IF(AND(C1300=Calc!$C$3,OR(Calc!$C$4=0,D1300=Calc!$C$4)),ROW(),0)</f>
        <v>0</v>
      </c>
    </row>
    <row r="1301" customFormat="false" ht="15" hidden="false" customHeight="false" outlineLevel="0" collapsed="false">
      <c r="A1301" s="57" t="s">
        <v>1801</v>
      </c>
      <c r="B1301" s="58" t="n">
        <v>45648</v>
      </c>
      <c r="C1301" s="57" t="n">
        <f aca="false">YEAR(B1301)</f>
        <v>2024</v>
      </c>
      <c r="D1301" s="57" t="n">
        <f aca="false">MONTH(B1301)</f>
        <v>12</v>
      </c>
      <c r="E1301" s="57" t="s">
        <v>477</v>
      </c>
      <c r="F1301" s="57" t="s">
        <v>78</v>
      </c>
      <c r="G1301" s="57" t="s">
        <v>45</v>
      </c>
      <c r="H1301" s="57" t="s">
        <v>44</v>
      </c>
      <c r="I1301" s="59" t="n">
        <v>1</v>
      </c>
      <c r="J1301" s="60" t="n">
        <v>119</v>
      </c>
      <c r="K1301" s="60" t="n">
        <v>63</v>
      </c>
      <c r="L1301" s="61" t="n">
        <f aca="false">I1301*J1301</f>
        <v>119</v>
      </c>
      <c r="M1301" s="61" t="n">
        <f aca="false">L1301-I1301*K1301</f>
        <v>56</v>
      </c>
      <c r="N1301" s="57" t="n">
        <f aca="false">IF(COUNTIFS(E$2:E1301,E1301,C$2:C1301,C1301)=1,1,0)</f>
        <v>0</v>
      </c>
      <c r="O1301" s="57" t="n">
        <f aca="false">IF(COUNTIFS(E$2:E1301,E1301,C$2:C1301,C1301,D$2:D1301,D1301)=1,1,0)</f>
        <v>0</v>
      </c>
      <c r="P1301" s="57" t="n">
        <f aca="false">IF(AND(C1301=Calc!$C$3,OR(Calc!$C$4=0,D1301=Calc!$C$4)),ROW(),0)</f>
        <v>0</v>
      </c>
    </row>
    <row r="1302" customFormat="false" ht="15" hidden="false" customHeight="false" outlineLevel="0" collapsed="false">
      <c r="A1302" s="57" t="s">
        <v>1802</v>
      </c>
      <c r="B1302" s="58" t="n">
        <v>45648</v>
      </c>
      <c r="C1302" s="57" t="n">
        <f aca="false">YEAR(B1302)</f>
        <v>2024</v>
      </c>
      <c r="D1302" s="57" t="n">
        <f aca="false">MONTH(B1302)</f>
        <v>12</v>
      </c>
      <c r="E1302" s="57" t="s">
        <v>307</v>
      </c>
      <c r="F1302" s="57" t="s">
        <v>69</v>
      </c>
      <c r="G1302" s="57" t="s">
        <v>50</v>
      </c>
      <c r="H1302" s="57" t="s">
        <v>52</v>
      </c>
      <c r="I1302" s="59" t="n">
        <v>1</v>
      </c>
      <c r="J1302" s="60" t="n">
        <v>45</v>
      </c>
      <c r="K1302" s="60" t="n">
        <v>14</v>
      </c>
      <c r="L1302" s="61" t="n">
        <f aca="false">I1302*J1302</f>
        <v>45</v>
      </c>
      <c r="M1302" s="61" t="n">
        <f aca="false">L1302-I1302*K1302</f>
        <v>31</v>
      </c>
      <c r="N1302" s="57" t="n">
        <f aca="false">IF(COUNTIFS(E$2:E1302,E1302,C$2:C1302,C1302)=1,1,0)</f>
        <v>0</v>
      </c>
      <c r="O1302" s="57" t="n">
        <f aca="false">IF(COUNTIFS(E$2:E1302,E1302,C$2:C1302,C1302,D$2:D1302,D1302)=1,1,0)</f>
        <v>0</v>
      </c>
      <c r="P1302" s="57" t="n">
        <f aca="false">IF(AND(C1302=Calc!$C$3,OR(Calc!$C$4=0,D1302=Calc!$C$4)),ROW(),0)</f>
        <v>0</v>
      </c>
    </row>
    <row r="1303" customFormat="false" ht="15" hidden="false" customHeight="false" outlineLevel="0" collapsed="false">
      <c r="A1303" s="57" t="s">
        <v>1803</v>
      </c>
      <c r="B1303" s="58" t="n">
        <v>45649</v>
      </c>
      <c r="C1303" s="57" t="n">
        <f aca="false">YEAR(B1303)</f>
        <v>2024</v>
      </c>
      <c r="D1303" s="57" t="n">
        <f aca="false">MONTH(B1303)</f>
        <v>12</v>
      </c>
      <c r="E1303" s="57" t="s">
        <v>685</v>
      </c>
      <c r="F1303" s="57" t="s">
        <v>78</v>
      </c>
      <c r="G1303" s="57" t="s">
        <v>35</v>
      </c>
      <c r="H1303" s="57" t="s">
        <v>36</v>
      </c>
      <c r="I1303" s="59" t="n">
        <v>1</v>
      </c>
      <c r="J1303" s="60" t="n">
        <v>179</v>
      </c>
      <c r="K1303" s="60" t="n">
        <v>92</v>
      </c>
      <c r="L1303" s="61" t="n">
        <f aca="false">I1303*J1303</f>
        <v>179</v>
      </c>
      <c r="M1303" s="61" t="n">
        <f aca="false">L1303-I1303*K1303</f>
        <v>87</v>
      </c>
      <c r="N1303" s="57" t="n">
        <f aca="false">IF(COUNTIFS(E$2:E1303,E1303,C$2:C1303,C1303)=1,1,0)</f>
        <v>0</v>
      </c>
      <c r="O1303" s="57" t="n">
        <f aca="false">IF(COUNTIFS(E$2:E1303,E1303,C$2:C1303,C1303,D$2:D1303,D1303)=1,1,0)</f>
        <v>1</v>
      </c>
      <c r="P1303" s="57" t="n">
        <f aca="false">IF(AND(C1303=Calc!$C$3,OR(Calc!$C$4=0,D1303=Calc!$C$4)),ROW(),0)</f>
        <v>0</v>
      </c>
    </row>
    <row r="1304" customFormat="false" ht="15" hidden="false" customHeight="false" outlineLevel="0" collapsed="false">
      <c r="A1304" s="57" t="s">
        <v>1804</v>
      </c>
      <c r="B1304" s="58" t="n">
        <v>45649</v>
      </c>
      <c r="C1304" s="57" t="n">
        <f aca="false">YEAR(B1304)</f>
        <v>2024</v>
      </c>
      <c r="D1304" s="57" t="n">
        <f aca="false">MONTH(B1304)</f>
        <v>12</v>
      </c>
      <c r="E1304" s="57" t="s">
        <v>347</v>
      </c>
      <c r="F1304" s="57" t="s">
        <v>72</v>
      </c>
      <c r="G1304" s="57" t="s">
        <v>35</v>
      </c>
      <c r="H1304" s="57" t="s">
        <v>37</v>
      </c>
      <c r="I1304" s="59" t="n">
        <v>1</v>
      </c>
      <c r="J1304" s="60" t="n">
        <v>59</v>
      </c>
      <c r="K1304" s="60" t="n">
        <v>27</v>
      </c>
      <c r="L1304" s="61" t="n">
        <f aca="false">I1304*J1304</f>
        <v>59</v>
      </c>
      <c r="M1304" s="61" t="n">
        <f aca="false">L1304-I1304*K1304</f>
        <v>32</v>
      </c>
      <c r="N1304" s="57" t="n">
        <f aca="false">IF(COUNTIFS(E$2:E1304,E1304,C$2:C1304,C1304)=1,1,0)</f>
        <v>0</v>
      </c>
      <c r="O1304" s="57" t="n">
        <f aca="false">IF(COUNTIFS(E$2:E1304,E1304,C$2:C1304,C1304,D$2:D1304,D1304)=1,1,0)</f>
        <v>1</v>
      </c>
      <c r="P1304" s="57" t="n">
        <f aca="false">IF(AND(C1304=Calc!$C$3,OR(Calc!$C$4=0,D1304=Calc!$C$4)),ROW(),0)</f>
        <v>0</v>
      </c>
    </row>
    <row r="1305" customFormat="false" ht="15" hidden="false" customHeight="false" outlineLevel="0" collapsed="false">
      <c r="A1305" s="57" t="s">
        <v>1805</v>
      </c>
      <c r="B1305" s="58" t="n">
        <v>45649</v>
      </c>
      <c r="C1305" s="57" t="n">
        <f aca="false">YEAR(B1305)</f>
        <v>2024</v>
      </c>
      <c r="D1305" s="57" t="n">
        <f aca="false">MONTH(B1305)</f>
        <v>12</v>
      </c>
      <c r="E1305" s="57" t="s">
        <v>229</v>
      </c>
      <c r="F1305" s="57" t="s">
        <v>81</v>
      </c>
      <c r="G1305" s="57" t="s">
        <v>35</v>
      </c>
      <c r="H1305" s="57" t="s">
        <v>34</v>
      </c>
      <c r="I1305" s="59" t="n">
        <v>3</v>
      </c>
      <c r="J1305" s="60" t="n">
        <v>89</v>
      </c>
      <c r="K1305" s="60" t="n">
        <v>41</v>
      </c>
      <c r="L1305" s="61" t="n">
        <f aca="false">I1305*J1305</f>
        <v>267</v>
      </c>
      <c r="M1305" s="61" t="n">
        <f aca="false">L1305-I1305*K1305</f>
        <v>144</v>
      </c>
      <c r="N1305" s="57" t="n">
        <f aca="false">IF(COUNTIFS(E$2:E1305,E1305,C$2:C1305,C1305)=1,1,0)</f>
        <v>0</v>
      </c>
      <c r="O1305" s="57" t="n">
        <f aca="false">IF(COUNTIFS(E$2:E1305,E1305,C$2:C1305,C1305,D$2:D1305,D1305)=1,1,0)</f>
        <v>1</v>
      </c>
      <c r="P1305" s="57" t="n">
        <f aca="false">IF(AND(C1305=Calc!$C$3,OR(Calc!$C$4=0,D1305=Calc!$C$4)),ROW(),0)</f>
        <v>0</v>
      </c>
    </row>
    <row r="1306" customFormat="false" ht="15" hidden="false" customHeight="false" outlineLevel="0" collapsed="false">
      <c r="A1306" s="57" t="s">
        <v>1806</v>
      </c>
      <c r="B1306" s="58" t="n">
        <v>45649</v>
      </c>
      <c r="C1306" s="57" t="n">
        <f aca="false">YEAR(B1306)</f>
        <v>2024</v>
      </c>
      <c r="D1306" s="57" t="n">
        <f aca="false">MONTH(B1306)</f>
        <v>12</v>
      </c>
      <c r="E1306" s="57" t="s">
        <v>275</v>
      </c>
      <c r="F1306" s="57" t="s">
        <v>75</v>
      </c>
      <c r="G1306" s="57" t="s">
        <v>45</v>
      </c>
      <c r="H1306" s="57" t="s">
        <v>48</v>
      </c>
      <c r="I1306" s="59" t="n">
        <v>1</v>
      </c>
      <c r="J1306" s="60" t="n">
        <v>99</v>
      </c>
      <c r="K1306" s="60" t="n">
        <v>38</v>
      </c>
      <c r="L1306" s="61" t="n">
        <f aca="false">I1306*J1306</f>
        <v>99</v>
      </c>
      <c r="M1306" s="61" t="n">
        <f aca="false">L1306-I1306*K1306</f>
        <v>61</v>
      </c>
      <c r="N1306" s="57" t="n">
        <f aca="false">IF(COUNTIFS(E$2:E1306,E1306,C$2:C1306,C1306)=1,1,0)</f>
        <v>0</v>
      </c>
      <c r="O1306" s="57" t="n">
        <f aca="false">IF(COUNTIFS(E$2:E1306,E1306,C$2:C1306,C1306,D$2:D1306,D1306)=1,1,0)</f>
        <v>1</v>
      </c>
      <c r="P1306" s="57" t="n">
        <f aca="false">IF(AND(C1306=Calc!$C$3,OR(Calc!$C$4=0,D1306=Calc!$C$4)),ROW(),0)</f>
        <v>0</v>
      </c>
    </row>
    <row r="1307" customFormat="false" ht="15" hidden="false" customHeight="false" outlineLevel="0" collapsed="false">
      <c r="A1307" s="57" t="s">
        <v>1807</v>
      </c>
      <c r="B1307" s="58" t="n">
        <v>45649</v>
      </c>
      <c r="C1307" s="57" t="n">
        <f aca="false">YEAR(B1307)</f>
        <v>2024</v>
      </c>
      <c r="D1307" s="57" t="n">
        <f aca="false">MONTH(B1307)</f>
        <v>12</v>
      </c>
      <c r="E1307" s="57" t="s">
        <v>1808</v>
      </c>
      <c r="F1307" s="57" t="s">
        <v>78</v>
      </c>
      <c r="G1307" s="57" t="s">
        <v>45</v>
      </c>
      <c r="H1307" s="57" t="s">
        <v>44</v>
      </c>
      <c r="I1307" s="59" t="n">
        <v>1</v>
      </c>
      <c r="J1307" s="60" t="n">
        <v>119</v>
      </c>
      <c r="K1307" s="60" t="n">
        <v>63</v>
      </c>
      <c r="L1307" s="61" t="n">
        <f aca="false">I1307*J1307</f>
        <v>119</v>
      </c>
      <c r="M1307" s="61" t="n">
        <f aca="false">L1307-I1307*K1307</f>
        <v>56</v>
      </c>
      <c r="N1307" s="57" t="n">
        <f aca="false">IF(COUNTIFS(E$2:E1307,E1307,C$2:C1307,C1307)=1,1,0)</f>
        <v>1</v>
      </c>
      <c r="O1307" s="57" t="n">
        <f aca="false">IF(COUNTIFS(E$2:E1307,E1307,C$2:C1307,C1307,D$2:D1307,D1307)=1,1,0)</f>
        <v>1</v>
      </c>
      <c r="P1307" s="57" t="n">
        <f aca="false">IF(AND(C1307=Calc!$C$3,OR(Calc!$C$4=0,D1307=Calc!$C$4)),ROW(),0)</f>
        <v>0</v>
      </c>
    </row>
    <row r="1308" customFormat="false" ht="15" hidden="false" customHeight="false" outlineLevel="0" collapsed="false">
      <c r="A1308" s="57" t="s">
        <v>1809</v>
      </c>
      <c r="B1308" s="58" t="n">
        <v>45650</v>
      </c>
      <c r="C1308" s="57" t="n">
        <f aca="false">YEAR(B1308)</f>
        <v>2024</v>
      </c>
      <c r="D1308" s="57" t="n">
        <f aca="false">MONTH(B1308)</f>
        <v>12</v>
      </c>
      <c r="E1308" s="57" t="s">
        <v>1109</v>
      </c>
      <c r="F1308" s="57" t="s">
        <v>78</v>
      </c>
      <c r="G1308" s="57" t="s">
        <v>40</v>
      </c>
      <c r="H1308" s="57" t="s">
        <v>39</v>
      </c>
      <c r="I1308" s="59" t="n">
        <v>2</v>
      </c>
      <c r="J1308" s="60" t="n">
        <v>54</v>
      </c>
      <c r="K1308" s="60" t="n">
        <v>19</v>
      </c>
      <c r="L1308" s="61" t="n">
        <f aca="false">I1308*J1308</f>
        <v>108</v>
      </c>
      <c r="M1308" s="61" t="n">
        <f aca="false">L1308-I1308*K1308</f>
        <v>70</v>
      </c>
      <c r="N1308" s="57" t="n">
        <f aca="false">IF(COUNTIFS(E$2:E1308,E1308,C$2:C1308,C1308)=1,1,0)</f>
        <v>0</v>
      </c>
      <c r="O1308" s="57" t="n">
        <f aca="false">IF(COUNTIFS(E$2:E1308,E1308,C$2:C1308,C1308,D$2:D1308,D1308)=1,1,0)</f>
        <v>1</v>
      </c>
      <c r="P1308" s="57" t="n">
        <f aca="false">IF(AND(C1308=Calc!$C$3,OR(Calc!$C$4=0,D1308=Calc!$C$4)),ROW(),0)</f>
        <v>0</v>
      </c>
    </row>
    <row r="1309" customFormat="false" ht="15" hidden="false" customHeight="false" outlineLevel="0" collapsed="false">
      <c r="A1309" s="57" t="s">
        <v>1810</v>
      </c>
      <c r="B1309" s="58" t="n">
        <v>45650</v>
      </c>
      <c r="C1309" s="57" t="n">
        <f aca="false">YEAR(B1309)</f>
        <v>2024</v>
      </c>
      <c r="D1309" s="57" t="n">
        <f aca="false">MONTH(B1309)</f>
        <v>12</v>
      </c>
      <c r="E1309" s="57" t="s">
        <v>530</v>
      </c>
      <c r="F1309" s="57" t="s">
        <v>72</v>
      </c>
      <c r="G1309" s="57" t="s">
        <v>35</v>
      </c>
      <c r="H1309" s="57" t="s">
        <v>36</v>
      </c>
      <c r="I1309" s="59" t="n">
        <v>2</v>
      </c>
      <c r="J1309" s="60" t="n">
        <v>179</v>
      </c>
      <c r="K1309" s="60" t="n">
        <v>92</v>
      </c>
      <c r="L1309" s="61" t="n">
        <f aca="false">I1309*J1309</f>
        <v>358</v>
      </c>
      <c r="M1309" s="61" t="n">
        <f aca="false">L1309-I1309*K1309</f>
        <v>174</v>
      </c>
      <c r="N1309" s="57" t="n">
        <f aca="false">IF(COUNTIFS(E$2:E1309,E1309,C$2:C1309,C1309)=1,1,0)</f>
        <v>0</v>
      </c>
      <c r="O1309" s="57" t="n">
        <f aca="false">IF(COUNTIFS(E$2:E1309,E1309,C$2:C1309,C1309,D$2:D1309,D1309)=1,1,0)</f>
        <v>1</v>
      </c>
      <c r="P1309" s="57" t="n">
        <f aca="false">IF(AND(C1309=Calc!$C$3,OR(Calc!$C$4=0,D1309=Calc!$C$4)),ROW(),0)</f>
        <v>0</v>
      </c>
    </row>
    <row r="1310" customFormat="false" ht="15" hidden="false" customHeight="false" outlineLevel="0" collapsed="false">
      <c r="A1310" s="57" t="s">
        <v>1811</v>
      </c>
      <c r="B1310" s="58" t="n">
        <v>45650</v>
      </c>
      <c r="C1310" s="57" t="n">
        <f aca="false">YEAR(B1310)</f>
        <v>2024</v>
      </c>
      <c r="D1310" s="57" t="n">
        <f aca="false">MONTH(B1310)</f>
        <v>12</v>
      </c>
      <c r="E1310" s="57" t="s">
        <v>390</v>
      </c>
      <c r="F1310" s="57" t="s">
        <v>72</v>
      </c>
      <c r="G1310" s="57" t="s">
        <v>40</v>
      </c>
      <c r="H1310" s="57" t="s">
        <v>42</v>
      </c>
      <c r="I1310" s="59" t="n">
        <v>1</v>
      </c>
      <c r="J1310" s="60" t="n">
        <v>79</v>
      </c>
      <c r="K1310" s="60" t="n">
        <v>31</v>
      </c>
      <c r="L1310" s="61" t="n">
        <f aca="false">I1310*J1310</f>
        <v>79</v>
      </c>
      <c r="M1310" s="61" t="n">
        <f aca="false">L1310-I1310*K1310</f>
        <v>48</v>
      </c>
      <c r="N1310" s="57" t="n">
        <f aca="false">IF(COUNTIFS(E$2:E1310,E1310,C$2:C1310,C1310)=1,1,0)</f>
        <v>0</v>
      </c>
      <c r="O1310" s="57" t="n">
        <f aca="false">IF(COUNTIFS(E$2:E1310,E1310,C$2:C1310,C1310,D$2:D1310,D1310)=1,1,0)</f>
        <v>1</v>
      </c>
      <c r="P1310" s="57" t="n">
        <f aca="false">IF(AND(C1310=Calc!$C$3,OR(Calc!$C$4=0,D1310=Calc!$C$4)),ROW(),0)</f>
        <v>0</v>
      </c>
    </row>
    <row r="1311" customFormat="false" ht="15" hidden="false" customHeight="false" outlineLevel="0" collapsed="false">
      <c r="A1311" s="57" t="s">
        <v>1812</v>
      </c>
      <c r="B1311" s="58" t="n">
        <v>45650</v>
      </c>
      <c r="C1311" s="57" t="n">
        <f aca="false">YEAR(B1311)</f>
        <v>2024</v>
      </c>
      <c r="D1311" s="57" t="n">
        <f aca="false">MONTH(B1311)</f>
        <v>12</v>
      </c>
      <c r="E1311" s="57" t="s">
        <v>1813</v>
      </c>
      <c r="F1311" s="57" t="s">
        <v>78</v>
      </c>
      <c r="G1311" s="57" t="s">
        <v>35</v>
      </c>
      <c r="H1311" s="57" t="s">
        <v>34</v>
      </c>
      <c r="I1311" s="59" t="n">
        <v>1</v>
      </c>
      <c r="J1311" s="60" t="n">
        <v>89</v>
      </c>
      <c r="K1311" s="60" t="n">
        <v>41</v>
      </c>
      <c r="L1311" s="61" t="n">
        <f aca="false">I1311*J1311</f>
        <v>89</v>
      </c>
      <c r="M1311" s="61" t="n">
        <f aca="false">L1311-I1311*K1311</f>
        <v>48</v>
      </c>
      <c r="N1311" s="57" t="n">
        <f aca="false">IF(COUNTIFS(E$2:E1311,E1311,C$2:C1311,C1311)=1,1,0)</f>
        <v>1</v>
      </c>
      <c r="O1311" s="57" t="n">
        <f aca="false">IF(COUNTIFS(E$2:E1311,E1311,C$2:C1311,C1311,D$2:D1311,D1311)=1,1,0)</f>
        <v>1</v>
      </c>
      <c r="P1311" s="57" t="n">
        <f aca="false">IF(AND(C1311=Calc!$C$3,OR(Calc!$C$4=0,D1311=Calc!$C$4)),ROW(),0)</f>
        <v>0</v>
      </c>
    </row>
    <row r="1312" customFormat="false" ht="15" hidden="false" customHeight="false" outlineLevel="0" collapsed="false">
      <c r="A1312" s="57" t="s">
        <v>1814</v>
      </c>
      <c r="B1312" s="58" t="n">
        <v>45650</v>
      </c>
      <c r="C1312" s="57" t="n">
        <f aca="false">YEAR(B1312)</f>
        <v>2024</v>
      </c>
      <c r="D1312" s="57" t="n">
        <f aca="false">MONTH(B1312)</f>
        <v>12</v>
      </c>
      <c r="E1312" s="57" t="s">
        <v>976</v>
      </c>
      <c r="F1312" s="57" t="s">
        <v>75</v>
      </c>
      <c r="G1312" s="57" t="s">
        <v>54</v>
      </c>
      <c r="H1312" s="57" t="s">
        <v>56</v>
      </c>
      <c r="I1312" s="59" t="n">
        <v>2</v>
      </c>
      <c r="J1312" s="60" t="n">
        <v>42</v>
      </c>
      <c r="K1312" s="60" t="n">
        <v>17</v>
      </c>
      <c r="L1312" s="61" t="n">
        <f aca="false">I1312*J1312</f>
        <v>84</v>
      </c>
      <c r="M1312" s="61" t="n">
        <f aca="false">L1312-I1312*K1312</f>
        <v>50</v>
      </c>
      <c r="N1312" s="57" t="n">
        <f aca="false">IF(COUNTIFS(E$2:E1312,E1312,C$2:C1312,C1312)=1,1,0)</f>
        <v>0</v>
      </c>
      <c r="O1312" s="57" t="n">
        <f aca="false">IF(COUNTIFS(E$2:E1312,E1312,C$2:C1312,C1312,D$2:D1312,D1312)=1,1,0)</f>
        <v>1</v>
      </c>
      <c r="P1312" s="57" t="n">
        <f aca="false">IF(AND(C1312=Calc!$C$3,OR(Calc!$C$4=0,D1312=Calc!$C$4)),ROW(),0)</f>
        <v>0</v>
      </c>
    </row>
    <row r="1313" customFormat="false" ht="15" hidden="false" customHeight="false" outlineLevel="0" collapsed="false">
      <c r="A1313" s="57" t="s">
        <v>1815</v>
      </c>
      <c r="B1313" s="58" t="n">
        <v>45651</v>
      </c>
      <c r="C1313" s="57" t="n">
        <f aca="false">YEAR(B1313)</f>
        <v>2024</v>
      </c>
      <c r="D1313" s="57" t="n">
        <f aca="false">MONTH(B1313)</f>
        <v>12</v>
      </c>
      <c r="E1313" s="57" t="s">
        <v>150</v>
      </c>
      <c r="F1313" s="57" t="s">
        <v>69</v>
      </c>
      <c r="G1313" s="57" t="s">
        <v>35</v>
      </c>
      <c r="H1313" s="57" t="s">
        <v>36</v>
      </c>
      <c r="I1313" s="59" t="n">
        <v>2</v>
      </c>
      <c r="J1313" s="60" t="n">
        <v>179</v>
      </c>
      <c r="K1313" s="60" t="n">
        <v>92</v>
      </c>
      <c r="L1313" s="61" t="n">
        <f aca="false">I1313*J1313</f>
        <v>358</v>
      </c>
      <c r="M1313" s="61" t="n">
        <f aca="false">L1313-I1313*K1313</f>
        <v>174</v>
      </c>
      <c r="N1313" s="57" t="n">
        <f aca="false">IF(COUNTIFS(E$2:E1313,E1313,C$2:C1313,C1313)=1,1,0)</f>
        <v>0</v>
      </c>
      <c r="O1313" s="57" t="n">
        <f aca="false">IF(COUNTIFS(E$2:E1313,E1313,C$2:C1313,C1313,D$2:D1313,D1313)=1,1,0)</f>
        <v>1</v>
      </c>
      <c r="P1313" s="57" t="n">
        <f aca="false">IF(AND(C1313=Calc!$C$3,OR(Calc!$C$4=0,D1313=Calc!$C$4)),ROW(),0)</f>
        <v>0</v>
      </c>
    </row>
    <row r="1314" customFormat="false" ht="15" hidden="false" customHeight="false" outlineLevel="0" collapsed="false">
      <c r="A1314" s="57" t="s">
        <v>1816</v>
      </c>
      <c r="B1314" s="58" t="n">
        <v>45651</v>
      </c>
      <c r="C1314" s="57" t="n">
        <f aca="false">YEAR(B1314)</f>
        <v>2024</v>
      </c>
      <c r="D1314" s="57" t="n">
        <f aca="false">MONTH(B1314)</f>
        <v>12</v>
      </c>
      <c r="E1314" s="57" t="s">
        <v>1817</v>
      </c>
      <c r="F1314" s="57" t="s">
        <v>81</v>
      </c>
      <c r="G1314" s="57" t="s">
        <v>40</v>
      </c>
      <c r="H1314" s="57" t="s">
        <v>42</v>
      </c>
      <c r="I1314" s="59" t="n">
        <v>1</v>
      </c>
      <c r="J1314" s="60" t="n">
        <v>79</v>
      </c>
      <c r="K1314" s="60" t="n">
        <v>31</v>
      </c>
      <c r="L1314" s="61" t="n">
        <f aca="false">I1314*J1314</f>
        <v>79</v>
      </c>
      <c r="M1314" s="61" t="n">
        <f aca="false">L1314-I1314*K1314</f>
        <v>48</v>
      </c>
      <c r="N1314" s="57" t="n">
        <f aca="false">IF(COUNTIFS(E$2:E1314,E1314,C$2:C1314,C1314)=1,1,0)</f>
        <v>1</v>
      </c>
      <c r="O1314" s="57" t="n">
        <f aca="false">IF(COUNTIFS(E$2:E1314,E1314,C$2:C1314,C1314,D$2:D1314,D1314)=1,1,0)</f>
        <v>1</v>
      </c>
      <c r="P1314" s="57" t="n">
        <f aca="false">IF(AND(C1314=Calc!$C$3,OR(Calc!$C$4=0,D1314=Calc!$C$4)),ROW(),0)</f>
        <v>0</v>
      </c>
    </row>
    <row r="1315" customFormat="false" ht="15" hidden="false" customHeight="false" outlineLevel="0" collapsed="false">
      <c r="A1315" s="57" t="s">
        <v>1818</v>
      </c>
      <c r="B1315" s="58" t="n">
        <v>45651</v>
      </c>
      <c r="C1315" s="57" t="n">
        <f aca="false">YEAR(B1315)</f>
        <v>2024</v>
      </c>
      <c r="D1315" s="57" t="n">
        <f aca="false">MONTH(B1315)</f>
        <v>12</v>
      </c>
      <c r="E1315" s="57" t="s">
        <v>1819</v>
      </c>
      <c r="F1315" s="57" t="s">
        <v>72</v>
      </c>
      <c r="G1315" s="57" t="s">
        <v>45</v>
      </c>
      <c r="H1315" s="57" t="s">
        <v>47</v>
      </c>
      <c r="I1315" s="59" t="n">
        <v>1</v>
      </c>
      <c r="J1315" s="60" t="n">
        <v>34</v>
      </c>
      <c r="K1315" s="60" t="n">
        <v>12</v>
      </c>
      <c r="L1315" s="61" t="n">
        <f aca="false">I1315*J1315</f>
        <v>34</v>
      </c>
      <c r="M1315" s="61" t="n">
        <f aca="false">L1315-I1315*K1315</f>
        <v>22</v>
      </c>
      <c r="N1315" s="57" t="n">
        <f aca="false">IF(COUNTIFS(E$2:E1315,E1315,C$2:C1315,C1315)=1,1,0)</f>
        <v>1</v>
      </c>
      <c r="O1315" s="57" t="n">
        <f aca="false">IF(COUNTIFS(E$2:E1315,E1315,C$2:C1315,C1315,D$2:D1315,D1315)=1,1,0)</f>
        <v>1</v>
      </c>
      <c r="P1315" s="57" t="n">
        <f aca="false">IF(AND(C1315=Calc!$C$3,OR(Calc!$C$4=0,D1315=Calc!$C$4)),ROW(),0)</f>
        <v>0</v>
      </c>
    </row>
    <row r="1316" customFormat="false" ht="15" hidden="false" customHeight="false" outlineLevel="0" collapsed="false">
      <c r="A1316" s="57" t="s">
        <v>1820</v>
      </c>
      <c r="B1316" s="58" t="n">
        <v>45652</v>
      </c>
      <c r="C1316" s="57" t="n">
        <f aca="false">YEAR(B1316)</f>
        <v>2024</v>
      </c>
      <c r="D1316" s="57" t="n">
        <f aca="false">MONTH(B1316)</f>
        <v>12</v>
      </c>
      <c r="E1316" s="57" t="s">
        <v>1084</v>
      </c>
      <c r="F1316" s="57" t="s">
        <v>78</v>
      </c>
      <c r="G1316" s="57" t="s">
        <v>35</v>
      </c>
      <c r="H1316" s="57" t="s">
        <v>34</v>
      </c>
      <c r="I1316" s="59" t="n">
        <v>1</v>
      </c>
      <c r="J1316" s="60" t="n">
        <v>89</v>
      </c>
      <c r="K1316" s="60" t="n">
        <v>41</v>
      </c>
      <c r="L1316" s="61" t="n">
        <f aca="false">I1316*J1316</f>
        <v>89</v>
      </c>
      <c r="M1316" s="61" t="n">
        <f aca="false">L1316-I1316*K1316</f>
        <v>48</v>
      </c>
      <c r="N1316" s="57" t="n">
        <f aca="false">IF(COUNTIFS(E$2:E1316,E1316,C$2:C1316,C1316)=1,1,0)</f>
        <v>0</v>
      </c>
      <c r="O1316" s="57" t="n">
        <f aca="false">IF(COUNTIFS(E$2:E1316,E1316,C$2:C1316,C1316,D$2:D1316,D1316)=1,1,0)</f>
        <v>0</v>
      </c>
      <c r="P1316" s="57" t="n">
        <f aca="false">IF(AND(C1316=Calc!$C$3,OR(Calc!$C$4=0,D1316=Calc!$C$4)),ROW(),0)</f>
        <v>0</v>
      </c>
    </row>
    <row r="1317" customFormat="false" ht="15" hidden="false" customHeight="false" outlineLevel="0" collapsed="false">
      <c r="A1317" s="57" t="s">
        <v>1821</v>
      </c>
      <c r="B1317" s="58" t="n">
        <v>45652</v>
      </c>
      <c r="C1317" s="57" t="n">
        <f aca="false">YEAR(B1317)</f>
        <v>2024</v>
      </c>
      <c r="D1317" s="57" t="n">
        <f aca="false">MONTH(B1317)</f>
        <v>12</v>
      </c>
      <c r="E1317" s="57" t="s">
        <v>80</v>
      </c>
      <c r="F1317" s="57" t="s">
        <v>81</v>
      </c>
      <c r="G1317" s="57" t="s">
        <v>40</v>
      </c>
      <c r="H1317" s="57" t="s">
        <v>42</v>
      </c>
      <c r="I1317" s="59" t="n">
        <v>3</v>
      </c>
      <c r="J1317" s="60" t="n">
        <v>79</v>
      </c>
      <c r="K1317" s="60" t="n">
        <v>31</v>
      </c>
      <c r="L1317" s="61" t="n">
        <f aca="false">I1317*J1317</f>
        <v>237</v>
      </c>
      <c r="M1317" s="61" t="n">
        <f aca="false">L1317-I1317*K1317</f>
        <v>144</v>
      </c>
      <c r="N1317" s="57" t="n">
        <f aca="false">IF(COUNTIFS(E$2:E1317,E1317,C$2:C1317,C1317)=1,1,0)</f>
        <v>0</v>
      </c>
      <c r="O1317" s="57" t="n">
        <f aca="false">IF(COUNTIFS(E$2:E1317,E1317,C$2:C1317,C1317,D$2:D1317,D1317)=1,1,0)</f>
        <v>1</v>
      </c>
      <c r="P1317" s="57" t="n">
        <f aca="false">IF(AND(C1317=Calc!$C$3,OR(Calc!$C$4=0,D1317=Calc!$C$4)),ROW(),0)</f>
        <v>0</v>
      </c>
    </row>
    <row r="1318" customFormat="false" ht="15" hidden="false" customHeight="false" outlineLevel="0" collapsed="false">
      <c r="A1318" s="57" t="s">
        <v>1822</v>
      </c>
      <c r="B1318" s="58" t="n">
        <v>45652</v>
      </c>
      <c r="C1318" s="57" t="n">
        <f aca="false">YEAR(B1318)</f>
        <v>2024</v>
      </c>
      <c r="D1318" s="57" t="n">
        <f aca="false">MONTH(B1318)</f>
        <v>12</v>
      </c>
      <c r="E1318" s="57" t="s">
        <v>461</v>
      </c>
      <c r="F1318" s="57" t="s">
        <v>78</v>
      </c>
      <c r="G1318" s="57" t="s">
        <v>50</v>
      </c>
      <c r="H1318" s="57" t="s">
        <v>52</v>
      </c>
      <c r="I1318" s="59" t="n">
        <v>3</v>
      </c>
      <c r="J1318" s="60" t="n">
        <v>45</v>
      </c>
      <c r="K1318" s="60" t="n">
        <v>14</v>
      </c>
      <c r="L1318" s="61" t="n">
        <f aca="false">I1318*J1318</f>
        <v>135</v>
      </c>
      <c r="M1318" s="61" t="n">
        <f aca="false">L1318-I1318*K1318</f>
        <v>93</v>
      </c>
      <c r="N1318" s="57" t="n">
        <f aca="false">IF(COUNTIFS(E$2:E1318,E1318,C$2:C1318,C1318)=1,1,0)</f>
        <v>0</v>
      </c>
      <c r="O1318" s="57" t="n">
        <f aca="false">IF(COUNTIFS(E$2:E1318,E1318,C$2:C1318,C1318,D$2:D1318,D1318)=1,1,0)</f>
        <v>0</v>
      </c>
      <c r="P1318" s="57" t="n">
        <f aca="false">IF(AND(C1318=Calc!$C$3,OR(Calc!$C$4=0,D1318=Calc!$C$4)),ROW(),0)</f>
        <v>0</v>
      </c>
    </row>
    <row r="1319" customFormat="false" ht="15" hidden="false" customHeight="false" outlineLevel="0" collapsed="false">
      <c r="A1319" s="57" t="s">
        <v>1823</v>
      </c>
      <c r="B1319" s="58" t="n">
        <v>45652</v>
      </c>
      <c r="C1319" s="57" t="n">
        <f aca="false">YEAR(B1319)</f>
        <v>2024</v>
      </c>
      <c r="D1319" s="57" t="n">
        <f aca="false">MONTH(B1319)</f>
        <v>12</v>
      </c>
      <c r="E1319" s="57" t="s">
        <v>137</v>
      </c>
      <c r="F1319" s="57" t="s">
        <v>75</v>
      </c>
      <c r="G1319" s="57" t="s">
        <v>40</v>
      </c>
      <c r="H1319" s="57" t="s">
        <v>41</v>
      </c>
      <c r="I1319" s="59" t="n">
        <v>1</v>
      </c>
      <c r="J1319" s="60" t="n">
        <v>46</v>
      </c>
      <c r="K1319" s="60" t="n">
        <v>16</v>
      </c>
      <c r="L1319" s="61" t="n">
        <f aca="false">I1319*J1319</f>
        <v>46</v>
      </c>
      <c r="M1319" s="61" t="n">
        <f aca="false">L1319-I1319*K1319</f>
        <v>30</v>
      </c>
      <c r="N1319" s="57" t="n">
        <f aca="false">IF(COUNTIFS(E$2:E1319,E1319,C$2:C1319,C1319)=1,1,0)</f>
        <v>0</v>
      </c>
      <c r="O1319" s="57" t="n">
        <f aca="false">IF(COUNTIFS(E$2:E1319,E1319,C$2:C1319,C1319,D$2:D1319,D1319)=1,1,0)</f>
        <v>1</v>
      </c>
      <c r="P1319" s="57" t="n">
        <f aca="false">IF(AND(C1319=Calc!$C$3,OR(Calc!$C$4=0,D1319=Calc!$C$4)),ROW(),0)</f>
        <v>0</v>
      </c>
    </row>
    <row r="1320" customFormat="false" ht="15" hidden="false" customHeight="false" outlineLevel="0" collapsed="false">
      <c r="A1320" s="57" t="s">
        <v>1824</v>
      </c>
      <c r="B1320" s="58" t="n">
        <v>45652</v>
      </c>
      <c r="C1320" s="57" t="n">
        <f aca="false">YEAR(B1320)</f>
        <v>2024</v>
      </c>
      <c r="D1320" s="57" t="n">
        <f aca="false">MONTH(B1320)</f>
        <v>12</v>
      </c>
      <c r="E1320" s="57" t="s">
        <v>1825</v>
      </c>
      <c r="F1320" s="57" t="s">
        <v>78</v>
      </c>
      <c r="G1320" s="57" t="s">
        <v>50</v>
      </c>
      <c r="H1320" s="57" t="s">
        <v>49</v>
      </c>
      <c r="I1320" s="59" t="n">
        <v>1</v>
      </c>
      <c r="J1320" s="60" t="n">
        <v>32</v>
      </c>
      <c r="K1320" s="60" t="n">
        <v>7</v>
      </c>
      <c r="L1320" s="61" t="n">
        <f aca="false">I1320*J1320</f>
        <v>32</v>
      </c>
      <c r="M1320" s="61" t="n">
        <f aca="false">L1320-I1320*K1320</f>
        <v>25</v>
      </c>
      <c r="N1320" s="57" t="n">
        <f aca="false">IF(COUNTIFS(E$2:E1320,E1320,C$2:C1320,C1320)=1,1,0)</f>
        <v>1</v>
      </c>
      <c r="O1320" s="57" t="n">
        <f aca="false">IF(COUNTIFS(E$2:E1320,E1320,C$2:C1320,C1320,D$2:D1320,D1320)=1,1,0)</f>
        <v>1</v>
      </c>
      <c r="P1320" s="57" t="n">
        <f aca="false">IF(AND(C1320=Calc!$C$3,OR(Calc!$C$4=0,D1320=Calc!$C$4)),ROW(),0)</f>
        <v>0</v>
      </c>
    </row>
    <row r="1321" customFormat="false" ht="15" hidden="false" customHeight="false" outlineLevel="0" collapsed="false">
      <c r="A1321" s="57" t="s">
        <v>1826</v>
      </c>
      <c r="B1321" s="58" t="n">
        <v>45652</v>
      </c>
      <c r="C1321" s="57" t="n">
        <f aca="false">YEAR(B1321)</f>
        <v>2024</v>
      </c>
      <c r="D1321" s="57" t="n">
        <f aca="false">MONTH(B1321)</f>
        <v>12</v>
      </c>
      <c r="E1321" s="57" t="s">
        <v>1650</v>
      </c>
      <c r="F1321" s="57" t="s">
        <v>72</v>
      </c>
      <c r="G1321" s="57" t="s">
        <v>50</v>
      </c>
      <c r="H1321" s="57" t="s">
        <v>49</v>
      </c>
      <c r="I1321" s="59" t="n">
        <v>2</v>
      </c>
      <c r="J1321" s="60" t="n">
        <v>32</v>
      </c>
      <c r="K1321" s="60" t="n">
        <v>7</v>
      </c>
      <c r="L1321" s="61" t="n">
        <f aca="false">I1321*J1321</f>
        <v>64</v>
      </c>
      <c r="M1321" s="61" t="n">
        <f aca="false">L1321-I1321*K1321</f>
        <v>50</v>
      </c>
      <c r="N1321" s="57" t="n">
        <f aca="false">IF(COUNTIFS(E$2:E1321,E1321,C$2:C1321,C1321)=1,1,0)</f>
        <v>0</v>
      </c>
      <c r="O1321" s="57" t="n">
        <f aca="false">IF(COUNTIFS(E$2:E1321,E1321,C$2:C1321,C1321,D$2:D1321,D1321)=1,1,0)</f>
        <v>1</v>
      </c>
      <c r="P1321" s="57" t="n">
        <f aca="false">IF(AND(C1321=Calc!$C$3,OR(Calc!$C$4=0,D1321=Calc!$C$4)),ROW(),0)</f>
        <v>0</v>
      </c>
    </row>
    <row r="1322" customFormat="false" ht="15" hidden="false" customHeight="false" outlineLevel="0" collapsed="false">
      <c r="A1322" s="57" t="s">
        <v>1827</v>
      </c>
      <c r="B1322" s="58" t="n">
        <v>45652</v>
      </c>
      <c r="C1322" s="57" t="n">
        <f aca="false">YEAR(B1322)</f>
        <v>2024</v>
      </c>
      <c r="D1322" s="57" t="n">
        <f aca="false">MONTH(B1322)</f>
        <v>12</v>
      </c>
      <c r="E1322" s="57" t="s">
        <v>530</v>
      </c>
      <c r="F1322" s="57" t="s">
        <v>72</v>
      </c>
      <c r="G1322" s="57" t="s">
        <v>40</v>
      </c>
      <c r="H1322" s="57" t="s">
        <v>39</v>
      </c>
      <c r="I1322" s="59" t="n">
        <v>2</v>
      </c>
      <c r="J1322" s="60" t="n">
        <v>54</v>
      </c>
      <c r="K1322" s="60" t="n">
        <v>19</v>
      </c>
      <c r="L1322" s="61" t="n">
        <f aca="false">I1322*J1322</f>
        <v>108</v>
      </c>
      <c r="M1322" s="61" t="n">
        <f aca="false">L1322-I1322*K1322</f>
        <v>70</v>
      </c>
      <c r="N1322" s="57" t="n">
        <f aca="false">IF(COUNTIFS(E$2:E1322,E1322,C$2:C1322,C1322)=1,1,0)</f>
        <v>0</v>
      </c>
      <c r="O1322" s="57" t="n">
        <f aca="false">IF(COUNTIFS(E$2:E1322,E1322,C$2:C1322,C1322,D$2:D1322,D1322)=1,1,0)</f>
        <v>0</v>
      </c>
      <c r="P1322" s="57" t="n">
        <f aca="false">IF(AND(C1322=Calc!$C$3,OR(Calc!$C$4=0,D1322=Calc!$C$4)),ROW(),0)</f>
        <v>0</v>
      </c>
    </row>
    <row r="1323" customFormat="false" ht="15" hidden="false" customHeight="false" outlineLevel="0" collapsed="false">
      <c r="A1323" s="57" t="s">
        <v>1828</v>
      </c>
      <c r="B1323" s="58" t="n">
        <v>45653</v>
      </c>
      <c r="C1323" s="57" t="n">
        <f aca="false">YEAR(B1323)</f>
        <v>2024</v>
      </c>
      <c r="D1323" s="57" t="n">
        <f aca="false">MONTH(B1323)</f>
        <v>12</v>
      </c>
      <c r="E1323" s="57" t="s">
        <v>1342</v>
      </c>
      <c r="F1323" s="57" t="s">
        <v>72</v>
      </c>
      <c r="G1323" s="57" t="s">
        <v>45</v>
      </c>
      <c r="H1323" s="57" t="s">
        <v>47</v>
      </c>
      <c r="I1323" s="59" t="n">
        <v>1</v>
      </c>
      <c r="J1323" s="60" t="n">
        <v>34</v>
      </c>
      <c r="K1323" s="60" t="n">
        <v>12</v>
      </c>
      <c r="L1323" s="61" t="n">
        <f aca="false">I1323*J1323</f>
        <v>34</v>
      </c>
      <c r="M1323" s="61" t="n">
        <f aca="false">L1323-I1323*K1323</f>
        <v>22</v>
      </c>
      <c r="N1323" s="57" t="n">
        <f aca="false">IF(COUNTIFS(E$2:E1323,E1323,C$2:C1323,C1323)=1,1,0)</f>
        <v>0</v>
      </c>
      <c r="O1323" s="57" t="n">
        <f aca="false">IF(COUNTIFS(E$2:E1323,E1323,C$2:C1323,C1323,D$2:D1323,D1323)=1,1,0)</f>
        <v>0</v>
      </c>
      <c r="P1323" s="57" t="n">
        <f aca="false">IF(AND(C1323=Calc!$C$3,OR(Calc!$C$4=0,D1323=Calc!$C$4)),ROW(),0)</f>
        <v>0</v>
      </c>
    </row>
    <row r="1324" customFormat="false" ht="15" hidden="false" customHeight="false" outlineLevel="0" collapsed="false">
      <c r="A1324" s="57" t="s">
        <v>1829</v>
      </c>
      <c r="B1324" s="58" t="n">
        <v>45653</v>
      </c>
      <c r="C1324" s="57" t="n">
        <f aca="false">YEAR(B1324)</f>
        <v>2024</v>
      </c>
      <c r="D1324" s="57" t="n">
        <f aca="false">MONTH(B1324)</f>
        <v>12</v>
      </c>
      <c r="E1324" s="57" t="s">
        <v>1011</v>
      </c>
      <c r="F1324" s="57" t="s">
        <v>78</v>
      </c>
      <c r="G1324" s="57" t="s">
        <v>45</v>
      </c>
      <c r="H1324" s="57" t="s">
        <v>44</v>
      </c>
      <c r="I1324" s="59" t="n">
        <v>3</v>
      </c>
      <c r="J1324" s="60" t="n">
        <v>119</v>
      </c>
      <c r="K1324" s="60" t="n">
        <v>63</v>
      </c>
      <c r="L1324" s="61" t="n">
        <f aca="false">I1324*J1324</f>
        <v>357</v>
      </c>
      <c r="M1324" s="61" t="n">
        <f aca="false">L1324-I1324*K1324</f>
        <v>168</v>
      </c>
      <c r="N1324" s="57" t="n">
        <f aca="false">IF(COUNTIFS(E$2:E1324,E1324,C$2:C1324,C1324)=1,1,0)</f>
        <v>0</v>
      </c>
      <c r="O1324" s="57" t="n">
        <f aca="false">IF(COUNTIFS(E$2:E1324,E1324,C$2:C1324,C1324,D$2:D1324,D1324)=1,1,0)</f>
        <v>1</v>
      </c>
      <c r="P1324" s="57" t="n">
        <f aca="false">IF(AND(C1324=Calc!$C$3,OR(Calc!$C$4=0,D1324=Calc!$C$4)),ROW(),0)</f>
        <v>0</v>
      </c>
    </row>
    <row r="1325" customFormat="false" ht="15" hidden="false" customHeight="false" outlineLevel="0" collapsed="false">
      <c r="A1325" s="57" t="s">
        <v>1830</v>
      </c>
      <c r="B1325" s="58" t="n">
        <v>45653</v>
      </c>
      <c r="C1325" s="57" t="n">
        <f aca="false">YEAR(B1325)</f>
        <v>2024</v>
      </c>
      <c r="D1325" s="57" t="n">
        <f aca="false">MONTH(B1325)</f>
        <v>12</v>
      </c>
      <c r="E1325" s="57" t="s">
        <v>430</v>
      </c>
      <c r="F1325" s="57" t="s">
        <v>72</v>
      </c>
      <c r="G1325" s="57" t="s">
        <v>45</v>
      </c>
      <c r="H1325" s="57" t="s">
        <v>46</v>
      </c>
      <c r="I1325" s="59" t="n">
        <v>1</v>
      </c>
      <c r="J1325" s="60" t="n">
        <v>149</v>
      </c>
      <c r="K1325" s="60" t="n">
        <v>71</v>
      </c>
      <c r="L1325" s="61" t="n">
        <f aca="false">I1325*J1325</f>
        <v>149</v>
      </c>
      <c r="M1325" s="61" t="n">
        <f aca="false">L1325-I1325*K1325</f>
        <v>78</v>
      </c>
      <c r="N1325" s="57" t="n">
        <f aca="false">IF(COUNTIFS(E$2:E1325,E1325,C$2:C1325,C1325)=1,1,0)</f>
        <v>0</v>
      </c>
      <c r="O1325" s="57" t="n">
        <f aca="false">IF(COUNTIFS(E$2:E1325,E1325,C$2:C1325,C1325,D$2:D1325,D1325)=1,1,0)</f>
        <v>0</v>
      </c>
      <c r="P1325" s="57" t="n">
        <f aca="false">IF(AND(C1325=Calc!$C$3,OR(Calc!$C$4=0,D1325=Calc!$C$4)),ROW(),0)</f>
        <v>0</v>
      </c>
    </row>
    <row r="1326" customFormat="false" ht="15" hidden="false" customHeight="false" outlineLevel="0" collapsed="false">
      <c r="A1326" s="57" t="s">
        <v>1831</v>
      </c>
      <c r="B1326" s="58" t="n">
        <v>45653</v>
      </c>
      <c r="C1326" s="57" t="n">
        <f aca="false">YEAR(B1326)</f>
        <v>2024</v>
      </c>
      <c r="D1326" s="57" t="n">
        <f aca="false">MONTH(B1326)</f>
        <v>12</v>
      </c>
      <c r="E1326" s="57" t="s">
        <v>89</v>
      </c>
      <c r="F1326" s="57" t="s">
        <v>81</v>
      </c>
      <c r="G1326" s="57" t="s">
        <v>35</v>
      </c>
      <c r="H1326" s="57" t="s">
        <v>34</v>
      </c>
      <c r="I1326" s="59" t="n">
        <v>1</v>
      </c>
      <c r="J1326" s="60" t="n">
        <v>89</v>
      </c>
      <c r="K1326" s="60" t="n">
        <v>41</v>
      </c>
      <c r="L1326" s="61" t="n">
        <f aca="false">I1326*J1326</f>
        <v>89</v>
      </c>
      <c r="M1326" s="61" t="n">
        <f aca="false">L1326-I1326*K1326</f>
        <v>48</v>
      </c>
      <c r="N1326" s="57" t="n">
        <f aca="false">IF(COUNTIFS(E$2:E1326,E1326,C$2:C1326,C1326)=1,1,0)</f>
        <v>0</v>
      </c>
      <c r="O1326" s="57" t="n">
        <f aca="false">IF(COUNTIFS(E$2:E1326,E1326,C$2:C1326,C1326,D$2:D1326,D1326)=1,1,0)</f>
        <v>1</v>
      </c>
      <c r="P1326" s="57" t="n">
        <f aca="false">IF(AND(C1326=Calc!$C$3,OR(Calc!$C$4=0,D1326=Calc!$C$4)),ROW(),0)</f>
        <v>0</v>
      </c>
    </row>
    <row r="1327" customFormat="false" ht="15" hidden="false" customHeight="false" outlineLevel="0" collapsed="false">
      <c r="A1327" s="57" t="s">
        <v>1832</v>
      </c>
      <c r="B1327" s="58" t="n">
        <v>45653</v>
      </c>
      <c r="C1327" s="57" t="n">
        <f aca="false">YEAR(B1327)</f>
        <v>2024</v>
      </c>
      <c r="D1327" s="57" t="n">
        <f aca="false">MONTH(B1327)</f>
        <v>12</v>
      </c>
      <c r="E1327" s="57" t="s">
        <v>1833</v>
      </c>
      <c r="F1327" s="57" t="s">
        <v>72</v>
      </c>
      <c r="G1327" s="57" t="s">
        <v>50</v>
      </c>
      <c r="H1327" s="57" t="s">
        <v>49</v>
      </c>
      <c r="I1327" s="59" t="n">
        <v>1</v>
      </c>
      <c r="J1327" s="60" t="n">
        <v>32</v>
      </c>
      <c r="K1327" s="60" t="n">
        <v>7</v>
      </c>
      <c r="L1327" s="61" t="n">
        <f aca="false">I1327*J1327</f>
        <v>32</v>
      </c>
      <c r="M1327" s="61" t="n">
        <f aca="false">L1327-I1327*K1327</f>
        <v>25</v>
      </c>
      <c r="N1327" s="57" t="n">
        <f aca="false">IF(COUNTIFS(E$2:E1327,E1327,C$2:C1327,C1327)=1,1,0)</f>
        <v>1</v>
      </c>
      <c r="O1327" s="57" t="n">
        <f aca="false">IF(COUNTIFS(E$2:E1327,E1327,C$2:C1327,C1327,D$2:D1327,D1327)=1,1,0)</f>
        <v>1</v>
      </c>
      <c r="P1327" s="57" t="n">
        <f aca="false">IF(AND(C1327=Calc!$C$3,OR(Calc!$C$4=0,D1327=Calc!$C$4)),ROW(),0)</f>
        <v>0</v>
      </c>
    </row>
    <row r="1328" customFormat="false" ht="15" hidden="false" customHeight="false" outlineLevel="0" collapsed="false">
      <c r="A1328" s="57" t="s">
        <v>1834</v>
      </c>
      <c r="B1328" s="58" t="n">
        <v>45653</v>
      </c>
      <c r="C1328" s="57" t="n">
        <f aca="false">YEAR(B1328)</f>
        <v>2024</v>
      </c>
      <c r="D1328" s="57" t="n">
        <f aca="false">MONTH(B1328)</f>
        <v>12</v>
      </c>
      <c r="E1328" s="57" t="s">
        <v>601</v>
      </c>
      <c r="F1328" s="57" t="s">
        <v>78</v>
      </c>
      <c r="G1328" s="57" t="s">
        <v>35</v>
      </c>
      <c r="H1328" s="57" t="s">
        <v>38</v>
      </c>
      <c r="I1328" s="59" t="n">
        <v>3</v>
      </c>
      <c r="J1328" s="60" t="n">
        <v>49</v>
      </c>
      <c r="K1328" s="60" t="n">
        <v>22</v>
      </c>
      <c r="L1328" s="61" t="n">
        <f aca="false">I1328*J1328</f>
        <v>147</v>
      </c>
      <c r="M1328" s="61" t="n">
        <f aca="false">L1328-I1328*K1328</f>
        <v>81</v>
      </c>
      <c r="N1328" s="57" t="n">
        <f aca="false">IF(COUNTIFS(E$2:E1328,E1328,C$2:C1328,C1328)=1,1,0)</f>
        <v>0</v>
      </c>
      <c r="O1328" s="57" t="n">
        <f aca="false">IF(COUNTIFS(E$2:E1328,E1328,C$2:C1328,C1328,D$2:D1328,D1328)=1,1,0)</f>
        <v>0</v>
      </c>
      <c r="P1328" s="57" t="n">
        <f aca="false">IF(AND(C1328=Calc!$C$3,OR(Calc!$C$4=0,D1328=Calc!$C$4)),ROW(),0)</f>
        <v>0</v>
      </c>
    </row>
    <row r="1329" customFormat="false" ht="15" hidden="false" customHeight="false" outlineLevel="0" collapsed="false">
      <c r="A1329" s="57" t="s">
        <v>1835</v>
      </c>
      <c r="B1329" s="58" t="n">
        <v>45654</v>
      </c>
      <c r="C1329" s="57" t="n">
        <f aca="false">YEAR(B1329)</f>
        <v>2024</v>
      </c>
      <c r="D1329" s="57" t="n">
        <f aca="false">MONTH(B1329)</f>
        <v>12</v>
      </c>
      <c r="E1329" s="57" t="s">
        <v>1836</v>
      </c>
      <c r="F1329" s="57" t="s">
        <v>75</v>
      </c>
      <c r="G1329" s="57" t="s">
        <v>35</v>
      </c>
      <c r="H1329" s="57" t="s">
        <v>34</v>
      </c>
      <c r="I1329" s="59" t="n">
        <v>1</v>
      </c>
      <c r="J1329" s="60" t="n">
        <v>89</v>
      </c>
      <c r="K1329" s="60" t="n">
        <v>41</v>
      </c>
      <c r="L1329" s="61" t="n">
        <f aca="false">I1329*J1329</f>
        <v>89</v>
      </c>
      <c r="M1329" s="61" t="n">
        <f aca="false">L1329-I1329*K1329</f>
        <v>48</v>
      </c>
      <c r="N1329" s="57" t="n">
        <f aca="false">IF(COUNTIFS(E$2:E1329,E1329,C$2:C1329,C1329)=1,1,0)</f>
        <v>1</v>
      </c>
      <c r="O1329" s="57" t="n">
        <f aca="false">IF(COUNTIFS(E$2:E1329,E1329,C$2:C1329,C1329,D$2:D1329,D1329)=1,1,0)</f>
        <v>1</v>
      </c>
      <c r="P1329" s="57" t="n">
        <f aca="false">IF(AND(C1329=Calc!$C$3,OR(Calc!$C$4=0,D1329=Calc!$C$4)),ROW(),0)</f>
        <v>0</v>
      </c>
    </row>
    <row r="1330" customFormat="false" ht="15" hidden="false" customHeight="false" outlineLevel="0" collapsed="false">
      <c r="A1330" s="57" t="s">
        <v>1837</v>
      </c>
      <c r="B1330" s="58" t="n">
        <v>45654</v>
      </c>
      <c r="C1330" s="57" t="n">
        <f aca="false">YEAR(B1330)</f>
        <v>2024</v>
      </c>
      <c r="D1330" s="57" t="n">
        <f aca="false">MONTH(B1330)</f>
        <v>12</v>
      </c>
      <c r="E1330" s="57" t="s">
        <v>500</v>
      </c>
      <c r="F1330" s="57" t="s">
        <v>72</v>
      </c>
      <c r="G1330" s="57" t="s">
        <v>54</v>
      </c>
      <c r="H1330" s="57" t="s">
        <v>53</v>
      </c>
      <c r="I1330" s="59" t="n">
        <v>1</v>
      </c>
      <c r="J1330" s="60" t="n">
        <v>39</v>
      </c>
      <c r="K1330" s="60" t="n">
        <v>13</v>
      </c>
      <c r="L1330" s="61" t="n">
        <f aca="false">I1330*J1330</f>
        <v>39</v>
      </c>
      <c r="M1330" s="61" t="n">
        <f aca="false">L1330-I1330*K1330</f>
        <v>26</v>
      </c>
      <c r="N1330" s="57" t="n">
        <f aca="false">IF(COUNTIFS(E$2:E1330,E1330,C$2:C1330,C1330)=1,1,0)</f>
        <v>0</v>
      </c>
      <c r="O1330" s="57" t="n">
        <f aca="false">IF(COUNTIFS(E$2:E1330,E1330,C$2:C1330,C1330,D$2:D1330,D1330)=1,1,0)</f>
        <v>1</v>
      </c>
      <c r="P1330" s="57" t="n">
        <f aca="false">IF(AND(C1330=Calc!$C$3,OR(Calc!$C$4=0,D1330=Calc!$C$4)),ROW(),0)</f>
        <v>0</v>
      </c>
    </row>
    <row r="1331" customFormat="false" ht="15" hidden="false" customHeight="false" outlineLevel="0" collapsed="false">
      <c r="A1331" s="57" t="s">
        <v>1838</v>
      </c>
      <c r="B1331" s="58" t="n">
        <v>45654</v>
      </c>
      <c r="C1331" s="57" t="n">
        <f aca="false">YEAR(B1331)</f>
        <v>2024</v>
      </c>
      <c r="D1331" s="57" t="n">
        <f aca="false">MONTH(B1331)</f>
        <v>12</v>
      </c>
      <c r="E1331" s="57" t="s">
        <v>1387</v>
      </c>
      <c r="F1331" s="57" t="s">
        <v>72</v>
      </c>
      <c r="G1331" s="57" t="s">
        <v>45</v>
      </c>
      <c r="H1331" s="57" t="s">
        <v>47</v>
      </c>
      <c r="I1331" s="59" t="n">
        <v>1</v>
      </c>
      <c r="J1331" s="60" t="n">
        <v>34</v>
      </c>
      <c r="K1331" s="60" t="n">
        <v>12</v>
      </c>
      <c r="L1331" s="61" t="n">
        <f aca="false">I1331*J1331</f>
        <v>34</v>
      </c>
      <c r="M1331" s="61" t="n">
        <f aca="false">L1331-I1331*K1331</f>
        <v>22</v>
      </c>
      <c r="N1331" s="57" t="n">
        <f aca="false">IF(COUNTIFS(E$2:E1331,E1331,C$2:C1331,C1331)=1,1,0)</f>
        <v>0</v>
      </c>
      <c r="O1331" s="57" t="n">
        <f aca="false">IF(COUNTIFS(E$2:E1331,E1331,C$2:C1331,C1331,D$2:D1331,D1331)=1,1,0)</f>
        <v>1</v>
      </c>
      <c r="P1331" s="57" t="n">
        <f aca="false">IF(AND(C1331=Calc!$C$3,OR(Calc!$C$4=0,D1331=Calc!$C$4)),ROW(),0)</f>
        <v>0</v>
      </c>
    </row>
    <row r="1332" customFormat="false" ht="15" hidden="false" customHeight="false" outlineLevel="0" collapsed="false">
      <c r="A1332" s="57" t="s">
        <v>1839</v>
      </c>
      <c r="B1332" s="58" t="n">
        <v>45654</v>
      </c>
      <c r="C1332" s="57" t="n">
        <f aca="false">YEAR(B1332)</f>
        <v>2024</v>
      </c>
      <c r="D1332" s="57" t="n">
        <f aca="false">MONTH(B1332)</f>
        <v>12</v>
      </c>
      <c r="E1332" s="57" t="s">
        <v>698</v>
      </c>
      <c r="F1332" s="57" t="s">
        <v>75</v>
      </c>
      <c r="G1332" s="57" t="s">
        <v>45</v>
      </c>
      <c r="H1332" s="57" t="s">
        <v>44</v>
      </c>
      <c r="I1332" s="59" t="n">
        <v>1</v>
      </c>
      <c r="J1332" s="60" t="n">
        <v>119</v>
      </c>
      <c r="K1332" s="60" t="n">
        <v>63</v>
      </c>
      <c r="L1332" s="61" t="n">
        <f aca="false">I1332*J1332</f>
        <v>119</v>
      </c>
      <c r="M1332" s="61" t="n">
        <f aca="false">L1332-I1332*K1332</f>
        <v>56</v>
      </c>
      <c r="N1332" s="57" t="n">
        <f aca="false">IF(COUNTIFS(E$2:E1332,E1332,C$2:C1332,C1332)=1,1,0)</f>
        <v>0</v>
      </c>
      <c r="O1332" s="57" t="n">
        <f aca="false">IF(COUNTIFS(E$2:E1332,E1332,C$2:C1332,C1332,D$2:D1332,D1332)=1,1,0)</f>
        <v>1</v>
      </c>
      <c r="P1332" s="57" t="n">
        <f aca="false">IF(AND(C1332=Calc!$C$3,OR(Calc!$C$4=0,D1332=Calc!$C$4)),ROW(),0)</f>
        <v>0</v>
      </c>
    </row>
    <row r="1333" customFormat="false" ht="15" hidden="false" customHeight="false" outlineLevel="0" collapsed="false">
      <c r="A1333" s="57" t="s">
        <v>1840</v>
      </c>
      <c r="B1333" s="58" t="n">
        <v>45655</v>
      </c>
      <c r="C1333" s="57" t="n">
        <f aca="false">YEAR(B1333)</f>
        <v>2024</v>
      </c>
      <c r="D1333" s="57" t="n">
        <f aca="false">MONTH(B1333)</f>
        <v>12</v>
      </c>
      <c r="E1333" s="57" t="s">
        <v>1275</v>
      </c>
      <c r="F1333" s="57" t="s">
        <v>72</v>
      </c>
      <c r="G1333" s="57" t="s">
        <v>35</v>
      </c>
      <c r="H1333" s="57" t="s">
        <v>36</v>
      </c>
      <c r="I1333" s="59" t="n">
        <v>1</v>
      </c>
      <c r="J1333" s="60" t="n">
        <v>179</v>
      </c>
      <c r="K1333" s="60" t="n">
        <v>92</v>
      </c>
      <c r="L1333" s="61" t="n">
        <f aca="false">I1333*J1333</f>
        <v>179</v>
      </c>
      <c r="M1333" s="61" t="n">
        <f aca="false">L1333-I1333*K1333</f>
        <v>87</v>
      </c>
      <c r="N1333" s="57" t="n">
        <f aca="false">IF(COUNTIFS(E$2:E1333,E1333,C$2:C1333,C1333)=1,1,0)</f>
        <v>0</v>
      </c>
      <c r="O1333" s="57" t="n">
        <f aca="false">IF(COUNTIFS(E$2:E1333,E1333,C$2:C1333,C1333,D$2:D1333,D1333)=1,1,0)</f>
        <v>1</v>
      </c>
      <c r="P1333" s="57" t="n">
        <f aca="false">IF(AND(C1333=Calc!$C$3,OR(Calc!$C$4=0,D1333=Calc!$C$4)),ROW(),0)</f>
        <v>0</v>
      </c>
    </row>
    <row r="1334" customFormat="false" ht="15" hidden="false" customHeight="false" outlineLevel="0" collapsed="false">
      <c r="A1334" s="57" t="s">
        <v>1841</v>
      </c>
      <c r="B1334" s="58" t="n">
        <v>45655</v>
      </c>
      <c r="C1334" s="57" t="n">
        <f aca="false">YEAR(B1334)</f>
        <v>2024</v>
      </c>
      <c r="D1334" s="57" t="n">
        <f aca="false">MONTH(B1334)</f>
        <v>12</v>
      </c>
      <c r="E1334" s="57" t="s">
        <v>1842</v>
      </c>
      <c r="F1334" s="57" t="s">
        <v>72</v>
      </c>
      <c r="G1334" s="57" t="s">
        <v>40</v>
      </c>
      <c r="H1334" s="57" t="s">
        <v>39</v>
      </c>
      <c r="I1334" s="59" t="n">
        <v>2</v>
      </c>
      <c r="J1334" s="60" t="n">
        <v>54</v>
      </c>
      <c r="K1334" s="60" t="n">
        <v>19</v>
      </c>
      <c r="L1334" s="61" t="n">
        <f aca="false">I1334*J1334</f>
        <v>108</v>
      </c>
      <c r="M1334" s="61" t="n">
        <f aca="false">L1334-I1334*K1334</f>
        <v>70</v>
      </c>
      <c r="N1334" s="57" t="n">
        <f aca="false">IF(COUNTIFS(E$2:E1334,E1334,C$2:C1334,C1334)=1,1,0)</f>
        <v>1</v>
      </c>
      <c r="O1334" s="57" t="n">
        <f aca="false">IF(COUNTIFS(E$2:E1334,E1334,C$2:C1334,C1334,D$2:D1334,D1334)=1,1,0)</f>
        <v>1</v>
      </c>
      <c r="P1334" s="57" t="n">
        <f aca="false">IF(AND(C1334=Calc!$C$3,OR(Calc!$C$4=0,D1334=Calc!$C$4)),ROW(),0)</f>
        <v>0</v>
      </c>
    </row>
    <row r="1335" customFormat="false" ht="15" hidden="false" customHeight="false" outlineLevel="0" collapsed="false">
      <c r="A1335" s="57" t="s">
        <v>1843</v>
      </c>
      <c r="B1335" s="58" t="n">
        <v>45655</v>
      </c>
      <c r="C1335" s="57" t="n">
        <f aca="false">YEAR(B1335)</f>
        <v>2024</v>
      </c>
      <c r="D1335" s="57" t="n">
        <f aca="false">MONTH(B1335)</f>
        <v>12</v>
      </c>
      <c r="E1335" s="57" t="s">
        <v>448</v>
      </c>
      <c r="F1335" s="57" t="s">
        <v>69</v>
      </c>
      <c r="G1335" s="57" t="s">
        <v>40</v>
      </c>
      <c r="H1335" s="57" t="s">
        <v>42</v>
      </c>
      <c r="I1335" s="59" t="n">
        <v>1</v>
      </c>
      <c r="J1335" s="60" t="n">
        <v>79</v>
      </c>
      <c r="K1335" s="60" t="n">
        <v>31</v>
      </c>
      <c r="L1335" s="61" t="n">
        <f aca="false">I1335*J1335</f>
        <v>79</v>
      </c>
      <c r="M1335" s="61" t="n">
        <f aca="false">L1335-I1335*K1335</f>
        <v>48</v>
      </c>
      <c r="N1335" s="57" t="n">
        <f aca="false">IF(COUNTIFS(E$2:E1335,E1335,C$2:C1335,C1335)=1,1,0)</f>
        <v>0</v>
      </c>
      <c r="O1335" s="57" t="n">
        <f aca="false">IF(COUNTIFS(E$2:E1335,E1335,C$2:C1335,C1335,D$2:D1335,D1335)=1,1,0)</f>
        <v>0</v>
      </c>
      <c r="P1335" s="57" t="n">
        <f aca="false">IF(AND(C1335=Calc!$C$3,OR(Calc!$C$4=0,D1335=Calc!$C$4)),ROW(),0)</f>
        <v>0</v>
      </c>
    </row>
    <row r="1336" customFormat="false" ht="15" hidden="false" customHeight="false" outlineLevel="0" collapsed="false">
      <c r="A1336" s="57" t="s">
        <v>1844</v>
      </c>
      <c r="B1336" s="58" t="n">
        <v>45655</v>
      </c>
      <c r="C1336" s="57" t="n">
        <f aca="false">YEAR(B1336)</f>
        <v>2024</v>
      </c>
      <c r="D1336" s="57" t="n">
        <f aca="false">MONTH(B1336)</f>
        <v>12</v>
      </c>
      <c r="E1336" s="57" t="s">
        <v>836</v>
      </c>
      <c r="F1336" s="57" t="s">
        <v>69</v>
      </c>
      <c r="G1336" s="57" t="s">
        <v>35</v>
      </c>
      <c r="H1336" s="57" t="s">
        <v>34</v>
      </c>
      <c r="I1336" s="59" t="n">
        <v>1</v>
      </c>
      <c r="J1336" s="60" t="n">
        <v>89</v>
      </c>
      <c r="K1336" s="60" t="n">
        <v>41</v>
      </c>
      <c r="L1336" s="61" t="n">
        <f aca="false">I1336*J1336</f>
        <v>89</v>
      </c>
      <c r="M1336" s="61" t="n">
        <f aca="false">L1336-I1336*K1336</f>
        <v>48</v>
      </c>
      <c r="N1336" s="57" t="n">
        <f aca="false">IF(COUNTIFS(E$2:E1336,E1336,C$2:C1336,C1336)=1,1,0)</f>
        <v>0</v>
      </c>
      <c r="O1336" s="57" t="n">
        <f aca="false">IF(COUNTIFS(E$2:E1336,E1336,C$2:C1336,C1336,D$2:D1336,D1336)=1,1,0)</f>
        <v>1</v>
      </c>
      <c r="P1336" s="57" t="n">
        <f aca="false">IF(AND(C1336=Calc!$C$3,OR(Calc!$C$4=0,D1336=Calc!$C$4)),ROW(),0)</f>
        <v>0</v>
      </c>
    </row>
    <row r="1337" customFormat="false" ht="15" hidden="false" customHeight="false" outlineLevel="0" collapsed="false">
      <c r="A1337" s="57" t="s">
        <v>1845</v>
      </c>
      <c r="B1337" s="58" t="n">
        <v>45655</v>
      </c>
      <c r="C1337" s="57" t="n">
        <f aca="false">YEAR(B1337)</f>
        <v>2024</v>
      </c>
      <c r="D1337" s="57" t="n">
        <f aca="false">MONTH(B1337)</f>
        <v>12</v>
      </c>
      <c r="E1337" s="57" t="s">
        <v>696</v>
      </c>
      <c r="F1337" s="57" t="s">
        <v>72</v>
      </c>
      <c r="G1337" s="57" t="s">
        <v>45</v>
      </c>
      <c r="H1337" s="57" t="s">
        <v>47</v>
      </c>
      <c r="I1337" s="59" t="n">
        <v>1</v>
      </c>
      <c r="J1337" s="60" t="n">
        <v>34</v>
      </c>
      <c r="K1337" s="60" t="n">
        <v>12</v>
      </c>
      <c r="L1337" s="61" t="n">
        <f aca="false">I1337*J1337</f>
        <v>34</v>
      </c>
      <c r="M1337" s="61" t="n">
        <f aca="false">L1337-I1337*K1337</f>
        <v>22</v>
      </c>
      <c r="N1337" s="57" t="n">
        <f aca="false">IF(COUNTIFS(E$2:E1337,E1337,C$2:C1337,C1337)=1,1,0)</f>
        <v>0</v>
      </c>
      <c r="O1337" s="57" t="n">
        <f aca="false">IF(COUNTIFS(E$2:E1337,E1337,C$2:C1337,C1337,D$2:D1337,D1337)=1,1,0)</f>
        <v>1</v>
      </c>
      <c r="P1337" s="57" t="n">
        <f aca="false">IF(AND(C1337=Calc!$C$3,OR(Calc!$C$4=0,D1337=Calc!$C$4)),ROW(),0)</f>
        <v>0</v>
      </c>
    </row>
    <row r="1338" customFormat="false" ht="15" hidden="false" customHeight="false" outlineLevel="0" collapsed="false">
      <c r="A1338" s="57" t="s">
        <v>1846</v>
      </c>
      <c r="B1338" s="58" t="n">
        <v>45656</v>
      </c>
      <c r="C1338" s="57" t="n">
        <f aca="false">YEAR(B1338)</f>
        <v>2024</v>
      </c>
      <c r="D1338" s="57" t="n">
        <f aca="false">MONTH(B1338)</f>
        <v>12</v>
      </c>
      <c r="E1338" s="57" t="s">
        <v>1519</v>
      </c>
      <c r="F1338" s="57" t="s">
        <v>75</v>
      </c>
      <c r="G1338" s="57" t="s">
        <v>45</v>
      </c>
      <c r="H1338" s="57" t="s">
        <v>46</v>
      </c>
      <c r="I1338" s="59" t="n">
        <v>1</v>
      </c>
      <c r="J1338" s="60" t="n">
        <v>149</v>
      </c>
      <c r="K1338" s="60" t="n">
        <v>71</v>
      </c>
      <c r="L1338" s="61" t="n">
        <f aca="false">I1338*J1338</f>
        <v>149</v>
      </c>
      <c r="M1338" s="61" t="n">
        <f aca="false">L1338-I1338*K1338</f>
        <v>78</v>
      </c>
      <c r="N1338" s="57" t="n">
        <f aca="false">IF(COUNTIFS(E$2:E1338,E1338,C$2:C1338,C1338)=1,1,0)</f>
        <v>0</v>
      </c>
      <c r="O1338" s="57" t="n">
        <f aca="false">IF(COUNTIFS(E$2:E1338,E1338,C$2:C1338,C1338,D$2:D1338,D1338)=1,1,0)</f>
        <v>1</v>
      </c>
      <c r="P1338" s="57" t="n">
        <f aca="false">IF(AND(C1338=Calc!$C$3,OR(Calc!$C$4=0,D1338=Calc!$C$4)),ROW(),0)</f>
        <v>0</v>
      </c>
    </row>
    <row r="1339" customFormat="false" ht="15" hidden="false" customHeight="false" outlineLevel="0" collapsed="false">
      <c r="A1339" s="57" t="s">
        <v>1847</v>
      </c>
      <c r="B1339" s="58" t="n">
        <v>45656</v>
      </c>
      <c r="C1339" s="57" t="n">
        <f aca="false">YEAR(B1339)</f>
        <v>2024</v>
      </c>
      <c r="D1339" s="57" t="n">
        <f aca="false">MONTH(B1339)</f>
        <v>12</v>
      </c>
      <c r="E1339" s="57" t="s">
        <v>906</v>
      </c>
      <c r="F1339" s="57" t="s">
        <v>78</v>
      </c>
      <c r="G1339" s="57" t="s">
        <v>35</v>
      </c>
      <c r="H1339" s="57" t="s">
        <v>38</v>
      </c>
      <c r="I1339" s="59" t="n">
        <v>1</v>
      </c>
      <c r="J1339" s="60" t="n">
        <v>49</v>
      </c>
      <c r="K1339" s="60" t="n">
        <v>22</v>
      </c>
      <c r="L1339" s="61" t="n">
        <f aca="false">I1339*J1339</f>
        <v>49</v>
      </c>
      <c r="M1339" s="61" t="n">
        <f aca="false">L1339-I1339*K1339</f>
        <v>27</v>
      </c>
      <c r="N1339" s="57" t="n">
        <f aca="false">IF(COUNTIFS(E$2:E1339,E1339,C$2:C1339,C1339)=1,1,0)</f>
        <v>0</v>
      </c>
      <c r="O1339" s="57" t="n">
        <f aca="false">IF(COUNTIFS(E$2:E1339,E1339,C$2:C1339,C1339,D$2:D1339,D1339)=1,1,0)</f>
        <v>1</v>
      </c>
      <c r="P1339" s="57" t="n">
        <f aca="false">IF(AND(C1339=Calc!$C$3,OR(Calc!$C$4=0,D1339=Calc!$C$4)),ROW(),0)</f>
        <v>0</v>
      </c>
    </row>
    <row r="1340" customFormat="false" ht="15" hidden="false" customHeight="false" outlineLevel="0" collapsed="false">
      <c r="A1340" s="57" t="s">
        <v>1848</v>
      </c>
      <c r="B1340" s="58" t="n">
        <v>45656</v>
      </c>
      <c r="C1340" s="57" t="n">
        <f aca="false">YEAR(B1340)</f>
        <v>2024</v>
      </c>
      <c r="D1340" s="57" t="n">
        <f aca="false">MONTH(B1340)</f>
        <v>12</v>
      </c>
      <c r="E1340" s="57" t="s">
        <v>1849</v>
      </c>
      <c r="F1340" s="57" t="s">
        <v>69</v>
      </c>
      <c r="G1340" s="57" t="s">
        <v>35</v>
      </c>
      <c r="H1340" s="57" t="s">
        <v>36</v>
      </c>
      <c r="I1340" s="59" t="n">
        <v>1</v>
      </c>
      <c r="J1340" s="60" t="n">
        <v>179</v>
      </c>
      <c r="K1340" s="60" t="n">
        <v>92</v>
      </c>
      <c r="L1340" s="61" t="n">
        <f aca="false">I1340*J1340</f>
        <v>179</v>
      </c>
      <c r="M1340" s="61" t="n">
        <f aca="false">L1340-I1340*K1340</f>
        <v>87</v>
      </c>
      <c r="N1340" s="57" t="n">
        <f aca="false">IF(COUNTIFS(E$2:E1340,E1340,C$2:C1340,C1340)=1,1,0)</f>
        <v>1</v>
      </c>
      <c r="O1340" s="57" t="n">
        <f aca="false">IF(COUNTIFS(E$2:E1340,E1340,C$2:C1340,C1340,D$2:D1340,D1340)=1,1,0)</f>
        <v>1</v>
      </c>
      <c r="P1340" s="57" t="n">
        <f aca="false">IF(AND(C1340=Calc!$C$3,OR(Calc!$C$4=0,D1340=Calc!$C$4)),ROW(),0)</f>
        <v>0</v>
      </c>
    </row>
    <row r="1341" customFormat="false" ht="15" hidden="false" customHeight="false" outlineLevel="0" collapsed="false">
      <c r="A1341" s="57" t="s">
        <v>1850</v>
      </c>
      <c r="B1341" s="58" t="n">
        <v>45656</v>
      </c>
      <c r="C1341" s="57" t="n">
        <f aca="false">YEAR(B1341)</f>
        <v>2024</v>
      </c>
      <c r="D1341" s="57" t="n">
        <f aca="false">MONTH(B1341)</f>
        <v>12</v>
      </c>
      <c r="E1341" s="57" t="s">
        <v>523</v>
      </c>
      <c r="F1341" s="57" t="s">
        <v>69</v>
      </c>
      <c r="G1341" s="57" t="s">
        <v>50</v>
      </c>
      <c r="H1341" s="57" t="s">
        <v>49</v>
      </c>
      <c r="I1341" s="59" t="n">
        <v>1</v>
      </c>
      <c r="J1341" s="60" t="n">
        <v>32</v>
      </c>
      <c r="K1341" s="60" t="n">
        <v>7</v>
      </c>
      <c r="L1341" s="61" t="n">
        <f aca="false">I1341*J1341</f>
        <v>32</v>
      </c>
      <c r="M1341" s="61" t="n">
        <f aca="false">L1341-I1341*K1341</f>
        <v>25</v>
      </c>
      <c r="N1341" s="57" t="n">
        <f aca="false">IF(COUNTIFS(E$2:E1341,E1341,C$2:C1341,C1341)=1,1,0)</f>
        <v>0</v>
      </c>
      <c r="O1341" s="57" t="n">
        <f aca="false">IF(COUNTIFS(E$2:E1341,E1341,C$2:C1341,C1341,D$2:D1341,D1341)=1,1,0)</f>
        <v>1</v>
      </c>
      <c r="P1341" s="57" t="n">
        <f aca="false">IF(AND(C1341=Calc!$C$3,OR(Calc!$C$4=0,D1341=Calc!$C$4)),ROW(),0)</f>
        <v>0</v>
      </c>
    </row>
    <row r="1342" customFormat="false" ht="15" hidden="false" customHeight="false" outlineLevel="0" collapsed="false">
      <c r="A1342" s="57" t="s">
        <v>1851</v>
      </c>
      <c r="B1342" s="58" t="n">
        <v>45656</v>
      </c>
      <c r="C1342" s="57" t="n">
        <f aca="false">YEAR(B1342)</f>
        <v>2024</v>
      </c>
      <c r="D1342" s="57" t="n">
        <f aca="false">MONTH(B1342)</f>
        <v>12</v>
      </c>
      <c r="E1342" s="57" t="s">
        <v>142</v>
      </c>
      <c r="F1342" s="57" t="s">
        <v>78</v>
      </c>
      <c r="G1342" s="57" t="s">
        <v>40</v>
      </c>
      <c r="H1342" s="57" t="s">
        <v>43</v>
      </c>
      <c r="I1342" s="59" t="n">
        <v>1</v>
      </c>
      <c r="J1342" s="60" t="n">
        <v>29</v>
      </c>
      <c r="K1342" s="60" t="n">
        <v>9</v>
      </c>
      <c r="L1342" s="61" t="n">
        <f aca="false">I1342*J1342</f>
        <v>29</v>
      </c>
      <c r="M1342" s="61" t="n">
        <f aca="false">L1342-I1342*K1342</f>
        <v>20</v>
      </c>
      <c r="N1342" s="57" t="n">
        <f aca="false">IF(COUNTIFS(E$2:E1342,E1342,C$2:C1342,C1342)=1,1,0)</f>
        <v>0</v>
      </c>
      <c r="O1342" s="57" t="n">
        <f aca="false">IF(COUNTIFS(E$2:E1342,E1342,C$2:C1342,C1342,D$2:D1342,D1342)=1,1,0)</f>
        <v>1</v>
      </c>
      <c r="P1342" s="57" t="n">
        <f aca="false">IF(AND(C1342=Calc!$C$3,OR(Calc!$C$4=0,D1342=Calc!$C$4)),ROW(),0)</f>
        <v>0</v>
      </c>
    </row>
    <row r="1343" customFormat="false" ht="15" hidden="false" customHeight="false" outlineLevel="0" collapsed="false">
      <c r="A1343" s="57" t="s">
        <v>1852</v>
      </c>
      <c r="B1343" s="58" t="n">
        <v>45656</v>
      </c>
      <c r="C1343" s="57" t="n">
        <f aca="false">YEAR(B1343)</f>
        <v>2024</v>
      </c>
      <c r="D1343" s="57" t="n">
        <f aca="false">MONTH(B1343)</f>
        <v>12</v>
      </c>
      <c r="E1343" s="57" t="s">
        <v>125</v>
      </c>
      <c r="F1343" s="57" t="s">
        <v>69</v>
      </c>
      <c r="G1343" s="57" t="s">
        <v>50</v>
      </c>
      <c r="H1343" s="57" t="s">
        <v>49</v>
      </c>
      <c r="I1343" s="59" t="n">
        <v>1</v>
      </c>
      <c r="J1343" s="60" t="n">
        <v>32</v>
      </c>
      <c r="K1343" s="60" t="n">
        <v>7</v>
      </c>
      <c r="L1343" s="61" t="n">
        <f aca="false">I1343*J1343</f>
        <v>32</v>
      </c>
      <c r="M1343" s="61" t="n">
        <f aca="false">L1343-I1343*K1343</f>
        <v>25</v>
      </c>
      <c r="N1343" s="57" t="n">
        <f aca="false">IF(COUNTIFS(E$2:E1343,E1343,C$2:C1343,C1343)=1,1,0)</f>
        <v>0</v>
      </c>
      <c r="O1343" s="57" t="n">
        <f aca="false">IF(COUNTIFS(E$2:E1343,E1343,C$2:C1343,C1343,D$2:D1343,D1343)=1,1,0)</f>
        <v>1</v>
      </c>
      <c r="P1343" s="57" t="n">
        <f aca="false">IF(AND(C1343=Calc!$C$3,OR(Calc!$C$4=0,D1343=Calc!$C$4)),ROW(),0)</f>
        <v>0</v>
      </c>
    </row>
    <row r="1344" customFormat="false" ht="15" hidden="false" customHeight="false" outlineLevel="0" collapsed="false">
      <c r="A1344" s="57" t="s">
        <v>1853</v>
      </c>
      <c r="B1344" s="58" t="n">
        <v>45657</v>
      </c>
      <c r="C1344" s="57" t="n">
        <f aca="false">YEAR(B1344)</f>
        <v>2024</v>
      </c>
      <c r="D1344" s="57" t="n">
        <f aca="false">MONTH(B1344)</f>
        <v>12</v>
      </c>
      <c r="E1344" s="57" t="s">
        <v>1854</v>
      </c>
      <c r="F1344" s="57" t="s">
        <v>69</v>
      </c>
      <c r="G1344" s="57" t="s">
        <v>35</v>
      </c>
      <c r="H1344" s="57" t="s">
        <v>38</v>
      </c>
      <c r="I1344" s="59" t="n">
        <v>1</v>
      </c>
      <c r="J1344" s="60" t="n">
        <v>49</v>
      </c>
      <c r="K1344" s="60" t="n">
        <v>22</v>
      </c>
      <c r="L1344" s="61" t="n">
        <f aca="false">I1344*J1344</f>
        <v>49</v>
      </c>
      <c r="M1344" s="61" t="n">
        <f aca="false">L1344-I1344*K1344</f>
        <v>27</v>
      </c>
      <c r="N1344" s="57" t="n">
        <f aca="false">IF(COUNTIFS(E$2:E1344,E1344,C$2:C1344,C1344)=1,1,0)</f>
        <v>1</v>
      </c>
      <c r="O1344" s="57" t="n">
        <f aca="false">IF(COUNTIFS(E$2:E1344,E1344,C$2:C1344,C1344,D$2:D1344,D1344)=1,1,0)</f>
        <v>1</v>
      </c>
      <c r="P1344" s="57" t="n">
        <f aca="false">IF(AND(C1344=Calc!$C$3,OR(Calc!$C$4=0,D1344=Calc!$C$4)),ROW(),0)</f>
        <v>0</v>
      </c>
    </row>
    <row r="1345" customFormat="false" ht="15" hidden="false" customHeight="false" outlineLevel="0" collapsed="false">
      <c r="A1345" s="57" t="s">
        <v>1855</v>
      </c>
      <c r="B1345" s="58" t="n">
        <v>45657</v>
      </c>
      <c r="C1345" s="57" t="n">
        <f aca="false">YEAR(B1345)</f>
        <v>2024</v>
      </c>
      <c r="D1345" s="57" t="n">
        <f aca="false">MONTH(B1345)</f>
        <v>12</v>
      </c>
      <c r="E1345" s="57" t="s">
        <v>601</v>
      </c>
      <c r="F1345" s="57" t="s">
        <v>78</v>
      </c>
      <c r="G1345" s="57" t="s">
        <v>45</v>
      </c>
      <c r="H1345" s="57" t="s">
        <v>48</v>
      </c>
      <c r="I1345" s="59" t="n">
        <v>1</v>
      </c>
      <c r="J1345" s="60" t="n">
        <v>99</v>
      </c>
      <c r="K1345" s="60" t="n">
        <v>38</v>
      </c>
      <c r="L1345" s="61" t="n">
        <f aca="false">I1345*J1345</f>
        <v>99</v>
      </c>
      <c r="M1345" s="61" t="n">
        <f aca="false">L1345-I1345*K1345</f>
        <v>61</v>
      </c>
      <c r="N1345" s="57" t="n">
        <f aca="false">IF(COUNTIFS(E$2:E1345,E1345,C$2:C1345,C1345)=1,1,0)</f>
        <v>0</v>
      </c>
      <c r="O1345" s="57" t="n">
        <f aca="false">IF(COUNTIFS(E$2:E1345,E1345,C$2:C1345,C1345,D$2:D1345,D1345)=1,1,0)</f>
        <v>0</v>
      </c>
      <c r="P1345" s="57" t="n">
        <f aca="false">IF(AND(C1345=Calc!$C$3,OR(Calc!$C$4=0,D1345=Calc!$C$4)),ROW(),0)</f>
        <v>0</v>
      </c>
    </row>
    <row r="1346" customFormat="false" ht="15" hidden="false" customHeight="false" outlineLevel="0" collapsed="false">
      <c r="A1346" s="57" t="s">
        <v>1856</v>
      </c>
      <c r="B1346" s="58" t="n">
        <v>45657</v>
      </c>
      <c r="C1346" s="57" t="n">
        <f aca="false">YEAR(B1346)</f>
        <v>2024</v>
      </c>
      <c r="D1346" s="57" t="n">
        <f aca="false">MONTH(B1346)</f>
        <v>12</v>
      </c>
      <c r="E1346" s="57" t="s">
        <v>378</v>
      </c>
      <c r="F1346" s="57" t="s">
        <v>75</v>
      </c>
      <c r="G1346" s="57" t="s">
        <v>40</v>
      </c>
      <c r="H1346" s="57" t="s">
        <v>42</v>
      </c>
      <c r="I1346" s="59" t="n">
        <v>2</v>
      </c>
      <c r="J1346" s="60" t="n">
        <v>79</v>
      </c>
      <c r="K1346" s="60" t="n">
        <v>31</v>
      </c>
      <c r="L1346" s="61" t="n">
        <f aca="false">I1346*J1346</f>
        <v>158</v>
      </c>
      <c r="M1346" s="61" t="n">
        <f aca="false">L1346-I1346*K1346</f>
        <v>96</v>
      </c>
      <c r="N1346" s="57" t="n">
        <f aca="false">IF(COUNTIFS(E$2:E1346,E1346,C$2:C1346,C1346)=1,1,0)</f>
        <v>0</v>
      </c>
      <c r="O1346" s="57" t="n">
        <f aca="false">IF(COUNTIFS(E$2:E1346,E1346,C$2:C1346,C1346,D$2:D1346,D1346)=1,1,0)</f>
        <v>1</v>
      </c>
      <c r="P1346" s="57" t="n">
        <f aca="false">IF(AND(C1346=Calc!$C$3,OR(Calc!$C$4=0,D1346=Calc!$C$4)),ROW(),0)</f>
        <v>0</v>
      </c>
    </row>
    <row r="1347" customFormat="false" ht="15" hidden="false" customHeight="false" outlineLevel="0" collapsed="false">
      <c r="A1347" s="57" t="s">
        <v>1857</v>
      </c>
      <c r="B1347" s="58" t="n">
        <v>45657</v>
      </c>
      <c r="C1347" s="57" t="n">
        <f aca="false">YEAR(B1347)</f>
        <v>2024</v>
      </c>
      <c r="D1347" s="57" t="n">
        <f aca="false">MONTH(B1347)</f>
        <v>12</v>
      </c>
      <c r="E1347" s="57" t="s">
        <v>1858</v>
      </c>
      <c r="F1347" s="57" t="s">
        <v>75</v>
      </c>
      <c r="G1347" s="57" t="s">
        <v>50</v>
      </c>
      <c r="H1347" s="57" t="s">
        <v>49</v>
      </c>
      <c r="I1347" s="59" t="n">
        <v>1</v>
      </c>
      <c r="J1347" s="60" t="n">
        <v>32</v>
      </c>
      <c r="K1347" s="60" t="n">
        <v>7</v>
      </c>
      <c r="L1347" s="61" t="n">
        <f aca="false">I1347*J1347</f>
        <v>32</v>
      </c>
      <c r="M1347" s="61" t="n">
        <f aca="false">L1347-I1347*K1347</f>
        <v>25</v>
      </c>
      <c r="N1347" s="57" t="n">
        <f aca="false">IF(COUNTIFS(E$2:E1347,E1347,C$2:C1347,C1347)=1,1,0)</f>
        <v>1</v>
      </c>
      <c r="O1347" s="57" t="n">
        <f aca="false">IF(COUNTIFS(E$2:E1347,E1347,C$2:C1347,C1347,D$2:D1347,D1347)=1,1,0)</f>
        <v>1</v>
      </c>
      <c r="P1347" s="57" t="n">
        <f aca="false">IF(AND(C1347=Calc!$C$3,OR(Calc!$C$4=0,D1347=Calc!$C$4)),ROW(),0)</f>
        <v>0</v>
      </c>
    </row>
    <row r="1348" customFormat="false" ht="15" hidden="false" customHeight="false" outlineLevel="0" collapsed="false">
      <c r="A1348" s="57" t="s">
        <v>1859</v>
      </c>
      <c r="B1348" s="58" t="n">
        <v>45657</v>
      </c>
      <c r="C1348" s="57" t="n">
        <f aca="false">YEAR(B1348)</f>
        <v>2024</v>
      </c>
      <c r="D1348" s="57" t="n">
        <f aca="false">MONTH(B1348)</f>
        <v>12</v>
      </c>
      <c r="E1348" s="57" t="s">
        <v>87</v>
      </c>
      <c r="F1348" s="57" t="s">
        <v>72</v>
      </c>
      <c r="G1348" s="57" t="s">
        <v>35</v>
      </c>
      <c r="H1348" s="57" t="s">
        <v>34</v>
      </c>
      <c r="I1348" s="59" t="n">
        <v>1</v>
      </c>
      <c r="J1348" s="60" t="n">
        <v>89</v>
      </c>
      <c r="K1348" s="60" t="n">
        <v>41</v>
      </c>
      <c r="L1348" s="61" t="n">
        <f aca="false">I1348*J1348</f>
        <v>89</v>
      </c>
      <c r="M1348" s="61" t="n">
        <f aca="false">L1348-I1348*K1348</f>
        <v>48</v>
      </c>
      <c r="N1348" s="57" t="n">
        <f aca="false">IF(COUNTIFS(E$2:E1348,E1348,C$2:C1348,C1348)=1,1,0)</f>
        <v>0</v>
      </c>
      <c r="O1348" s="57" t="n">
        <f aca="false">IF(COUNTIFS(E$2:E1348,E1348,C$2:C1348,C1348,D$2:D1348,D1348)=1,1,0)</f>
        <v>1</v>
      </c>
      <c r="P1348" s="57" t="n">
        <f aca="false">IF(AND(C1348=Calc!$C$3,OR(Calc!$C$4=0,D1348=Calc!$C$4)),ROW(),0)</f>
        <v>0</v>
      </c>
    </row>
    <row r="1349" customFormat="false" ht="15" hidden="false" customHeight="false" outlineLevel="0" collapsed="false">
      <c r="A1349" s="57" t="s">
        <v>1860</v>
      </c>
      <c r="B1349" s="58" t="n">
        <v>45657</v>
      </c>
      <c r="C1349" s="57" t="n">
        <f aca="false">YEAR(B1349)</f>
        <v>2024</v>
      </c>
      <c r="D1349" s="57" t="n">
        <f aca="false">MONTH(B1349)</f>
        <v>12</v>
      </c>
      <c r="E1349" s="57" t="s">
        <v>569</v>
      </c>
      <c r="F1349" s="57" t="s">
        <v>72</v>
      </c>
      <c r="G1349" s="57" t="s">
        <v>40</v>
      </c>
      <c r="H1349" s="57" t="s">
        <v>43</v>
      </c>
      <c r="I1349" s="59" t="n">
        <v>1</v>
      </c>
      <c r="J1349" s="60" t="n">
        <v>29</v>
      </c>
      <c r="K1349" s="60" t="n">
        <v>9</v>
      </c>
      <c r="L1349" s="61" t="n">
        <f aca="false">I1349*J1349</f>
        <v>29</v>
      </c>
      <c r="M1349" s="61" t="n">
        <f aca="false">L1349-I1349*K1349</f>
        <v>20</v>
      </c>
      <c r="N1349" s="57" t="n">
        <f aca="false">IF(COUNTIFS(E$2:E1349,E1349,C$2:C1349,C1349)=1,1,0)</f>
        <v>0</v>
      </c>
      <c r="O1349" s="57" t="n">
        <f aca="false">IF(COUNTIFS(E$2:E1349,E1349,C$2:C1349,C1349,D$2:D1349,D1349)=1,1,0)</f>
        <v>0</v>
      </c>
      <c r="P1349" s="57" t="n">
        <f aca="false">IF(AND(C1349=Calc!$C$3,OR(Calc!$C$4=0,D1349=Calc!$C$4)),ROW(),0)</f>
        <v>0</v>
      </c>
    </row>
    <row r="1350" customFormat="false" ht="15" hidden="false" customHeight="false" outlineLevel="0" collapsed="false">
      <c r="A1350" s="57" t="s">
        <v>1861</v>
      </c>
      <c r="B1350" s="58" t="n">
        <v>45657</v>
      </c>
      <c r="C1350" s="57" t="n">
        <f aca="false">YEAR(B1350)</f>
        <v>2024</v>
      </c>
      <c r="D1350" s="57" t="n">
        <f aca="false">MONTH(B1350)</f>
        <v>12</v>
      </c>
      <c r="E1350" s="57" t="s">
        <v>1862</v>
      </c>
      <c r="F1350" s="57" t="s">
        <v>75</v>
      </c>
      <c r="G1350" s="57" t="s">
        <v>45</v>
      </c>
      <c r="H1350" s="57" t="s">
        <v>47</v>
      </c>
      <c r="I1350" s="59" t="n">
        <v>2</v>
      </c>
      <c r="J1350" s="60" t="n">
        <v>34</v>
      </c>
      <c r="K1350" s="60" t="n">
        <v>12</v>
      </c>
      <c r="L1350" s="61" t="n">
        <f aca="false">I1350*J1350</f>
        <v>68</v>
      </c>
      <c r="M1350" s="61" t="n">
        <f aca="false">L1350-I1350*K1350</f>
        <v>44</v>
      </c>
      <c r="N1350" s="57" t="n">
        <f aca="false">IF(COUNTIFS(E$2:E1350,E1350,C$2:C1350,C1350)=1,1,0)</f>
        <v>1</v>
      </c>
      <c r="O1350" s="57" t="n">
        <f aca="false">IF(COUNTIFS(E$2:E1350,E1350,C$2:C1350,C1350,D$2:D1350,D1350)=1,1,0)</f>
        <v>1</v>
      </c>
      <c r="P1350" s="57" t="n">
        <f aca="false">IF(AND(C1350=Calc!$C$3,OR(Calc!$C$4=0,D1350=Calc!$C$4)),ROW(),0)</f>
        <v>0</v>
      </c>
    </row>
    <row r="1351" customFormat="false" ht="15" hidden="false" customHeight="false" outlineLevel="0" collapsed="false">
      <c r="A1351" s="57" t="s">
        <v>1863</v>
      </c>
      <c r="B1351" s="58" t="n">
        <v>45658</v>
      </c>
      <c r="C1351" s="57" t="n">
        <f aca="false">YEAR(B1351)</f>
        <v>2025</v>
      </c>
      <c r="D1351" s="57" t="n">
        <f aca="false">MONTH(B1351)</f>
        <v>1</v>
      </c>
      <c r="E1351" s="57" t="s">
        <v>302</v>
      </c>
      <c r="F1351" s="57" t="s">
        <v>81</v>
      </c>
      <c r="G1351" s="57" t="s">
        <v>50</v>
      </c>
      <c r="H1351" s="57" t="s">
        <v>52</v>
      </c>
      <c r="I1351" s="59" t="n">
        <v>1</v>
      </c>
      <c r="J1351" s="60" t="n">
        <v>45</v>
      </c>
      <c r="K1351" s="60" t="n">
        <v>14</v>
      </c>
      <c r="L1351" s="61" t="n">
        <f aca="false">I1351*J1351</f>
        <v>45</v>
      </c>
      <c r="M1351" s="61" t="n">
        <f aca="false">L1351-I1351*K1351</f>
        <v>31</v>
      </c>
      <c r="N1351" s="57" t="n">
        <f aca="false">IF(COUNTIFS(E$2:E1351,E1351,C$2:C1351,C1351)=1,1,0)</f>
        <v>1</v>
      </c>
      <c r="O1351" s="57" t="n">
        <f aca="false">IF(COUNTIFS(E$2:E1351,E1351,C$2:C1351,C1351,D$2:D1351,D1351)=1,1,0)</f>
        <v>1</v>
      </c>
      <c r="P1351" s="57" t="n">
        <f aca="false">IF(AND(C1351=Calc!$C$3,OR(Calc!$C$4=0,D1351=Calc!$C$4)),ROW(),0)</f>
        <v>1351</v>
      </c>
    </row>
    <row r="1352" customFormat="false" ht="15" hidden="false" customHeight="false" outlineLevel="0" collapsed="false">
      <c r="A1352" s="57" t="s">
        <v>1864</v>
      </c>
      <c r="B1352" s="58" t="n">
        <v>45658</v>
      </c>
      <c r="C1352" s="57" t="n">
        <f aca="false">YEAR(B1352)</f>
        <v>2025</v>
      </c>
      <c r="D1352" s="57" t="n">
        <f aca="false">MONTH(B1352)</f>
        <v>1</v>
      </c>
      <c r="E1352" s="57" t="s">
        <v>390</v>
      </c>
      <c r="F1352" s="57" t="s">
        <v>72</v>
      </c>
      <c r="G1352" s="57" t="s">
        <v>40</v>
      </c>
      <c r="H1352" s="57" t="s">
        <v>42</v>
      </c>
      <c r="I1352" s="59" t="n">
        <v>1</v>
      </c>
      <c r="J1352" s="60" t="n">
        <v>79</v>
      </c>
      <c r="K1352" s="60" t="n">
        <v>31</v>
      </c>
      <c r="L1352" s="61" t="n">
        <f aca="false">I1352*J1352</f>
        <v>79</v>
      </c>
      <c r="M1352" s="61" t="n">
        <f aca="false">L1352-I1352*K1352</f>
        <v>48</v>
      </c>
      <c r="N1352" s="57" t="n">
        <f aca="false">IF(COUNTIFS(E$2:E1352,E1352,C$2:C1352,C1352)=1,1,0)</f>
        <v>1</v>
      </c>
      <c r="O1352" s="57" t="n">
        <f aca="false">IF(COUNTIFS(E$2:E1352,E1352,C$2:C1352,C1352,D$2:D1352,D1352)=1,1,0)</f>
        <v>1</v>
      </c>
      <c r="P1352" s="57" t="n">
        <f aca="false">IF(AND(C1352=Calc!$C$3,OR(Calc!$C$4=0,D1352=Calc!$C$4)),ROW(),0)</f>
        <v>1352</v>
      </c>
    </row>
    <row r="1353" customFormat="false" ht="15" hidden="false" customHeight="false" outlineLevel="0" collapsed="false">
      <c r="A1353" s="57" t="s">
        <v>1865</v>
      </c>
      <c r="B1353" s="58" t="n">
        <v>45658</v>
      </c>
      <c r="C1353" s="57" t="n">
        <f aca="false">YEAR(B1353)</f>
        <v>2025</v>
      </c>
      <c r="D1353" s="57" t="n">
        <f aca="false">MONTH(B1353)</f>
        <v>1</v>
      </c>
      <c r="E1353" s="57" t="s">
        <v>1619</v>
      </c>
      <c r="F1353" s="57" t="s">
        <v>72</v>
      </c>
      <c r="G1353" s="57" t="s">
        <v>35</v>
      </c>
      <c r="H1353" s="57" t="s">
        <v>34</v>
      </c>
      <c r="I1353" s="59" t="n">
        <v>1</v>
      </c>
      <c r="J1353" s="60" t="n">
        <v>89</v>
      </c>
      <c r="K1353" s="60" t="n">
        <v>41</v>
      </c>
      <c r="L1353" s="61" t="n">
        <f aca="false">I1353*J1353</f>
        <v>89</v>
      </c>
      <c r="M1353" s="61" t="n">
        <f aca="false">L1353-I1353*K1353</f>
        <v>48</v>
      </c>
      <c r="N1353" s="57" t="n">
        <f aca="false">IF(COUNTIFS(E$2:E1353,E1353,C$2:C1353,C1353)=1,1,0)</f>
        <v>1</v>
      </c>
      <c r="O1353" s="57" t="n">
        <f aca="false">IF(COUNTIFS(E$2:E1353,E1353,C$2:C1353,C1353,D$2:D1353,D1353)=1,1,0)</f>
        <v>1</v>
      </c>
      <c r="P1353" s="57" t="n">
        <f aca="false">IF(AND(C1353=Calc!$C$3,OR(Calc!$C$4=0,D1353=Calc!$C$4)),ROW(),0)</f>
        <v>1353</v>
      </c>
    </row>
    <row r="1354" customFormat="false" ht="15" hidden="false" customHeight="false" outlineLevel="0" collapsed="false">
      <c r="A1354" s="57" t="s">
        <v>1866</v>
      </c>
      <c r="B1354" s="58" t="n">
        <v>45658</v>
      </c>
      <c r="C1354" s="57" t="n">
        <f aca="false">YEAR(B1354)</f>
        <v>2025</v>
      </c>
      <c r="D1354" s="57" t="n">
        <f aca="false">MONTH(B1354)</f>
        <v>1</v>
      </c>
      <c r="E1354" s="57" t="s">
        <v>1008</v>
      </c>
      <c r="F1354" s="57" t="s">
        <v>78</v>
      </c>
      <c r="G1354" s="57" t="s">
        <v>54</v>
      </c>
      <c r="H1354" s="57" t="s">
        <v>55</v>
      </c>
      <c r="I1354" s="59" t="n">
        <v>1</v>
      </c>
      <c r="J1354" s="60" t="n">
        <v>64</v>
      </c>
      <c r="K1354" s="60" t="n">
        <v>25</v>
      </c>
      <c r="L1354" s="61" t="n">
        <f aca="false">I1354*J1354</f>
        <v>64</v>
      </c>
      <c r="M1354" s="61" t="n">
        <f aca="false">L1354-I1354*K1354</f>
        <v>39</v>
      </c>
      <c r="N1354" s="57" t="n">
        <f aca="false">IF(COUNTIFS(E$2:E1354,E1354,C$2:C1354,C1354)=1,1,0)</f>
        <v>1</v>
      </c>
      <c r="O1354" s="57" t="n">
        <f aca="false">IF(COUNTIFS(E$2:E1354,E1354,C$2:C1354,C1354,D$2:D1354,D1354)=1,1,0)</f>
        <v>1</v>
      </c>
      <c r="P1354" s="57" t="n">
        <f aca="false">IF(AND(C1354=Calc!$C$3,OR(Calc!$C$4=0,D1354=Calc!$C$4)),ROW(),0)</f>
        <v>1354</v>
      </c>
    </row>
    <row r="1355" customFormat="false" ht="15" hidden="false" customHeight="false" outlineLevel="0" collapsed="false">
      <c r="A1355" s="57" t="s">
        <v>1867</v>
      </c>
      <c r="B1355" s="58" t="n">
        <v>45659</v>
      </c>
      <c r="C1355" s="57" t="n">
        <f aca="false">YEAR(B1355)</f>
        <v>2025</v>
      </c>
      <c r="D1355" s="57" t="n">
        <f aca="false">MONTH(B1355)</f>
        <v>1</v>
      </c>
      <c r="E1355" s="57" t="s">
        <v>1523</v>
      </c>
      <c r="F1355" s="57" t="s">
        <v>69</v>
      </c>
      <c r="G1355" s="57" t="s">
        <v>40</v>
      </c>
      <c r="H1355" s="57" t="s">
        <v>43</v>
      </c>
      <c r="I1355" s="59" t="n">
        <v>3</v>
      </c>
      <c r="J1355" s="60" t="n">
        <v>29</v>
      </c>
      <c r="K1355" s="60" t="n">
        <v>9</v>
      </c>
      <c r="L1355" s="61" t="n">
        <f aca="false">I1355*J1355</f>
        <v>87</v>
      </c>
      <c r="M1355" s="61" t="n">
        <f aca="false">L1355-I1355*K1355</f>
        <v>60</v>
      </c>
      <c r="N1355" s="57" t="n">
        <f aca="false">IF(COUNTIFS(E$2:E1355,E1355,C$2:C1355,C1355)=1,1,0)</f>
        <v>1</v>
      </c>
      <c r="O1355" s="57" t="n">
        <f aca="false">IF(COUNTIFS(E$2:E1355,E1355,C$2:C1355,C1355,D$2:D1355,D1355)=1,1,0)</f>
        <v>1</v>
      </c>
      <c r="P1355" s="57" t="n">
        <f aca="false">IF(AND(C1355=Calc!$C$3,OR(Calc!$C$4=0,D1355=Calc!$C$4)),ROW(),0)</f>
        <v>1355</v>
      </c>
    </row>
    <row r="1356" customFormat="false" ht="15" hidden="false" customHeight="false" outlineLevel="0" collapsed="false">
      <c r="A1356" s="57" t="s">
        <v>1868</v>
      </c>
      <c r="B1356" s="58" t="n">
        <v>45659</v>
      </c>
      <c r="C1356" s="57" t="n">
        <f aca="false">YEAR(B1356)</f>
        <v>2025</v>
      </c>
      <c r="D1356" s="57" t="n">
        <f aca="false">MONTH(B1356)</f>
        <v>1</v>
      </c>
      <c r="E1356" s="57" t="s">
        <v>613</v>
      </c>
      <c r="F1356" s="57" t="s">
        <v>72</v>
      </c>
      <c r="G1356" s="57" t="s">
        <v>35</v>
      </c>
      <c r="H1356" s="57" t="s">
        <v>34</v>
      </c>
      <c r="I1356" s="59" t="n">
        <v>1</v>
      </c>
      <c r="J1356" s="60" t="n">
        <v>89</v>
      </c>
      <c r="K1356" s="60" t="n">
        <v>41</v>
      </c>
      <c r="L1356" s="61" t="n">
        <f aca="false">I1356*J1356</f>
        <v>89</v>
      </c>
      <c r="M1356" s="61" t="n">
        <f aca="false">L1356-I1356*K1356</f>
        <v>48</v>
      </c>
      <c r="N1356" s="57" t="n">
        <f aca="false">IF(COUNTIFS(E$2:E1356,E1356,C$2:C1356,C1356)=1,1,0)</f>
        <v>1</v>
      </c>
      <c r="O1356" s="57" t="n">
        <f aca="false">IF(COUNTIFS(E$2:E1356,E1356,C$2:C1356,C1356,D$2:D1356,D1356)=1,1,0)</f>
        <v>1</v>
      </c>
      <c r="P1356" s="57" t="n">
        <f aca="false">IF(AND(C1356=Calc!$C$3,OR(Calc!$C$4=0,D1356=Calc!$C$4)),ROW(),0)</f>
        <v>1356</v>
      </c>
    </row>
    <row r="1357" customFormat="false" ht="15" hidden="false" customHeight="false" outlineLevel="0" collapsed="false">
      <c r="A1357" s="57" t="s">
        <v>1869</v>
      </c>
      <c r="B1357" s="58" t="n">
        <v>45659</v>
      </c>
      <c r="C1357" s="57" t="n">
        <f aca="false">YEAR(B1357)</f>
        <v>2025</v>
      </c>
      <c r="D1357" s="57" t="n">
        <f aca="false">MONTH(B1357)</f>
        <v>1</v>
      </c>
      <c r="E1357" s="57" t="s">
        <v>328</v>
      </c>
      <c r="F1357" s="57" t="s">
        <v>69</v>
      </c>
      <c r="G1357" s="57" t="s">
        <v>35</v>
      </c>
      <c r="H1357" s="57" t="s">
        <v>38</v>
      </c>
      <c r="I1357" s="59" t="n">
        <v>1</v>
      </c>
      <c r="J1357" s="60" t="n">
        <v>49</v>
      </c>
      <c r="K1357" s="60" t="n">
        <v>22</v>
      </c>
      <c r="L1357" s="61" t="n">
        <f aca="false">I1357*J1357</f>
        <v>49</v>
      </c>
      <c r="M1357" s="61" t="n">
        <f aca="false">L1357-I1357*K1357</f>
        <v>27</v>
      </c>
      <c r="N1357" s="57" t="n">
        <f aca="false">IF(COUNTIFS(E$2:E1357,E1357,C$2:C1357,C1357)=1,1,0)</f>
        <v>1</v>
      </c>
      <c r="O1357" s="57" t="n">
        <f aca="false">IF(COUNTIFS(E$2:E1357,E1357,C$2:C1357,C1357,D$2:D1357,D1357)=1,1,0)</f>
        <v>1</v>
      </c>
      <c r="P1357" s="57" t="n">
        <f aca="false">IF(AND(C1357=Calc!$C$3,OR(Calc!$C$4=0,D1357=Calc!$C$4)),ROW(),0)</f>
        <v>1357</v>
      </c>
    </row>
    <row r="1358" customFormat="false" ht="15" hidden="false" customHeight="false" outlineLevel="0" collapsed="false">
      <c r="A1358" s="57" t="s">
        <v>1870</v>
      </c>
      <c r="B1358" s="58" t="n">
        <v>45660</v>
      </c>
      <c r="C1358" s="57" t="n">
        <f aca="false">YEAR(B1358)</f>
        <v>2025</v>
      </c>
      <c r="D1358" s="57" t="n">
        <f aca="false">MONTH(B1358)</f>
        <v>1</v>
      </c>
      <c r="E1358" s="57" t="s">
        <v>240</v>
      </c>
      <c r="F1358" s="57" t="s">
        <v>75</v>
      </c>
      <c r="G1358" s="57" t="s">
        <v>35</v>
      </c>
      <c r="H1358" s="57" t="s">
        <v>37</v>
      </c>
      <c r="I1358" s="59" t="n">
        <v>1</v>
      </c>
      <c r="J1358" s="60" t="n">
        <v>59</v>
      </c>
      <c r="K1358" s="60" t="n">
        <v>27</v>
      </c>
      <c r="L1358" s="61" t="n">
        <f aca="false">I1358*J1358</f>
        <v>59</v>
      </c>
      <c r="M1358" s="61" t="n">
        <f aca="false">L1358-I1358*K1358</f>
        <v>32</v>
      </c>
      <c r="N1358" s="57" t="n">
        <f aca="false">IF(COUNTIFS(E$2:E1358,E1358,C$2:C1358,C1358)=1,1,0)</f>
        <v>1</v>
      </c>
      <c r="O1358" s="57" t="n">
        <f aca="false">IF(COUNTIFS(E$2:E1358,E1358,C$2:C1358,C1358,D$2:D1358,D1358)=1,1,0)</f>
        <v>1</v>
      </c>
      <c r="P1358" s="57" t="n">
        <f aca="false">IF(AND(C1358=Calc!$C$3,OR(Calc!$C$4=0,D1358=Calc!$C$4)),ROW(),0)</f>
        <v>1358</v>
      </c>
    </row>
    <row r="1359" customFormat="false" ht="15" hidden="false" customHeight="false" outlineLevel="0" collapsed="false">
      <c r="A1359" s="57" t="s">
        <v>1871</v>
      </c>
      <c r="B1359" s="58" t="n">
        <v>45660</v>
      </c>
      <c r="C1359" s="57" t="n">
        <f aca="false">YEAR(B1359)</f>
        <v>2025</v>
      </c>
      <c r="D1359" s="57" t="n">
        <f aca="false">MONTH(B1359)</f>
        <v>1</v>
      </c>
      <c r="E1359" s="57" t="s">
        <v>1872</v>
      </c>
      <c r="F1359" s="57" t="s">
        <v>69</v>
      </c>
      <c r="G1359" s="57" t="s">
        <v>40</v>
      </c>
      <c r="H1359" s="57" t="s">
        <v>39</v>
      </c>
      <c r="I1359" s="59" t="n">
        <v>1</v>
      </c>
      <c r="J1359" s="60" t="n">
        <v>54</v>
      </c>
      <c r="K1359" s="60" t="n">
        <v>19</v>
      </c>
      <c r="L1359" s="61" t="n">
        <f aca="false">I1359*J1359</f>
        <v>54</v>
      </c>
      <c r="M1359" s="61" t="n">
        <f aca="false">L1359-I1359*K1359</f>
        <v>35</v>
      </c>
      <c r="N1359" s="57" t="n">
        <f aca="false">IF(COUNTIFS(E$2:E1359,E1359,C$2:C1359,C1359)=1,1,0)</f>
        <v>1</v>
      </c>
      <c r="O1359" s="57" t="n">
        <f aca="false">IF(COUNTIFS(E$2:E1359,E1359,C$2:C1359,C1359,D$2:D1359,D1359)=1,1,0)</f>
        <v>1</v>
      </c>
      <c r="P1359" s="57" t="n">
        <f aca="false">IF(AND(C1359=Calc!$C$3,OR(Calc!$C$4=0,D1359=Calc!$C$4)),ROW(),0)</f>
        <v>1359</v>
      </c>
    </row>
    <row r="1360" customFormat="false" ht="15" hidden="false" customHeight="false" outlineLevel="0" collapsed="false">
      <c r="A1360" s="57" t="s">
        <v>1873</v>
      </c>
      <c r="B1360" s="58" t="n">
        <v>45660</v>
      </c>
      <c r="C1360" s="57" t="n">
        <f aca="false">YEAR(B1360)</f>
        <v>2025</v>
      </c>
      <c r="D1360" s="57" t="n">
        <f aca="false">MONTH(B1360)</f>
        <v>1</v>
      </c>
      <c r="E1360" s="57" t="s">
        <v>335</v>
      </c>
      <c r="F1360" s="57" t="s">
        <v>81</v>
      </c>
      <c r="G1360" s="57" t="s">
        <v>35</v>
      </c>
      <c r="H1360" s="57" t="s">
        <v>37</v>
      </c>
      <c r="I1360" s="59" t="n">
        <v>1</v>
      </c>
      <c r="J1360" s="60" t="n">
        <v>59</v>
      </c>
      <c r="K1360" s="60" t="n">
        <v>27</v>
      </c>
      <c r="L1360" s="61" t="n">
        <f aca="false">I1360*J1360</f>
        <v>59</v>
      </c>
      <c r="M1360" s="61" t="n">
        <f aca="false">L1360-I1360*K1360</f>
        <v>32</v>
      </c>
      <c r="N1360" s="57" t="n">
        <f aca="false">IF(COUNTIFS(E$2:E1360,E1360,C$2:C1360,C1360)=1,1,0)</f>
        <v>1</v>
      </c>
      <c r="O1360" s="57" t="n">
        <f aca="false">IF(COUNTIFS(E$2:E1360,E1360,C$2:C1360,C1360,D$2:D1360,D1360)=1,1,0)</f>
        <v>1</v>
      </c>
      <c r="P1360" s="57" t="n">
        <f aca="false">IF(AND(C1360=Calc!$C$3,OR(Calc!$C$4=0,D1360=Calc!$C$4)),ROW(),0)</f>
        <v>1360</v>
      </c>
    </row>
    <row r="1361" customFormat="false" ht="15" hidden="false" customHeight="false" outlineLevel="0" collapsed="false">
      <c r="A1361" s="57" t="s">
        <v>1874</v>
      </c>
      <c r="B1361" s="58" t="n">
        <v>45661</v>
      </c>
      <c r="C1361" s="57" t="n">
        <f aca="false">YEAR(B1361)</f>
        <v>2025</v>
      </c>
      <c r="D1361" s="57" t="n">
        <f aca="false">MONTH(B1361)</f>
        <v>1</v>
      </c>
      <c r="E1361" s="57" t="s">
        <v>196</v>
      </c>
      <c r="F1361" s="57" t="s">
        <v>69</v>
      </c>
      <c r="G1361" s="57" t="s">
        <v>50</v>
      </c>
      <c r="H1361" s="57" t="s">
        <v>51</v>
      </c>
      <c r="I1361" s="59" t="n">
        <v>2</v>
      </c>
      <c r="J1361" s="60" t="n">
        <v>69</v>
      </c>
      <c r="K1361" s="60" t="n">
        <v>29</v>
      </c>
      <c r="L1361" s="61" t="n">
        <f aca="false">I1361*J1361</f>
        <v>138</v>
      </c>
      <c r="M1361" s="61" t="n">
        <f aca="false">L1361-I1361*K1361</f>
        <v>80</v>
      </c>
      <c r="N1361" s="57" t="n">
        <f aca="false">IF(COUNTIFS(E$2:E1361,E1361,C$2:C1361,C1361)=1,1,0)</f>
        <v>1</v>
      </c>
      <c r="O1361" s="57" t="n">
        <f aca="false">IF(COUNTIFS(E$2:E1361,E1361,C$2:C1361,C1361,D$2:D1361,D1361)=1,1,0)</f>
        <v>1</v>
      </c>
      <c r="P1361" s="57" t="n">
        <f aca="false">IF(AND(C1361=Calc!$C$3,OR(Calc!$C$4=0,D1361=Calc!$C$4)),ROW(),0)</f>
        <v>1361</v>
      </c>
    </row>
    <row r="1362" customFormat="false" ht="15" hidden="false" customHeight="false" outlineLevel="0" collapsed="false">
      <c r="A1362" s="57" t="s">
        <v>1875</v>
      </c>
      <c r="B1362" s="58" t="n">
        <v>45661</v>
      </c>
      <c r="C1362" s="57" t="n">
        <f aca="false">YEAR(B1362)</f>
        <v>2025</v>
      </c>
      <c r="D1362" s="57" t="n">
        <f aca="false">MONTH(B1362)</f>
        <v>1</v>
      </c>
      <c r="E1362" s="57" t="s">
        <v>589</v>
      </c>
      <c r="F1362" s="57" t="s">
        <v>75</v>
      </c>
      <c r="G1362" s="57" t="s">
        <v>50</v>
      </c>
      <c r="H1362" s="57" t="s">
        <v>49</v>
      </c>
      <c r="I1362" s="59" t="n">
        <v>2</v>
      </c>
      <c r="J1362" s="60" t="n">
        <v>32</v>
      </c>
      <c r="K1362" s="60" t="n">
        <v>7</v>
      </c>
      <c r="L1362" s="61" t="n">
        <f aca="false">I1362*J1362</f>
        <v>64</v>
      </c>
      <c r="M1362" s="61" t="n">
        <f aca="false">L1362-I1362*K1362</f>
        <v>50</v>
      </c>
      <c r="N1362" s="57" t="n">
        <f aca="false">IF(COUNTIFS(E$2:E1362,E1362,C$2:C1362,C1362)=1,1,0)</f>
        <v>1</v>
      </c>
      <c r="O1362" s="57" t="n">
        <f aca="false">IF(COUNTIFS(E$2:E1362,E1362,C$2:C1362,C1362,D$2:D1362,D1362)=1,1,0)</f>
        <v>1</v>
      </c>
      <c r="P1362" s="57" t="n">
        <f aca="false">IF(AND(C1362=Calc!$C$3,OR(Calc!$C$4=0,D1362=Calc!$C$4)),ROW(),0)</f>
        <v>1362</v>
      </c>
    </row>
    <row r="1363" customFormat="false" ht="15" hidden="false" customHeight="false" outlineLevel="0" collapsed="false">
      <c r="A1363" s="57" t="s">
        <v>1876</v>
      </c>
      <c r="B1363" s="58" t="n">
        <v>45661</v>
      </c>
      <c r="C1363" s="57" t="n">
        <f aca="false">YEAR(B1363)</f>
        <v>2025</v>
      </c>
      <c r="D1363" s="57" t="n">
        <f aca="false">MONTH(B1363)</f>
        <v>1</v>
      </c>
      <c r="E1363" s="57" t="s">
        <v>508</v>
      </c>
      <c r="F1363" s="57" t="s">
        <v>81</v>
      </c>
      <c r="G1363" s="57" t="s">
        <v>50</v>
      </c>
      <c r="H1363" s="57" t="s">
        <v>49</v>
      </c>
      <c r="I1363" s="59" t="n">
        <v>2</v>
      </c>
      <c r="J1363" s="60" t="n">
        <v>32</v>
      </c>
      <c r="K1363" s="60" t="n">
        <v>7</v>
      </c>
      <c r="L1363" s="61" t="n">
        <f aca="false">I1363*J1363</f>
        <v>64</v>
      </c>
      <c r="M1363" s="61" t="n">
        <f aca="false">L1363-I1363*K1363</f>
        <v>50</v>
      </c>
      <c r="N1363" s="57" t="n">
        <f aca="false">IF(COUNTIFS(E$2:E1363,E1363,C$2:C1363,C1363)=1,1,0)</f>
        <v>1</v>
      </c>
      <c r="O1363" s="57" t="n">
        <f aca="false">IF(COUNTIFS(E$2:E1363,E1363,C$2:C1363,C1363,D$2:D1363,D1363)=1,1,0)</f>
        <v>1</v>
      </c>
      <c r="P1363" s="57" t="n">
        <f aca="false">IF(AND(C1363=Calc!$C$3,OR(Calc!$C$4=0,D1363=Calc!$C$4)),ROW(),0)</f>
        <v>1363</v>
      </c>
    </row>
    <row r="1364" customFormat="false" ht="15" hidden="false" customHeight="false" outlineLevel="0" collapsed="false">
      <c r="A1364" s="57" t="s">
        <v>1877</v>
      </c>
      <c r="B1364" s="58" t="n">
        <v>45661</v>
      </c>
      <c r="C1364" s="57" t="n">
        <f aca="false">YEAR(B1364)</f>
        <v>2025</v>
      </c>
      <c r="D1364" s="57" t="n">
        <f aca="false">MONTH(B1364)</f>
        <v>1</v>
      </c>
      <c r="E1364" s="57" t="s">
        <v>71</v>
      </c>
      <c r="F1364" s="57" t="s">
        <v>72</v>
      </c>
      <c r="G1364" s="57" t="s">
        <v>40</v>
      </c>
      <c r="H1364" s="57" t="s">
        <v>41</v>
      </c>
      <c r="I1364" s="59" t="n">
        <v>1</v>
      </c>
      <c r="J1364" s="60" t="n">
        <v>46</v>
      </c>
      <c r="K1364" s="60" t="n">
        <v>16</v>
      </c>
      <c r="L1364" s="61" t="n">
        <f aca="false">I1364*J1364</f>
        <v>46</v>
      </c>
      <c r="M1364" s="61" t="n">
        <f aca="false">L1364-I1364*K1364</f>
        <v>30</v>
      </c>
      <c r="N1364" s="57" t="n">
        <f aca="false">IF(COUNTIFS(E$2:E1364,E1364,C$2:C1364,C1364)=1,1,0)</f>
        <v>1</v>
      </c>
      <c r="O1364" s="57" t="n">
        <f aca="false">IF(COUNTIFS(E$2:E1364,E1364,C$2:C1364,C1364,D$2:D1364,D1364)=1,1,0)</f>
        <v>1</v>
      </c>
      <c r="P1364" s="57" t="n">
        <f aca="false">IF(AND(C1364=Calc!$C$3,OR(Calc!$C$4=0,D1364=Calc!$C$4)),ROW(),0)</f>
        <v>1364</v>
      </c>
    </row>
    <row r="1365" customFormat="false" ht="15" hidden="false" customHeight="false" outlineLevel="0" collapsed="false">
      <c r="A1365" s="57" t="s">
        <v>1878</v>
      </c>
      <c r="B1365" s="58" t="n">
        <v>45662</v>
      </c>
      <c r="C1365" s="57" t="n">
        <f aca="false">YEAR(B1365)</f>
        <v>2025</v>
      </c>
      <c r="D1365" s="57" t="n">
        <f aca="false">MONTH(B1365)</f>
        <v>1</v>
      </c>
      <c r="E1365" s="57" t="s">
        <v>122</v>
      </c>
      <c r="F1365" s="57" t="s">
        <v>81</v>
      </c>
      <c r="G1365" s="57" t="s">
        <v>40</v>
      </c>
      <c r="H1365" s="57" t="s">
        <v>42</v>
      </c>
      <c r="I1365" s="59" t="n">
        <v>1</v>
      </c>
      <c r="J1365" s="60" t="n">
        <v>79</v>
      </c>
      <c r="K1365" s="60" t="n">
        <v>31</v>
      </c>
      <c r="L1365" s="61" t="n">
        <f aca="false">I1365*J1365</f>
        <v>79</v>
      </c>
      <c r="M1365" s="61" t="n">
        <f aca="false">L1365-I1365*K1365</f>
        <v>48</v>
      </c>
      <c r="N1365" s="57" t="n">
        <f aca="false">IF(COUNTIFS(E$2:E1365,E1365,C$2:C1365,C1365)=1,1,0)</f>
        <v>1</v>
      </c>
      <c r="O1365" s="57" t="n">
        <f aca="false">IF(COUNTIFS(E$2:E1365,E1365,C$2:C1365,C1365,D$2:D1365,D1365)=1,1,0)</f>
        <v>1</v>
      </c>
      <c r="P1365" s="57" t="n">
        <f aca="false">IF(AND(C1365=Calc!$C$3,OR(Calc!$C$4=0,D1365=Calc!$C$4)),ROW(),0)</f>
        <v>1365</v>
      </c>
    </row>
    <row r="1366" customFormat="false" ht="15" hidden="false" customHeight="false" outlineLevel="0" collapsed="false">
      <c r="A1366" s="57" t="s">
        <v>1879</v>
      </c>
      <c r="B1366" s="58" t="n">
        <v>45662</v>
      </c>
      <c r="C1366" s="57" t="n">
        <f aca="false">YEAR(B1366)</f>
        <v>2025</v>
      </c>
      <c r="D1366" s="57" t="n">
        <f aca="false">MONTH(B1366)</f>
        <v>1</v>
      </c>
      <c r="E1366" s="57" t="s">
        <v>170</v>
      </c>
      <c r="F1366" s="57" t="s">
        <v>69</v>
      </c>
      <c r="G1366" s="57" t="s">
        <v>45</v>
      </c>
      <c r="H1366" s="57" t="s">
        <v>44</v>
      </c>
      <c r="I1366" s="59" t="n">
        <v>1</v>
      </c>
      <c r="J1366" s="60" t="n">
        <v>119</v>
      </c>
      <c r="K1366" s="60" t="n">
        <v>63</v>
      </c>
      <c r="L1366" s="61" t="n">
        <f aca="false">I1366*J1366</f>
        <v>119</v>
      </c>
      <c r="M1366" s="61" t="n">
        <f aca="false">L1366-I1366*K1366</f>
        <v>56</v>
      </c>
      <c r="N1366" s="57" t="n">
        <f aca="false">IF(COUNTIFS(E$2:E1366,E1366,C$2:C1366,C1366)=1,1,0)</f>
        <v>1</v>
      </c>
      <c r="O1366" s="57" t="n">
        <f aca="false">IF(COUNTIFS(E$2:E1366,E1366,C$2:C1366,C1366,D$2:D1366,D1366)=1,1,0)</f>
        <v>1</v>
      </c>
      <c r="P1366" s="57" t="n">
        <f aca="false">IF(AND(C1366=Calc!$C$3,OR(Calc!$C$4=0,D1366=Calc!$C$4)),ROW(),0)</f>
        <v>1366</v>
      </c>
    </row>
    <row r="1367" customFormat="false" ht="15" hidden="false" customHeight="false" outlineLevel="0" collapsed="false">
      <c r="A1367" s="57" t="s">
        <v>1880</v>
      </c>
      <c r="B1367" s="58" t="n">
        <v>45662</v>
      </c>
      <c r="C1367" s="57" t="n">
        <f aca="false">YEAR(B1367)</f>
        <v>2025</v>
      </c>
      <c r="D1367" s="57" t="n">
        <f aca="false">MONTH(B1367)</f>
        <v>1</v>
      </c>
      <c r="E1367" s="57" t="s">
        <v>225</v>
      </c>
      <c r="F1367" s="57" t="s">
        <v>72</v>
      </c>
      <c r="G1367" s="57" t="s">
        <v>35</v>
      </c>
      <c r="H1367" s="57" t="s">
        <v>38</v>
      </c>
      <c r="I1367" s="59" t="n">
        <v>1</v>
      </c>
      <c r="J1367" s="60" t="n">
        <v>49</v>
      </c>
      <c r="K1367" s="60" t="n">
        <v>22</v>
      </c>
      <c r="L1367" s="61" t="n">
        <f aca="false">I1367*J1367</f>
        <v>49</v>
      </c>
      <c r="M1367" s="61" t="n">
        <f aca="false">L1367-I1367*K1367</f>
        <v>27</v>
      </c>
      <c r="N1367" s="57" t="n">
        <f aca="false">IF(COUNTIFS(E$2:E1367,E1367,C$2:C1367,C1367)=1,1,0)</f>
        <v>1</v>
      </c>
      <c r="O1367" s="57" t="n">
        <f aca="false">IF(COUNTIFS(E$2:E1367,E1367,C$2:C1367,C1367,D$2:D1367,D1367)=1,1,0)</f>
        <v>1</v>
      </c>
      <c r="P1367" s="57" t="n">
        <f aca="false">IF(AND(C1367=Calc!$C$3,OR(Calc!$C$4=0,D1367=Calc!$C$4)),ROW(),0)</f>
        <v>1367</v>
      </c>
    </row>
    <row r="1368" customFormat="false" ht="15" hidden="false" customHeight="false" outlineLevel="0" collapsed="false">
      <c r="A1368" s="57" t="s">
        <v>1881</v>
      </c>
      <c r="B1368" s="58" t="n">
        <v>45662</v>
      </c>
      <c r="C1368" s="57" t="n">
        <f aca="false">YEAR(B1368)</f>
        <v>2025</v>
      </c>
      <c r="D1368" s="57" t="n">
        <f aca="false">MONTH(B1368)</f>
        <v>1</v>
      </c>
      <c r="E1368" s="57" t="s">
        <v>698</v>
      </c>
      <c r="F1368" s="57" t="s">
        <v>75</v>
      </c>
      <c r="G1368" s="57" t="s">
        <v>35</v>
      </c>
      <c r="H1368" s="57" t="s">
        <v>38</v>
      </c>
      <c r="I1368" s="59" t="n">
        <v>1</v>
      </c>
      <c r="J1368" s="60" t="n">
        <v>49</v>
      </c>
      <c r="K1368" s="60" t="n">
        <v>22</v>
      </c>
      <c r="L1368" s="61" t="n">
        <f aca="false">I1368*J1368</f>
        <v>49</v>
      </c>
      <c r="M1368" s="61" t="n">
        <f aca="false">L1368-I1368*K1368</f>
        <v>27</v>
      </c>
      <c r="N1368" s="57" t="n">
        <f aca="false">IF(COUNTIFS(E$2:E1368,E1368,C$2:C1368,C1368)=1,1,0)</f>
        <v>1</v>
      </c>
      <c r="O1368" s="57" t="n">
        <f aca="false">IF(COUNTIFS(E$2:E1368,E1368,C$2:C1368,C1368,D$2:D1368,D1368)=1,1,0)</f>
        <v>1</v>
      </c>
      <c r="P1368" s="57" t="n">
        <f aca="false">IF(AND(C1368=Calc!$C$3,OR(Calc!$C$4=0,D1368=Calc!$C$4)),ROW(),0)</f>
        <v>1368</v>
      </c>
    </row>
    <row r="1369" customFormat="false" ht="15" hidden="false" customHeight="false" outlineLevel="0" collapsed="false">
      <c r="A1369" s="57" t="s">
        <v>1882</v>
      </c>
      <c r="B1369" s="58" t="n">
        <v>45663</v>
      </c>
      <c r="C1369" s="57" t="n">
        <f aca="false">YEAR(B1369)</f>
        <v>2025</v>
      </c>
      <c r="D1369" s="57" t="n">
        <f aca="false">MONTH(B1369)</f>
        <v>1</v>
      </c>
      <c r="E1369" s="57" t="s">
        <v>466</v>
      </c>
      <c r="F1369" s="57" t="s">
        <v>72</v>
      </c>
      <c r="G1369" s="57" t="s">
        <v>45</v>
      </c>
      <c r="H1369" s="57" t="s">
        <v>47</v>
      </c>
      <c r="I1369" s="59" t="n">
        <v>3</v>
      </c>
      <c r="J1369" s="60" t="n">
        <v>34</v>
      </c>
      <c r="K1369" s="60" t="n">
        <v>12</v>
      </c>
      <c r="L1369" s="61" t="n">
        <f aca="false">I1369*J1369</f>
        <v>102</v>
      </c>
      <c r="M1369" s="61" t="n">
        <f aca="false">L1369-I1369*K1369</f>
        <v>66</v>
      </c>
      <c r="N1369" s="57" t="n">
        <f aca="false">IF(COUNTIFS(E$2:E1369,E1369,C$2:C1369,C1369)=1,1,0)</f>
        <v>1</v>
      </c>
      <c r="O1369" s="57" t="n">
        <f aca="false">IF(COUNTIFS(E$2:E1369,E1369,C$2:C1369,C1369,D$2:D1369,D1369)=1,1,0)</f>
        <v>1</v>
      </c>
      <c r="P1369" s="57" t="n">
        <f aca="false">IF(AND(C1369=Calc!$C$3,OR(Calc!$C$4=0,D1369=Calc!$C$4)),ROW(),0)</f>
        <v>1369</v>
      </c>
    </row>
    <row r="1370" customFormat="false" ht="15" hidden="false" customHeight="false" outlineLevel="0" collapsed="false">
      <c r="A1370" s="57" t="s">
        <v>1883</v>
      </c>
      <c r="B1370" s="58" t="n">
        <v>45663</v>
      </c>
      <c r="C1370" s="57" t="n">
        <f aca="false">YEAR(B1370)</f>
        <v>2025</v>
      </c>
      <c r="D1370" s="57" t="n">
        <f aca="false">MONTH(B1370)</f>
        <v>1</v>
      </c>
      <c r="E1370" s="57" t="s">
        <v>1884</v>
      </c>
      <c r="F1370" s="57" t="s">
        <v>78</v>
      </c>
      <c r="G1370" s="57" t="s">
        <v>35</v>
      </c>
      <c r="H1370" s="57" t="s">
        <v>34</v>
      </c>
      <c r="I1370" s="59" t="n">
        <v>1</v>
      </c>
      <c r="J1370" s="60" t="n">
        <v>89</v>
      </c>
      <c r="K1370" s="60" t="n">
        <v>41</v>
      </c>
      <c r="L1370" s="61" t="n">
        <f aca="false">I1370*J1370</f>
        <v>89</v>
      </c>
      <c r="M1370" s="61" t="n">
        <f aca="false">L1370-I1370*K1370</f>
        <v>48</v>
      </c>
      <c r="N1370" s="57" t="n">
        <f aca="false">IF(COUNTIFS(E$2:E1370,E1370,C$2:C1370,C1370)=1,1,0)</f>
        <v>1</v>
      </c>
      <c r="O1370" s="57" t="n">
        <f aca="false">IF(COUNTIFS(E$2:E1370,E1370,C$2:C1370,C1370,D$2:D1370,D1370)=1,1,0)</f>
        <v>1</v>
      </c>
      <c r="P1370" s="57" t="n">
        <f aca="false">IF(AND(C1370=Calc!$C$3,OR(Calc!$C$4=0,D1370=Calc!$C$4)),ROW(),0)</f>
        <v>1370</v>
      </c>
    </row>
    <row r="1371" customFormat="false" ht="15" hidden="false" customHeight="false" outlineLevel="0" collapsed="false">
      <c r="A1371" s="57" t="s">
        <v>1885</v>
      </c>
      <c r="B1371" s="58" t="n">
        <v>45663</v>
      </c>
      <c r="C1371" s="57" t="n">
        <f aca="false">YEAR(B1371)</f>
        <v>2025</v>
      </c>
      <c r="D1371" s="57" t="n">
        <f aca="false">MONTH(B1371)</f>
        <v>1</v>
      </c>
      <c r="E1371" s="57" t="s">
        <v>307</v>
      </c>
      <c r="F1371" s="57" t="s">
        <v>69</v>
      </c>
      <c r="G1371" s="57" t="s">
        <v>45</v>
      </c>
      <c r="H1371" s="57" t="s">
        <v>46</v>
      </c>
      <c r="I1371" s="59" t="n">
        <v>1</v>
      </c>
      <c r="J1371" s="60" t="n">
        <v>149</v>
      </c>
      <c r="K1371" s="60" t="n">
        <v>71</v>
      </c>
      <c r="L1371" s="61" t="n">
        <f aca="false">I1371*J1371</f>
        <v>149</v>
      </c>
      <c r="M1371" s="61" t="n">
        <f aca="false">L1371-I1371*K1371</f>
        <v>78</v>
      </c>
      <c r="N1371" s="57" t="n">
        <f aca="false">IF(COUNTIFS(E$2:E1371,E1371,C$2:C1371,C1371)=1,1,0)</f>
        <v>1</v>
      </c>
      <c r="O1371" s="57" t="n">
        <f aca="false">IF(COUNTIFS(E$2:E1371,E1371,C$2:C1371,C1371,D$2:D1371,D1371)=1,1,0)</f>
        <v>1</v>
      </c>
      <c r="P1371" s="57" t="n">
        <f aca="false">IF(AND(C1371=Calc!$C$3,OR(Calc!$C$4=0,D1371=Calc!$C$4)),ROW(),0)</f>
        <v>1371</v>
      </c>
    </row>
    <row r="1372" customFormat="false" ht="15" hidden="false" customHeight="false" outlineLevel="0" collapsed="false">
      <c r="A1372" s="57" t="s">
        <v>1886</v>
      </c>
      <c r="B1372" s="58" t="n">
        <v>45663</v>
      </c>
      <c r="C1372" s="57" t="n">
        <f aca="false">YEAR(B1372)</f>
        <v>2025</v>
      </c>
      <c r="D1372" s="57" t="n">
        <f aca="false">MONTH(B1372)</f>
        <v>1</v>
      </c>
      <c r="E1372" s="57" t="s">
        <v>164</v>
      </c>
      <c r="F1372" s="57" t="s">
        <v>69</v>
      </c>
      <c r="G1372" s="57" t="s">
        <v>40</v>
      </c>
      <c r="H1372" s="57" t="s">
        <v>43</v>
      </c>
      <c r="I1372" s="59" t="n">
        <v>1</v>
      </c>
      <c r="J1372" s="60" t="n">
        <v>29</v>
      </c>
      <c r="K1372" s="60" t="n">
        <v>9</v>
      </c>
      <c r="L1372" s="61" t="n">
        <f aca="false">I1372*J1372</f>
        <v>29</v>
      </c>
      <c r="M1372" s="61" t="n">
        <f aca="false">L1372-I1372*K1372</f>
        <v>20</v>
      </c>
      <c r="N1372" s="57" t="n">
        <f aca="false">IF(COUNTIFS(E$2:E1372,E1372,C$2:C1372,C1372)=1,1,0)</f>
        <v>1</v>
      </c>
      <c r="O1372" s="57" t="n">
        <f aca="false">IF(COUNTIFS(E$2:E1372,E1372,C$2:C1372,C1372,D$2:D1372,D1372)=1,1,0)</f>
        <v>1</v>
      </c>
      <c r="P1372" s="57" t="n">
        <f aca="false">IF(AND(C1372=Calc!$C$3,OR(Calc!$C$4=0,D1372=Calc!$C$4)),ROW(),0)</f>
        <v>1372</v>
      </c>
    </row>
    <row r="1373" customFormat="false" ht="15" hidden="false" customHeight="false" outlineLevel="0" collapsed="false">
      <c r="A1373" s="57" t="s">
        <v>1887</v>
      </c>
      <c r="B1373" s="58" t="n">
        <v>45663</v>
      </c>
      <c r="C1373" s="57" t="n">
        <f aca="false">YEAR(B1373)</f>
        <v>2025</v>
      </c>
      <c r="D1373" s="57" t="n">
        <f aca="false">MONTH(B1373)</f>
        <v>1</v>
      </c>
      <c r="E1373" s="57" t="s">
        <v>189</v>
      </c>
      <c r="F1373" s="57" t="s">
        <v>69</v>
      </c>
      <c r="G1373" s="57" t="s">
        <v>45</v>
      </c>
      <c r="H1373" s="57" t="s">
        <v>44</v>
      </c>
      <c r="I1373" s="59" t="n">
        <v>1</v>
      </c>
      <c r="J1373" s="60" t="n">
        <v>119</v>
      </c>
      <c r="K1373" s="60" t="n">
        <v>63</v>
      </c>
      <c r="L1373" s="61" t="n">
        <f aca="false">I1373*J1373</f>
        <v>119</v>
      </c>
      <c r="M1373" s="61" t="n">
        <f aca="false">L1373-I1373*K1373</f>
        <v>56</v>
      </c>
      <c r="N1373" s="57" t="n">
        <f aca="false">IF(COUNTIFS(E$2:E1373,E1373,C$2:C1373,C1373)=1,1,0)</f>
        <v>1</v>
      </c>
      <c r="O1373" s="57" t="n">
        <f aca="false">IF(COUNTIFS(E$2:E1373,E1373,C$2:C1373,C1373,D$2:D1373,D1373)=1,1,0)</f>
        <v>1</v>
      </c>
      <c r="P1373" s="57" t="n">
        <f aca="false">IF(AND(C1373=Calc!$C$3,OR(Calc!$C$4=0,D1373=Calc!$C$4)),ROW(),0)</f>
        <v>1373</v>
      </c>
    </row>
    <row r="1374" customFormat="false" ht="15" hidden="false" customHeight="false" outlineLevel="0" collapsed="false">
      <c r="A1374" s="57" t="s">
        <v>1888</v>
      </c>
      <c r="B1374" s="58" t="n">
        <v>45664</v>
      </c>
      <c r="C1374" s="57" t="n">
        <f aca="false">YEAR(B1374)</f>
        <v>2025</v>
      </c>
      <c r="D1374" s="57" t="n">
        <f aca="false">MONTH(B1374)</f>
        <v>1</v>
      </c>
      <c r="E1374" s="57" t="s">
        <v>1304</v>
      </c>
      <c r="F1374" s="57" t="s">
        <v>78</v>
      </c>
      <c r="G1374" s="57" t="s">
        <v>35</v>
      </c>
      <c r="H1374" s="57" t="s">
        <v>37</v>
      </c>
      <c r="I1374" s="59" t="n">
        <v>1</v>
      </c>
      <c r="J1374" s="60" t="n">
        <v>59</v>
      </c>
      <c r="K1374" s="60" t="n">
        <v>27</v>
      </c>
      <c r="L1374" s="61" t="n">
        <f aca="false">I1374*J1374</f>
        <v>59</v>
      </c>
      <c r="M1374" s="61" t="n">
        <f aca="false">L1374-I1374*K1374</f>
        <v>32</v>
      </c>
      <c r="N1374" s="57" t="n">
        <f aca="false">IF(COUNTIFS(E$2:E1374,E1374,C$2:C1374,C1374)=1,1,0)</f>
        <v>1</v>
      </c>
      <c r="O1374" s="57" t="n">
        <f aca="false">IF(COUNTIFS(E$2:E1374,E1374,C$2:C1374,C1374,D$2:D1374,D1374)=1,1,0)</f>
        <v>1</v>
      </c>
      <c r="P1374" s="57" t="n">
        <f aca="false">IF(AND(C1374=Calc!$C$3,OR(Calc!$C$4=0,D1374=Calc!$C$4)),ROW(),0)</f>
        <v>1374</v>
      </c>
    </row>
    <row r="1375" customFormat="false" ht="15" hidden="false" customHeight="false" outlineLevel="0" collapsed="false">
      <c r="A1375" s="57" t="s">
        <v>1889</v>
      </c>
      <c r="B1375" s="58" t="n">
        <v>45664</v>
      </c>
      <c r="C1375" s="57" t="n">
        <f aca="false">YEAR(B1375)</f>
        <v>2025</v>
      </c>
      <c r="D1375" s="57" t="n">
        <f aca="false">MONTH(B1375)</f>
        <v>1</v>
      </c>
      <c r="E1375" s="57" t="s">
        <v>275</v>
      </c>
      <c r="F1375" s="57" t="s">
        <v>75</v>
      </c>
      <c r="G1375" s="57" t="s">
        <v>40</v>
      </c>
      <c r="H1375" s="57" t="s">
        <v>43</v>
      </c>
      <c r="I1375" s="59" t="n">
        <v>2</v>
      </c>
      <c r="J1375" s="60" t="n">
        <v>29</v>
      </c>
      <c r="K1375" s="60" t="n">
        <v>9</v>
      </c>
      <c r="L1375" s="61" t="n">
        <f aca="false">I1375*J1375</f>
        <v>58</v>
      </c>
      <c r="M1375" s="61" t="n">
        <f aca="false">L1375-I1375*K1375</f>
        <v>40</v>
      </c>
      <c r="N1375" s="57" t="n">
        <f aca="false">IF(COUNTIFS(E$2:E1375,E1375,C$2:C1375,C1375)=1,1,0)</f>
        <v>1</v>
      </c>
      <c r="O1375" s="57" t="n">
        <f aca="false">IF(COUNTIFS(E$2:E1375,E1375,C$2:C1375,C1375,D$2:D1375,D1375)=1,1,0)</f>
        <v>1</v>
      </c>
      <c r="P1375" s="57" t="n">
        <f aca="false">IF(AND(C1375=Calc!$C$3,OR(Calc!$C$4=0,D1375=Calc!$C$4)),ROW(),0)</f>
        <v>1375</v>
      </c>
    </row>
    <row r="1376" customFormat="false" ht="15" hidden="false" customHeight="false" outlineLevel="0" collapsed="false">
      <c r="A1376" s="57" t="s">
        <v>1890</v>
      </c>
      <c r="B1376" s="58" t="n">
        <v>45664</v>
      </c>
      <c r="C1376" s="57" t="n">
        <f aca="false">YEAR(B1376)</f>
        <v>2025</v>
      </c>
      <c r="D1376" s="57" t="n">
        <f aca="false">MONTH(B1376)</f>
        <v>1</v>
      </c>
      <c r="E1376" s="57" t="s">
        <v>206</v>
      </c>
      <c r="F1376" s="57" t="s">
        <v>78</v>
      </c>
      <c r="G1376" s="57" t="s">
        <v>40</v>
      </c>
      <c r="H1376" s="57" t="s">
        <v>39</v>
      </c>
      <c r="I1376" s="59" t="n">
        <v>1</v>
      </c>
      <c r="J1376" s="60" t="n">
        <v>54</v>
      </c>
      <c r="K1376" s="60" t="n">
        <v>19</v>
      </c>
      <c r="L1376" s="61" t="n">
        <f aca="false">I1376*J1376</f>
        <v>54</v>
      </c>
      <c r="M1376" s="61" t="n">
        <f aca="false">L1376-I1376*K1376</f>
        <v>35</v>
      </c>
      <c r="N1376" s="57" t="n">
        <f aca="false">IF(COUNTIFS(E$2:E1376,E1376,C$2:C1376,C1376)=1,1,0)</f>
        <v>1</v>
      </c>
      <c r="O1376" s="57" t="n">
        <f aca="false">IF(COUNTIFS(E$2:E1376,E1376,C$2:C1376,C1376,D$2:D1376,D1376)=1,1,0)</f>
        <v>1</v>
      </c>
      <c r="P1376" s="57" t="n">
        <f aca="false">IF(AND(C1376=Calc!$C$3,OR(Calc!$C$4=0,D1376=Calc!$C$4)),ROW(),0)</f>
        <v>1376</v>
      </c>
    </row>
    <row r="1377" customFormat="false" ht="15" hidden="false" customHeight="false" outlineLevel="0" collapsed="false">
      <c r="A1377" s="57" t="s">
        <v>1891</v>
      </c>
      <c r="B1377" s="58" t="n">
        <v>45665</v>
      </c>
      <c r="C1377" s="57" t="n">
        <f aca="false">YEAR(B1377)</f>
        <v>2025</v>
      </c>
      <c r="D1377" s="57" t="n">
        <f aca="false">MONTH(B1377)</f>
        <v>1</v>
      </c>
      <c r="E1377" s="57" t="s">
        <v>271</v>
      </c>
      <c r="F1377" s="57" t="s">
        <v>75</v>
      </c>
      <c r="G1377" s="57" t="s">
        <v>35</v>
      </c>
      <c r="H1377" s="57" t="s">
        <v>36</v>
      </c>
      <c r="I1377" s="59" t="n">
        <v>1</v>
      </c>
      <c r="J1377" s="60" t="n">
        <v>179</v>
      </c>
      <c r="K1377" s="60" t="n">
        <v>92</v>
      </c>
      <c r="L1377" s="61" t="n">
        <f aca="false">I1377*J1377</f>
        <v>179</v>
      </c>
      <c r="M1377" s="61" t="n">
        <f aca="false">L1377-I1377*K1377</f>
        <v>87</v>
      </c>
      <c r="N1377" s="57" t="n">
        <f aca="false">IF(COUNTIFS(E$2:E1377,E1377,C$2:C1377,C1377)=1,1,0)</f>
        <v>1</v>
      </c>
      <c r="O1377" s="57" t="n">
        <f aca="false">IF(COUNTIFS(E$2:E1377,E1377,C$2:C1377,C1377,D$2:D1377,D1377)=1,1,0)</f>
        <v>1</v>
      </c>
      <c r="P1377" s="57" t="n">
        <f aca="false">IF(AND(C1377=Calc!$C$3,OR(Calc!$C$4=0,D1377=Calc!$C$4)),ROW(),0)</f>
        <v>1377</v>
      </c>
    </row>
    <row r="1378" customFormat="false" ht="15" hidden="false" customHeight="false" outlineLevel="0" collapsed="false">
      <c r="A1378" s="57" t="s">
        <v>1892</v>
      </c>
      <c r="B1378" s="58" t="n">
        <v>45665</v>
      </c>
      <c r="C1378" s="57" t="n">
        <f aca="false">YEAR(B1378)</f>
        <v>2025</v>
      </c>
      <c r="D1378" s="57" t="n">
        <f aca="false">MONTH(B1378)</f>
        <v>1</v>
      </c>
      <c r="E1378" s="57" t="s">
        <v>142</v>
      </c>
      <c r="F1378" s="57" t="s">
        <v>78</v>
      </c>
      <c r="G1378" s="57" t="s">
        <v>35</v>
      </c>
      <c r="H1378" s="57" t="s">
        <v>37</v>
      </c>
      <c r="I1378" s="59" t="n">
        <v>1</v>
      </c>
      <c r="J1378" s="60" t="n">
        <v>59</v>
      </c>
      <c r="K1378" s="60" t="n">
        <v>27</v>
      </c>
      <c r="L1378" s="61" t="n">
        <f aca="false">I1378*J1378</f>
        <v>59</v>
      </c>
      <c r="M1378" s="61" t="n">
        <f aca="false">L1378-I1378*K1378</f>
        <v>32</v>
      </c>
      <c r="N1378" s="57" t="n">
        <f aca="false">IF(COUNTIFS(E$2:E1378,E1378,C$2:C1378,C1378)=1,1,0)</f>
        <v>1</v>
      </c>
      <c r="O1378" s="57" t="n">
        <f aca="false">IF(COUNTIFS(E$2:E1378,E1378,C$2:C1378,C1378,D$2:D1378,D1378)=1,1,0)</f>
        <v>1</v>
      </c>
      <c r="P1378" s="57" t="n">
        <f aca="false">IF(AND(C1378=Calc!$C$3,OR(Calc!$C$4=0,D1378=Calc!$C$4)),ROW(),0)</f>
        <v>1378</v>
      </c>
    </row>
    <row r="1379" customFormat="false" ht="15" hidden="false" customHeight="false" outlineLevel="0" collapsed="false">
      <c r="A1379" s="57" t="s">
        <v>1893</v>
      </c>
      <c r="B1379" s="58" t="n">
        <v>45666</v>
      </c>
      <c r="C1379" s="57" t="n">
        <f aca="false">YEAR(B1379)</f>
        <v>2025</v>
      </c>
      <c r="D1379" s="57" t="n">
        <f aca="false">MONTH(B1379)</f>
        <v>1</v>
      </c>
      <c r="E1379" s="57" t="s">
        <v>1240</v>
      </c>
      <c r="F1379" s="57" t="s">
        <v>69</v>
      </c>
      <c r="G1379" s="57" t="s">
        <v>35</v>
      </c>
      <c r="H1379" s="57" t="s">
        <v>36</v>
      </c>
      <c r="I1379" s="59" t="n">
        <v>3</v>
      </c>
      <c r="J1379" s="60" t="n">
        <v>179</v>
      </c>
      <c r="K1379" s="60" t="n">
        <v>92</v>
      </c>
      <c r="L1379" s="61" t="n">
        <f aca="false">I1379*J1379</f>
        <v>537</v>
      </c>
      <c r="M1379" s="61" t="n">
        <f aca="false">L1379-I1379*K1379</f>
        <v>261</v>
      </c>
      <c r="N1379" s="57" t="n">
        <f aca="false">IF(COUNTIFS(E$2:E1379,E1379,C$2:C1379,C1379)=1,1,0)</f>
        <v>1</v>
      </c>
      <c r="O1379" s="57" t="n">
        <f aca="false">IF(COUNTIFS(E$2:E1379,E1379,C$2:C1379,C1379,D$2:D1379,D1379)=1,1,0)</f>
        <v>1</v>
      </c>
      <c r="P1379" s="57" t="n">
        <f aca="false">IF(AND(C1379=Calc!$C$3,OR(Calc!$C$4=0,D1379=Calc!$C$4)),ROW(),0)</f>
        <v>1379</v>
      </c>
    </row>
    <row r="1380" customFormat="false" ht="15" hidden="false" customHeight="false" outlineLevel="0" collapsed="false">
      <c r="A1380" s="57" t="s">
        <v>1894</v>
      </c>
      <c r="B1380" s="58" t="n">
        <v>45666</v>
      </c>
      <c r="C1380" s="57" t="n">
        <f aca="false">YEAR(B1380)</f>
        <v>2025</v>
      </c>
      <c r="D1380" s="57" t="n">
        <f aca="false">MONTH(B1380)</f>
        <v>1</v>
      </c>
      <c r="E1380" s="57" t="s">
        <v>512</v>
      </c>
      <c r="F1380" s="57" t="s">
        <v>75</v>
      </c>
      <c r="G1380" s="57" t="s">
        <v>35</v>
      </c>
      <c r="H1380" s="57" t="s">
        <v>36</v>
      </c>
      <c r="I1380" s="59" t="n">
        <v>2</v>
      </c>
      <c r="J1380" s="60" t="n">
        <v>179</v>
      </c>
      <c r="K1380" s="60" t="n">
        <v>92</v>
      </c>
      <c r="L1380" s="61" t="n">
        <f aca="false">I1380*J1380</f>
        <v>358</v>
      </c>
      <c r="M1380" s="61" t="n">
        <f aca="false">L1380-I1380*K1380</f>
        <v>174</v>
      </c>
      <c r="N1380" s="57" t="n">
        <f aca="false">IF(COUNTIFS(E$2:E1380,E1380,C$2:C1380,C1380)=1,1,0)</f>
        <v>1</v>
      </c>
      <c r="O1380" s="57" t="n">
        <f aca="false">IF(COUNTIFS(E$2:E1380,E1380,C$2:C1380,C1380,D$2:D1380,D1380)=1,1,0)</f>
        <v>1</v>
      </c>
      <c r="P1380" s="57" t="n">
        <f aca="false">IF(AND(C1380=Calc!$C$3,OR(Calc!$C$4=0,D1380=Calc!$C$4)),ROW(),0)</f>
        <v>1380</v>
      </c>
    </row>
    <row r="1381" customFormat="false" ht="15" hidden="false" customHeight="false" outlineLevel="0" collapsed="false">
      <c r="A1381" s="57" t="s">
        <v>1895</v>
      </c>
      <c r="B1381" s="58" t="n">
        <v>45666</v>
      </c>
      <c r="C1381" s="57" t="n">
        <f aca="false">YEAR(B1381)</f>
        <v>2025</v>
      </c>
      <c r="D1381" s="57" t="n">
        <f aca="false">MONTH(B1381)</f>
        <v>1</v>
      </c>
      <c r="E1381" s="57" t="s">
        <v>89</v>
      </c>
      <c r="F1381" s="57" t="s">
        <v>81</v>
      </c>
      <c r="G1381" s="57" t="s">
        <v>54</v>
      </c>
      <c r="H1381" s="57" t="s">
        <v>55</v>
      </c>
      <c r="I1381" s="59" t="n">
        <v>1</v>
      </c>
      <c r="J1381" s="60" t="n">
        <v>64</v>
      </c>
      <c r="K1381" s="60" t="n">
        <v>25</v>
      </c>
      <c r="L1381" s="61" t="n">
        <f aca="false">I1381*J1381</f>
        <v>64</v>
      </c>
      <c r="M1381" s="61" t="n">
        <f aca="false">L1381-I1381*K1381</f>
        <v>39</v>
      </c>
      <c r="N1381" s="57" t="n">
        <f aca="false">IF(COUNTIFS(E$2:E1381,E1381,C$2:C1381,C1381)=1,1,0)</f>
        <v>1</v>
      </c>
      <c r="O1381" s="57" t="n">
        <f aca="false">IF(COUNTIFS(E$2:E1381,E1381,C$2:C1381,C1381,D$2:D1381,D1381)=1,1,0)</f>
        <v>1</v>
      </c>
      <c r="P1381" s="57" t="n">
        <f aca="false">IF(AND(C1381=Calc!$C$3,OR(Calc!$C$4=0,D1381=Calc!$C$4)),ROW(),0)</f>
        <v>1381</v>
      </c>
    </row>
    <row r="1382" customFormat="false" ht="15" hidden="false" customHeight="false" outlineLevel="0" collapsed="false">
      <c r="A1382" s="57" t="s">
        <v>1896</v>
      </c>
      <c r="B1382" s="58" t="n">
        <v>45666</v>
      </c>
      <c r="C1382" s="57" t="n">
        <f aca="false">YEAR(B1382)</f>
        <v>2025</v>
      </c>
      <c r="D1382" s="57" t="n">
        <f aca="false">MONTH(B1382)</f>
        <v>1</v>
      </c>
      <c r="E1382" s="57" t="s">
        <v>307</v>
      </c>
      <c r="F1382" s="57" t="s">
        <v>69</v>
      </c>
      <c r="G1382" s="57" t="s">
        <v>40</v>
      </c>
      <c r="H1382" s="57" t="s">
        <v>39</v>
      </c>
      <c r="I1382" s="59" t="n">
        <v>1</v>
      </c>
      <c r="J1382" s="60" t="n">
        <v>54</v>
      </c>
      <c r="K1382" s="60" t="n">
        <v>19</v>
      </c>
      <c r="L1382" s="61" t="n">
        <f aca="false">I1382*J1382</f>
        <v>54</v>
      </c>
      <c r="M1382" s="61" t="n">
        <f aca="false">L1382-I1382*K1382</f>
        <v>35</v>
      </c>
      <c r="N1382" s="57" t="n">
        <f aca="false">IF(COUNTIFS(E$2:E1382,E1382,C$2:C1382,C1382)=1,1,0)</f>
        <v>0</v>
      </c>
      <c r="O1382" s="57" t="n">
        <f aca="false">IF(COUNTIFS(E$2:E1382,E1382,C$2:C1382,C1382,D$2:D1382,D1382)=1,1,0)</f>
        <v>0</v>
      </c>
      <c r="P1382" s="57" t="n">
        <f aca="false">IF(AND(C1382=Calc!$C$3,OR(Calc!$C$4=0,D1382=Calc!$C$4)),ROW(),0)</f>
        <v>1382</v>
      </c>
    </row>
    <row r="1383" customFormat="false" ht="15" hidden="false" customHeight="false" outlineLevel="0" collapsed="false">
      <c r="A1383" s="57" t="s">
        <v>1897</v>
      </c>
      <c r="B1383" s="58" t="n">
        <v>45666</v>
      </c>
      <c r="C1383" s="57" t="n">
        <f aca="false">YEAR(B1383)</f>
        <v>2025</v>
      </c>
      <c r="D1383" s="57" t="n">
        <f aca="false">MONTH(B1383)</f>
        <v>1</v>
      </c>
      <c r="E1383" s="57" t="s">
        <v>125</v>
      </c>
      <c r="F1383" s="57" t="s">
        <v>69</v>
      </c>
      <c r="G1383" s="57" t="s">
        <v>35</v>
      </c>
      <c r="H1383" s="57" t="s">
        <v>34</v>
      </c>
      <c r="I1383" s="59" t="n">
        <v>1</v>
      </c>
      <c r="J1383" s="60" t="n">
        <v>89</v>
      </c>
      <c r="K1383" s="60" t="n">
        <v>41</v>
      </c>
      <c r="L1383" s="61" t="n">
        <f aca="false">I1383*J1383</f>
        <v>89</v>
      </c>
      <c r="M1383" s="61" t="n">
        <f aca="false">L1383-I1383*K1383</f>
        <v>48</v>
      </c>
      <c r="N1383" s="57" t="n">
        <f aca="false">IF(COUNTIFS(E$2:E1383,E1383,C$2:C1383,C1383)=1,1,0)</f>
        <v>1</v>
      </c>
      <c r="O1383" s="57" t="n">
        <f aca="false">IF(COUNTIFS(E$2:E1383,E1383,C$2:C1383,C1383,D$2:D1383,D1383)=1,1,0)</f>
        <v>1</v>
      </c>
      <c r="P1383" s="57" t="n">
        <f aca="false">IF(AND(C1383=Calc!$C$3,OR(Calc!$C$4=0,D1383=Calc!$C$4)),ROW(),0)</f>
        <v>1383</v>
      </c>
    </row>
    <row r="1384" customFormat="false" ht="15" hidden="false" customHeight="false" outlineLevel="0" collapsed="false">
      <c r="A1384" s="57" t="s">
        <v>1898</v>
      </c>
      <c r="B1384" s="58" t="n">
        <v>45667</v>
      </c>
      <c r="C1384" s="57" t="n">
        <f aca="false">YEAR(B1384)</f>
        <v>2025</v>
      </c>
      <c r="D1384" s="57" t="n">
        <f aca="false">MONTH(B1384)</f>
        <v>1</v>
      </c>
      <c r="E1384" s="57" t="s">
        <v>196</v>
      </c>
      <c r="F1384" s="57" t="s">
        <v>69</v>
      </c>
      <c r="G1384" s="57" t="s">
        <v>54</v>
      </c>
      <c r="H1384" s="57" t="s">
        <v>56</v>
      </c>
      <c r="I1384" s="59" t="n">
        <v>1</v>
      </c>
      <c r="J1384" s="60" t="n">
        <v>42</v>
      </c>
      <c r="K1384" s="60" t="n">
        <v>17</v>
      </c>
      <c r="L1384" s="61" t="n">
        <f aca="false">I1384*J1384</f>
        <v>42</v>
      </c>
      <c r="M1384" s="61" t="n">
        <f aca="false">L1384-I1384*K1384</f>
        <v>25</v>
      </c>
      <c r="N1384" s="57" t="n">
        <f aca="false">IF(COUNTIFS(E$2:E1384,E1384,C$2:C1384,C1384)=1,1,0)</f>
        <v>0</v>
      </c>
      <c r="O1384" s="57" t="n">
        <f aca="false">IF(COUNTIFS(E$2:E1384,E1384,C$2:C1384,C1384,D$2:D1384,D1384)=1,1,0)</f>
        <v>0</v>
      </c>
      <c r="P1384" s="57" t="n">
        <f aca="false">IF(AND(C1384=Calc!$C$3,OR(Calc!$C$4=0,D1384=Calc!$C$4)),ROW(),0)</f>
        <v>1384</v>
      </c>
    </row>
    <row r="1385" customFormat="false" ht="15" hidden="false" customHeight="false" outlineLevel="0" collapsed="false">
      <c r="A1385" s="57" t="s">
        <v>1899</v>
      </c>
      <c r="B1385" s="58" t="n">
        <v>45667</v>
      </c>
      <c r="C1385" s="57" t="n">
        <f aca="false">YEAR(B1385)</f>
        <v>2025</v>
      </c>
      <c r="D1385" s="57" t="n">
        <f aca="false">MONTH(B1385)</f>
        <v>1</v>
      </c>
      <c r="E1385" s="57" t="s">
        <v>843</v>
      </c>
      <c r="F1385" s="57" t="s">
        <v>75</v>
      </c>
      <c r="G1385" s="57" t="s">
        <v>35</v>
      </c>
      <c r="H1385" s="57" t="s">
        <v>34</v>
      </c>
      <c r="I1385" s="59" t="n">
        <v>2</v>
      </c>
      <c r="J1385" s="60" t="n">
        <v>89</v>
      </c>
      <c r="K1385" s="60" t="n">
        <v>41</v>
      </c>
      <c r="L1385" s="61" t="n">
        <f aca="false">I1385*J1385</f>
        <v>178</v>
      </c>
      <c r="M1385" s="61" t="n">
        <f aca="false">L1385-I1385*K1385</f>
        <v>96</v>
      </c>
      <c r="N1385" s="57" t="n">
        <f aca="false">IF(COUNTIFS(E$2:E1385,E1385,C$2:C1385,C1385)=1,1,0)</f>
        <v>1</v>
      </c>
      <c r="O1385" s="57" t="n">
        <f aca="false">IF(COUNTIFS(E$2:E1385,E1385,C$2:C1385,C1385,D$2:D1385,D1385)=1,1,0)</f>
        <v>1</v>
      </c>
      <c r="P1385" s="57" t="n">
        <f aca="false">IF(AND(C1385=Calc!$C$3,OR(Calc!$C$4=0,D1385=Calc!$C$4)),ROW(),0)</f>
        <v>1385</v>
      </c>
    </row>
    <row r="1386" customFormat="false" ht="15" hidden="false" customHeight="false" outlineLevel="0" collapsed="false">
      <c r="A1386" s="57" t="s">
        <v>1900</v>
      </c>
      <c r="B1386" s="58" t="n">
        <v>45667</v>
      </c>
      <c r="C1386" s="57" t="n">
        <f aca="false">YEAR(B1386)</f>
        <v>2025</v>
      </c>
      <c r="D1386" s="57" t="n">
        <f aca="false">MONTH(B1386)</f>
        <v>1</v>
      </c>
      <c r="E1386" s="57" t="s">
        <v>173</v>
      </c>
      <c r="F1386" s="57" t="s">
        <v>69</v>
      </c>
      <c r="G1386" s="57" t="s">
        <v>35</v>
      </c>
      <c r="H1386" s="57" t="s">
        <v>36</v>
      </c>
      <c r="I1386" s="59" t="n">
        <v>1</v>
      </c>
      <c r="J1386" s="60" t="n">
        <v>179</v>
      </c>
      <c r="K1386" s="60" t="n">
        <v>92</v>
      </c>
      <c r="L1386" s="61" t="n">
        <f aca="false">I1386*J1386</f>
        <v>179</v>
      </c>
      <c r="M1386" s="61" t="n">
        <f aca="false">L1386-I1386*K1386</f>
        <v>87</v>
      </c>
      <c r="N1386" s="57" t="n">
        <f aca="false">IF(COUNTIFS(E$2:E1386,E1386,C$2:C1386,C1386)=1,1,0)</f>
        <v>1</v>
      </c>
      <c r="O1386" s="57" t="n">
        <f aca="false">IF(COUNTIFS(E$2:E1386,E1386,C$2:C1386,C1386,D$2:D1386,D1386)=1,1,0)</f>
        <v>1</v>
      </c>
      <c r="P1386" s="57" t="n">
        <f aca="false">IF(AND(C1386=Calc!$C$3,OR(Calc!$C$4=0,D1386=Calc!$C$4)),ROW(),0)</f>
        <v>1386</v>
      </c>
    </row>
    <row r="1387" customFormat="false" ht="15" hidden="false" customHeight="false" outlineLevel="0" collapsed="false">
      <c r="A1387" s="57" t="s">
        <v>1901</v>
      </c>
      <c r="B1387" s="58" t="n">
        <v>45667</v>
      </c>
      <c r="C1387" s="57" t="n">
        <f aca="false">YEAR(B1387)</f>
        <v>2025</v>
      </c>
      <c r="D1387" s="57" t="n">
        <f aca="false">MONTH(B1387)</f>
        <v>1</v>
      </c>
      <c r="E1387" s="57" t="s">
        <v>219</v>
      </c>
      <c r="F1387" s="57" t="s">
        <v>78</v>
      </c>
      <c r="G1387" s="57" t="s">
        <v>35</v>
      </c>
      <c r="H1387" s="57" t="s">
        <v>37</v>
      </c>
      <c r="I1387" s="59" t="n">
        <v>1</v>
      </c>
      <c r="J1387" s="60" t="n">
        <v>59</v>
      </c>
      <c r="K1387" s="60" t="n">
        <v>27</v>
      </c>
      <c r="L1387" s="61" t="n">
        <f aca="false">I1387*J1387</f>
        <v>59</v>
      </c>
      <c r="M1387" s="61" t="n">
        <f aca="false">L1387-I1387*K1387</f>
        <v>32</v>
      </c>
      <c r="N1387" s="57" t="n">
        <f aca="false">IF(COUNTIFS(E$2:E1387,E1387,C$2:C1387,C1387)=1,1,0)</f>
        <v>1</v>
      </c>
      <c r="O1387" s="57" t="n">
        <f aca="false">IF(COUNTIFS(E$2:E1387,E1387,C$2:C1387,C1387,D$2:D1387,D1387)=1,1,0)</f>
        <v>1</v>
      </c>
      <c r="P1387" s="57" t="n">
        <f aca="false">IF(AND(C1387=Calc!$C$3,OR(Calc!$C$4=0,D1387=Calc!$C$4)),ROW(),0)</f>
        <v>1387</v>
      </c>
    </row>
    <row r="1388" customFormat="false" ht="15" hidden="false" customHeight="false" outlineLevel="0" collapsed="false">
      <c r="A1388" s="57" t="s">
        <v>1902</v>
      </c>
      <c r="B1388" s="58" t="n">
        <v>45668</v>
      </c>
      <c r="C1388" s="57" t="n">
        <f aca="false">YEAR(B1388)</f>
        <v>2025</v>
      </c>
      <c r="D1388" s="57" t="n">
        <f aca="false">MONTH(B1388)</f>
        <v>1</v>
      </c>
      <c r="E1388" s="57" t="s">
        <v>156</v>
      </c>
      <c r="F1388" s="57" t="s">
        <v>75</v>
      </c>
      <c r="G1388" s="57" t="s">
        <v>35</v>
      </c>
      <c r="H1388" s="57" t="s">
        <v>36</v>
      </c>
      <c r="I1388" s="59" t="n">
        <v>1</v>
      </c>
      <c r="J1388" s="60" t="n">
        <v>179</v>
      </c>
      <c r="K1388" s="60" t="n">
        <v>92</v>
      </c>
      <c r="L1388" s="61" t="n">
        <f aca="false">I1388*J1388</f>
        <v>179</v>
      </c>
      <c r="M1388" s="61" t="n">
        <f aca="false">L1388-I1388*K1388</f>
        <v>87</v>
      </c>
      <c r="N1388" s="57" t="n">
        <f aca="false">IF(COUNTIFS(E$2:E1388,E1388,C$2:C1388,C1388)=1,1,0)</f>
        <v>1</v>
      </c>
      <c r="O1388" s="57" t="n">
        <f aca="false">IF(COUNTIFS(E$2:E1388,E1388,C$2:C1388,C1388,D$2:D1388,D1388)=1,1,0)</f>
        <v>1</v>
      </c>
      <c r="P1388" s="57" t="n">
        <f aca="false">IF(AND(C1388=Calc!$C$3,OR(Calc!$C$4=0,D1388=Calc!$C$4)),ROW(),0)</f>
        <v>1388</v>
      </c>
    </row>
    <row r="1389" customFormat="false" ht="15" hidden="false" customHeight="false" outlineLevel="0" collapsed="false">
      <c r="A1389" s="57" t="s">
        <v>1903</v>
      </c>
      <c r="B1389" s="58" t="n">
        <v>45668</v>
      </c>
      <c r="C1389" s="57" t="n">
        <f aca="false">YEAR(B1389)</f>
        <v>2025</v>
      </c>
      <c r="D1389" s="57" t="n">
        <f aca="false">MONTH(B1389)</f>
        <v>1</v>
      </c>
      <c r="E1389" s="57" t="s">
        <v>300</v>
      </c>
      <c r="F1389" s="57" t="s">
        <v>81</v>
      </c>
      <c r="G1389" s="57" t="s">
        <v>35</v>
      </c>
      <c r="H1389" s="57" t="s">
        <v>38</v>
      </c>
      <c r="I1389" s="59" t="n">
        <v>1</v>
      </c>
      <c r="J1389" s="60" t="n">
        <v>49</v>
      </c>
      <c r="K1389" s="60" t="n">
        <v>22</v>
      </c>
      <c r="L1389" s="61" t="n">
        <f aca="false">I1389*J1389</f>
        <v>49</v>
      </c>
      <c r="M1389" s="61" t="n">
        <f aca="false">L1389-I1389*K1389</f>
        <v>27</v>
      </c>
      <c r="N1389" s="57" t="n">
        <f aca="false">IF(COUNTIFS(E$2:E1389,E1389,C$2:C1389,C1389)=1,1,0)</f>
        <v>1</v>
      </c>
      <c r="O1389" s="57" t="n">
        <f aca="false">IF(COUNTIFS(E$2:E1389,E1389,C$2:C1389,C1389,D$2:D1389,D1389)=1,1,0)</f>
        <v>1</v>
      </c>
      <c r="P1389" s="57" t="n">
        <f aca="false">IF(AND(C1389=Calc!$C$3,OR(Calc!$C$4=0,D1389=Calc!$C$4)),ROW(),0)</f>
        <v>1389</v>
      </c>
    </row>
    <row r="1390" customFormat="false" ht="15" hidden="false" customHeight="false" outlineLevel="0" collapsed="false">
      <c r="A1390" s="57" t="s">
        <v>1904</v>
      </c>
      <c r="B1390" s="58" t="n">
        <v>45668</v>
      </c>
      <c r="C1390" s="57" t="n">
        <f aca="false">YEAR(B1390)</f>
        <v>2025</v>
      </c>
      <c r="D1390" s="57" t="n">
        <f aca="false">MONTH(B1390)</f>
        <v>1</v>
      </c>
      <c r="E1390" s="57" t="s">
        <v>829</v>
      </c>
      <c r="F1390" s="57" t="s">
        <v>81</v>
      </c>
      <c r="G1390" s="57" t="s">
        <v>45</v>
      </c>
      <c r="H1390" s="57" t="s">
        <v>48</v>
      </c>
      <c r="I1390" s="59" t="n">
        <v>1</v>
      </c>
      <c r="J1390" s="60" t="n">
        <v>99</v>
      </c>
      <c r="K1390" s="60" t="n">
        <v>38</v>
      </c>
      <c r="L1390" s="61" t="n">
        <f aca="false">I1390*J1390</f>
        <v>99</v>
      </c>
      <c r="M1390" s="61" t="n">
        <f aca="false">L1390-I1390*K1390</f>
        <v>61</v>
      </c>
      <c r="N1390" s="57" t="n">
        <f aca="false">IF(COUNTIFS(E$2:E1390,E1390,C$2:C1390,C1390)=1,1,0)</f>
        <v>1</v>
      </c>
      <c r="O1390" s="57" t="n">
        <f aca="false">IF(COUNTIFS(E$2:E1390,E1390,C$2:C1390,C1390,D$2:D1390,D1390)=1,1,0)</f>
        <v>1</v>
      </c>
      <c r="P1390" s="57" t="n">
        <f aca="false">IF(AND(C1390=Calc!$C$3,OR(Calc!$C$4=0,D1390=Calc!$C$4)),ROW(),0)</f>
        <v>1390</v>
      </c>
    </row>
    <row r="1391" customFormat="false" ht="15" hidden="false" customHeight="false" outlineLevel="0" collapsed="false">
      <c r="A1391" s="57" t="s">
        <v>1905</v>
      </c>
      <c r="B1391" s="58" t="n">
        <v>45668</v>
      </c>
      <c r="C1391" s="57" t="n">
        <f aca="false">YEAR(B1391)</f>
        <v>2025</v>
      </c>
      <c r="D1391" s="57" t="n">
        <f aca="false">MONTH(B1391)</f>
        <v>1</v>
      </c>
      <c r="E1391" s="57" t="s">
        <v>479</v>
      </c>
      <c r="F1391" s="57" t="s">
        <v>72</v>
      </c>
      <c r="G1391" s="57" t="s">
        <v>45</v>
      </c>
      <c r="H1391" s="57" t="s">
        <v>44</v>
      </c>
      <c r="I1391" s="59" t="n">
        <v>1</v>
      </c>
      <c r="J1391" s="60" t="n">
        <v>119</v>
      </c>
      <c r="K1391" s="60" t="n">
        <v>63</v>
      </c>
      <c r="L1391" s="61" t="n">
        <f aca="false">I1391*J1391</f>
        <v>119</v>
      </c>
      <c r="M1391" s="61" t="n">
        <f aca="false">L1391-I1391*K1391</f>
        <v>56</v>
      </c>
      <c r="N1391" s="57" t="n">
        <f aca="false">IF(COUNTIFS(E$2:E1391,E1391,C$2:C1391,C1391)=1,1,0)</f>
        <v>1</v>
      </c>
      <c r="O1391" s="57" t="n">
        <f aca="false">IF(COUNTIFS(E$2:E1391,E1391,C$2:C1391,C1391,D$2:D1391,D1391)=1,1,0)</f>
        <v>1</v>
      </c>
      <c r="P1391" s="57" t="n">
        <f aca="false">IF(AND(C1391=Calc!$C$3,OR(Calc!$C$4=0,D1391=Calc!$C$4)),ROW(),0)</f>
        <v>1391</v>
      </c>
    </row>
    <row r="1392" customFormat="false" ht="15" hidden="false" customHeight="false" outlineLevel="0" collapsed="false">
      <c r="A1392" s="57" t="s">
        <v>1906</v>
      </c>
      <c r="B1392" s="58" t="n">
        <v>45669</v>
      </c>
      <c r="C1392" s="57" t="n">
        <f aca="false">YEAR(B1392)</f>
        <v>2025</v>
      </c>
      <c r="D1392" s="57" t="n">
        <f aca="false">MONTH(B1392)</f>
        <v>1</v>
      </c>
      <c r="E1392" s="57" t="s">
        <v>504</v>
      </c>
      <c r="F1392" s="57" t="s">
        <v>72</v>
      </c>
      <c r="G1392" s="57" t="s">
        <v>35</v>
      </c>
      <c r="H1392" s="57" t="s">
        <v>37</v>
      </c>
      <c r="I1392" s="59" t="n">
        <v>1</v>
      </c>
      <c r="J1392" s="60" t="n">
        <v>59</v>
      </c>
      <c r="K1392" s="60" t="n">
        <v>27</v>
      </c>
      <c r="L1392" s="61" t="n">
        <f aca="false">I1392*J1392</f>
        <v>59</v>
      </c>
      <c r="M1392" s="61" t="n">
        <f aca="false">L1392-I1392*K1392</f>
        <v>32</v>
      </c>
      <c r="N1392" s="57" t="n">
        <f aca="false">IF(COUNTIFS(E$2:E1392,E1392,C$2:C1392,C1392)=1,1,0)</f>
        <v>1</v>
      </c>
      <c r="O1392" s="57" t="n">
        <f aca="false">IF(COUNTIFS(E$2:E1392,E1392,C$2:C1392,C1392,D$2:D1392,D1392)=1,1,0)</f>
        <v>1</v>
      </c>
      <c r="P1392" s="57" t="n">
        <f aca="false">IF(AND(C1392=Calc!$C$3,OR(Calc!$C$4=0,D1392=Calc!$C$4)),ROW(),0)</f>
        <v>1392</v>
      </c>
    </row>
    <row r="1393" customFormat="false" ht="15" hidden="false" customHeight="false" outlineLevel="0" collapsed="false">
      <c r="A1393" s="57" t="s">
        <v>1907</v>
      </c>
      <c r="B1393" s="58" t="n">
        <v>45669</v>
      </c>
      <c r="C1393" s="57" t="n">
        <f aca="false">YEAR(B1393)</f>
        <v>2025</v>
      </c>
      <c r="D1393" s="57" t="n">
        <f aca="false">MONTH(B1393)</f>
        <v>1</v>
      </c>
      <c r="E1393" s="57" t="s">
        <v>1591</v>
      </c>
      <c r="F1393" s="57" t="s">
        <v>81</v>
      </c>
      <c r="G1393" s="57" t="s">
        <v>40</v>
      </c>
      <c r="H1393" s="57" t="s">
        <v>42</v>
      </c>
      <c r="I1393" s="59" t="n">
        <v>1</v>
      </c>
      <c r="J1393" s="60" t="n">
        <v>79</v>
      </c>
      <c r="K1393" s="60" t="n">
        <v>31</v>
      </c>
      <c r="L1393" s="61" t="n">
        <f aca="false">I1393*J1393</f>
        <v>79</v>
      </c>
      <c r="M1393" s="61" t="n">
        <f aca="false">L1393-I1393*K1393</f>
        <v>48</v>
      </c>
      <c r="N1393" s="57" t="n">
        <f aca="false">IF(COUNTIFS(E$2:E1393,E1393,C$2:C1393,C1393)=1,1,0)</f>
        <v>1</v>
      </c>
      <c r="O1393" s="57" t="n">
        <f aca="false">IF(COUNTIFS(E$2:E1393,E1393,C$2:C1393,C1393,D$2:D1393,D1393)=1,1,0)</f>
        <v>1</v>
      </c>
      <c r="P1393" s="57" t="n">
        <f aca="false">IF(AND(C1393=Calc!$C$3,OR(Calc!$C$4=0,D1393=Calc!$C$4)),ROW(),0)</f>
        <v>1393</v>
      </c>
    </row>
    <row r="1394" customFormat="false" ht="15" hidden="false" customHeight="false" outlineLevel="0" collapsed="false">
      <c r="A1394" s="57" t="s">
        <v>1908</v>
      </c>
      <c r="B1394" s="58" t="n">
        <v>45669</v>
      </c>
      <c r="C1394" s="57" t="n">
        <f aca="false">YEAR(B1394)</f>
        <v>2025</v>
      </c>
      <c r="D1394" s="57" t="n">
        <f aca="false">MONTH(B1394)</f>
        <v>1</v>
      </c>
      <c r="E1394" s="57" t="s">
        <v>110</v>
      </c>
      <c r="F1394" s="57" t="s">
        <v>78</v>
      </c>
      <c r="G1394" s="57" t="s">
        <v>35</v>
      </c>
      <c r="H1394" s="57" t="s">
        <v>34</v>
      </c>
      <c r="I1394" s="59" t="n">
        <v>1</v>
      </c>
      <c r="J1394" s="60" t="n">
        <v>89</v>
      </c>
      <c r="K1394" s="60" t="n">
        <v>41</v>
      </c>
      <c r="L1394" s="61" t="n">
        <f aca="false">I1394*J1394</f>
        <v>89</v>
      </c>
      <c r="M1394" s="61" t="n">
        <f aca="false">L1394-I1394*K1394</f>
        <v>48</v>
      </c>
      <c r="N1394" s="57" t="n">
        <f aca="false">IF(COUNTIFS(E$2:E1394,E1394,C$2:C1394,C1394)=1,1,0)</f>
        <v>1</v>
      </c>
      <c r="O1394" s="57" t="n">
        <f aca="false">IF(COUNTIFS(E$2:E1394,E1394,C$2:C1394,C1394,D$2:D1394,D1394)=1,1,0)</f>
        <v>1</v>
      </c>
      <c r="P1394" s="57" t="n">
        <f aca="false">IF(AND(C1394=Calc!$C$3,OR(Calc!$C$4=0,D1394=Calc!$C$4)),ROW(),0)</f>
        <v>1394</v>
      </c>
    </row>
    <row r="1395" customFormat="false" ht="15" hidden="false" customHeight="false" outlineLevel="0" collapsed="false">
      <c r="A1395" s="57" t="s">
        <v>1909</v>
      </c>
      <c r="B1395" s="58" t="n">
        <v>45670</v>
      </c>
      <c r="C1395" s="57" t="n">
        <f aca="false">YEAR(B1395)</f>
        <v>2025</v>
      </c>
      <c r="D1395" s="57" t="n">
        <f aca="false">MONTH(B1395)</f>
        <v>1</v>
      </c>
      <c r="E1395" s="57" t="s">
        <v>254</v>
      </c>
      <c r="F1395" s="57" t="s">
        <v>75</v>
      </c>
      <c r="G1395" s="57" t="s">
        <v>35</v>
      </c>
      <c r="H1395" s="57" t="s">
        <v>34</v>
      </c>
      <c r="I1395" s="59" t="n">
        <v>1</v>
      </c>
      <c r="J1395" s="60" t="n">
        <v>89</v>
      </c>
      <c r="K1395" s="60" t="n">
        <v>41</v>
      </c>
      <c r="L1395" s="61" t="n">
        <f aca="false">I1395*J1395</f>
        <v>89</v>
      </c>
      <c r="M1395" s="61" t="n">
        <f aca="false">L1395-I1395*K1395</f>
        <v>48</v>
      </c>
      <c r="N1395" s="57" t="n">
        <f aca="false">IF(COUNTIFS(E$2:E1395,E1395,C$2:C1395,C1395)=1,1,0)</f>
        <v>1</v>
      </c>
      <c r="O1395" s="57" t="n">
        <f aca="false">IF(COUNTIFS(E$2:E1395,E1395,C$2:C1395,C1395,D$2:D1395,D1395)=1,1,0)</f>
        <v>1</v>
      </c>
      <c r="P1395" s="57" t="n">
        <f aca="false">IF(AND(C1395=Calc!$C$3,OR(Calc!$C$4=0,D1395=Calc!$C$4)),ROW(),0)</f>
        <v>1395</v>
      </c>
    </row>
    <row r="1396" customFormat="false" ht="15" hidden="false" customHeight="false" outlineLevel="0" collapsed="false">
      <c r="A1396" s="57" t="s">
        <v>1910</v>
      </c>
      <c r="B1396" s="58" t="n">
        <v>45670</v>
      </c>
      <c r="C1396" s="57" t="n">
        <f aca="false">YEAR(B1396)</f>
        <v>2025</v>
      </c>
      <c r="D1396" s="57" t="n">
        <f aca="false">MONTH(B1396)</f>
        <v>1</v>
      </c>
      <c r="E1396" s="57" t="s">
        <v>261</v>
      </c>
      <c r="F1396" s="57" t="s">
        <v>75</v>
      </c>
      <c r="G1396" s="57" t="s">
        <v>35</v>
      </c>
      <c r="H1396" s="57" t="s">
        <v>34</v>
      </c>
      <c r="I1396" s="59" t="n">
        <v>1</v>
      </c>
      <c r="J1396" s="60" t="n">
        <v>89</v>
      </c>
      <c r="K1396" s="60" t="n">
        <v>41</v>
      </c>
      <c r="L1396" s="61" t="n">
        <f aca="false">I1396*J1396</f>
        <v>89</v>
      </c>
      <c r="M1396" s="61" t="n">
        <f aca="false">L1396-I1396*K1396</f>
        <v>48</v>
      </c>
      <c r="N1396" s="57" t="n">
        <f aca="false">IF(COUNTIFS(E$2:E1396,E1396,C$2:C1396,C1396)=1,1,0)</f>
        <v>1</v>
      </c>
      <c r="O1396" s="57" t="n">
        <f aca="false">IF(COUNTIFS(E$2:E1396,E1396,C$2:C1396,C1396,D$2:D1396,D1396)=1,1,0)</f>
        <v>1</v>
      </c>
      <c r="P1396" s="57" t="n">
        <f aca="false">IF(AND(C1396=Calc!$C$3,OR(Calc!$C$4=0,D1396=Calc!$C$4)),ROW(),0)</f>
        <v>1396</v>
      </c>
    </row>
    <row r="1397" customFormat="false" ht="15" hidden="false" customHeight="false" outlineLevel="0" collapsed="false">
      <c r="A1397" s="57" t="s">
        <v>1911</v>
      </c>
      <c r="B1397" s="58" t="n">
        <v>45671</v>
      </c>
      <c r="C1397" s="57" t="n">
        <f aca="false">YEAR(B1397)</f>
        <v>2025</v>
      </c>
      <c r="D1397" s="57" t="n">
        <f aca="false">MONTH(B1397)</f>
        <v>1</v>
      </c>
      <c r="E1397" s="57" t="s">
        <v>1658</v>
      </c>
      <c r="F1397" s="57" t="s">
        <v>69</v>
      </c>
      <c r="G1397" s="57" t="s">
        <v>45</v>
      </c>
      <c r="H1397" s="57" t="s">
        <v>47</v>
      </c>
      <c r="I1397" s="59" t="n">
        <v>1</v>
      </c>
      <c r="J1397" s="60" t="n">
        <v>34</v>
      </c>
      <c r="K1397" s="60" t="n">
        <v>12</v>
      </c>
      <c r="L1397" s="61" t="n">
        <f aca="false">I1397*J1397</f>
        <v>34</v>
      </c>
      <c r="M1397" s="61" t="n">
        <f aca="false">L1397-I1397*K1397</f>
        <v>22</v>
      </c>
      <c r="N1397" s="57" t="n">
        <f aca="false">IF(COUNTIFS(E$2:E1397,E1397,C$2:C1397,C1397)=1,1,0)</f>
        <v>1</v>
      </c>
      <c r="O1397" s="57" t="n">
        <f aca="false">IF(COUNTIFS(E$2:E1397,E1397,C$2:C1397,C1397,D$2:D1397,D1397)=1,1,0)</f>
        <v>1</v>
      </c>
      <c r="P1397" s="57" t="n">
        <f aca="false">IF(AND(C1397=Calc!$C$3,OR(Calc!$C$4=0,D1397=Calc!$C$4)),ROW(),0)</f>
        <v>1397</v>
      </c>
    </row>
    <row r="1398" customFormat="false" ht="15" hidden="false" customHeight="false" outlineLevel="0" collapsed="false">
      <c r="A1398" s="57" t="s">
        <v>1912</v>
      </c>
      <c r="B1398" s="58" t="n">
        <v>45671</v>
      </c>
      <c r="C1398" s="57" t="n">
        <f aca="false">YEAR(B1398)</f>
        <v>2025</v>
      </c>
      <c r="D1398" s="57" t="n">
        <f aca="false">MONTH(B1398)</f>
        <v>1</v>
      </c>
      <c r="E1398" s="57" t="s">
        <v>361</v>
      </c>
      <c r="F1398" s="57" t="s">
        <v>69</v>
      </c>
      <c r="G1398" s="57" t="s">
        <v>45</v>
      </c>
      <c r="H1398" s="57" t="s">
        <v>48</v>
      </c>
      <c r="I1398" s="59" t="n">
        <v>1</v>
      </c>
      <c r="J1398" s="60" t="n">
        <v>99</v>
      </c>
      <c r="K1398" s="60" t="n">
        <v>38</v>
      </c>
      <c r="L1398" s="61" t="n">
        <f aca="false">I1398*J1398</f>
        <v>99</v>
      </c>
      <c r="M1398" s="61" t="n">
        <f aca="false">L1398-I1398*K1398</f>
        <v>61</v>
      </c>
      <c r="N1398" s="57" t="n">
        <f aca="false">IF(COUNTIFS(E$2:E1398,E1398,C$2:C1398,C1398)=1,1,0)</f>
        <v>1</v>
      </c>
      <c r="O1398" s="57" t="n">
        <f aca="false">IF(COUNTIFS(E$2:E1398,E1398,C$2:C1398,C1398,D$2:D1398,D1398)=1,1,0)</f>
        <v>1</v>
      </c>
      <c r="P1398" s="57" t="n">
        <f aca="false">IF(AND(C1398=Calc!$C$3,OR(Calc!$C$4=0,D1398=Calc!$C$4)),ROW(),0)</f>
        <v>1398</v>
      </c>
    </row>
    <row r="1399" customFormat="false" ht="15" hidden="false" customHeight="false" outlineLevel="0" collapsed="false">
      <c r="A1399" s="57" t="s">
        <v>1913</v>
      </c>
      <c r="B1399" s="58" t="n">
        <v>45671</v>
      </c>
      <c r="C1399" s="57" t="n">
        <f aca="false">YEAR(B1399)</f>
        <v>2025</v>
      </c>
      <c r="D1399" s="57" t="n">
        <f aca="false">MONTH(B1399)</f>
        <v>1</v>
      </c>
      <c r="E1399" s="57" t="s">
        <v>1759</v>
      </c>
      <c r="F1399" s="57" t="s">
        <v>72</v>
      </c>
      <c r="G1399" s="57" t="s">
        <v>45</v>
      </c>
      <c r="H1399" s="57" t="s">
        <v>46</v>
      </c>
      <c r="I1399" s="59" t="n">
        <v>1</v>
      </c>
      <c r="J1399" s="60" t="n">
        <v>149</v>
      </c>
      <c r="K1399" s="60" t="n">
        <v>71</v>
      </c>
      <c r="L1399" s="61" t="n">
        <f aca="false">I1399*J1399</f>
        <v>149</v>
      </c>
      <c r="M1399" s="61" t="n">
        <f aca="false">L1399-I1399*K1399</f>
        <v>78</v>
      </c>
      <c r="N1399" s="57" t="n">
        <f aca="false">IF(COUNTIFS(E$2:E1399,E1399,C$2:C1399,C1399)=1,1,0)</f>
        <v>1</v>
      </c>
      <c r="O1399" s="57" t="n">
        <f aca="false">IF(COUNTIFS(E$2:E1399,E1399,C$2:C1399,C1399,D$2:D1399,D1399)=1,1,0)</f>
        <v>1</v>
      </c>
      <c r="P1399" s="57" t="n">
        <f aca="false">IF(AND(C1399=Calc!$C$3,OR(Calc!$C$4=0,D1399=Calc!$C$4)),ROW(),0)</f>
        <v>1399</v>
      </c>
    </row>
    <row r="1400" customFormat="false" ht="15" hidden="false" customHeight="false" outlineLevel="0" collapsed="false">
      <c r="A1400" s="57" t="s">
        <v>1914</v>
      </c>
      <c r="B1400" s="58" t="n">
        <v>45671</v>
      </c>
      <c r="C1400" s="57" t="n">
        <f aca="false">YEAR(B1400)</f>
        <v>2025</v>
      </c>
      <c r="D1400" s="57" t="n">
        <f aca="false">MONTH(B1400)</f>
        <v>1</v>
      </c>
      <c r="E1400" s="57" t="s">
        <v>1014</v>
      </c>
      <c r="F1400" s="57" t="s">
        <v>69</v>
      </c>
      <c r="G1400" s="57" t="s">
        <v>50</v>
      </c>
      <c r="H1400" s="57" t="s">
        <v>49</v>
      </c>
      <c r="I1400" s="59" t="n">
        <v>1</v>
      </c>
      <c r="J1400" s="60" t="n">
        <v>32</v>
      </c>
      <c r="K1400" s="60" t="n">
        <v>7</v>
      </c>
      <c r="L1400" s="61" t="n">
        <f aca="false">I1400*J1400</f>
        <v>32</v>
      </c>
      <c r="M1400" s="61" t="n">
        <f aca="false">L1400-I1400*K1400</f>
        <v>25</v>
      </c>
      <c r="N1400" s="57" t="n">
        <f aca="false">IF(COUNTIFS(E$2:E1400,E1400,C$2:C1400,C1400)=1,1,0)</f>
        <v>1</v>
      </c>
      <c r="O1400" s="57" t="n">
        <f aca="false">IF(COUNTIFS(E$2:E1400,E1400,C$2:C1400,C1400,D$2:D1400,D1400)=1,1,0)</f>
        <v>1</v>
      </c>
      <c r="P1400" s="57" t="n">
        <f aca="false">IF(AND(C1400=Calc!$C$3,OR(Calc!$C$4=0,D1400=Calc!$C$4)),ROW(),0)</f>
        <v>1400</v>
      </c>
    </row>
    <row r="1401" customFormat="false" ht="15" hidden="false" customHeight="false" outlineLevel="0" collapsed="false">
      <c r="A1401" s="57" t="s">
        <v>1915</v>
      </c>
      <c r="B1401" s="58" t="n">
        <v>45672</v>
      </c>
      <c r="C1401" s="57" t="n">
        <f aca="false">YEAR(B1401)</f>
        <v>2025</v>
      </c>
      <c r="D1401" s="57" t="n">
        <f aca="false">MONTH(B1401)</f>
        <v>1</v>
      </c>
      <c r="E1401" s="57" t="s">
        <v>428</v>
      </c>
      <c r="F1401" s="57" t="s">
        <v>78</v>
      </c>
      <c r="G1401" s="57" t="s">
        <v>35</v>
      </c>
      <c r="H1401" s="57" t="s">
        <v>37</v>
      </c>
      <c r="I1401" s="59" t="n">
        <v>1</v>
      </c>
      <c r="J1401" s="60" t="n">
        <v>59</v>
      </c>
      <c r="K1401" s="60" t="n">
        <v>27</v>
      </c>
      <c r="L1401" s="61" t="n">
        <f aca="false">I1401*J1401</f>
        <v>59</v>
      </c>
      <c r="M1401" s="61" t="n">
        <f aca="false">L1401-I1401*K1401</f>
        <v>32</v>
      </c>
      <c r="N1401" s="57" t="n">
        <f aca="false">IF(COUNTIFS(E$2:E1401,E1401,C$2:C1401,C1401)=1,1,0)</f>
        <v>1</v>
      </c>
      <c r="O1401" s="57" t="n">
        <f aca="false">IF(COUNTIFS(E$2:E1401,E1401,C$2:C1401,C1401,D$2:D1401,D1401)=1,1,0)</f>
        <v>1</v>
      </c>
      <c r="P1401" s="57" t="n">
        <f aca="false">IF(AND(C1401=Calc!$C$3,OR(Calc!$C$4=0,D1401=Calc!$C$4)),ROW(),0)</f>
        <v>1401</v>
      </c>
    </row>
    <row r="1402" customFormat="false" ht="15" hidden="false" customHeight="false" outlineLevel="0" collapsed="false">
      <c r="A1402" s="57" t="s">
        <v>1916</v>
      </c>
      <c r="B1402" s="58" t="n">
        <v>45672</v>
      </c>
      <c r="C1402" s="57" t="n">
        <f aca="false">YEAR(B1402)</f>
        <v>2025</v>
      </c>
      <c r="D1402" s="57" t="n">
        <f aca="false">MONTH(B1402)</f>
        <v>1</v>
      </c>
      <c r="E1402" s="57" t="s">
        <v>1435</v>
      </c>
      <c r="F1402" s="57" t="s">
        <v>69</v>
      </c>
      <c r="G1402" s="57" t="s">
        <v>40</v>
      </c>
      <c r="H1402" s="57" t="s">
        <v>42</v>
      </c>
      <c r="I1402" s="59" t="n">
        <v>1</v>
      </c>
      <c r="J1402" s="60" t="n">
        <v>79</v>
      </c>
      <c r="K1402" s="60" t="n">
        <v>31</v>
      </c>
      <c r="L1402" s="61" t="n">
        <f aca="false">I1402*J1402</f>
        <v>79</v>
      </c>
      <c r="M1402" s="61" t="n">
        <f aca="false">L1402-I1402*K1402</f>
        <v>48</v>
      </c>
      <c r="N1402" s="57" t="n">
        <f aca="false">IF(COUNTIFS(E$2:E1402,E1402,C$2:C1402,C1402)=1,1,0)</f>
        <v>1</v>
      </c>
      <c r="O1402" s="57" t="n">
        <f aca="false">IF(COUNTIFS(E$2:E1402,E1402,C$2:C1402,C1402,D$2:D1402,D1402)=1,1,0)</f>
        <v>1</v>
      </c>
      <c r="P1402" s="57" t="n">
        <f aca="false">IF(AND(C1402=Calc!$C$3,OR(Calc!$C$4=0,D1402=Calc!$C$4)),ROW(),0)</f>
        <v>1402</v>
      </c>
    </row>
    <row r="1403" customFormat="false" ht="15" hidden="false" customHeight="false" outlineLevel="0" collapsed="false">
      <c r="A1403" s="57" t="s">
        <v>1917</v>
      </c>
      <c r="B1403" s="58" t="n">
        <v>45672</v>
      </c>
      <c r="C1403" s="57" t="n">
        <f aca="false">YEAR(B1403)</f>
        <v>2025</v>
      </c>
      <c r="D1403" s="57" t="n">
        <f aca="false">MONTH(B1403)</f>
        <v>1</v>
      </c>
      <c r="E1403" s="57" t="s">
        <v>696</v>
      </c>
      <c r="F1403" s="57" t="s">
        <v>72</v>
      </c>
      <c r="G1403" s="57" t="s">
        <v>45</v>
      </c>
      <c r="H1403" s="57" t="s">
        <v>46</v>
      </c>
      <c r="I1403" s="59" t="n">
        <v>1</v>
      </c>
      <c r="J1403" s="60" t="n">
        <v>149</v>
      </c>
      <c r="K1403" s="60" t="n">
        <v>71</v>
      </c>
      <c r="L1403" s="61" t="n">
        <f aca="false">I1403*J1403</f>
        <v>149</v>
      </c>
      <c r="M1403" s="61" t="n">
        <f aca="false">L1403-I1403*K1403</f>
        <v>78</v>
      </c>
      <c r="N1403" s="57" t="n">
        <f aca="false">IF(COUNTIFS(E$2:E1403,E1403,C$2:C1403,C1403)=1,1,0)</f>
        <v>1</v>
      </c>
      <c r="O1403" s="57" t="n">
        <f aca="false">IF(COUNTIFS(E$2:E1403,E1403,C$2:C1403,C1403,D$2:D1403,D1403)=1,1,0)</f>
        <v>1</v>
      </c>
      <c r="P1403" s="57" t="n">
        <f aca="false">IF(AND(C1403=Calc!$C$3,OR(Calc!$C$4=0,D1403=Calc!$C$4)),ROW(),0)</f>
        <v>1403</v>
      </c>
    </row>
    <row r="1404" customFormat="false" ht="15" hidden="false" customHeight="false" outlineLevel="0" collapsed="false">
      <c r="A1404" s="57" t="s">
        <v>1918</v>
      </c>
      <c r="B1404" s="58" t="n">
        <v>45672</v>
      </c>
      <c r="C1404" s="57" t="n">
        <f aca="false">YEAR(B1404)</f>
        <v>2025</v>
      </c>
      <c r="D1404" s="57" t="n">
        <f aca="false">MONTH(B1404)</f>
        <v>1</v>
      </c>
      <c r="E1404" s="57" t="s">
        <v>1919</v>
      </c>
      <c r="F1404" s="57" t="s">
        <v>75</v>
      </c>
      <c r="G1404" s="57" t="s">
        <v>40</v>
      </c>
      <c r="H1404" s="57" t="s">
        <v>42</v>
      </c>
      <c r="I1404" s="59" t="n">
        <v>1</v>
      </c>
      <c r="J1404" s="60" t="n">
        <v>79</v>
      </c>
      <c r="K1404" s="60" t="n">
        <v>31</v>
      </c>
      <c r="L1404" s="61" t="n">
        <f aca="false">I1404*J1404</f>
        <v>79</v>
      </c>
      <c r="M1404" s="61" t="n">
        <f aca="false">L1404-I1404*K1404</f>
        <v>48</v>
      </c>
      <c r="N1404" s="57" t="n">
        <f aca="false">IF(COUNTIFS(E$2:E1404,E1404,C$2:C1404,C1404)=1,1,0)</f>
        <v>1</v>
      </c>
      <c r="O1404" s="57" t="n">
        <f aca="false">IF(COUNTIFS(E$2:E1404,E1404,C$2:C1404,C1404,D$2:D1404,D1404)=1,1,0)</f>
        <v>1</v>
      </c>
      <c r="P1404" s="57" t="n">
        <f aca="false">IF(AND(C1404=Calc!$C$3,OR(Calc!$C$4=0,D1404=Calc!$C$4)),ROW(),0)</f>
        <v>1404</v>
      </c>
    </row>
    <row r="1405" customFormat="false" ht="15" hidden="false" customHeight="false" outlineLevel="0" collapsed="false">
      <c r="A1405" s="57" t="s">
        <v>1920</v>
      </c>
      <c r="B1405" s="58" t="n">
        <v>45673</v>
      </c>
      <c r="C1405" s="57" t="n">
        <f aca="false">YEAR(B1405)</f>
        <v>2025</v>
      </c>
      <c r="D1405" s="57" t="n">
        <f aca="false">MONTH(B1405)</f>
        <v>1</v>
      </c>
      <c r="E1405" s="57" t="s">
        <v>528</v>
      </c>
      <c r="F1405" s="57" t="s">
        <v>78</v>
      </c>
      <c r="G1405" s="57" t="s">
        <v>40</v>
      </c>
      <c r="H1405" s="57" t="s">
        <v>41</v>
      </c>
      <c r="I1405" s="59" t="n">
        <v>1</v>
      </c>
      <c r="J1405" s="60" t="n">
        <v>46</v>
      </c>
      <c r="K1405" s="60" t="n">
        <v>16</v>
      </c>
      <c r="L1405" s="61" t="n">
        <f aca="false">I1405*J1405</f>
        <v>46</v>
      </c>
      <c r="M1405" s="61" t="n">
        <f aca="false">L1405-I1405*K1405</f>
        <v>30</v>
      </c>
      <c r="N1405" s="57" t="n">
        <f aca="false">IF(COUNTIFS(E$2:E1405,E1405,C$2:C1405,C1405)=1,1,0)</f>
        <v>1</v>
      </c>
      <c r="O1405" s="57" t="n">
        <f aca="false">IF(COUNTIFS(E$2:E1405,E1405,C$2:C1405,C1405,D$2:D1405,D1405)=1,1,0)</f>
        <v>1</v>
      </c>
      <c r="P1405" s="57" t="n">
        <f aca="false">IF(AND(C1405=Calc!$C$3,OR(Calc!$C$4=0,D1405=Calc!$C$4)),ROW(),0)</f>
        <v>1405</v>
      </c>
    </row>
    <row r="1406" customFormat="false" ht="15" hidden="false" customHeight="false" outlineLevel="0" collapsed="false">
      <c r="A1406" s="57" t="s">
        <v>1921</v>
      </c>
      <c r="B1406" s="58" t="n">
        <v>45673</v>
      </c>
      <c r="C1406" s="57" t="n">
        <f aca="false">YEAR(B1406)</f>
        <v>2025</v>
      </c>
      <c r="D1406" s="57" t="n">
        <f aca="false">MONTH(B1406)</f>
        <v>1</v>
      </c>
      <c r="E1406" s="57" t="s">
        <v>808</v>
      </c>
      <c r="F1406" s="57" t="s">
        <v>69</v>
      </c>
      <c r="G1406" s="57" t="s">
        <v>45</v>
      </c>
      <c r="H1406" s="57" t="s">
        <v>48</v>
      </c>
      <c r="I1406" s="59" t="n">
        <v>1</v>
      </c>
      <c r="J1406" s="60" t="n">
        <v>99</v>
      </c>
      <c r="K1406" s="60" t="n">
        <v>38</v>
      </c>
      <c r="L1406" s="61" t="n">
        <f aca="false">I1406*J1406</f>
        <v>99</v>
      </c>
      <c r="M1406" s="61" t="n">
        <f aca="false">L1406-I1406*K1406</f>
        <v>61</v>
      </c>
      <c r="N1406" s="57" t="n">
        <f aca="false">IF(COUNTIFS(E$2:E1406,E1406,C$2:C1406,C1406)=1,1,0)</f>
        <v>1</v>
      </c>
      <c r="O1406" s="57" t="n">
        <f aca="false">IF(COUNTIFS(E$2:E1406,E1406,C$2:C1406,C1406,D$2:D1406,D1406)=1,1,0)</f>
        <v>1</v>
      </c>
      <c r="P1406" s="57" t="n">
        <f aca="false">IF(AND(C1406=Calc!$C$3,OR(Calc!$C$4=0,D1406=Calc!$C$4)),ROW(),0)</f>
        <v>1406</v>
      </c>
    </row>
    <row r="1407" customFormat="false" ht="15" hidden="false" customHeight="false" outlineLevel="0" collapsed="false">
      <c r="A1407" s="57" t="s">
        <v>1922</v>
      </c>
      <c r="B1407" s="58" t="n">
        <v>45673</v>
      </c>
      <c r="C1407" s="57" t="n">
        <f aca="false">YEAR(B1407)</f>
        <v>2025</v>
      </c>
      <c r="D1407" s="57" t="n">
        <f aca="false">MONTH(B1407)</f>
        <v>1</v>
      </c>
      <c r="E1407" s="57" t="s">
        <v>1495</v>
      </c>
      <c r="F1407" s="57" t="s">
        <v>72</v>
      </c>
      <c r="G1407" s="57" t="s">
        <v>50</v>
      </c>
      <c r="H1407" s="57" t="s">
        <v>52</v>
      </c>
      <c r="I1407" s="59" t="n">
        <v>1</v>
      </c>
      <c r="J1407" s="60" t="n">
        <v>45</v>
      </c>
      <c r="K1407" s="60" t="n">
        <v>14</v>
      </c>
      <c r="L1407" s="61" t="n">
        <f aca="false">I1407*J1407</f>
        <v>45</v>
      </c>
      <c r="M1407" s="61" t="n">
        <f aca="false">L1407-I1407*K1407</f>
        <v>31</v>
      </c>
      <c r="N1407" s="57" t="n">
        <f aca="false">IF(COUNTIFS(E$2:E1407,E1407,C$2:C1407,C1407)=1,1,0)</f>
        <v>1</v>
      </c>
      <c r="O1407" s="57" t="n">
        <f aca="false">IF(COUNTIFS(E$2:E1407,E1407,C$2:C1407,C1407,D$2:D1407,D1407)=1,1,0)</f>
        <v>1</v>
      </c>
      <c r="P1407" s="57" t="n">
        <f aca="false">IF(AND(C1407=Calc!$C$3,OR(Calc!$C$4=0,D1407=Calc!$C$4)),ROW(),0)</f>
        <v>1407</v>
      </c>
    </row>
    <row r="1408" customFormat="false" ht="15" hidden="false" customHeight="false" outlineLevel="0" collapsed="false">
      <c r="A1408" s="57" t="s">
        <v>1923</v>
      </c>
      <c r="B1408" s="58" t="n">
        <v>45674</v>
      </c>
      <c r="C1408" s="57" t="n">
        <f aca="false">YEAR(B1408)</f>
        <v>2025</v>
      </c>
      <c r="D1408" s="57" t="n">
        <f aca="false">MONTH(B1408)</f>
        <v>1</v>
      </c>
      <c r="E1408" s="57" t="s">
        <v>1326</v>
      </c>
      <c r="F1408" s="57" t="s">
        <v>69</v>
      </c>
      <c r="G1408" s="57" t="s">
        <v>45</v>
      </c>
      <c r="H1408" s="57" t="s">
        <v>47</v>
      </c>
      <c r="I1408" s="59" t="n">
        <v>2</v>
      </c>
      <c r="J1408" s="60" t="n">
        <v>34</v>
      </c>
      <c r="K1408" s="60" t="n">
        <v>12</v>
      </c>
      <c r="L1408" s="61" t="n">
        <f aca="false">I1408*J1408</f>
        <v>68</v>
      </c>
      <c r="M1408" s="61" t="n">
        <f aca="false">L1408-I1408*K1408</f>
        <v>44</v>
      </c>
      <c r="N1408" s="57" t="n">
        <f aca="false">IF(COUNTIFS(E$2:E1408,E1408,C$2:C1408,C1408)=1,1,0)</f>
        <v>1</v>
      </c>
      <c r="O1408" s="57" t="n">
        <f aca="false">IF(COUNTIFS(E$2:E1408,E1408,C$2:C1408,C1408,D$2:D1408,D1408)=1,1,0)</f>
        <v>1</v>
      </c>
      <c r="P1408" s="57" t="n">
        <f aca="false">IF(AND(C1408=Calc!$C$3,OR(Calc!$C$4=0,D1408=Calc!$C$4)),ROW(),0)</f>
        <v>1408</v>
      </c>
    </row>
    <row r="1409" customFormat="false" ht="15" hidden="false" customHeight="false" outlineLevel="0" collapsed="false">
      <c r="A1409" s="57" t="s">
        <v>1924</v>
      </c>
      <c r="B1409" s="58" t="n">
        <v>45674</v>
      </c>
      <c r="C1409" s="57" t="n">
        <f aca="false">YEAR(B1409)</f>
        <v>2025</v>
      </c>
      <c r="D1409" s="57" t="n">
        <f aca="false">MONTH(B1409)</f>
        <v>1</v>
      </c>
      <c r="E1409" s="57" t="s">
        <v>275</v>
      </c>
      <c r="F1409" s="57" t="s">
        <v>75</v>
      </c>
      <c r="G1409" s="57" t="s">
        <v>45</v>
      </c>
      <c r="H1409" s="57" t="s">
        <v>47</v>
      </c>
      <c r="I1409" s="59" t="n">
        <v>1</v>
      </c>
      <c r="J1409" s="60" t="n">
        <v>34</v>
      </c>
      <c r="K1409" s="60" t="n">
        <v>12</v>
      </c>
      <c r="L1409" s="61" t="n">
        <f aca="false">I1409*J1409</f>
        <v>34</v>
      </c>
      <c r="M1409" s="61" t="n">
        <f aca="false">L1409-I1409*K1409</f>
        <v>22</v>
      </c>
      <c r="N1409" s="57" t="n">
        <f aca="false">IF(COUNTIFS(E$2:E1409,E1409,C$2:C1409,C1409)=1,1,0)</f>
        <v>0</v>
      </c>
      <c r="O1409" s="57" t="n">
        <f aca="false">IF(COUNTIFS(E$2:E1409,E1409,C$2:C1409,C1409,D$2:D1409,D1409)=1,1,0)</f>
        <v>0</v>
      </c>
      <c r="P1409" s="57" t="n">
        <f aca="false">IF(AND(C1409=Calc!$C$3,OR(Calc!$C$4=0,D1409=Calc!$C$4)),ROW(),0)</f>
        <v>1409</v>
      </c>
    </row>
    <row r="1410" customFormat="false" ht="15" hidden="false" customHeight="false" outlineLevel="0" collapsed="false">
      <c r="A1410" s="57" t="s">
        <v>1925</v>
      </c>
      <c r="B1410" s="58" t="n">
        <v>45674</v>
      </c>
      <c r="C1410" s="57" t="n">
        <f aca="false">YEAR(B1410)</f>
        <v>2025</v>
      </c>
      <c r="D1410" s="57" t="n">
        <f aca="false">MONTH(B1410)</f>
        <v>1</v>
      </c>
      <c r="E1410" s="57" t="s">
        <v>395</v>
      </c>
      <c r="F1410" s="57" t="s">
        <v>69</v>
      </c>
      <c r="G1410" s="57" t="s">
        <v>40</v>
      </c>
      <c r="H1410" s="57" t="s">
        <v>39</v>
      </c>
      <c r="I1410" s="59" t="n">
        <v>1</v>
      </c>
      <c r="J1410" s="60" t="n">
        <v>54</v>
      </c>
      <c r="K1410" s="60" t="n">
        <v>19</v>
      </c>
      <c r="L1410" s="61" t="n">
        <f aca="false">I1410*J1410</f>
        <v>54</v>
      </c>
      <c r="M1410" s="61" t="n">
        <f aca="false">L1410-I1410*K1410</f>
        <v>35</v>
      </c>
      <c r="N1410" s="57" t="n">
        <f aca="false">IF(COUNTIFS(E$2:E1410,E1410,C$2:C1410,C1410)=1,1,0)</f>
        <v>1</v>
      </c>
      <c r="O1410" s="57" t="n">
        <f aca="false">IF(COUNTIFS(E$2:E1410,E1410,C$2:C1410,C1410,D$2:D1410,D1410)=1,1,0)</f>
        <v>1</v>
      </c>
      <c r="P1410" s="57" t="n">
        <f aca="false">IF(AND(C1410=Calc!$C$3,OR(Calc!$C$4=0,D1410=Calc!$C$4)),ROW(),0)</f>
        <v>1410</v>
      </c>
    </row>
    <row r="1411" customFormat="false" ht="15" hidden="false" customHeight="false" outlineLevel="0" collapsed="false">
      <c r="A1411" s="57" t="s">
        <v>1926</v>
      </c>
      <c r="B1411" s="58" t="n">
        <v>45674</v>
      </c>
      <c r="C1411" s="57" t="n">
        <f aca="false">YEAR(B1411)</f>
        <v>2025</v>
      </c>
      <c r="D1411" s="57" t="n">
        <f aca="false">MONTH(B1411)</f>
        <v>1</v>
      </c>
      <c r="E1411" s="57" t="s">
        <v>1206</v>
      </c>
      <c r="F1411" s="57" t="s">
        <v>75</v>
      </c>
      <c r="G1411" s="57" t="s">
        <v>45</v>
      </c>
      <c r="H1411" s="57" t="s">
        <v>47</v>
      </c>
      <c r="I1411" s="59" t="n">
        <v>1</v>
      </c>
      <c r="J1411" s="60" t="n">
        <v>34</v>
      </c>
      <c r="K1411" s="60" t="n">
        <v>12</v>
      </c>
      <c r="L1411" s="61" t="n">
        <f aca="false">I1411*J1411</f>
        <v>34</v>
      </c>
      <c r="M1411" s="61" t="n">
        <f aca="false">L1411-I1411*K1411</f>
        <v>22</v>
      </c>
      <c r="N1411" s="57" t="n">
        <f aca="false">IF(COUNTIFS(E$2:E1411,E1411,C$2:C1411,C1411)=1,1,0)</f>
        <v>1</v>
      </c>
      <c r="O1411" s="57" t="n">
        <f aca="false">IF(COUNTIFS(E$2:E1411,E1411,C$2:C1411,C1411,D$2:D1411,D1411)=1,1,0)</f>
        <v>1</v>
      </c>
      <c r="P1411" s="57" t="n">
        <f aca="false">IF(AND(C1411=Calc!$C$3,OR(Calc!$C$4=0,D1411=Calc!$C$4)),ROW(),0)</f>
        <v>1411</v>
      </c>
    </row>
    <row r="1412" customFormat="false" ht="15" hidden="false" customHeight="false" outlineLevel="0" collapsed="false">
      <c r="A1412" s="57" t="s">
        <v>1927</v>
      </c>
      <c r="B1412" s="58" t="n">
        <v>45675</v>
      </c>
      <c r="C1412" s="57" t="n">
        <f aca="false">YEAR(B1412)</f>
        <v>2025</v>
      </c>
      <c r="D1412" s="57" t="n">
        <f aca="false">MONTH(B1412)</f>
        <v>1</v>
      </c>
      <c r="E1412" s="57" t="s">
        <v>164</v>
      </c>
      <c r="F1412" s="57" t="s">
        <v>69</v>
      </c>
      <c r="G1412" s="57" t="s">
        <v>50</v>
      </c>
      <c r="H1412" s="57" t="s">
        <v>49</v>
      </c>
      <c r="I1412" s="59" t="n">
        <v>2</v>
      </c>
      <c r="J1412" s="60" t="n">
        <v>32</v>
      </c>
      <c r="K1412" s="60" t="n">
        <v>7</v>
      </c>
      <c r="L1412" s="61" t="n">
        <f aca="false">I1412*J1412</f>
        <v>64</v>
      </c>
      <c r="M1412" s="61" t="n">
        <f aca="false">L1412-I1412*K1412</f>
        <v>50</v>
      </c>
      <c r="N1412" s="57" t="n">
        <f aca="false">IF(COUNTIFS(E$2:E1412,E1412,C$2:C1412,C1412)=1,1,0)</f>
        <v>0</v>
      </c>
      <c r="O1412" s="57" t="n">
        <f aca="false">IF(COUNTIFS(E$2:E1412,E1412,C$2:C1412,C1412,D$2:D1412,D1412)=1,1,0)</f>
        <v>0</v>
      </c>
      <c r="P1412" s="57" t="n">
        <f aca="false">IF(AND(C1412=Calc!$C$3,OR(Calc!$C$4=0,D1412=Calc!$C$4)),ROW(),0)</f>
        <v>1412</v>
      </c>
    </row>
    <row r="1413" customFormat="false" ht="15" hidden="false" customHeight="false" outlineLevel="0" collapsed="false">
      <c r="A1413" s="57" t="s">
        <v>1928</v>
      </c>
      <c r="B1413" s="58" t="n">
        <v>45675</v>
      </c>
      <c r="C1413" s="57" t="n">
        <f aca="false">YEAR(B1413)</f>
        <v>2025</v>
      </c>
      <c r="D1413" s="57" t="n">
        <f aca="false">MONTH(B1413)</f>
        <v>1</v>
      </c>
      <c r="E1413" s="57" t="s">
        <v>1929</v>
      </c>
      <c r="F1413" s="57" t="s">
        <v>75</v>
      </c>
      <c r="G1413" s="57" t="s">
        <v>35</v>
      </c>
      <c r="H1413" s="57" t="s">
        <v>34</v>
      </c>
      <c r="I1413" s="59" t="n">
        <v>1</v>
      </c>
      <c r="J1413" s="60" t="n">
        <v>89</v>
      </c>
      <c r="K1413" s="60" t="n">
        <v>41</v>
      </c>
      <c r="L1413" s="61" t="n">
        <f aca="false">I1413*J1413</f>
        <v>89</v>
      </c>
      <c r="M1413" s="61" t="n">
        <f aca="false">L1413-I1413*K1413</f>
        <v>48</v>
      </c>
      <c r="N1413" s="57" t="n">
        <f aca="false">IF(COUNTIFS(E$2:E1413,E1413,C$2:C1413,C1413)=1,1,0)</f>
        <v>1</v>
      </c>
      <c r="O1413" s="57" t="n">
        <f aca="false">IF(COUNTIFS(E$2:E1413,E1413,C$2:C1413,C1413,D$2:D1413,D1413)=1,1,0)</f>
        <v>1</v>
      </c>
      <c r="P1413" s="57" t="n">
        <f aca="false">IF(AND(C1413=Calc!$C$3,OR(Calc!$C$4=0,D1413=Calc!$C$4)),ROW(),0)</f>
        <v>1413</v>
      </c>
    </row>
    <row r="1414" customFormat="false" ht="15" hidden="false" customHeight="false" outlineLevel="0" collapsed="false">
      <c r="A1414" s="57" t="s">
        <v>1930</v>
      </c>
      <c r="B1414" s="58" t="n">
        <v>45675</v>
      </c>
      <c r="C1414" s="57" t="n">
        <f aca="false">YEAR(B1414)</f>
        <v>2025</v>
      </c>
      <c r="D1414" s="57" t="n">
        <f aca="false">MONTH(B1414)</f>
        <v>1</v>
      </c>
      <c r="E1414" s="57" t="s">
        <v>843</v>
      </c>
      <c r="F1414" s="57" t="s">
        <v>75</v>
      </c>
      <c r="G1414" s="57" t="s">
        <v>35</v>
      </c>
      <c r="H1414" s="57" t="s">
        <v>36</v>
      </c>
      <c r="I1414" s="59" t="n">
        <v>2</v>
      </c>
      <c r="J1414" s="60" t="n">
        <v>179</v>
      </c>
      <c r="K1414" s="60" t="n">
        <v>92</v>
      </c>
      <c r="L1414" s="61" t="n">
        <f aca="false">I1414*J1414</f>
        <v>358</v>
      </c>
      <c r="M1414" s="61" t="n">
        <f aca="false">L1414-I1414*K1414</f>
        <v>174</v>
      </c>
      <c r="N1414" s="57" t="n">
        <f aca="false">IF(COUNTIFS(E$2:E1414,E1414,C$2:C1414,C1414)=1,1,0)</f>
        <v>0</v>
      </c>
      <c r="O1414" s="57" t="n">
        <f aca="false">IF(COUNTIFS(E$2:E1414,E1414,C$2:C1414,C1414,D$2:D1414,D1414)=1,1,0)</f>
        <v>0</v>
      </c>
      <c r="P1414" s="57" t="n">
        <f aca="false">IF(AND(C1414=Calc!$C$3,OR(Calc!$C$4=0,D1414=Calc!$C$4)),ROW(),0)</f>
        <v>1414</v>
      </c>
    </row>
    <row r="1415" customFormat="false" ht="15" hidden="false" customHeight="false" outlineLevel="0" collapsed="false">
      <c r="A1415" s="57" t="s">
        <v>1931</v>
      </c>
      <c r="B1415" s="58" t="n">
        <v>45675</v>
      </c>
      <c r="C1415" s="57" t="n">
        <f aca="false">YEAR(B1415)</f>
        <v>2025</v>
      </c>
      <c r="D1415" s="57" t="n">
        <f aca="false">MONTH(B1415)</f>
        <v>1</v>
      </c>
      <c r="E1415" s="57" t="s">
        <v>843</v>
      </c>
      <c r="F1415" s="57" t="s">
        <v>75</v>
      </c>
      <c r="G1415" s="57" t="s">
        <v>45</v>
      </c>
      <c r="H1415" s="57" t="s">
        <v>46</v>
      </c>
      <c r="I1415" s="59" t="n">
        <v>1</v>
      </c>
      <c r="J1415" s="60" t="n">
        <v>149</v>
      </c>
      <c r="K1415" s="60" t="n">
        <v>71</v>
      </c>
      <c r="L1415" s="61" t="n">
        <f aca="false">I1415*J1415</f>
        <v>149</v>
      </c>
      <c r="M1415" s="61" t="n">
        <f aca="false">L1415-I1415*K1415</f>
        <v>78</v>
      </c>
      <c r="N1415" s="57" t="n">
        <f aca="false">IF(COUNTIFS(E$2:E1415,E1415,C$2:C1415,C1415)=1,1,0)</f>
        <v>0</v>
      </c>
      <c r="O1415" s="57" t="n">
        <f aca="false">IF(COUNTIFS(E$2:E1415,E1415,C$2:C1415,C1415,D$2:D1415,D1415)=1,1,0)</f>
        <v>0</v>
      </c>
      <c r="P1415" s="57" t="n">
        <f aca="false">IF(AND(C1415=Calc!$C$3,OR(Calc!$C$4=0,D1415=Calc!$C$4)),ROW(),0)</f>
        <v>1415</v>
      </c>
    </row>
    <row r="1416" customFormat="false" ht="15" hidden="false" customHeight="false" outlineLevel="0" collapsed="false">
      <c r="A1416" s="57" t="s">
        <v>1932</v>
      </c>
      <c r="B1416" s="58" t="n">
        <v>45676</v>
      </c>
      <c r="C1416" s="57" t="n">
        <f aca="false">YEAR(B1416)</f>
        <v>2025</v>
      </c>
      <c r="D1416" s="57" t="n">
        <f aca="false">MONTH(B1416)</f>
        <v>1</v>
      </c>
      <c r="E1416" s="57" t="s">
        <v>189</v>
      </c>
      <c r="F1416" s="57" t="s">
        <v>69</v>
      </c>
      <c r="G1416" s="57" t="s">
        <v>50</v>
      </c>
      <c r="H1416" s="57" t="s">
        <v>49</v>
      </c>
      <c r="I1416" s="59" t="n">
        <v>1</v>
      </c>
      <c r="J1416" s="60" t="n">
        <v>32</v>
      </c>
      <c r="K1416" s="60" t="n">
        <v>7</v>
      </c>
      <c r="L1416" s="61" t="n">
        <f aca="false">I1416*J1416</f>
        <v>32</v>
      </c>
      <c r="M1416" s="61" t="n">
        <f aca="false">L1416-I1416*K1416</f>
        <v>25</v>
      </c>
      <c r="N1416" s="57" t="n">
        <f aca="false">IF(COUNTIFS(E$2:E1416,E1416,C$2:C1416,C1416)=1,1,0)</f>
        <v>0</v>
      </c>
      <c r="O1416" s="57" t="n">
        <f aca="false">IF(COUNTIFS(E$2:E1416,E1416,C$2:C1416,C1416,D$2:D1416,D1416)=1,1,0)</f>
        <v>0</v>
      </c>
      <c r="P1416" s="57" t="n">
        <f aca="false">IF(AND(C1416=Calc!$C$3,OR(Calc!$C$4=0,D1416=Calc!$C$4)),ROW(),0)</f>
        <v>1416</v>
      </c>
    </row>
    <row r="1417" customFormat="false" ht="15" hidden="false" customHeight="false" outlineLevel="0" collapsed="false">
      <c r="A1417" s="57" t="s">
        <v>1933</v>
      </c>
      <c r="B1417" s="58" t="n">
        <v>45676</v>
      </c>
      <c r="C1417" s="57" t="n">
        <f aca="false">YEAR(B1417)</f>
        <v>2025</v>
      </c>
      <c r="D1417" s="57" t="n">
        <f aca="false">MONTH(B1417)</f>
        <v>1</v>
      </c>
      <c r="E1417" s="57" t="s">
        <v>1109</v>
      </c>
      <c r="F1417" s="57" t="s">
        <v>78</v>
      </c>
      <c r="G1417" s="57" t="s">
        <v>35</v>
      </c>
      <c r="H1417" s="57" t="s">
        <v>34</v>
      </c>
      <c r="I1417" s="59" t="n">
        <v>1</v>
      </c>
      <c r="J1417" s="60" t="n">
        <v>89</v>
      </c>
      <c r="K1417" s="60" t="n">
        <v>41</v>
      </c>
      <c r="L1417" s="61" t="n">
        <f aca="false">I1417*J1417</f>
        <v>89</v>
      </c>
      <c r="M1417" s="61" t="n">
        <f aca="false">L1417-I1417*K1417</f>
        <v>48</v>
      </c>
      <c r="N1417" s="57" t="n">
        <f aca="false">IF(COUNTIFS(E$2:E1417,E1417,C$2:C1417,C1417)=1,1,0)</f>
        <v>1</v>
      </c>
      <c r="O1417" s="57" t="n">
        <f aca="false">IF(COUNTIFS(E$2:E1417,E1417,C$2:C1417,C1417,D$2:D1417,D1417)=1,1,0)</f>
        <v>1</v>
      </c>
      <c r="P1417" s="57" t="n">
        <f aca="false">IF(AND(C1417=Calc!$C$3,OR(Calc!$C$4=0,D1417=Calc!$C$4)),ROW(),0)</f>
        <v>1417</v>
      </c>
    </row>
    <row r="1418" customFormat="false" ht="15" hidden="false" customHeight="false" outlineLevel="0" collapsed="false">
      <c r="A1418" s="57" t="s">
        <v>1934</v>
      </c>
      <c r="B1418" s="58" t="n">
        <v>45677</v>
      </c>
      <c r="C1418" s="57" t="n">
        <f aca="false">YEAR(B1418)</f>
        <v>2025</v>
      </c>
      <c r="D1418" s="57" t="n">
        <f aca="false">MONTH(B1418)</f>
        <v>1</v>
      </c>
      <c r="E1418" s="57" t="s">
        <v>173</v>
      </c>
      <c r="F1418" s="57" t="s">
        <v>69</v>
      </c>
      <c r="G1418" s="57" t="s">
        <v>35</v>
      </c>
      <c r="H1418" s="57" t="s">
        <v>37</v>
      </c>
      <c r="I1418" s="59" t="n">
        <v>2</v>
      </c>
      <c r="J1418" s="60" t="n">
        <v>59</v>
      </c>
      <c r="K1418" s="60" t="n">
        <v>27</v>
      </c>
      <c r="L1418" s="61" t="n">
        <f aca="false">I1418*J1418</f>
        <v>118</v>
      </c>
      <c r="M1418" s="61" t="n">
        <f aca="false">L1418-I1418*K1418</f>
        <v>64</v>
      </c>
      <c r="N1418" s="57" t="n">
        <f aca="false">IF(COUNTIFS(E$2:E1418,E1418,C$2:C1418,C1418)=1,1,0)</f>
        <v>0</v>
      </c>
      <c r="O1418" s="57" t="n">
        <f aca="false">IF(COUNTIFS(E$2:E1418,E1418,C$2:C1418,C1418,D$2:D1418,D1418)=1,1,0)</f>
        <v>0</v>
      </c>
      <c r="P1418" s="57" t="n">
        <f aca="false">IF(AND(C1418=Calc!$C$3,OR(Calc!$C$4=0,D1418=Calc!$C$4)),ROW(),0)</f>
        <v>1418</v>
      </c>
    </row>
    <row r="1419" customFormat="false" ht="15" hidden="false" customHeight="false" outlineLevel="0" collapsed="false">
      <c r="A1419" s="57" t="s">
        <v>1935</v>
      </c>
      <c r="B1419" s="58" t="n">
        <v>45677</v>
      </c>
      <c r="C1419" s="57" t="n">
        <f aca="false">YEAR(B1419)</f>
        <v>2025</v>
      </c>
      <c r="D1419" s="57" t="n">
        <f aca="false">MONTH(B1419)</f>
        <v>1</v>
      </c>
      <c r="E1419" s="57" t="s">
        <v>1936</v>
      </c>
      <c r="F1419" s="57" t="s">
        <v>69</v>
      </c>
      <c r="G1419" s="57" t="s">
        <v>40</v>
      </c>
      <c r="H1419" s="57" t="s">
        <v>42</v>
      </c>
      <c r="I1419" s="59" t="n">
        <v>1</v>
      </c>
      <c r="J1419" s="60" t="n">
        <v>79</v>
      </c>
      <c r="K1419" s="60" t="n">
        <v>31</v>
      </c>
      <c r="L1419" s="61" t="n">
        <f aca="false">I1419*J1419</f>
        <v>79</v>
      </c>
      <c r="M1419" s="61" t="n">
        <f aca="false">L1419-I1419*K1419</f>
        <v>48</v>
      </c>
      <c r="N1419" s="57" t="n">
        <f aca="false">IF(COUNTIFS(E$2:E1419,E1419,C$2:C1419,C1419)=1,1,0)</f>
        <v>1</v>
      </c>
      <c r="O1419" s="57" t="n">
        <f aca="false">IF(COUNTIFS(E$2:E1419,E1419,C$2:C1419,C1419,D$2:D1419,D1419)=1,1,0)</f>
        <v>1</v>
      </c>
      <c r="P1419" s="57" t="n">
        <f aca="false">IF(AND(C1419=Calc!$C$3,OR(Calc!$C$4=0,D1419=Calc!$C$4)),ROW(),0)</f>
        <v>1419</v>
      </c>
    </row>
    <row r="1420" customFormat="false" ht="15" hidden="false" customHeight="false" outlineLevel="0" collapsed="false">
      <c r="A1420" s="57" t="s">
        <v>1937</v>
      </c>
      <c r="B1420" s="58" t="n">
        <v>45677</v>
      </c>
      <c r="C1420" s="57" t="n">
        <f aca="false">YEAR(B1420)</f>
        <v>2025</v>
      </c>
      <c r="D1420" s="57" t="n">
        <f aca="false">MONTH(B1420)</f>
        <v>1</v>
      </c>
      <c r="E1420" s="57" t="s">
        <v>1092</v>
      </c>
      <c r="F1420" s="57" t="s">
        <v>75</v>
      </c>
      <c r="G1420" s="57" t="s">
        <v>35</v>
      </c>
      <c r="H1420" s="57" t="s">
        <v>37</v>
      </c>
      <c r="I1420" s="59" t="n">
        <v>1</v>
      </c>
      <c r="J1420" s="60" t="n">
        <v>59</v>
      </c>
      <c r="K1420" s="60" t="n">
        <v>27</v>
      </c>
      <c r="L1420" s="61" t="n">
        <f aca="false">I1420*J1420</f>
        <v>59</v>
      </c>
      <c r="M1420" s="61" t="n">
        <f aca="false">L1420-I1420*K1420</f>
        <v>32</v>
      </c>
      <c r="N1420" s="57" t="n">
        <f aca="false">IF(COUNTIFS(E$2:E1420,E1420,C$2:C1420,C1420)=1,1,0)</f>
        <v>1</v>
      </c>
      <c r="O1420" s="57" t="n">
        <f aca="false">IF(COUNTIFS(E$2:E1420,E1420,C$2:C1420,C1420,D$2:D1420,D1420)=1,1,0)</f>
        <v>1</v>
      </c>
      <c r="P1420" s="57" t="n">
        <f aca="false">IF(AND(C1420=Calc!$C$3,OR(Calc!$C$4=0,D1420=Calc!$C$4)),ROW(),0)</f>
        <v>1420</v>
      </c>
    </row>
    <row r="1421" customFormat="false" ht="15" hidden="false" customHeight="false" outlineLevel="0" collapsed="false">
      <c r="A1421" s="57" t="s">
        <v>1938</v>
      </c>
      <c r="B1421" s="58" t="n">
        <v>45678</v>
      </c>
      <c r="C1421" s="57" t="n">
        <f aca="false">YEAR(B1421)</f>
        <v>2025</v>
      </c>
      <c r="D1421" s="57" t="n">
        <f aca="false">MONTH(B1421)</f>
        <v>1</v>
      </c>
      <c r="E1421" s="57" t="s">
        <v>1218</v>
      </c>
      <c r="F1421" s="57" t="s">
        <v>81</v>
      </c>
      <c r="G1421" s="57" t="s">
        <v>40</v>
      </c>
      <c r="H1421" s="57" t="s">
        <v>41</v>
      </c>
      <c r="I1421" s="59" t="n">
        <v>1</v>
      </c>
      <c r="J1421" s="60" t="n">
        <v>46</v>
      </c>
      <c r="K1421" s="60" t="n">
        <v>16</v>
      </c>
      <c r="L1421" s="61" t="n">
        <f aca="false">I1421*J1421</f>
        <v>46</v>
      </c>
      <c r="M1421" s="61" t="n">
        <f aca="false">L1421-I1421*K1421</f>
        <v>30</v>
      </c>
      <c r="N1421" s="57" t="n">
        <f aca="false">IF(COUNTIFS(E$2:E1421,E1421,C$2:C1421,C1421)=1,1,0)</f>
        <v>1</v>
      </c>
      <c r="O1421" s="57" t="n">
        <f aca="false">IF(COUNTIFS(E$2:E1421,E1421,C$2:C1421,C1421,D$2:D1421,D1421)=1,1,0)</f>
        <v>1</v>
      </c>
      <c r="P1421" s="57" t="n">
        <f aca="false">IF(AND(C1421=Calc!$C$3,OR(Calc!$C$4=0,D1421=Calc!$C$4)),ROW(),0)</f>
        <v>1421</v>
      </c>
    </row>
    <row r="1422" customFormat="false" ht="15" hidden="false" customHeight="false" outlineLevel="0" collapsed="false">
      <c r="A1422" s="57" t="s">
        <v>1939</v>
      </c>
      <c r="B1422" s="58" t="n">
        <v>45678</v>
      </c>
      <c r="C1422" s="57" t="n">
        <f aca="false">YEAR(B1422)</f>
        <v>2025</v>
      </c>
      <c r="D1422" s="57" t="n">
        <f aca="false">MONTH(B1422)</f>
        <v>1</v>
      </c>
      <c r="E1422" s="57" t="s">
        <v>1940</v>
      </c>
      <c r="F1422" s="57" t="s">
        <v>75</v>
      </c>
      <c r="G1422" s="57" t="s">
        <v>40</v>
      </c>
      <c r="H1422" s="57" t="s">
        <v>39</v>
      </c>
      <c r="I1422" s="59" t="n">
        <v>2</v>
      </c>
      <c r="J1422" s="60" t="n">
        <v>54</v>
      </c>
      <c r="K1422" s="60" t="n">
        <v>19</v>
      </c>
      <c r="L1422" s="61" t="n">
        <f aca="false">I1422*J1422</f>
        <v>108</v>
      </c>
      <c r="M1422" s="61" t="n">
        <f aca="false">L1422-I1422*K1422</f>
        <v>70</v>
      </c>
      <c r="N1422" s="57" t="n">
        <f aca="false">IF(COUNTIFS(E$2:E1422,E1422,C$2:C1422,C1422)=1,1,0)</f>
        <v>1</v>
      </c>
      <c r="O1422" s="57" t="n">
        <f aca="false">IF(COUNTIFS(E$2:E1422,E1422,C$2:C1422,C1422,D$2:D1422,D1422)=1,1,0)</f>
        <v>1</v>
      </c>
      <c r="P1422" s="57" t="n">
        <f aca="false">IF(AND(C1422=Calc!$C$3,OR(Calc!$C$4=0,D1422=Calc!$C$4)),ROW(),0)</f>
        <v>1422</v>
      </c>
    </row>
    <row r="1423" customFormat="false" ht="15" hidden="false" customHeight="false" outlineLevel="0" collapsed="false">
      <c r="A1423" s="57" t="s">
        <v>1941</v>
      </c>
      <c r="B1423" s="58" t="n">
        <v>45679</v>
      </c>
      <c r="C1423" s="57" t="n">
        <f aca="false">YEAR(B1423)</f>
        <v>2025</v>
      </c>
      <c r="D1423" s="57" t="n">
        <f aca="false">MONTH(B1423)</f>
        <v>1</v>
      </c>
      <c r="E1423" s="57" t="s">
        <v>68</v>
      </c>
      <c r="F1423" s="57" t="s">
        <v>69</v>
      </c>
      <c r="G1423" s="57" t="s">
        <v>45</v>
      </c>
      <c r="H1423" s="57" t="s">
        <v>44</v>
      </c>
      <c r="I1423" s="59" t="n">
        <v>1</v>
      </c>
      <c r="J1423" s="60" t="n">
        <v>119</v>
      </c>
      <c r="K1423" s="60" t="n">
        <v>63</v>
      </c>
      <c r="L1423" s="61" t="n">
        <f aca="false">I1423*J1423</f>
        <v>119</v>
      </c>
      <c r="M1423" s="61" t="n">
        <f aca="false">L1423-I1423*K1423</f>
        <v>56</v>
      </c>
      <c r="N1423" s="57" t="n">
        <f aca="false">IF(COUNTIFS(E$2:E1423,E1423,C$2:C1423,C1423)=1,1,0)</f>
        <v>1</v>
      </c>
      <c r="O1423" s="57" t="n">
        <f aca="false">IF(COUNTIFS(E$2:E1423,E1423,C$2:C1423,C1423,D$2:D1423,D1423)=1,1,0)</f>
        <v>1</v>
      </c>
      <c r="P1423" s="57" t="n">
        <f aca="false">IF(AND(C1423=Calc!$C$3,OR(Calc!$C$4=0,D1423=Calc!$C$4)),ROW(),0)</f>
        <v>1423</v>
      </c>
    </row>
    <row r="1424" customFormat="false" ht="15" hidden="false" customHeight="false" outlineLevel="0" collapsed="false">
      <c r="A1424" s="57" t="s">
        <v>1942</v>
      </c>
      <c r="B1424" s="58" t="n">
        <v>45679</v>
      </c>
      <c r="C1424" s="57" t="n">
        <f aca="false">YEAR(B1424)</f>
        <v>2025</v>
      </c>
      <c r="D1424" s="57" t="n">
        <f aca="false">MONTH(B1424)</f>
        <v>1</v>
      </c>
      <c r="E1424" s="57" t="s">
        <v>843</v>
      </c>
      <c r="F1424" s="57" t="s">
        <v>75</v>
      </c>
      <c r="G1424" s="57" t="s">
        <v>45</v>
      </c>
      <c r="H1424" s="57" t="s">
        <v>46</v>
      </c>
      <c r="I1424" s="59" t="n">
        <v>1</v>
      </c>
      <c r="J1424" s="60" t="n">
        <v>149</v>
      </c>
      <c r="K1424" s="60" t="n">
        <v>71</v>
      </c>
      <c r="L1424" s="61" t="n">
        <f aca="false">I1424*J1424</f>
        <v>149</v>
      </c>
      <c r="M1424" s="61" t="n">
        <f aca="false">L1424-I1424*K1424</f>
        <v>78</v>
      </c>
      <c r="N1424" s="57" t="n">
        <f aca="false">IF(COUNTIFS(E$2:E1424,E1424,C$2:C1424,C1424)=1,1,0)</f>
        <v>0</v>
      </c>
      <c r="O1424" s="57" t="n">
        <f aca="false">IF(COUNTIFS(E$2:E1424,E1424,C$2:C1424,C1424,D$2:D1424,D1424)=1,1,0)</f>
        <v>0</v>
      </c>
      <c r="P1424" s="57" t="n">
        <f aca="false">IF(AND(C1424=Calc!$C$3,OR(Calc!$C$4=0,D1424=Calc!$C$4)),ROW(),0)</f>
        <v>1424</v>
      </c>
    </row>
    <row r="1425" customFormat="false" ht="15" hidden="false" customHeight="false" outlineLevel="0" collapsed="false">
      <c r="A1425" s="57" t="s">
        <v>1943</v>
      </c>
      <c r="B1425" s="58" t="n">
        <v>45679</v>
      </c>
      <c r="C1425" s="57" t="n">
        <f aca="false">YEAR(B1425)</f>
        <v>2025</v>
      </c>
      <c r="D1425" s="57" t="n">
        <f aca="false">MONTH(B1425)</f>
        <v>1</v>
      </c>
      <c r="E1425" s="57" t="s">
        <v>523</v>
      </c>
      <c r="F1425" s="57" t="s">
        <v>69</v>
      </c>
      <c r="G1425" s="57" t="s">
        <v>45</v>
      </c>
      <c r="H1425" s="57" t="s">
        <v>48</v>
      </c>
      <c r="I1425" s="59" t="n">
        <v>1</v>
      </c>
      <c r="J1425" s="60" t="n">
        <v>99</v>
      </c>
      <c r="K1425" s="60" t="n">
        <v>38</v>
      </c>
      <c r="L1425" s="61" t="n">
        <f aca="false">I1425*J1425</f>
        <v>99</v>
      </c>
      <c r="M1425" s="61" t="n">
        <f aca="false">L1425-I1425*K1425</f>
        <v>61</v>
      </c>
      <c r="N1425" s="57" t="n">
        <f aca="false">IF(COUNTIFS(E$2:E1425,E1425,C$2:C1425,C1425)=1,1,0)</f>
        <v>1</v>
      </c>
      <c r="O1425" s="57" t="n">
        <f aca="false">IF(COUNTIFS(E$2:E1425,E1425,C$2:C1425,C1425,D$2:D1425,D1425)=1,1,0)</f>
        <v>1</v>
      </c>
      <c r="P1425" s="57" t="n">
        <f aca="false">IF(AND(C1425=Calc!$C$3,OR(Calc!$C$4=0,D1425=Calc!$C$4)),ROW(),0)</f>
        <v>1425</v>
      </c>
    </row>
    <row r="1426" customFormat="false" ht="15" hidden="false" customHeight="false" outlineLevel="0" collapsed="false">
      <c r="A1426" s="57" t="s">
        <v>1944</v>
      </c>
      <c r="B1426" s="58" t="n">
        <v>45679</v>
      </c>
      <c r="C1426" s="57" t="n">
        <f aca="false">YEAR(B1426)</f>
        <v>2025</v>
      </c>
      <c r="D1426" s="57" t="n">
        <f aca="false">MONTH(B1426)</f>
        <v>1</v>
      </c>
      <c r="E1426" s="57" t="s">
        <v>601</v>
      </c>
      <c r="F1426" s="57" t="s">
        <v>78</v>
      </c>
      <c r="G1426" s="57" t="s">
        <v>35</v>
      </c>
      <c r="H1426" s="57" t="s">
        <v>34</v>
      </c>
      <c r="I1426" s="59" t="n">
        <v>2</v>
      </c>
      <c r="J1426" s="60" t="n">
        <v>89</v>
      </c>
      <c r="K1426" s="60" t="n">
        <v>41</v>
      </c>
      <c r="L1426" s="61" t="n">
        <f aca="false">I1426*J1426</f>
        <v>178</v>
      </c>
      <c r="M1426" s="61" t="n">
        <f aca="false">L1426-I1426*K1426</f>
        <v>96</v>
      </c>
      <c r="N1426" s="57" t="n">
        <f aca="false">IF(COUNTIFS(E$2:E1426,E1426,C$2:C1426,C1426)=1,1,0)</f>
        <v>1</v>
      </c>
      <c r="O1426" s="57" t="n">
        <f aca="false">IF(COUNTIFS(E$2:E1426,E1426,C$2:C1426,C1426,D$2:D1426,D1426)=1,1,0)</f>
        <v>1</v>
      </c>
      <c r="P1426" s="57" t="n">
        <f aca="false">IF(AND(C1426=Calc!$C$3,OR(Calc!$C$4=0,D1426=Calc!$C$4)),ROW(),0)</f>
        <v>1426</v>
      </c>
    </row>
    <row r="1427" customFormat="false" ht="15" hidden="false" customHeight="false" outlineLevel="0" collapsed="false">
      <c r="A1427" s="57" t="s">
        <v>1945</v>
      </c>
      <c r="B1427" s="58" t="n">
        <v>45679</v>
      </c>
      <c r="C1427" s="57" t="n">
        <f aca="false">YEAR(B1427)</f>
        <v>2025</v>
      </c>
      <c r="D1427" s="57" t="n">
        <f aca="false">MONTH(B1427)</f>
        <v>1</v>
      </c>
      <c r="E1427" s="57" t="s">
        <v>1266</v>
      </c>
      <c r="F1427" s="57" t="s">
        <v>72</v>
      </c>
      <c r="G1427" s="57" t="s">
        <v>35</v>
      </c>
      <c r="H1427" s="57" t="s">
        <v>34</v>
      </c>
      <c r="I1427" s="59" t="n">
        <v>1</v>
      </c>
      <c r="J1427" s="60" t="n">
        <v>89</v>
      </c>
      <c r="K1427" s="60" t="n">
        <v>41</v>
      </c>
      <c r="L1427" s="61" t="n">
        <f aca="false">I1427*J1427</f>
        <v>89</v>
      </c>
      <c r="M1427" s="61" t="n">
        <f aca="false">L1427-I1427*K1427</f>
        <v>48</v>
      </c>
      <c r="N1427" s="57" t="n">
        <f aca="false">IF(COUNTIFS(E$2:E1427,E1427,C$2:C1427,C1427)=1,1,0)</f>
        <v>1</v>
      </c>
      <c r="O1427" s="57" t="n">
        <f aca="false">IF(COUNTIFS(E$2:E1427,E1427,C$2:C1427,C1427,D$2:D1427,D1427)=1,1,0)</f>
        <v>1</v>
      </c>
      <c r="P1427" s="57" t="n">
        <f aca="false">IF(AND(C1427=Calc!$C$3,OR(Calc!$C$4=0,D1427=Calc!$C$4)),ROW(),0)</f>
        <v>1427</v>
      </c>
    </row>
    <row r="1428" customFormat="false" ht="15" hidden="false" customHeight="false" outlineLevel="0" collapsed="false">
      <c r="A1428" s="57" t="s">
        <v>1946</v>
      </c>
      <c r="B1428" s="58" t="n">
        <v>45680</v>
      </c>
      <c r="C1428" s="57" t="n">
        <f aca="false">YEAR(B1428)</f>
        <v>2025</v>
      </c>
      <c r="D1428" s="57" t="n">
        <f aca="false">MONTH(B1428)</f>
        <v>1</v>
      </c>
      <c r="E1428" s="57" t="s">
        <v>986</v>
      </c>
      <c r="F1428" s="57" t="s">
        <v>75</v>
      </c>
      <c r="G1428" s="57" t="s">
        <v>35</v>
      </c>
      <c r="H1428" s="57" t="s">
        <v>37</v>
      </c>
      <c r="I1428" s="59" t="n">
        <v>1</v>
      </c>
      <c r="J1428" s="60" t="n">
        <v>59</v>
      </c>
      <c r="K1428" s="60" t="n">
        <v>27</v>
      </c>
      <c r="L1428" s="61" t="n">
        <f aca="false">I1428*J1428</f>
        <v>59</v>
      </c>
      <c r="M1428" s="61" t="n">
        <f aca="false">L1428-I1428*K1428</f>
        <v>32</v>
      </c>
      <c r="N1428" s="57" t="n">
        <f aca="false">IF(COUNTIFS(E$2:E1428,E1428,C$2:C1428,C1428)=1,1,0)</f>
        <v>1</v>
      </c>
      <c r="O1428" s="57" t="n">
        <f aca="false">IF(COUNTIFS(E$2:E1428,E1428,C$2:C1428,C1428,D$2:D1428,D1428)=1,1,0)</f>
        <v>1</v>
      </c>
      <c r="P1428" s="57" t="n">
        <f aca="false">IF(AND(C1428=Calc!$C$3,OR(Calc!$C$4=0,D1428=Calc!$C$4)),ROW(),0)</f>
        <v>1428</v>
      </c>
    </row>
    <row r="1429" customFormat="false" ht="15" hidden="false" customHeight="false" outlineLevel="0" collapsed="false">
      <c r="A1429" s="57" t="s">
        <v>1947</v>
      </c>
      <c r="B1429" s="58" t="n">
        <v>45680</v>
      </c>
      <c r="C1429" s="57" t="n">
        <f aca="false">YEAR(B1429)</f>
        <v>2025</v>
      </c>
      <c r="D1429" s="57" t="n">
        <f aca="false">MONTH(B1429)</f>
        <v>1</v>
      </c>
      <c r="E1429" s="57" t="s">
        <v>1053</v>
      </c>
      <c r="F1429" s="57" t="s">
        <v>72</v>
      </c>
      <c r="G1429" s="57" t="s">
        <v>54</v>
      </c>
      <c r="H1429" s="57" t="s">
        <v>53</v>
      </c>
      <c r="I1429" s="59" t="n">
        <v>1</v>
      </c>
      <c r="J1429" s="60" t="n">
        <v>39</v>
      </c>
      <c r="K1429" s="60" t="n">
        <v>13</v>
      </c>
      <c r="L1429" s="61" t="n">
        <f aca="false">I1429*J1429</f>
        <v>39</v>
      </c>
      <c r="M1429" s="61" t="n">
        <f aca="false">L1429-I1429*K1429</f>
        <v>26</v>
      </c>
      <c r="N1429" s="57" t="n">
        <f aca="false">IF(COUNTIFS(E$2:E1429,E1429,C$2:C1429,C1429)=1,1,0)</f>
        <v>1</v>
      </c>
      <c r="O1429" s="57" t="n">
        <f aca="false">IF(COUNTIFS(E$2:E1429,E1429,C$2:C1429,C1429,D$2:D1429,D1429)=1,1,0)</f>
        <v>1</v>
      </c>
      <c r="P1429" s="57" t="n">
        <f aca="false">IF(AND(C1429=Calc!$C$3,OR(Calc!$C$4=0,D1429=Calc!$C$4)),ROW(),0)</f>
        <v>1429</v>
      </c>
    </row>
    <row r="1430" customFormat="false" ht="15" hidden="false" customHeight="false" outlineLevel="0" collapsed="false">
      <c r="A1430" s="57" t="s">
        <v>1948</v>
      </c>
      <c r="B1430" s="58" t="n">
        <v>45680</v>
      </c>
      <c r="C1430" s="57" t="n">
        <f aca="false">YEAR(B1430)</f>
        <v>2025</v>
      </c>
      <c r="D1430" s="57" t="n">
        <f aca="false">MONTH(B1430)</f>
        <v>1</v>
      </c>
      <c r="E1430" s="57" t="s">
        <v>187</v>
      </c>
      <c r="F1430" s="57" t="s">
        <v>78</v>
      </c>
      <c r="G1430" s="57" t="s">
        <v>35</v>
      </c>
      <c r="H1430" s="57" t="s">
        <v>38</v>
      </c>
      <c r="I1430" s="59" t="n">
        <v>2</v>
      </c>
      <c r="J1430" s="60" t="n">
        <v>49</v>
      </c>
      <c r="K1430" s="60" t="n">
        <v>22</v>
      </c>
      <c r="L1430" s="61" t="n">
        <f aca="false">I1430*J1430</f>
        <v>98</v>
      </c>
      <c r="M1430" s="61" t="n">
        <f aca="false">L1430-I1430*K1430</f>
        <v>54</v>
      </c>
      <c r="N1430" s="57" t="n">
        <f aca="false">IF(COUNTIFS(E$2:E1430,E1430,C$2:C1430,C1430)=1,1,0)</f>
        <v>1</v>
      </c>
      <c r="O1430" s="57" t="n">
        <f aca="false">IF(COUNTIFS(E$2:E1430,E1430,C$2:C1430,C1430,D$2:D1430,D1430)=1,1,0)</f>
        <v>1</v>
      </c>
      <c r="P1430" s="57" t="n">
        <f aca="false">IF(AND(C1430=Calc!$C$3,OR(Calc!$C$4=0,D1430=Calc!$C$4)),ROW(),0)</f>
        <v>1430</v>
      </c>
    </row>
    <row r="1431" customFormat="false" ht="15" hidden="false" customHeight="false" outlineLevel="0" collapsed="false">
      <c r="A1431" s="57" t="s">
        <v>1949</v>
      </c>
      <c r="B1431" s="58" t="n">
        <v>45680</v>
      </c>
      <c r="C1431" s="57" t="n">
        <f aca="false">YEAR(B1431)</f>
        <v>2025</v>
      </c>
      <c r="D1431" s="57" t="n">
        <f aca="false">MONTH(B1431)</f>
        <v>1</v>
      </c>
      <c r="E1431" s="57" t="s">
        <v>225</v>
      </c>
      <c r="F1431" s="57" t="s">
        <v>72</v>
      </c>
      <c r="G1431" s="57" t="s">
        <v>50</v>
      </c>
      <c r="H1431" s="57" t="s">
        <v>49</v>
      </c>
      <c r="I1431" s="59" t="n">
        <v>1</v>
      </c>
      <c r="J1431" s="60" t="n">
        <v>32</v>
      </c>
      <c r="K1431" s="60" t="n">
        <v>7</v>
      </c>
      <c r="L1431" s="61" t="n">
        <f aca="false">I1431*J1431</f>
        <v>32</v>
      </c>
      <c r="M1431" s="61" t="n">
        <f aca="false">L1431-I1431*K1431</f>
        <v>25</v>
      </c>
      <c r="N1431" s="57" t="n">
        <f aca="false">IF(COUNTIFS(E$2:E1431,E1431,C$2:C1431,C1431)=1,1,0)</f>
        <v>0</v>
      </c>
      <c r="O1431" s="57" t="n">
        <f aca="false">IF(COUNTIFS(E$2:E1431,E1431,C$2:C1431,C1431,D$2:D1431,D1431)=1,1,0)</f>
        <v>0</v>
      </c>
      <c r="P1431" s="57" t="n">
        <f aca="false">IF(AND(C1431=Calc!$C$3,OR(Calc!$C$4=0,D1431=Calc!$C$4)),ROW(),0)</f>
        <v>1431</v>
      </c>
    </row>
    <row r="1432" customFormat="false" ht="15" hidden="false" customHeight="false" outlineLevel="0" collapsed="false">
      <c r="A1432" s="57" t="s">
        <v>1950</v>
      </c>
      <c r="B1432" s="58" t="n">
        <v>45681</v>
      </c>
      <c r="C1432" s="57" t="n">
        <f aca="false">YEAR(B1432)</f>
        <v>2025</v>
      </c>
      <c r="D1432" s="57" t="n">
        <f aca="false">MONTH(B1432)</f>
        <v>1</v>
      </c>
      <c r="E1432" s="57" t="s">
        <v>181</v>
      </c>
      <c r="F1432" s="57" t="s">
        <v>69</v>
      </c>
      <c r="G1432" s="57" t="s">
        <v>35</v>
      </c>
      <c r="H1432" s="57" t="s">
        <v>38</v>
      </c>
      <c r="I1432" s="59" t="n">
        <v>1</v>
      </c>
      <c r="J1432" s="60" t="n">
        <v>49</v>
      </c>
      <c r="K1432" s="60" t="n">
        <v>22</v>
      </c>
      <c r="L1432" s="61" t="n">
        <f aca="false">I1432*J1432</f>
        <v>49</v>
      </c>
      <c r="M1432" s="61" t="n">
        <f aca="false">L1432-I1432*K1432</f>
        <v>27</v>
      </c>
      <c r="N1432" s="57" t="n">
        <f aca="false">IF(COUNTIFS(E$2:E1432,E1432,C$2:C1432,C1432)=1,1,0)</f>
        <v>1</v>
      </c>
      <c r="O1432" s="57" t="n">
        <f aca="false">IF(COUNTIFS(E$2:E1432,E1432,C$2:C1432,C1432,D$2:D1432,D1432)=1,1,0)</f>
        <v>1</v>
      </c>
      <c r="P1432" s="57" t="n">
        <f aca="false">IF(AND(C1432=Calc!$C$3,OR(Calc!$C$4=0,D1432=Calc!$C$4)),ROW(),0)</f>
        <v>1432</v>
      </c>
    </row>
    <row r="1433" customFormat="false" ht="15" hidden="false" customHeight="false" outlineLevel="0" collapsed="false">
      <c r="A1433" s="57" t="s">
        <v>1951</v>
      </c>
      <c r="B1433" s="58" t="n">
        <v>45681</v>
      </c>
      <c r="C1433" s="57" t="n">
        <f aca="false">YEAR(B1433)</f>
        <v>2025</v>
      </c>
      <c r="D1433" s="57" t="n">
        <f aca="false">MONTH(B1433)</f>
        <v>1</v>
      </c>
      <c r="E1433" s="57" t="s">
        <v>983</v>
      </c>
      <c r="F1433" s="57" t="s">
        <v>72</v>
      </c>
      <c r="G1433" s="57" t="s">
        <v>35</v>
      </c>
      <c r="H1433" s="57" t="s">
        <v>34</v>
      </c>
      <c r="I1433" s="59" t="n">
        <v>1</v>
      </c>
      <c r="J1433" s="60" t="n">
        <v>89</v>
      </c>
      <c r="K1433" s="60" t="n">
        <v>41</v>
      </c>
      <c r="L1433" s="61" t="n">
        <f aca="false">I1433*J1433</f>
        <v>89</v>
      </c>
      <c r="M1433" s="61" t="n">
        <f aca="false">L1433-I1433*K1433</f>
        <v>48</v>
      </c>
      <c r="N1433" s="57" t="n">
        <f aca="false">IF(COUNTIFS(E$2:E1433,E1433,C$2:C1433,C1433)=1,1,0)</f>
        <v>1</v>
      </c>
      <c r="O1433" s="57" t="n">
        <f aca="false">IF(COUNTIFS(E$2:E1433,E1433,C$2:C1433,C1433,D$2:D1433,D1433)=1,1,0)</f>
        <v>1</v>
      </c>
      <c r="P1433" s="57" t="n">
        <f aca="false">IF(AND(C1433=Calc!$C$3,OR(Calc!$C$4=0,D1433=Calc!$C$4)),ROW(),0)</f>
        <v>1433</v>
      </c>
    </row>
    <row r="1434" customFormat="false" ht="15" hidden="false" customHeight="false" outlineLevel="0" collapsed="false">
      <c r="A1434" s="57" t="s">
        <v>1952</v>
      </c>
      <c r="B1434" s="58" t="n">
        <v>45681</v>
      </c>
      <c r="C1434" s="57" t="n">
        <f aca="false">YEAR(B1434)</f>
        <v>2025</v>
      </c>
      <c r="D1434" s="57" t="n">
        <f aca="false">MONTH(B1434)</f>
        <v>1</v>
      </c>
      <c r="E1434" s="57" t="s">
        <v>983</v>
      </c>
      <c r="F1434" s="57" t="s">
        <v>72</v>
      </c>
      <c r="G1434" s="57" t="s">
        <v>35</v>
      </c>
      <c r="H1434" s="57" t="s">
        <v>36</v>
      </c>
      <c r="I1434" s="59" t="n">
        <v>1</v>
      </c>
      <c r="J1434" s="60" t="n">
        <v>179</v>
      </c>
      <c r="K1434" s="60" t="n">
        <v>92</v>
      </c>
      <c r="L1434" s="61" t="n">
        <f aca="false">I1434*J1434</f>
        <v>179</v>
      </c>
      <c r="M1434" s="61" t="n">
        <f aca="false">L1434-I1434*K1434</f>
        <v>87</v>
      </c>
      <c r="N1434" s="57" t="n">
        <f aca="false">IF(COUNTIFS(E$2:E1434,E1434,C$2:C1434,C1434)=1,1,0)</f>
        <v>0</v>
      </c>
      <c r="O1434" s="57" t="n">
        <f aca="false">IF(COUNTIFS(E$2:E1434,E1434,C$2:C1434,C1434,D$2:D1434,D1434)=1,1,0)</f>
        <v>0</v>
      </c>
      <c r="P1434" s="57" t="n">
        <f aca="false">IF(AND(C1434=Calc!$C$3,OR(Calc!$C$4=0,D1434=Calc!$C$4)),ROW(),0)</f>
        <v>1434</v>
      </c>
    </row>
    <row r="1435" customFormat="false" ht="15" hidden="false" customHeight="false" outlineLevel="0" collapsed="false">
      <c r="A1435" s="57" t="s">
        <v>1953</v>
      </c>
      <c r="B1435" s="58" t="n">
        <v>45681</v>
      </c>
      <c r="C1435" s="57" t="n">
        <f aca="false">YEAR(B1435)</f>
        <v>2025</v>
      </c>
      <c r="D1435" s="57" t="n">
        <f aca="false">MONTH(B1435)</f>
        <v>1</v>
      </c>
      <c r="E1435" s="57" t="s">
        <v>152</v>
      </c>
      <c r="F1435" s="57" t="s">
        <v>72</v>
      </c>
      <c r="G1435" s="57" t="s">
        <v>35</v>
      </c>
      <c r="H1435" s="57" t="s">
        <v>34</v>
      </c>
      <c r="I1435" s="59" t="n">
        <v>1</v>
      </c>
      <c r="J1435" s="60" t="n">
        <v>89</v>
      </c>
      <c r="K1435" s="60" t="n">
        <v>41</v>
      </c>
      <c r="L1435" s="61" t="n">
        <f aca="false">I1435*J1435</f>
        <v>89</v>
      </c>
      <c r="M1435" s="61" t="n">
        <f aca="false">L1435-I1435*K1435</f>
        <v>48</v>
      </c>
      <c r="N1435" s="57" t="n">
        <f aca="false">IF(COUNTIFS(E$2:E1435,E1435,C$2:C1435,C1435)=1,1,0)</f>
        <v>1</v>
      </c>
      <c r="O1435" s="57" t="n">
        <f aca="false">IF(COUNTIFS(E$2:E1435,E1435,C$2:C1435,C1435,D$2:D1435,D1435)=1,1,0)</f>
        <v>1</v>
      </c>
      <c r="P1435" s="57" t="n">
        <f aca="false">IF(AND(C1435=Calc!$C$3,OR(Calc!$C$4=0,D1435=Calc!$C$4)),ROW(),0)</f>
        <v>1435</v>
      </c>
    </row>
    <row r="1436" customFormat="false" ht="15" hidden="false" customHeight="false" outlineLevel="0" collapsed="false">
      <c r="A1436" s="57" t="s">
        <v>1954</v>
      </c>
      <c r="B1436" s="58" t="n">
        <v>45682</v>
      </c>
      <c r="C1436" s="57" t="n">
        <f aca="false">YEAR(B1436)</f>
        <v>2025</v>
      </c>
      <c r="D1436" s="57" t="n">
        <f aca="false">MONTH(B1436)</f>
        <v>1</v>
      </c>
      <c r="E1436" s="57" t="s">
        <v>1728</v>
      </c>
      <c r="F1436" s="57" t="s">
        <v>75</v>
      </c>
      <c r="G1436" s="57" t="s">
        <v>35</v>
      </c>
      <c r="H1436" s="57" t="s">
        <v>37</v>
      </c>
      <c r="I1436" s="59" t="n">
        <v>1</v>
      </c>
      <c r="J1436" s="60" t="n">
        <v>59</v>
      </c>
      <c r="K1436" s="60" t="n">
        <v>27</v>
      </c>
      <c r="L1436" s="61" t="n">
        <f aca="false">I1436*J1436</f>
        <v>59</v>
      </c>
      <c r="M1436" s="61" t="n">
        <f aca="false">L1436-I1436*K1436</f>
        <v>32</v>
      </c>
      <c r="N1436" s="57" t="n">
        <f aca="false">IF(COUNTIFS(E$2:E1436,E1436,C$2:C1436,C1436)=1,1,0)</f>
        <v>1</v>
      </c>
      <c r="O1436" s="57" t="n">
        <f aca="false">IF(COUNTIFS(E$2:E1436,E1436,C$2:C1436,C1436,D$2:D1436,D1436)=1,1,0)</f>
        <v>1</v>
      </c>
      <c r="P1436" s="57" t="n">
        <f aca="false">IF(AND(C1436=Calc!$C$3,OR(Calc!$C$4=0,D1436=Calc!$C$4)),ROW(),0)</f>
        <v>1436</v>
      </c>
    </row>
    <row r="1437" customFormat="false" ht="15" hidden="false" customHeight="false" outlineLevel="0" collapsed="false">
      <c r="A1437" s="57" t="s">
        <v>1955</v>
      </c>
      <c r="B1437" s="58" t="n">
        <v>45682</v>
      </c>
      <c r="C1437" s="57" t="n">
        <f aca="false">YEAR(B1437)</f>
        <v>2025</v>
      </c>
      <c r="D1437" s="57" t="n">
        <f aca="false">MONTH(B1437)</f>
        <v>1</v>
      </c>
      <c r="E1437" s="57" t="s">
        <v>189</v>
      </c>
      <c r="F1437" s="57" t="s">
        <v>69</v>
      </c>
      <c r="G1437" s="57" t="s">
        <v>45</v>
      </c>
      <c r="H1437" s="57" t="s">
        <v>47</v>
      </c>
      <c r="I1437" s="59" t="n">
        <v>1</v>
      </c>
      <c r="J1437" s="60" t="n">
        <v>34</v>
      </c>
      <c r="K1437" s="60" t="n">
        <v>12</v>
      </c>
      <c r="L1437" s="61" t="n">
        <f aca="false">I1437*J1437</f>
        <v>34</v>
      </c>
      <c r="M1437" s="61" t="n">
        <f aca="false">L1437-I1437*K1437</f>
        <v>22</v>
      </c>
      <c r="N1437" s="57" t="n">
        <f aca="false">IF(COUNTIFS(E$2:E1437,E1437,C$2:C1437,C1437)=1,1,0)</f>
        <v>0</v>
      </c>
      <c r="O1437" s="57" t="n">
        <f aca="false">IF(COUNTIFS(E$2:E1437,E1437,C$2:C1437,C1437,D$2:D1437,D1437)=1,1,0)</f>
        <v>0</v>
      </c>
      <c r="P1437" s="57" t="n">
        <f aca="false">IF(AND(C1437=Calc!$C$3,OR(Calc!$C$4=0,D1437=Calc!$C$4)),ROW(),0)</f>
        <v>1437</v>
      </c>
    </row>
    <row r="1438" customFormat="false" ht="15" hidden="false" customHeight="false" outlineLevel="0" collapsed="false">
      <c r="A1438" s="57" t="s">
        <v>1956</v>
      </c>
      <c r="B1438" s="58" t="n">
        <v>45682</v>
      </c>
      <c r="C1438" s="57" t="n">
        <f aca="false">YEAR(B1438)</f>
        <v>2025</v>
      </c>
      <c r="D1438" s="57" t="n">
        <f aca="false">MONTH(B1438)</f>
        <v>1</v>
      </c>
      <c r="E1438" s="57" t="s">
        <v>221</v>
      </c>
      <c r="F1438" s="57" t="s">
        <v>69</v>
      </c>
      <c r="G1438" s="57" t="s">
        <v>40</v>
      </c>
      <c r="H1438" s="57" t="s">
        <v>43</v>
      </c>
      <c r="I1438" s="59" t="n">
        <v>2</v>
      </c>
      <c r="J1438" s="60" t="n">
        <v>29</v>
      </c>
      <c r="K1438" s="60" t="n">
        <v>9</v>
      </c>
      <c r="L1438" s="61" t="n">
        <f aca="false">I1438*J1438</f>
        <v>58</v>
      </c>
      <c r="M1438" s="61" t="n">
        <f aca="false">L1438-I1438*K1438</f>
        <v>40</v>
      </c>
      <c r="N1438" s="57" t="n">
        <f aca="false">IF(COUNTIFS(E$2:E1438,E1438,C$2:C1438,C1438)=1,1,0)</f>
        <v>1</v>
      </c>
      <c r="O1438" s="57" t="n">
        <f aca="false">IF(COUNTIFS(E$2:E1438,E1438,C$2:C1438,C1438,D$2:D1438,D1438)=1,1,0)</f>
        <v>1</v>
      </c>
      <c r="P1438" s="57" t="n">
        <f aca="false">IF(AND(C1438=Calc!$C$3,OR(Calc!$C$4=0,D1438=Calc!$C$4)),ROW(),0)</f>
        <v>1438</v>
      </c>
    </row>
    <row r="1439" customFormat="false" ht="15" hidden="false" customHeight="false" outlineLevel="0" collapsed="false">
      <c r="A1439" s="57" t="s">
        <v>1957</v>
      </c>
      <c r="B1439" s="58" t="n">
        <v>45683</v>
      </c>
      <c r="C1439" s="57" t="n">
        <f aca="false">YEAR(B1439)</f>
        <v>2025</v>
      </c>
      <c r="D1439" s="57" t="n">
        <f aca="false">MONTH(B1439)</f>
        <v>1</v>
      </c>
      <c r="E1439" s="57" t="s">
        <v>498</v>
      </c>
      <c r="F1439" s="57" t="s">
        <v>78</v>
      </c>
      <c r="G1439" s="57" t="s">
        <v>35</v>
      </c>
      <c r="H1439" s="57" t="s">
        <v>34</v>
      </c>
      <c r="I1439" s="59" t="n">
        <v>1</v>
      </c>
      <c r="J1439" s="60" t="n">
        <v>89</v>
      </c>
      <c r="K1439" s="60" t="n">
        <v>41</v>
      </c>
      <c r="L1439" s="61" t="n">
        <f aca="false">I1439*J1439</f>
        <v>89</v>
      </c>
      <c r="M1439" s="61" t="n">
        <f aca="false">L1439-I1439*K1439</f>
        <v>48</v>
      </c>
      <c r="N1439" s="57" t="n">
        <f aca="false">IF(COUNTIFS(E$2:E1439,E1439,C$2:C1439,C1439)=1,1,0)</f>
        <v>1</v>
      </c>
      <c r="O1439" s="57" t="n">
        <f aca="false">IF(COUNTIFS(E$2:E1439,E1439,C$2:C1439,C1439,D$2:D1439,D1439)=1,1,0)</f>
        <v>1</v>
      </c>
      <c r="P1439" s="57" t="n">
        <f aca="false">IF(AND(C1439=Calc!$C$3,OR(Calc!$C$4=0,D1439=Calc!$C$4)),ROW(),0)</f>
        <v>1439</v>
      </c>
    </row>
    <row r="1440" customFormat="false" ht="15" hidden="false" customHeight="false" outlineLevel="0" collapsed="false">
      <c r="A1440" s="57" t="s">
        <v>1958</v>
      </c>
      <c r="B1440" s="58" t="n">
        <v>45683</v>
      </c>
      <c r="C1440" s="57" t="n">
        <f aca="false">YEAR(B1440)</f>
        <v>2025</v>
      </c>
      <c r="D1440" s="57" t="n">
        <f aca="false">MONTH(B1440)</f>
        <v>1</v>
      </c>
      <c r="E1440" s="57" t="s">
        <v>254</v>
      </c>
      <c r="F1440" s="57" t="s">
        <v>75</v>
      </c>
      <c r="G1440" s="57" t="s">
        <v>40</v>
      </c>
      <c r="H1440" s="57" t="s">
        <v>43</v>
      </c>
      <c r="I1440" s="59" t="n">
        <v>1</v>
      </c>
      <c r="J1440" s="60" t="n">
        <v>29</v>
      </c>
      <c r="K1440" s="60" t="n">
        <v>9</v>
      </c>
      <c r="L1440" s="61" t="n">
        <f aca="false">I1440*J1440</f>
        <v>29</v>
      </c>
      <c r="M1440" s="61" t="n">
        <f aca="false">L1440-I1440*K1440</f>
        <v>20</v>
      </c>
      <c r="N1440" s="57" t="n">
        <f aca="false">IF(COUNTIFS(E$2:E1440,E1440,C$2:C1440,C1440)=1,1,0)</f>
        <v>0</v>
      </c>
      <c r="O1440" s="57" t="n">
        <f aca="false">IF(COUNTIFS(E$2:E1440,E1440,C$2:C1440,C1440,D$2:D1440,D1440)=1,1,0)</f>
        <v>0</v>
      </c>
      <c r="P1440" s="57" t="n">
        <f aca="false">IF(AND(C1440=Calc!$C$3,OR(Calc!$C$4=0,D1440=Calc!$C$4)),ROW(),0)</f>
        <v>1440</v>
      </c>
    </row>
    <row r="1441" customFormat="false" ht="15" hidden="false" customHeight="false" outlineLevel="0" collapsed="false">
      <c r="A1441" s="57" t="s">
        <v>1959</v>
      </c>
      <c r="B1441" s="58" t="n">
        <v>45684</v>
      </c>
      <c r="C1441" s="57" t="n">
        <f aca="false">YEAR(B1441)</f>
        <v>2025</v>
      </c>
      <c r="D1441" s="57" t="n">
        <f aca="false">MONTH(B1441)</f>
        <v>1</v>
      </c>
      <c r="E1441" s="57" t="s">
        <v>1446</v>
      </c>
      <c r="F1441" s="57" t="s">
        <v>78</v>
      </c>
      <c r="G1441" s="57" t="s">
        <v>45</v>
      </c>
      <c r="H1441" s="57" t="s">
        <v>44</v>
      </c>
      <c r="I1441" s="59" t="n">
        <v>3</v>
      </c>
      <c r="J1441" s="60" t="n">
        <v>119</v>
      </c>
      <c r="K1441" s="60" t="n">
        <v>63</v>
      </c>
      <c r="L1441" s="61" t="n">
        <f aca="false">I1441*J1441</f>
        <v>357</v>
      </c>
      <c r="M1441" s="61" t="n">
        <f aca="false">L1441-I1441*K1441</f>
        <v>168</v>
      </c>
      <c r="N1441" s="57" t="n">
        <f aca="false">IF(COUNTIFS(E$2:E1441,E1441,C$2:C1441,C1441)=1,1,0)</f>
        <v>1</v>
      </c>
      <c r="O1441" s="57" t="n">
        <f aca="false">IF(COUNTIFS(E$2:E1441,E1441,C$2:C1441,C1441,D$2:D1441,D1441)=1,1,0)</f>
        <v>1</v>
      </c>
      <c r="P1441" s="57" t="n">
        <f aca="false">IF(AND(C1441=Calc!$C$3,OR(Calc!$C$4=0,D1441=Calc!$C$4)),ROW(),0)</f>
        <v>1441</v>
      </c>
    </row>
    <row r="1442" customFormat="false" ht="15" hidden="false" customHeight="false" outlineLevel="0" collapsed="false">
      <c r="A1442" s="57" t="s">
        <v>1960</v>
      </c>
      <c r="B1442" s="58" t="n">
        <v>45684</v>
      </c>
      <c r="C1442" s="57" t="n">
        <f aca="false">YEAR(B1442)</f>
        <v>2025</v>
      </c>
      <c r="D1442" s="57" t="n">
        <f aca="false">MONTH(B1442)</f>
        <v>1</v>
      </c>
      <c r="E1442" s="57" t="s">
        <v>914</v>
      </c>
      <c r="F1442" s="57" t="s">
        <v>75</v>
      </c>
      <c r="G1442" s="57" t="s">
        <v>40</v>
      </c>
      <c r="H1442" s="57" t="s">
        <v>41</v>
      </c>
      <c r="I1442" s="59" t="n">
        <v>2</v>
      </c>
      <c r="J1442" s="60" t="n">
        <v>46</v>
      </c>
      <c r="K1442" s="60" t="n">
        <v>16</v>
      </c>
      <c r="L1442" s="61" t="n">
        <f aca="false">I1442*J1442</f>
        <v>92</v>
      </c>
      <c r="M1442" s="61" t="n">
        <f aca="false">L1442-I1442*K1442</f>
        <v>60</v>
      </c>
      <c r="N1442" s="57" t="n">
        <f aca="false">IF(COUNTIFS(E$2:E1442,E1442,C$2:C1442,C1442)=1,1,0)</f>
        <v>1</v>
      </c>
      <c r="O1442" s="57" t="n">
        <f aca="false">IF(COUNTIFS(E$2:E1442,E1442,C$2:C1442,C1442,D$2:D1442,D1442)=1,1,0)</f>
        <v>1</v>
      </c>
      <c r="P1442" s="57" t="n">
        <f aca="false">IF(AND(C1442=Calc!$C$3,OR(Calc!$C$4=0,D1442=Calc!$C$4)),ROW(),0)</f>
        <v>1442</v>
      </c>
    </row>
    <row r="1443" customFormat="false" ht="15" hidden="false" customHeight="false" outlineLevel="0" collapsed="false">
      <c r="A1443" s="57" t="s">
        <v>1961</v>
      </c>
      <c r="B1443" s="58" t="n">
        <v>45684</v>
      </c>
      <c r="C1443" s="57" t="n">
        <f aca="false">YEAR(B1443)</f>
        <v>2025</v>
      </c>
      <c r="D1443" s="57" t="n">
        <f aca="false">MONTH(B1443)</f>
        <v>1</v>
      </c>
      <c r="E1443" s="57" t="s">
        <v>68</v>
      </c>
      <c r="F1443" s="57" t="s">
        <v>69</v>
      </c>
      <c r="G1443" s="57" t="s">
        <v>50</v>
      </c>
      <c r="H1443" s="57" t="s">
        <v>52</v>
      </c>
      <c r="I1443" s="59" t="n">
        <v>2</v>
      </c>
      <c r="J1443" s="60" t="n">
        <v>45</v>
      </c>
      <c r="K1443" s="60" t="n">
        <v>14</v>
      </c>
      <c r="L1443" s="61" t="n">
        <f aca="false">I1443*J1443</f>
        <v>90</v>
      </c>
      <c r="M1443" s="61" t="n">
        <f aca="false">L1443-I1443*K1443</f>
        <v>62</v>
      </c>
      <c r="N1443" s="57" t="n">
        <f aca="false">IF(COUNTIFS(E$2:E1443,E1443,C$2:C1443,C1443)=1,1,0)</f>
        <v>0</v>
      </c>
      <c r="O1443" s="57" t="n">
        <f aca="false">IF(COUNTIFS(E$2:E1443,E1443,C$2:C1443,C1443,D$2:D1443,D1443)=1,1,0)</f>
        <v>0</v>
      </c>
      <c r="P1443" s="57" t="n">
        <f aca="false">IF(AND(C1443=Calc!$C$3,OR(Calc!$C$4=0,D1443=Calc!$C$4)),ROW(),0)</f>
        <v>1443</v>
      </c>
    </row>
    <row r="1444" customFormat="false" ht="15" hidden="false" customHeight="false" outlineLevel="0" collapsed="false">
      <c r="A1444" s="57" t="s">
        <v>1962</v>
      </c>
      <c r="B1444" s="58" t="n">
        <v>45684</v>
      </c>
      <c r="C1444" s="57" t="n">
        <f aca="false">YEAR(B1444)</f>
        <v>2025</v>
      </c>
      <c r="D1444" s="57" t="n">
        <f aca="false">MONTH(B1444)</f>
        <v>1</v>
      </c>
      <c r="E1444" s="57" t="s">
        <v>144</v>
      </c>
      <c r="F1444" s="57" t="s">
        <v>78</v>
      </c>
      <c r="G1444" s="57" t="s">
        <v>45</v>
      </c>
      <c r="H1444" s="57" t="s">
        <v>44</v>
      </c>
      <c r="I1444" s="59" t="n">
        <v>3</v>
      </c>
      <c r="J1444" s="60" t="n">
        <v>119</v>
      </c>
      <c r="K1444" s="60" t="n">
        <v>63</v>
      </c>
      <c r="L1444" s="61" t="n">
        <f aca="false">I1444*J1444</f>
        <v>357</v>
      </c>
      <c r="M1444" s="61" t="n">
        <f aca="false">L1444-I1444*K1444</f>
        <v>168</v>
      </c>
      <c r="N1444" s="57" t="n">
        <f aca="false">IF(COUNTIFS(E$2:E1444,E1444,C$2:C1444,C1444)=1,1,0)</f>
        <v>1</v>
      </c>
      <c r="O1444" s="57" t="n">
        <f aca="false">IF(COUNTIFS(E$2:E1444,E1444,C$2:C1444,C1444,D$2:D1444,D1444)=1,1,0)</f>
        <v>1</v>
      </c>
      <c r="P1444" s="57" t="n">
        <f aca="false">IF(AND(C1444=Calc!$C$3,OR(Calc!$C$4=0,D1444=Calc!$C$4)),ROW(),0)</f>
        <v>1444</v>
      </c>
    </row>
    <row r="1445" customFormat="false" ht="15" hidden="false" customHeight="false" outlineLevel="0" collapsed="false">
      <c r="A1445" s="57" t="s">
        <v>1963</v>
      </c>
      <c r="B1445" s="58" t="n">
        <v>45685</v>
      </c>
      <c r="C1445" s="57" t="n">
        <f aca="false">YEAR(B1445)</f>
        <v>2025</v>
      </c>
      <c r="D1445" s="57" t="n">
        <f aca="false">MONTH(B1445)</f>
        <v>1</v>
      </c>
      <c r="E1445" s="57" t="s">
        <v>502</v>
      </c>
      <c r="F1445" s="57" t="s">
        <v>72</v>
      </c>
      <c r="G1445" s="57" t="s">
        <v>50</v>
      </c>
      <c r="H1445" s="57" t="s">
        <v>52</v>
      </c>
      <c r="I1445" s="59" t="n">
        <v>1</v>
      </c>
      <c r="J1445" s="60" t="n">
        <v>45</v>
      </c>
      <c r="K1445" s="60" t="n">
        <v>14</v>
      </c>
      <c r="L1445" s="61" t="n">
        <f aca="false">I1445*J1445</f>
        <v>45</v>
      </c>
      <c r="M1445" s="61" t="n">
        <f aca="false">L1445-I1445*K1445</f>
        <v>31</v>
      </c>
      <c r="N1445" s="57" t="n">
        <f aca="false">IF(COUNTIFS(E$2:E1445,E1445,C$2:C1445,C1445)=1,1,0)</f>
        <v>1</v>
      </c>
      <c r="O1445" s="57" t="n">
        <f aca="false">IF(COUNTIFS(E$2:E1445,E1445,C$2:C1445,C1445,D$2:D1445,D1445)=1,1,0)</f>
        <v>1</v>
      </c>
      <c r="P1445" s="57" t="n">
        <f aca="false">IF(AND(C1445=Calc!$C$3,OR(Calc!$C$4=0,D1445=Calc!$C$4)),ROW(),0)</f>
        <v>1445</v>
      </c>
    </row>
    <row r="1446" customFormat="false" ht="15" hidden="false" customHeight="false" outlineLevel="0" collapsed="false">
      <c r="A1446" s="57" t="s">
        <v>1964</v>
      </c>
      <c r="B1446" s="58" t="n">
        <v>45685</v>
      </c>
      <c r="C1446" s="57" t="n">
        <f aca="false">YEAR(B1446)</f>
        <v>2025</v>
      </c>
      <c r="D1446" s="57" t="n">
        <f aca="false">MONTH(B1446)</f>
        <v>1</v>
      </c>
      <c r="E1446" s="57" t="s">
        <v>77</v>
      </c>
      <c r="F1446" s="57" t="s">
        <v>78</v>
      </c>
      <c r="G1446" s="57" t="s">
        <v>35</v>
      </c>
      <c r="H1446" s="57" t="s">
        <v>37</v>
      </c>
      <c r="I1446" s="59" t="n">
        <v>1</v>
      </c>
      <c r="J1446" s="60" t="n">
        <v>59</v>
      </c>
      <c r="K1446" s="60" t="n">
        <v>27</v>
      </c>
      <c r="L1446" s="61" t="n">
        <f aca="false">I1446*J1446</f>
        <v>59</v>
      </c>
      <c r="M1446" s="61" t="n">
        <f aca="false">L1446-I1446*K1446</f>
        <v>32</v>
      </c>
      <c r="N1446" s="57" t="n">
        <f aca="false">IF(COUNTIFS(E$2:E1446,E1446,C$2:C1446,C1446)=1,1,0)</f>
        <v>1</v>
      </c>
      <c r="O1446" s="57" t="n">
        <f aca="false">IF(COUNTIFS(E$2:E1446,E1446,C$2:C1446,C1446,D$2:D1446,D1446)=1,1,0)</f>
        <v>1</v>
      </c>
      <c r="P1446" s="57" t="n">
        <f aca="false">IF(AND(C1446=Calc!$C$3,OR(Calc!$C$4=0,D1446=Calc!$C$4)),ROW(),0)</f>
        <v>1446</v>
      </c>
    </row>
    <row r="1447" customFormat="false" ht="15" hidden="false" customHeight="false" outlineLevel="0" collapsed="false">
      <c r="A1447" s="57" t="s">
        <v>1965</v>
      </c>
      <c r="B1447" s="58" t="n">
        <v>45685</v>
      </c>
      <c r="C1447" s="57" t="n">
        <f aca="false">YEAR(B1447)</f>
        <v>2025</v>
      </c>
      <c r="D1447" s="57" t="n">
        <f aca="false">MONTH(B1447)</f>
        <v>1</v>
      </c>
      <c r="E1447" s="57" t="s">
        <v>556</v>
      </c>
      <c r="F1447" s="57" t="s">
        <v>78</v>
      </c>
      <c r="G1447" s="57" t="s">
        <v>45</v>
      </c>
      <c r="H1447" s="57" t="s">
        <v>48</v>
      </c>
      <c r="I1447" s="59" t="n">
        <v>2</v>
      </c>
      <c r="J1447" s="60" t="n">
        <v>99</v>
      </c>
      <c r="K1447" s="60" t="n">
        <v>38</v>
      </c>
      <c r="L1447" s="61" t="n">
        <f aca="false">I1447*J1447</f>
        <v>198</v>
      </c>
      <c r="M1447" s="61" t="n">
        <f aca="false">L1447-I1447*K1447</f>
        <v>122</v>
      </c>
      <c r="N1447" s="57" t="n">
        <f aca="false">IF(COUNTIFS(E$2:E1447,E1447,C$2:C1447,C1447)=1,1,0)</f>
        <v>1</v>
      </c>
      <c r="O1447" s="57" t="n">
        <f aca="false">IF(COUNTIFS(E$2:E1447,E1447,C$2:C1447,C1447,D$2:D1447,D1447)=1,1,0)</f>
        <v>1</v>
      </c>
      <c r="P1447" s="57" t="n">
        <f aca="false">IF(AND(C1447=Calc!$C$3,OR(Calc!$C$4=0,D1447=Calc!$C$4)),ROW(),0)</f>
        <v>1447</v>
      </c>
    </row>
    <row r="1448" customFormat="false" ht="15" hidden="false" customHeight="false" outlineLevel="0" collapsed="false">
      <c r="A1448" s="57" t="s">
        <v>1966</v>
      </c>
      <c r="B1448" s="58" t="n">
        <v>45685</v>
      </c>
      <c r="C1448" s="57" t="n">
        <f aca="false">YEAR(B1448)</f>
        <v>2025</v>
      </c>
      <c r="D1448" s="57" t="n">
        <f aca="false">MONTH(B1448)</f>
        <v>1</v>
      </c>
      <c r="E1448" s="57" t="s">
        <v>390</v>
      </c>
      <c r="F1448" s="57" t="s">
        <v>72</v>
      </c>
      <c r="G1448" s="57" t="s">
        <v>50</v>
      </c>
      <c r="H1448" s="57" t="s">
        <v>49</v>
      </c>
      <c r="I1448" s="59" t="n">
        <v>2</v>
      </c>
      <c r="J1448" s="60" t="n">
        <v>32</v>
      </c>
      <c r="K1448" s="60" t="n">
        <v>7</v>
      </c>
      <c r="L1448" s="61" t="n">
        <f aca="false">I1448*J1448</f>
        <v>64</v>
      </c>
      <c r="M1448" s="61" t="n">
        <f aca="false">L1448-I1448*K1448</f>
        <v>50</v>
      </c>
      <c r="N1448" s="57" t="n">
        <f aca="false">IF(COUNTIFS(E$2:E1448,E1448,C$2:C1448,C1448)=1,1,0)</f>
        <v>0</v>
      </c>
      <c r="O1448" s="57" t="n">
        <f aca="false">IF(COUNTIFS(E$2:E1448,E1448,C$2:C1448,C1448,D$2:D1448,D1448)=1,1,0)</f>
        <v>0</v>
      </c>
      <c r="P1448" s="57" t="n">
        <f aca="false">IF(AND(C1448=Calc!$C$3,OR(Calc!$C$4=0,D1448=Calc!$C$4)),ROW(),0)</f>
        <v>1448</v>
      </c>
    </row>
    <row r="1449" customFormat="false" ht="15" hidden="false" customHeight="false" outlineLevel="0" collapsed="false">
      <c r="A1449" s="57" t="s">
        <v>1967</v>
      </c>
      <c r="B1449" s="58" t="n">
        <v>45686</v>
      </c>
      <c r="C1449" s="57" t="n">
        <f aca="false">YEAR(B1449)</f>
        <v>2025</v>
      </c>
      <c r="D1449" s="57" t="n">
        <f aca="false">MONTH(B1449)</f>
        <v>1</v>
      </c>
      <c r="E1449" s="57" t="s">
        <v>71</v>
      </c>
      <c r="F1449" s="57" t="s">
        <v>72</v>
      </c>
      <c r="G1449" s="57" t="s">
        <v>35</v>
      </c>
      <c r="H1449" s="57" t="s">
        <v>34</v>
      </c>
      <c r="I1449" s="59" t="n">
        <v>1</v>
      </c>
      <c r="J1449" s="60" t="n">
        <v>89</v>
      </c>
      <c r="K1449" s="60" t="n">
        <v>41</v>
      </c>
      <c r="L1449" s="61" t="n">
        <f aca="false">I1449*J1449</f>
        <v>89</v>
      </c>
      <c r="M1449" s="61" t="n">
        <f aca="false">L1449-I1449*K1449</f>
        <v>48</v>
      </c>
      <c r="N1449" s="57" t="n">
        <f aca="false">IF(COUNTIFS(E$2:E1449,E1449,C$2:C1449,C1449)=1,1,0)</f>
        <v>0</v>
      </c>
      <c r="O1449" s="57" t="n">
        <f aca="false">IF(COUNTIFS(E$2:E1449,E1449,C$2:C1449,C1449,D$2:D1449,D1449)=1,1,0)</f>
        <v>0</v>
      </c>
      <c r="P1449" s="57" t="n">
        <f aca="false">IF(AND(C1449=Calc!$C$3,OR(Calc!$C$4=0,D1449=Calc!$C$4)),ROW(),0)</f>
        <v>1449</v>
      </c>
    </row>
    <row r="1450" customFormat="false" ht="15" hidden="false" customHeight="false" outlineLevel="0" collapsed="false">
      <c r="A1450" s="57" t="s">
        <v>1968</v>
      </c>
      <c r="B1450" s="58" t="n">
        <v>45686</v>
      </c>
      <c r="C1450" s="57" t="n">
        <f aca="false">YEAR(B1450)</f>
        <v>2025</v>
      </c>
      <c r="D1450" s="57" t="n">
        <f aca="false">MONTH(B1450)</f>
        <v>1</v>
      </c>
      <c r="E1450" s="57" t="s">
        <v>1759</v>
      </c>
      <c r="F1450" s="57" t="s">
        <v>72</v>
      </c>
      <c r="G1450" s="57" t="s">
        <v>50</v>
      </c>
      <c r="H1450" s="57" t="s">
        <v>49</v>
      </c>
      <c r="I1450" s="59" t="n">
        <v>2</v>
      </c>
      <c r="J1450" s="60" t="n">
        <v>32</v>
      </c>
      <c r="K1450" s="60" t="n">
        <v>7</v>
      </c>
      <c r="L1450" s="61" t="n">
        <f aca="false">I1450*J1450</f>
        <v>64</v>
      </c>
      <c r="M1450" s="61" t="n">
        <f aca="false">L1450-I1450*K1450</f>
        <v>50</v>
      </c>
      <c r="N1450" s="57" t="n">
        <f aca="false">IF(COUNTIFS(E$2:E1450,E1450,C$2:C1450,C1450)=1,1,0)</f>
        <v>0</v>
      </c>
      <c r="O1450" s="57" t="n">
        <f aca="false">IF(COUNTIFS(E$2:E1450,E1450,C$2:C1450,C1450,D$2:D1450,D1450)=1,1,0)</f>
        <v>0</v>
      </c>
      <c r="P1450" s="57" t="n">
        <f aca="false">IF(AND(C1450=Calc!$C$3,OR(Calc!$C$4=0,D1450=Calc!$C$4)),ROW(),0)</f>
        <v>1450</v>
      </c>
    </row>
    <row r="1451" customFormat="false" ht="15" hidden="false" customHeight="false" outlineLevel="0" collapsed="false">
      <c r="A1451" s="57" t="s">
        <v>1969</v>
      </c>
      <c r="B1451" s="58" t="n">
        <v>45687</v>
      </c>
      <c r="C1451" s="57" t="n">
        <f aca="false">YEAR(B1451)</f>
        <v>2025</v>
      </c>
      <c r="D1451" s="57" t="n">
        <f aca="false">MONTH(B1451)</f>
        <v>1</v>
      </c>
      <c r="E1451" s="57" t="s">
        <v>203</v>
      </c>
      <c r="F1451" s="57" t="s">
        <v>78</v>
      </c>
      <c r="G1451" s="57" t="s">
        <v>45</v>
      </c>
      <c r="H1451" s="57" t="s">
        <v>46</v>
      </c>
      <c r="I1451" s="59" t="n">
        <v>1</v>
      </c>
      <c r="J1451" s="60" t="n">
        <v>149</v>
      </c>
      <c r="K1451" s="60" t="n">
        <v>71</v>
      </c>
      <c r="L1451" s="61" t="n">
        <f aca="false">I1451*J1451</f>
        <v>149</v>
      </c>
      <c r="M1451" s="61" t="n">
        <f aca="false">L1451-I1451*K1451</f>
        <v>78</v>
      </c>
      <c r="N1451" s="57" t="n">
        <f aca="false">IF(COUNTIFS(E$2:E1451,E1451,C$2:C1451,C1451)=1,1,0)</f>
        <v>1</v>
      </c>
      <c r="O1451" s="57" t="n">
        <f aca="false">IF(COUNTIFS(E$2:E1451,E1451,C$2:C1451,C1451,D$2:D1451,D1451)=1,1,0)</f>
        <v>1</v>
      </c>
      <c r="P1451" s="57" t="n">
        <f aca="false">IF(AND(C1451=Calc!$C$3,OR(Calc!$C$4=0,D1451=Calc!$C$4)),ROW(),0)</f>
        <v>1451</v>
      </c>
    </row>
    <row r="1452" customFormat="false" ht="15" hidden="false" customHeight="false" outlineLevel="0" collapsed="false">
      <c r="A1452" s="57" t="s">
        <v>1970</v>
      </c>
      <c r="B1452" s="58" t="n">
        <v>45687</v>
      </c>
      <c r="C1452" s="57" t="n">
        <f aca="false">YEAR(B1452)</f>
        <v>2025</v>
      </c>
      <c r="D1452" s="57" t="n">
        <f aca="false">MONTH(B1452)</f>
        <v>1</v>
      </c>
      <c r="E1452" s="57" t="s">
        <v>1234</v>
      </c>
      <c r="F1452" s="57" t="s">
        <v>78</v>
      </c>
      <c r="G1452" s="57" t="s">
        <v>45</v>
      </c>
      <c r="H1452" s="57" t="s">
        <v>47</v>
      </c>
      <c r="I1452" s="59" t="n">
        <v>1</v>
      </c>
      <c r="J1452" s="60" t="n">
        <v>34</v>
      </c>
      <c r="K1452" s="60" t="n">
        <v>12</v>
      </c>
      <c r="L1452" s="61" t="n">
        <f aca="false">I1452*J1452</f>
        <v>34</v>
      </c>
      <c r="M1452" s="61" t="n">
        <f aca="false">L1452-I1452*K1452</f>
        <v>22</v>
      </c>
      <c r="N1452" s="57" t="n">
        <f aca="false">IF(COUNTIFS(E$2:E1452,E1452,C$2:C1452,C1452)=1,1,0)</f>
        <v>1</v>
      </c>
      <c r="O1452" s="57" t="n">
        <f aca="false">IF(COUNTIFS(E$2:E1452,E1452,C$2:C1452,C1452,D$2:D1452,D1452)=1,1,0)</f>
        <v>1</v>
      </c>
      <c r="P1452" s="57" t="n">
        <f aca="false">IF(AND(C1452=Calc!$C$3,OR(Calc!$C$4=0,D1452=Calc!$C$4)),ROW(),0)</f>
        <v>1452</v>
      </c>
    </row>
    <row r="1453" customFormat="false" ht="15" hidden="false" customHeight="false" outlineLevel="0" collapsed="false">
      <c r="A1453" s="57" t="s">
        <v>1971</v>
      </c>
      <c r="B1453" s="58" t="n">
        <v>45687</v>
      </c>
      <c r="C1453" s="57" t="n">
        <f aca="false">YEAR(B1453)</f>
        <v>2025</v>
      </c>
      <c r="D1453" s="57" t="n">
        <f aca="false">MONTH(B1453)</f>
        <v>1</v>
      </c>
      <c r="E1453" s="57" t="s">
        <v>267</v>
      </c>
      <c r="F1453" s="57" t="s">
        <v>69</v>
      </c>
      <c r="G1453" s="57" t="s">
        <v>35</v>
      </c>
      <c r="H1453" s="57" t="s">
        <v>38</v>
      </c>
      <c r="I1453" s="59" t="n">
        <v>1</v>
      </c>
      <c r="J1453" s="60" t="n">
        <v>49</v>
      </c>
      <c r="K1453" s="60" t="n">
        <v>22</v>
      </c>
      <c r="L1453" s="61" t="n">
        <f aca="false">I1453*J1453</f>
        <v>49</v>
      </c>
      <c r="M1453" s="61" t="n">
        <f aca="false">L1453-I1453*K1453</f>
        <v>27</v>
      </c>
      <c r="N1453" s="57" t="n">
        <f aca="false">IF(COUNTIFS(E$2:E1453,E1453,C$2:C1453,C1453)=1,1,0)</f>
        <v>1</v>
      </c>
      <c r="O1453" s="57" t="n">
        <f aca="false">IF(COUNTIFS(E$2:E1453,E1453,C$2:C1453,C1453,D$2:D1453,D1453)=1,1,0)</f>
        <v>1</v>
      </c>
      <c r="P1453" s="57" t="n">
        <f aca="false">IF(AND(C1453=Calc!$C$3,OR(Calc!$C$4=0,D1453=Calc!$C$4)),ROW(),0)</f>
        <v>1453</v>
      </c>
    </row>
    <row r="1454" customFormat="false" ht="15" hidden="false" customHeight="false" outlineLevel="0" collapsed="false">
      <c r="A1454" s="57" t="s">
        <v>1972</v>
      </c>
      <c r="B1454" s="58" t="n">
        <v>45687</v>
      </c>
      <c r="C1454" s="57" t="n">
        <f aca="false">YEAR(B1454)</f>
        <v>2025</v>
      </c>
      <c r="D1454" s="57" t="n">
        <f aca="false">MONTH(B1454)</f>
        <v>1</v>
      </c>
      <c r="E1454" s="57" t="s">
        <v>871</v>
      </c>
      <c r="F1454" s="57" t="s">
        <v>72</v>
      </c>
      <c r="G1454" s="57" t="s">
        <v>35</v>
      </c>
      <c r="H1454" s="57" t="s">
        <v>36</v>
      </c>
      <c r="I1454" s="59" t="n">
        <v>1</v>
      </c>
      <c r="J1454" s="60" t="n">
        <v>179</v>
      </c>
      <c r="K1454" s="60" t="n">
        <v>92</v>
      </c>
      <c r="L1454" s="61" t="n">
        <f aca="false">I1454*J1454</f>
        <v>179</v>
      </c>
      <c r="M1454" s="61" t="n">
        <f aca="false">L1454-I1454*K1454</f>
        <v>87</v>
      </c>
      <c r="N1454" s="57" t="n">
        <f aca="false">IF(COUNTIFS(E$2:E1454,E1454,C$2:C1454,C1454)=1,1,0)</f>
        <v>1</v>
      </c>
      <c r="O1454" s="57" t="n">
        <f aca="false">IF(COUNTIFS(E$2:E1454,E1454,C$2:C1454,C1454,D$2:D1454,D1454)=1,1,0)</f>
        <v>1</v>
      </c>
      <c r="P1454" s="57" t="n">
        <f aca="false">IF(AND(C1454=Calc!$C$3,OR(Calc!$C$4=0,D1454=Calc!$C$4)),ROW(),0)</f>
        <v>1454</v>
      </c>
    </row>
    <row r="1455" customFormat="false" ht="15" hidden="false" customHeight="false" outlineLevel="0" collapsed="false">
      <c r="A1455" s="57" t="s">
        <v>1973</v>
      </c>
      <c r="B1455" s="58" t="n">
        <v>45688</v>
      </c>
      <c r="C1455" s="57" t="n">
        <f aca="false">YEAR(B1455)</f>
        <v>2025</v>
      </c>
      <c r="D1455" s="57" t="n">
        <f aca="false">MONTH(B1455)</f>
        <v>1</v>
      </c>
      <c r="E1455" s="57" t="s">
        <v>342</v>
      </c>
      <c r="F1455" s="57" t="s">
        <v>78</v>
      </c>
      <c r="G1455" s="57" t="s">
        <v>40</v>
      </c>
      <c r="H1455" s="57" t="s">
        <v>43</v>
      </c>
      <c r="I1455" s="59" t="n">
        <v>1</v>
      </c>
      <c r="J1455" s="60" t="n">
        <v>29</v>
      </c>
      <c r="K1455" s="60" t="n">
        <v>9</v>
      </c>
      <c r="L1455" s="61" t="n">
        <f aca="false">I1455*J1455</f>
        <v>29</v>
      </c>
      <c r="M1455" s="61" t="n">
        <f aca="false">L1455-I1455*K1455</f>
        <v>20</v>
      </c>
      <c r="N1455" s="57" t="n">
        <f aca="false">IF(COUNTIFS(E$2:E1455,E1455,C$2:C1455,C1455)=1,1,0)</f>
        <v>1</v>
      </c>
      <c r="O1455" s="57" t="n">
        <f aca="false">IF(COUNTIFS(E$2:E1455,E1455,C$2:C1455,C1455,D$2:D1455,D1455)=1,1,0)</f>
        <v>1</v>
      </c>
      <c r="P1455" s="57" t="n">
        <f aca="false">IF(AND(C1455=Calc!$C$3,OR(Calc!$C$4=0,D1455=Calc!$C$4)),ROW(),0)</f>
        <v>1455</v>
      </c>
    </row>
    <row r="1456" customFormat="false" ht="15" hidden="false" customHeight="false" outlineLevel="0" collapsed="false">
      <c r="A1456" s="57" t="s">
        <v>1974</v>
      </c>
      <c r="B1456" s="58" t="n">
        <v>45688</v>
      </c>
      <c r="C1456" s="57" t="n">
        <f aca="false">YEAR(B1456)</f>
        <v>2025</v>
      </c>
      <c r="D1456" s="57" t="n">
        <f aca="false">MONTH(B1456)</f>
        <v>1</v>
      </c>
      <c r="E1456" s="57" t="s">
        <v>761</v>
      </c>
      <c r="F1456" s="57" t="s">
        <v>75</v>
      </c>
      <c r="G1456" s="57" t="s">
        <v>45</v>
      </c>
      <c r="H1456" s="57" t="s">
        <v>47</v>
      </c>
      <c r="I1456" s="59" t="n">
        <v>1</v>
      </c>
      <c r="J1456" s="60" t="n">
        <v>34</v>
      </c>
      <c r="K1456" s="60" t="n">
        <v>12</v>
      </c>
      <c r="L1456" s="61" t="n">
        <f aca="false">I1456*J1456</f>
        <v>34</v>
      </c>
      <c r="M1456" s="61" t="n">
        <f aca="false">L1456-I1456*K1456</f>
        <v>22</v>
      </c>
      <c r="N1456" s="57" t="n">
        <f aca="false">IF(COUNTIFS(E$2:E1456,E1456,C$2:C1456,C1456)=1,1,0)</f>
        <v>1</v>
      </c>
      <c r="O1456" s="57" t="n">
        <f aca="false">IF(COUNTIFS(E$2:E1456,E1456,C$2:C1456,C1456,D$2:D1456,D1456)=1,1,0)</f>
        <v>1</v>
      </c>
      <c r="P1456" s="57" t="n">
        <f aca="false">IF(AND(C1456=Calc!$C$3,OR(Calc!$C$4=0,D1456=Calc!$C$4)),ROW(),0)</f>
        <v>1456</v>
      </c>
    </row>
    <row r="1457" customFormat="false" ht="15" hidden="false" customHeight="false" outlineLevel="0" collapsed="false">
      <c r="A1457" s="57" t="s">
        <v>1975</v>
      </c>
      <c r="B1457" s="58" t="n">
        <v>45688</v>
      </c>
      <c r="C1457" s="57" t="n">
        <f aca="false">YEAR(B1457)</f>
        <v>2025</v>
      </c>
      <c r="D1457" s="57" t="n">
        <f aca="false">MONTH(B1457)</f>
        <v>1</v>
      </c>
      <c r="E1457" s="57" t="s">
        <v>1046</v>
      </c>
      <c r="F1457" s="57" t="s">
        <v>69</v>
      </c>
      <c r="G1457" s="57" t="s">
        <v>50</v>
      </c>
      <c r="H1457" s="57" t="s">
        <v>49</v>
      </c>
      <c r="I1457" s="59" t="n">
        <v>1</v>
      </c>
      <c r="J1457" s="60" t="n">
        <v>32</v>
      </c>
      <c r="K1457" s="60" t="n">
        <v>7</v>
      </c>
      <c r="L1457" s="61" t="n">
        <f aca="false">I1457*J1457</f>
        <v>32</v>
      </c>
      <c r="M1457" s="61" t="n">
        <f aca="false">L1457-I1457*K1457</f>
        <v>25</v>
      </c>
      <c r="N1457" s="57" t="n">
        <f aca="false">IF(COUNTIFS(E$2:E1457,E1457,C$2:C1457,C1457)=1,1,0)</f>
        <v>1</v>
      </c>
      <c r="O1457" s="57" t="n">
        <f aca="false">IF(COUNTIFS(E$2:E1457,E1457,C$2:C1457,C1457,D$2:D1457,D1457)=1,1,0)</f>
        <v>1</v>
      </c>
      <c r="P1457" s="57" t="n">
        <f aca="false">IF(AND(C1457=Calc!$C$3,OR(Calc!$C$4=0,D1457=Calc!$C$4)),ROW(),0)</f>
        <v>1457</v>
      </c>
    </row>
    <row r="1458" customFormat="false" ht="15" hidden="false" customHeight="false" outlineLevel="0" collapsed="false">
      <c r="A1458" s="57" t="s">
        <v>1976</v>
      </c>
      <c r="B1458" s="58" t="n">
        <v>45688</v>
      </c>
      <c r="C1458" s="57" t="n">
        <f aca="false">YEAR(B1458)</f>
        <v>2025</v>
      </c>
      <c r="D1458" s="57" t="n">
        <f aca="false">MONTH(B1458)</f>
        <v>1</v>
      </c>
      <c r="E1458" s="57" t="s">
        <v>1977</v>
      </c>
      <c r="F1458" s="57" t="s">
        <v>69</v>
      </c>
      <c r="G1458" s="57" t="s">
        <v>35</v>
      </c>
      <c r="H1458" s="57" t="s">
        <v>36</v>
      </c>
      <c r="I1458" s="59" t="n">
        <v>1</v>
      </c>
      <c r="J1458" s="60" t="n">
        <v>179</v>
      </c>
      <c r="K1458" s="60" t="n">
        <v>92</v>
      </c>
      <c r="L1458" s="61" t="n">
        <f aca="false">I1458*J1458</f>
        <v>179</v>
      </c>
      <c r="M1458" s="61" t="n">
        <f aca="false">L1458-I1458*K1458</f>
        <v>87</v>
      </c>
      <c r="N1458" s="57" t="n">
        <f aca="false">IF(COUNTIFS(E$2:E1458,E1458,C$2:C1458,C1458)=1,1,0)</f>
        <v>1</v>
      </c>
      <c r="O1458" s="57" t="n">
        <f aca="false">IF(COUNTIFS(E$2:E1458,E1458,C$2:C1458,C1458,D$2:D1458,D1458)=1,1,0)</f>
        <v>1</v>
      </c>
      <c r="P1458" s="57" t="n">
        <f aca="false">IF(AND(C1458=Calc!$C$3,OR(Calc!$C$4=0,D1458=Calc!$C$4)),ROW(),0)</f>
        <v>1458</v>
      </c>
    </row>
    <row r="1459" customFormat="false" ht="15" hidden="false" customHeight="false" outlineLevel="0" collapsed="false">
      <c r="A1459" s="57" t="s">
        <v>1978</v>
      </c>
      <c r="B1459" s="58" t="n">
        <v>45689</v>
      </c>
      <c r="C1459" s="57" t="n">
        <f aca="false">YEAR(B1459)</f>
        <v>2025</v>
      </c>
      <c r="D1459" s="57" t="n">
        <f aca="false">MONTH(B1459)</f>
        <v>2</v>
      </c>
      <c r="E1459" s="57" t="s">
        <v>1466</v>
      </c>
      <c r="F1459" s="57" t="s">
        <v>75</v>
      </c>
      <c r="G1459" s="57" t="s">
        <v>45</v>
      </c>
      <c r="H1459" s="57" t="s">
        <v>44</v>
      </c>
      <c r="I1459" s="59" t="n">
        <v>2</v>
      </c>
      <c r="J1459" s="60" t="n">
        <v>119</v>
      </c>
      <c r="K1459" s="60" t="n">
        <v>63</v>
      </c>
      <c r="L1459" s="61" t="n">
        <f aca="false">I1459*J1459</f>
        <v>238</v>
      </c>
      <c r="M1459" s="61" t="n">
        <f aca="false">L1459-I1459*K1459</f>
        <v>112</v>
      </c>
      <c r="N1459" s="57" t="n">
        <f aca="false">IF(COUNTIFS(E$2:E1459,E1459,C$2:C1459,C1459)=1,1,0)</f>
        <v>1</v>
      </c>
      <c r="O1459" s="57" t="n">
        <f aca="false">IF(COUNTIFS(E$2:E1459,E1459,C$2:C1459,C1459,D$2:D1459,D1459)=1,1,0)</f>
        <v>1</v>
      </c>
      <c r="P1459" s="57" t="n">
        <f aca="false">IF(AND(C1459=Calc!$C$3,OR(Calc!$C$4=0,D1459=Calc!$C$4)),ROW(),0)</f>
        <v>1459</v>
      </c>
    </row>
    <row r="1460" customFormat="false" ht="15" hidden="false" customHeight="false" outlineLevel="0" collapsed="false">
      <c r="A1460" s="57" t="s">
        <v>1979</v>
      </c>
      <c r="B1460" s="58" t="n">
        <v>45689</v>
      </c>
      <c r="C1460" s="57" t="n">
        <f aca="false">YEAR(B1460)</f>
        <v>2025</v>
      </c>
      <c r="D1460" s="57" t="n">
        <f aca="false">MONTH(B1460)</f>
        <v>2</v>
      </c>
      <c r="E1460" s="57" t="s">
        <v>1980</v>
      </c>
      <c r="F1460" s="57" t="s">
        <v>81</v>
      </c>
      <c r="G1460" s="57" t="s">
        <v>54</v>
      </c>
      <c r="H1460" s="57" t="s">
        <v>53</v>
      </c>
      <c r="I1460" s="59" t="n">
        <v>1</v>
      </c>
      <c r="J1460" s="60" t="n">
        <v>39</v>
      </c>
      <c r="K1460" s="60" t="n">
        <v>13</v>
      </c>
      <c r="L1460" s="61" t="n">
        <f aca="false">I1460*J1460</f>
        <v>39</v>
      </c>
      <c r="M1460" s="61" t="n">
        <f aca="false">L1460-I1460*K1460</f>
        <v>26</v>
      </c>
      <c r="N1460" s="57" t="n">
        <f aca="false">IF(COUNTIFS(E$2:E1460,E1460,C$2:C1460,C1460)=1,1,0)</f>
        <v>1</v>
      </c>
      <c r="O1460" s="57" t="n">
        <f aca="false">IF(COUNTIFS(E$2:E1460,E1460,C$2:C1460,C1460,D$2:D1460,D1460)=1,1,0)</f>
        <v>1</v>
      </c>
      <c r="P1460" s="57" t="n">
        <f aca="false">IF(AND(C1460=Calc!$C$3,OR(Calc!$C$4=0,D1460=Calc!$C$4)),ROW(),0)</f>
        <v>1460</v>
      </c>
    </row>
    <row r="1461" customFormat="false" ht="15" hidden="false" customHeight="false" outlineLevel="0" collapsed="false">
      <c r="A1461" s="57" t="s">
        <v>1981</v>
      </c>
      <c r="B1461" s="58" t="n">
        <v>45689</v>
      </c>
      <c r="C1461" s="57" t="n">
        <f aca="false">YEAR(B1461)</f>
        <v>2025</v>
      </c>
      <c r="D1461" s="57" t="n">
        <f aca="false">MONTH(B1461)</f>
        <v>2</v>
      </c>
      <c r="E1461" s="57" t="s">
        <v>380</v>
      </c>
      <c r="F1461" s="57" t="s">
        <v>69</v>
      </c>
      <c r="G1461" s="57" t="s">
        <v>35</v>
      </c>
      <c r="H1461" s="57" t="s">
        <v>34</v>
      </c>
      <c r="I1461" s="59" t="n">
        <v>1</v>
      </c>
      <c r="J1461" s="60" t="n">
        <v>89</v>
      </c>
      <c r="K1461" s="60" t="n">
        <v>41</v>
      </c>
      <c r="L1461" s="61" t="n">
        <f aca="false">I1461*J1461</f>
        <v>89</v>
      </c>
      <c r="M1461" s="61" t="n">
        <f aca="false">L1461-I1461*K1461</f>
        <v>48</v>
      </c>
      <c r="N1461" s="57" t="n">
        <f aca="false">IF(COUNTIFS(E$2:E1461,E1461,C$2:C1461,C1461)=1,1,0)</f>
        <v>1</v>
      </c>
      <c r="O1461" s="57" t="n">
        <f aca="false">IF(COUNTIFS(E$2:E1461,E1461,C$2:C1461,C1461,D$2:D1461,D1461)=1,1,0)</f>
        <v>1</v>
      </c>
      <c r="P1461" s="57" t="n">
        <f aca="false">IF(AND(C1461=Calc!$C$3,OR(Calc!$C$4=0,D1461=Calc!$C$4)),ROW(),0)</f>
        <v>1461</v>
      </c>
    </row>
    <row r="1462" customFormat="false" ht="15" hidden="false" customHeight="false" outlineLevel="0" collapsed="false">
      <c r="A1462" s="57" t="s">
        <v>1982</v>
      </c>
      <c r="B1462" s="58" t="n">
        <v>45689</v>
      </c>
      <c r="C1462" s="57" t="n">
        <f aca="false">YEAR(B1462)</f>
        <v>2025</v>
      </c>
      <c r="D1462" s="57" t="n">
        <f aca="false">MONTH(B1462)</f>
        <v>2</v>
      </c>
      <c r="E1462" s="57" t="s">
        <v>77</v>
      </c>
      <c r="F1462" s="57" t="s">
        <v>78</v>
      </c>
      <c r="G1462" s="57" t="s">
        <v>35</v>
      </c>
      <c r="H1462" s="57" t="s">
        <v>37</v>
      </c>
      <c r="I1462" s="59" t="n">
        <v>1</v>
      </c>
      <c r="J1462" s="60" t="n">
        <v>59</v>
      </c>
      <c r="K1462" s="60" t="n">
        <v>27</v>
      </c>
      <c r="L1462" s="61" t="n">
        <f aca="false">I1462*J1462</f>
        <v>59</v>
      </c>
      <c r="M1462" s="61" t="n">
        <f aca="false">L1462-I1462*K1462</f>
        <v>32</v>
      </c>
      <c r="N1462" s="57" t="n">
        <f aca="false">IF(COUNTIFS(E$2:E1462,E1462,C$2:C1462,C1462)=1,1,0)</f>
        <v>0</v>
      </c>
      <c r="O1462" s="57" t="n">
        <f aca="false">IF(COUNTIFS(E$2:E1462,E1462,C$2:C1462,C1462,D$2:D1462,D1462)=1,1,0)</f>
        <v>1</v>
      </c>
      <c r="P1462" s="57" t="n">
        <f aca="false">IF(AND(C1462=Calc!$C$3,OR(Calc!$C$4=0,D1462=Calc!$C$4)),ROW(),0)</f>
        <v>1462</v>
      </c>
    </row>
    <row r="1463" customFormat="false" ht="15" hidden="false" customHeight="false" outlineLevel="0" collapsed="false">
      <c r="A1463" s="57" t="s">
        <v>1983</v>
      </c>
      <c r="B1463" s="58" t="n">
        <v>45689</v>
      </c>
      <c r="C1463" s="57" t="n">
        <f aca="false">YEAR(B1463)</f>
        <v>2025</v>
      </c>
      <c r="D1463" s="57" t="n">
        <f aca="false">MONTH(B1463)</f>
        <v>2</v>
      </c>
      <c r="E1463" s="57" t="s">
        <v>543</v>
      </c>
      <c r="F1463" s="57" t="s">
        <v>78</v>
      </c>
      <c r="G1463" s="57" t="s">
        <v>35</v>
      </c>
      <c r="H1463" s="57" t="s">
        <v>34</v>
      </c>
      <c r="I1463" s="59" t="n">
        <v>1</v>
      </c>
      <c r="J1463" s="60" t="n">
        <v>89</v>
      </c>
      <c r="K1463" s="60" t="n">
        <v>41</v>
      </c>
      <c r="L1463" s="61" t="n">
        <f aca="false">I1463*J1463</f>
        <v>89</v>
      </c>
      <c r="M1463" s="61" t="n">
        <f aca="false">L1463-I1463*K1463</f>
        <v>48</v>
      </c>
      <c r="N1463" s="57" t="n">
        <f aca="false">IF(COUNTIFS(E$2:E1463,E1463,C$2:C1463,C1463)=1,1,0)</f>
        <v>1</v>
      </c>
      <c r="O1463" s="57" t="n">
        <f aca="false">IF(COUNTIFS(E$2:E1463,E1463,C$2:C1463,C1463,D$2:D1463,D1463)=1,1,0)</f>
        <v>1</v>
      </c>
      <c r="P1463" s="57" t="n">
        <f aca="false">IF(AND(C1463=Calc!$C$3,OR(Calc!$C$4=0,D1463=Calc!$C$4)),ROW(),0)</f>
        <v>1463</v>
      </c>
    </row>
    <row r="1464" customFormat="false" ht="15" hidden="false" customHeight="false" outlineLevel="0" collapsed="false">
      <c r="A1464" s="57" t="s">
        <v>1984</v>
      </c>
      <c r="B1464" s="58" t="n">
        <v>45690</v>
      </c>
      <c r="C1464" s="57" t="n">
        <f aca="false">YEAR(B1464)</f>
        <v>2025</v>
      </c>
      <c r="D1464" s="57" t="n">
        <f aca="false">MONTH(B1464)</f>
        <v>2</v>
      </c>
      <c r="E1464" s="57" t="s">
        <v>376</v>
      </c>
      <c r="F1464" s="57" t="s">
        <v>78</v>
      </c>
      <c r="G1464" s="57" t="s">
        <v>54</v>
      </c>
      <c r="H1464" s="57" t="s">
        <v>56</v>
      </c>
      <c r="I1464" s="59" t="n">
        <v>1</v>
      </c>
      <c r="J1464" s="60" t="n">
        <v>42</v>
      </c>
      <c r="K1464" s="60" t="n">
        <v>17</v>
      </c>
      <c r="L1464" s="61" t="n">
        <f aca="false">I1464*J1464</f>
        <v>42</v>
      </c>
      <c r="M1464" s="61" t="n">
        <f aca="false">L1464-I1464*K1464</f>
        <v>25</v>
      </c>
      <c r="N1464" s="57" t="n">
        <f aca="false">IF(COUNTIFS(E$2:E1464,E1464,C$2:C1464,C1464)=1,1,0)</f>
        <v>1</v>
      </c>
      <c r="O1464" s="57" t="n">
        <f aca="false">IF(COUNTIFS(E$2:E1464,E1464,C$2:C1464,C1464,D$2:D1464,D1464)=1,1,0)</f>
        <v>1</v>
      </c>
      <c r="P1464" s="57" t="n">
        <f aca="false">IF(AND(C1464=Calc!$C$3,OR(Calc!$C$4=0,D1464=Calc!$C$4)),ROW(),0)</f>
        <v>1464</v>
      </c>
    </row>
    <row r="1465" customFormat="false" ht="15" hidden="false" customHeight="false" outlineLevel="0" collapsed="false">
      <c r="A1465" s="57" t="s">
        <v>1985</v>
      </c>
      <c r="B1465" s="58" t="n">
        <v>45690</v>
      </c>
      <c r="C1465" s="57" t="n">
        <f aca="false">YEAR(B1465)</f>
        <v>2025</v>
      </c>
      <c r="D1465" s="57" t="n">
        <f aca="false">MONTH(B1465)</f>
        <v>2</v>
      </c>
      <c r="E1465" s="57" t="s">
        <v>1986</v>
      </c>
      <c r="F1465" s="57" t="s">
        <v>72</v>
      </c>
      <c r="G1465" s="57" t="s">
        <v>35</v>
      </c>
      <c r="H1465" s="57" t="s">
        <v>34</v>
      </c>
      <c r="I1465" s="59" t="n">
        <v>2</v>
      </c>
      <c r="J1465" s="60" t="n">
        <v>89</v>
      </c>
      <c r="K1465" s="60" t="n">
        <v>41</v>
      </c>
      <c r="L1465" s="61" t="n">
        <f aca="false">I1465*J1465</f>
        <v>178</v>
      </c>
      <c r="M1465" s="61" t="n">
        <f aca="false">L1465-I1465*K1465</f>
        <v>96</v>
      </c>
      <c r="N1465" s="57" t="n">
        <f aca="false">IF(COUNTIFS(E$2:E1465,E1465,C$2:C1465,C1465)=1,1,0)</f>
        <v>1</v>
      </c>
      <c r="O1465" s="57" t="n">
        <f aca="false">IF(COUNTIFS(E$2:E1465,E1465,C$2:C1465,C1465,D$2:D1465,D1465)=1,1,0)</f>
        <v>1</v>
      </c>
      <c r="P1465" s="57" t="n">
        <f aca="false">IF(AND(C1465=Calc!$C$3,OR(Calc!$C$4=0,D1465=Calc!$C$4)),ROW(),0)</f>
        <v>1465</v>
      </c>
    </row>
    <row r="1466" customFormat="false" ht="15" hidden="false" customHeight="false" outlineLevel="0" collapsed="false">
      <c r="A1466" s="57" t="s">
        <v>1987</v>
      </c>
      <c r="B1466" s="58" t="n">
        <v>45691</v>
      </c>
      <c r="C1466" s="57" t="n">
        <f aca="false">YEAR(B1466)</f>
        <v>2025</v>
      </c>
      <c r="D1466" s="57" t="n">
        <f aca="false">MONTH(B1466)</f>
        <v>2</v>
      </c>
      <c r="E1466" s="57" t="s">
        <v>983</v>
      </c>
      <c r="F1466" s="57" t="s">
        <v>72</v>
      </c>
      <c r="G1466" s="57" t="s">
        <v>35</v>
      </c>
      <c r="H1466" s="57" t="s">
        <v>37</v>
      </c>
      <c r="I1466" s="59" t="n">
        <v>3</v>
      </c>
      <c r="J1466" s="60" t="n">
        <v>59</v>
      </c>
      <c r="K1466" s="60" t="n">
        <v>27</v>
      </c>
      <c r="L1466" s="61" t="n">
        <f aca="false">I1466*J1466</f>
        <v>177</v>
      </c>
      <c r="M1466" s="61" t="n">
        <f aca="false">L1466-I1466*K1466</f>
        <v>96</v>
      </c>
      <c r="N1466" s="57" t="n">
        <f aca="false">IF(COUNTIFS(E$2:E1466,E1466,C$2:C1466,C1466)=1,1,0)</f>
        <v>0</v>
      </c>
      <c r="O1466" s="57" t="n">
        <f aca="false">IF(COUNTIFS(E$2:E1466,E1466,C$2:C1466,C1466,D$2:D1466,D1466)=1,1,0)</f>
        <v>1</v>
      </c>
      <c r="P1466" s="57" t="n">
        <f aca="false">IF(AND(C1466=Calc!$C$3,OR(Calc!$C$4=0,D1466=Calc!$C$4)),ROW(),0)</f>
        <v>1466</v>
      </c>
    </row>
    <row r="1467" customFormat="false" ht="15" hidden="false" customHeight="false" outlineLevel="0" collapsed="false">
      <c r="A1467" s="57" t="s">
        <v>1988</v>
      </c>
      <c r="B1467" s="58" t="n">
        <v>45691</v>
      </c>
      <c r="C1467" s="57" t="n">
        <f aca="false">YEAR(B1467)</f>
        <v>2025</v>
      </c>
      <c r="D1467" s="57" t="n">
        <f aca="false">MONTH(B1467)</f>
        <v>2</v>
      </c>
      <c r="E1467" s="57" t="s">
        <v>1304</v>
      </c>
      <c r="F1467" s="57" t="s">
        <v>78</v>
      </c>
      <c r="G1467" s="57" t="s">
        <v>40</v>
      </c>
      <c r="H1467" s="57" t="s">
        <v>43</v>
      </c>
      <c r="I1467" s="59" t="n">
        <v>1</v>
      </c>
      <c r="J1467" s="60" t="n">
        <v>29</v>
      </c>
      <c r="K1467" s="60" t="n">
        <v>9</v>
      </c>
      <c r="L1467" s="61" t="n">
        <f aca="false">I1467*J1467</f>
        <v>29</v>
      </c>
      <c r="M1467" s="61" t="n">
        <f aca="false">L1467-I1467*K1467</f>
        <v>20</v>
      </c>
      <c r="N1467" s="57" t="n">
        <f aca="false">IF(COUNTIFS(E$2:E1467,E1467,C$2:C1467,C1467)=1,1,0)</f>
        <v>0</v>
      </c>
      <c r="O1467" s="57" t="n">
        <f aca="false">IF(COUNTIFS(E$2:E1467,E1467,C$2:C1467,C1467,D$2:D1467,D1467)=1,1,0)</f>
        <v>1</v>
      </c>
      <c r="P1467" s="57" t="n">
        <f aca="false">IF(AND(C1467=Calc!$C$3,OR(Calc!$C$4=0,D1467=Calc!$C$4)),ROW(),0)</f>
        <v>1467</v>
      </c>
    </row>
    <row r="1468" customFormat="false" ht="15" hidden="false" customHeight="false" outlineLevel="0" collapsed="false">
      <c r="A1468" s="57" t="s">
        <v>1989</v>
      </c>
      <c r="B1468" s="58" t="n">
        <v>45691</v>
      </c>
      <c r="C1468" s="57" t="n">
        <f aca="false">YEAR(B1468)</f>
        <v>2025</v>
      </c>
      <c r="D1468" s="57" t="n">
        <f aca="false">MONTH(B1468)</f>
        <v>2</v>
      </c>
      <c r="E1468" s="57" t="s">
        <v>528</v>
      </c>
      <c r="F1468" s="57" t="s">
        <v>78</v>
      </c>
      <c r="G1468" s="57" t="s">
        <v>40</v>
      </c>
      <c r="H1468" s="57" t="s">
        <v>39</v>
      </c>
      <c r="I1468" s="59" t="n">
        <v>2</v>
      </c>
      <c r="J1468" s="60" t="n">
        <v>54</v>
      </c>
      <c r="K1468" s="60" t="n">
        <v>19</v>
      </c>
      <c r="L1468" s="61" t="n">
        <f aca="false">I1468*J1468</f>
        <v>108</v>
      </c>
      <c r="M1468" s="61" t="n">
        <f aca="false">L1468-I1468*K1468</f>
        <v>70</v>
      </c>
      <c r="N1468" s="57" t="n">
        <f aca="false">IF(COUNTIFS(E$2:E1468,E1468,C$2:C1468,C1468)=1,1,0)</f>
        <v>0</v>
      </c>
      <c r="O1468" s="57" t="n">
        <f aca="false">IF(COUNTIFS(E$2:E1468,E1468,C$2:C1468,C1468,D$2:D1468,D1468)=1,1,0)</f>
        <v>1</v>
      </c>
      <c r="P1468" s="57" t="n">
        <f aca="false">IF(AND(C1468=Calc!$C$3,OR(Calc!$C$4=0,D1468=Calc!$C$4)),ROW(),0)</f>
        <v>1468</v>
      </c>
    </row>
    <row r="1469" customFormat="false" ht="15" hidden="false" customHeight="false" outlineLevel="0" collapsed="false">
      <c r="A1469" s="57" t="s">
        <v>1990</v>
      </c>
      <c r="B1469" s="58" t="n">
        <v>45692</v>
      </c>
      <c r="C1469" s="57" t="n">
        <f aca="false">YEAR(B1469)</f>
        <v>2025</v>
      </c>
      <c r="D1469" s="57" t="n">
        <f aca="false">MONTH(B1469)</f>
        <v>2</v>
      </c>
      <c r="E1469" s="57" t="s">
        <v>558</v>
      </c>
      <c r="F1469" s="57" t="s">
        <v>81</v>
      </c>
      <c r="G1469" s="57" t="s">
        <v>50</v>
      </c>
      <c r="H1469" s="57" t="s">
        <v>51</v>
      </c>
      <c r="I1469" s="59" t="n">
        <v>1</v>
      </c>
      <c r="J1469" s="60" t="n">
        <v>69</v>
      </c>
      <c r="K1469" s="60" t="n">
        <v>29</v>
      </c>
      <c r="L1469" s="61" t="n">
        <f aca="false">I1469*J1469</f>
        <v>69</v>
      </c>
      <c r="M1469" s="61" t="n">
        <f aca="false">L1469-I1469*K1469</f>
        <v>40</v>
      </c>
      <c r="N1469" s="57" t="n">
        <f aca="false">IF(COUNTIFS(E$2:E1469,E1469,C$2:C1469,C1469)=1,1,0)</f>
        <v>1</v>
      </c>
      <c r="O1469" s="57" t="n">
        <f aca="false">IF(COUNTIFS(E$2:E1469,E1469,C$2:C1469,C1469,D$2:D1469,D1469)=1,1,0)</f>
        <v>1</v>
      </c>
      <c r="P1469" s="57" t="n">
        <f aca="false">IF(AND(C1469=Calc!$C$3,OR(Calc!$C$4=0,D1469=Calc!$C$4)),ROW(),0)</f>
        <v>1469</v>
      </c>
    </row>
    <row r="1470" customFormat="false" ht="15" hidden="false" customHeight="false" outlineLevel="0" collapsed="false">
      <c r="A1470" s="57" t="s">
        <v>1991</v>
      </c>
      <c r="B1470" s="58" t="n">
        <v>45692</v>
      </c>
      <c r="C1470" s="57" t="n">
        <f aca="false">YEAR(B1470)</f>
        <v>2025</v>
      </c>
      <c r="D1470" s="57" t="n">
        <f aca="false">MONTH(B1470)</f>
        <v>2</v>
      </c>
      <c r="E1470" s="57" t="s">
        <v>783</v>
      </c>
      <c r="F1470" s="57" t="s">
        <v>69</v>
      </c>
      <c r="G1470" s="57" t="s">
        <v>45</v>
      </c>
      <c r="H1470" s="57" t="s">
        <v>44</v>
      </c>
      <c r="I1470" s="59" t="n">
        <v>1</v>
      </c>
      <c r="J1470" s="60" t="n">
        <v>119</v>
      </c>
      <c r="K1470" s="60" t="n">
        <v>63</v>
      </c>
      <c r="L1470" s="61" t="n">
        <f aca="false">I1470*J1470</f>
        <v>119</v>
      </c>
      <c r="M1470" s="61" t="n">
        <f aca="false">L1470-I1470*K1470</f>
        <v>56</v>
      </c>
      <c r="N1470" s="57" t="n">
        <f aca="false">IF(COUNTIFS(E$2:E1470,E1470,C$2:C1470,C1470)=1,1,0)</f>
        <v>1</v>
      </c>
      <c r="O1470" s="57" t="n">
        <f aca="false">IF(COUNTIFS(E$2:E1470,E1470,C$2:C1470,C1470,D$2:D1470,D1470)=1,1,0)</f>
        <v>1</v>
      </c>
      <c r="P1470" s="57" t="n">
        <f aca="false">IF(AND(C1470=Calc!$C$3,OR(Calc!$C$4=0,D1470=Calc!$C$4)),ROW(),0)</f>
        <v>1470</v>
      </c>
    </row>
    <row r="1471" customFormat="false" ht="15" hidden="false" customHeight="false" outlineLevel="0" collapsed="false">
      <c r="A1471" s="57" t="s">
        <v>1992</v>
      </c>
      <c r="B1471" s="58" t="n">
        <v>45692</v>
      </c>
      <c r="C1471" s="57" t="n">
        <f aca="false">YEAR(B1471)</f>
        <v>2025</v>
      </c>
      <c r="D1471" s="57" t="n">
        <f aca="false">MONTH(B1471)</f>
        <v>2</v>
      </c>
      <c r="E1471" s="57" t="s">
        <v>1260</v>
      </c>
      <c r="F1471" s="57" t="s">
        <v>72</v>
      </c>
      <c r="G1471" s="57" t="s">
        <v>40</v>
      </c>
      <c r="H1471" s="57" t="s">
        <v>39</v>
      </c>
      <c r="I1471" s="59" t="n">
        <v>1</v>
      </c>
      <c r="J1471" s="60" t="n">
        <v>54</v>
      </c>
      <c r="K1471" s="60" t="n">
        <v>19</v>
      </c>
      <c r="L1471" s="61" t="n">
        <f aca="false">I1471*J1471</f>
        <v>54</v>
      </c>
      <c r="M1471" s="61" t="n">
        <f aca="false">L1471-I1471*K1471</f>
        <v>35</v>
      </c>
      <c r="N1471" s="57" t="n">
        <f aca="false">IF(COUNTIFS(E$2:E1471,E1471,C$2:C1471,C1471)=1,1,0)</f>
        <v>1</v>
      </c>
      <c r="O1471" s="57" t="n">
        <f aca="false">IF(COUNTIFS(E$2:E1471,E1471,C$2:C1471,C1471,D$2:D1471,D1471)=1,1,0)</f>
        <v>1</v>
      </c>
      <c r="P1471" s="57" t="n">
        <f aca="false">IF(AND(C1471=Calc!$C$3,OR(Calc!$C$4=0,D1471=Calc!$C$4)),ROW(),0)</f>
        <v>1471</v>
      </c>
    </row>
    <row r="1472" customFormat="false" ht="15" hidden="false" customHeight="false" outlineLevel="0" collapsed="false">
      <c r="A1472" s="57" t="s">
        <v>1993</v>
      </c>
      <c r="B1472" s="58" t="n">
        <v>45693</v>
      </c>
      <c r="C1472" s="57" t="n">
        <f aca="false">YEAR(B1472)</f>
        <v>2025</v>
      </c>
      <c r="D1472" s="57" t="n">
        <f aca="false">MONTH(B1472)</f>
        <v>2</v>
      </c>
      <c r="E1472" s="57" t="s">
        <v>376</v>
      </c>
      <c r="F1472" s="57" t="s">
        <v>78</v>
      </c>
      <c r="G1472" s="57" t="s">
        <v>35</v>
      </c>
      <c r="H1472" s="57" t="s">
        <v>36</v>
      </c>
      <c r="I1472" s="59" t="n">
        <v>1</v>
      </c>
      <c r="J1472" s="60" t="n">
        <v>179</v>
      </c>
      <c r="K1472" s="60" t="n">
        <v>92</v>
      </c>
      <c r="L1472" s="61" t="n">
        <f aca="false">I1472*J1472</f>
        <v>179</v>
      </c>
      <c r="M1472" s="61" t="n">
        <f aca="false">L1472-I1472*K1472</f>
        <v>87</v>
      </c>
      <c r="N1472" s="57" t="n">
        <f aca="false">IF(COUNTIFS(E$2:E1472,E1472,C$2:C1472,C1472)=1,1,0)</f>
        <v>0</v>
      </c>
      <c r="O1472" s="57" t="n">
        <f aca="false">IF(COUNTIFS(E$2:E1472,E1472,C$2:C1472,C1472,D$2:D1472,D1472)=1,1,0)</f>
        <v>0</v>
      </c>
      <c r="P1472" s="57" t="n">
        <f aca="false">IF(AND(C1472=Calc!$C$3,OR(Calc!$C$4=0,D1472=Calc!$C$4)),ROW(),0)</f>
        <v>1472</v>
      </c>
    </row>
    <row r="1473" customFormat="false" ht="15" hidden="false" customHeight="false" outlineLevel="0" collapsed="false">
      <c r="A1473" s="57" t="s">
        <v>1994</v>
      </c>
      <c r="B1473" s="58" t="n">
        <v>45693</v>
      </c>
      <c r="C1473" s="57" t="n">
        <f aca="false">YEAR(B1473)</f>
        <v>2025</v>
      </c>
      <c r="D1473" s="57" t="n">
        <f aca="false">MONTH(B1473)</f>
        <v>2</v>
      </c>
      <c r="E1473" s="57" t="s">
        <v>1537</v>
      </c>
      <c r="F1473" s="57" t="s">
        <v>75</v>
      </c>
      <c r="G1473" s="57" t="s">
        <v>35</v>
      </c>
      <c r="H1473" s="57" t="s">
        <v>38</v>
      </c>
      <c r="I1473" s="59" t="n">
        <v>1</v>
      </c>
      <c r="J1473" s="60" t="n">
        <v>49</v>
      </c>
      <c r="K1473" s="60" t="n">
        <v>22</v>
      </c>
      <c r="L1473" s="61" t="n">
        <f aca="false">I1473*J1473</f>
        <v>49</v>
      </c>
      <c r="M1473" s="61" t="n">
        <f aca="false">L1473-I1473*K1473</f>
        <v>27</v>
      </c>
      <c r="N1473" s="57" t="n">
        <f aca="false">IF(COUNTIFS(E$2:E1473,E1473,C$2:C1473,C1473)=1,1,0)</f>
        <v>1</v>
      </c>
      <c r="O1473" s="57" t="n">
        <f aca="false">IF(COUNTIFS(E$2:E1473,E1473,C$2:C1473,C1473,D$2:D1473,D1473)=1,1,0)</f>
        <v>1</v>
      </c>
      <c r="P1473" s="57" t="n">
        <f aca="false">IF(AND(C1473=Calc!$C$3,OR(Calc!$C$4=0,D1473=Calc!$C$4)),ROW(),0)</f>
        <v>1473</v>
      </c>
    </row>
    <row r="1474" customFormat="false" ht="15" hidden="false" customHeight="false" outlineLevel="0" collapsed="false">
      <c r="A1474" s="57" t="s">
        <v>1995</v>
      </c>
      <c r="B1474" s="58" t="n">
        <v>45693</v>
      </c>
      <c r="C1474" s="57" t="n">
        <f aca="false">YEAR(B1474)</f>
        <v>2025</v>
      </c>
      <c r="D1474" s="57" t="n">
        <f aca="false">MONTH(B1474)</f>
        <v>2</v>
      </c>
      <c r="E1474" s="57" t="s">
        <v>183</v>
      </c>
      <c r="F1474" s="57" t="s">
        <v>72</v>
      </c>
      <c r="G1474" s="57" t="s">
        <v>50</v>
      </c>
      <c r="H1474" s="57" t="s">
        <v>52</v>
      </c>
      <c r="I1474" s="59" t="n">
        <v>1</v>
      </c>
      <c r="J1474" s="60" t="n">
        <v>45</v>
      </c>
      <c r="K1474" s="60" t="n">
        <v>14</v>
      </c>
      <c r="L1474" s="61" t="n">
        <f aca="false">I1474*J1474</f>
        <v>45</v>
      </c>
      <c r="M1474" s="61" t="n">
        <f aca="false">L1474-I1474*K1474</f>
        <v>31</v>
      </c>
      <c r="N1474" s="57" t="n">
        <f aca="false">IF(COUNTIFS(E$2:E1474,E1474,C$2:C1474,C1474)=1,1,0)</f>
        <v>1</v>
      </c>
      <c r="O1474" s="57" t="n">
        <f aca="false">IF(COUNTIFS(E$2:E1474,E1474,C$2:C1474,C1474,D$2:D1474,D1474)=1,1,0)</f>
        <v>1</v>
      </c>
      <c r="P1474" s="57" t="n">
        <f aca="false">IF(AND(C1474=Calc!$C$3,OR(Calc!$C$4=0,D1474=Calc!$C$4)),ROW(),0)</f>
        <v>1474</v>
      </c>
    </row>
    <row r="1475" customFormat="false" ht="15" hidden="false" customHeight="false" outlineLevel="0" collapsed="false">
      <c r="A1475" s="57" t="s">
        <v>1996</v>
      </c>
      <c r="B1475" s="58" t="n">
        <v>45694</v>
      </c>
      <c r="C1475" s="57" t="n">
        <f aca="false">YEAR(B1475)</f>
        <v>2025</v>
      </c>
      <c r="D1475" s="57" t="n">
        <f aca="false">MONTH(B1475)</f>
        <v>2</v>
      </c>
      <c r="E1475" s="57" t="s">
        <v>1997</v>
      </c>
      <c r="F1475" s="57" t="s">
        <v>78</v>
      </c>
      <c r="G1475" s="57" t="s">
        <v>35</v>
      </c>
      <c r="H1475" s="57" t="s">
        <v>34</v>
      </c>
      <c r="I1475" s="59" t="n">
        <v>2</v>
      </c>
      <c r="J1475" s="60" t="n">
        <v>89</v>
      </c>
      <c r="K1475" s="60" t="n">
        <v>41</v>
      </c>
      <c r="L1475" s="61" t="n">
        <f aca="false">I1475*J1475</f>
        <v>178</v>
      </c>
      <c r="M1475" s="61" t="n">
        <f aca="false">L1475-I1475*K1475</f>
        <v>96</v>
      </c>
      <c r="N1475" s="57" t="n">
        <f aca="false">IF(COUNTIFS(E$2:E1475,E1475,C$2:C1475,C1475)=1,1,0)</f>
        <v>1</v>
      </c>
      <c r="O1475" s="57" t="n">
        <f aca="false">IF(COUNTIFS(E$2:E1475,E1475,C$2:C1475,C1475,D$2:D1475,D1475)=1,1,0)</f>
        <v>1</v>
      </c>
      <c r="P1475" s="57" t="n">
        <f aca="false">IF(AND(C1475=Calc!$C$3,OR(Calc!$C$4=0,D1475=Calc!$C$4)),ROW(),0)</f>
        <v>1475</v>
      </c>
    </row>
    <row r="1476" customFormat="false" ht="15" hidden="false" customHeight="false" outlineLevel="0" collapsed="false">
      <c r="A1476" s="57" t="s">
        <v>1998</v>
      </c>
      <c r="B1476" s="58" t="n">
        <v>45695</v>
      </c>
      <c r="C1476" s="57" t="n">
        <f aca="false">YEAR(B1476)</f>
        <v>2025</v>
      </c>
      <c r="D1476" s="57" t="n">
        <f aca="false">MONTH(B1476)</f>
        <v>2</v>
      </c>
      <c r="E1476" s="57" t="s">
        <v>470</v>
      </c>
      <c r="F1476" s="57" t="s">
        <v>75</v>
      </c>
      <c r="G1476" s="57" t="s">
        <v>45</v>
      </c>
      <c r="H1476" s="57" t="s">
        <v>44</v>
      </c>
      <c r="I1476" s="59" t="n">
        <v>1</v>
      </c>
      <c r="J1476" s="60" t="n">
        <v>119</v>
      </c>
      <c r="K1476" s="60" t="n">
        <v>63</v>
      </c>
      <c r="L1476" s="61" t="n">
        <f aca="false">I1476*J1476</f>
        <v>119</v>
      </c>
      <c r="M1476" s="61" t="n">
        <f aca="false">L1476-I1476*K1476</f>
        <v>56</v>
      </c>
      <c r="N1476" s="57" t="n">
        <f aca="false">IF(COUNTIFS(E$2:E1476,E1476,C$2:C1476,C1476)=1,1,0)</f>
        <v>1</v>
      </c>
      <c r="O1476" s="57" t="n">
        <f aca="false">IF(COUNTIFS(E$2:E1476,E1476,C$2:C1476,C1476,D$2:D1476,D1476)=1,1,0)</f>
        <v>1</v>
      </c>
      <c r="P1476" s="57" t="n">
        <f aca="false">IF(AND(C1476=Calc!$C$3,OR(Calc!$C$4=0,D1476=Calc!$C$4)),ROW(),0)</f>
        <v>1476</v>
      </c>
    </row>
    <row r="1477" customFormat="false" ht="15" hidden="false" customHeight="false" outlineLevel="0" collapsed="false">
      <c r="A1477" s="57" t="s">
        <v>1999</v>
      </c>
      <c r="B1477" s="58" t="n">
        <v>45695</v>
      </c>
      <c r="C1477" s="57" t="n">
        <f aca="false">YEAR(B1477)</f>
        <v>2025</v>
      </c>
      <c r="D1477" s="57" t="n">
        <f aca="false">MONTH(B1477)</f>
        <v>2</v>
      </c>
      <c r="E1477" s="57" t="s">
        <v>77</v>
      </c>
      <c r="F1477" s="57" t="s">
        <v>78</v>
      </c>
      <c r="G1477" s="57" t="s">
        <v>40</v>
      </c>
      <c r="H1477" s="57" t="s">
        <v>39</v>
      </c>
      <c r="I1477" s="59" t="n">
        <v>1</v>
      </c>
      <c r="J1477" s="60" t="n">
        <v>54</v>
      </c>
      <c r="K1477" s="60" t="n">
        <v>19</v>
      </c>
      <c r="L1477" s="61" t="n">
        <f aca="false">I1477*J1477</f>
        <v>54</v>
      </c>
      <c r="M1477" s="61" t="n">
        <f aca="false">L1477-I1477*K1477</f>
        <v>35</v>
      </c>
      <c r="N1477" s="57" t="n">
        <f aca="false">IF(COUNTIFS(E$2:E1477,E1477,C$2:C1477,C1477)=1,1,0)</f>
        <v>0</v>
      </c>
      <c r="O1477" s="57" t="n">
        <f aca="false">IF(COUNTIFS(E$2:E1477,E1477,C$2:C1477,C1477,D$2:D1477,D1477)=1,1,0)</f>
        <v>0</v>
      </c>
      <c r="P1477" s="57" t="n">
        <f aca="false">IF(AND(C1477=Calc!$C$3,OR(Calc!$C$4=0,D1477=Calc!$C$4)),ROW(),0)</f>
        <v>1477</v>
      </c>
    </row>
    <row r="1478" customFormat="false" ht="15" hidden="false" customHeight="false" outlineLevel="0" collapsed="false">
      <c r="A1478" s="57" t="s">
        <v>2000</v>
      </c>
      <c r="B1478" s="58" t="n">
        <v>45696</v>
      </c>
      <c r="C1478" s="57" t="n">
        <f aca="false">YEAR(B1478)</f>
        <v>2025</v>
      </c>
      <c r="D1478" s="57" t="n">
        <f aca="false">MONTH(B1478)</f>
        <v>2</v>
      </c>
      <c r="E1478" s="57" t="s">
        <v>629</v>
      </c>
      <c r="F1478" s="57" t="s">
        <v>78</v>
      </c>
      <c r="G1478" s="57" t="s">
        <v>40</v>
      </c>
      <c r="H1478" s="57" t="s">
        <v>41</v>
      </c>
      <c r="I1478" s="59" t="n">
        <v>1</v>
      </c>
      <c r="J1478" s="60" t="n">
        <v>46</v>
      </c>
      <c r="K1478" s="60" t="n">
        <v>16</v>
      </c>
      <c r="L1478" s="61" t="n">
        <f aca="false">I1478*J1478</f>
        <v>46</v>
      </c>
      <c r="M1478" s="61" t="n">
        <f aca="false">L1478-I1478*K1478</f>
        <v>30</v>
      </c>
      <c r="N1478" s="57" t="n">
        <f aca="false">IF(COUNTIFS(E$2:E1478,E1478,C$2:C1478,C1478)=1,1,0)</f>
        <v>1</v>
      </c>
      <c r="O1478" s="57" t="n">
        <f aca="false">IF(COUNTIFS(E$2:E1478,E1478,C$2:C1478,C1478,D$2:D1478,D1478)=1,1,0)</f>
        <v>1</v>
      </c>
      <c r="P1478" s="57" t="n">
        <f aca="false">IF(AND(C1478=Calc!$C$3,OR(Calc!$C$4=0,D1478=Calc!$C$4)),ROW(),0)</f>
        <v>1478</v>
      </c>
    </row>
    <row r="1479" customFormat="false" ht="15" hidden="false" customHeight="false" outlineLevel="0" collapsed="false">
      <c r="A1479" s="57" t="s">
        <v>2001</v>
      </c>
      <c r="B1479" s="58" t="n">
        <v>45697</v>
      </c>
      <c r="C1479" s="57" t="n">
        <f aca="false">YEAR(B1479)</f>
        <v>2025</v>
      </c>
      <c r="D1479" s="57" t="n">
        <f aca="false">MONTH(B1479)</f>
        <v>2</v>
      </c>
      <c r="E1479" s="57" t="s">
        <v>285</v>
      </c>
      <c r="F1479" s="57" t="s">
        <v>75</v>
      </c>
      <c r="G1479" s="57" t="s">
        <v>45</v>
      </c>
      <c r="H1479" s="57" t="s">
        <v>46</v>
      </c>
      <c r="I1479" s="59" t="n">
        <v>1</v>
      </c>
      <c r="J1479" s="60" t="n">
        <v>149</v>
      </c>
      <c r="K1479" s="60" t="n">
        <v>71</v>
      </c>
      <c r="L1479" s="61" t="n">
        <f aca="false">I1479*J1479</f>
        <v>149</v>
      </c>
      <c r="M1479" s="61" t="n">
        <f aca="false">L1479-I1479*K1479</f>
        <v>78</v>
      </c>
      <c r="N1479" s="57" t="n">
        <f aca="false">IF(COUNTIFS(E$2:E1479,E1479,C$2:C1479,C1479)=1,1,0)</f>
        <v>1</v>
      </c>
      <c r="O1479" s="57" t="n">
        <f aca="false">IF(COUNTIFS(E$2:E1479,E1479,C$2:C1479,C1479,D$2:D1479,D1479)=1,1,0)</f>
        <v>1</v>
      </c>
      <c r="P1479" s="57" t="n">
        <f aca="false">IF(AND(C1479=Calc!$C$3,OR(Calc!$C$4=0,D1479=Calc!$C$4)),ROW(),0)</f>
        <v>1479</v>
      </c>
    </row>
    <row r="1480" customFormat="false" ht="15" hidden="false" customHeight="false" outlineLevel="0" collapsed="false">
      <c r="A1480" s="57" t="s">
        <v>2002</v>
      </c>
      <c r="B1480" s="58" t="n">
        <v>45697</v>
      </c>
      <c r="C1480" s="57" t="n">
        <f aca="false">YEAR(B1480)</f>
        <v>2025</v>
      </c>
      <c r="D1480" s="57" t="n">
        <f aca="false">MONTH(B1480)</f>
        <v>2</v>
      </c>
      <c r="E1480" s="57" t="s">
        <v>2003</v>
      </c>
      <c r="F1480" s="57" t="s">
        <v>78</v>
      </c>
      <c r="G1480" s="57" t="s">
        <v>35</v>
      </c>
      <c r="H1480" s="57" t="s">
        <v>37</v>
      </c>
      <c r="I1480" s="59" t="n">
        <v>1</v>
      </c>
      <c r="J1480" s="60" t="n">
        <v>59</v>
      </c>
      <c r="K1480" s="60" t="n">
        <v>27</v>
      </c>
      <c r="L1480" s="61" t="n">
        <f aca="false">I1480*J1480</f>
        <v>59</v>
      </c>
      <c r="M1480" s="61" t="n">
        <f aca="false">L1480-I1480*K1480</f>
        <v>32</v>
      </c>
      <c r="N1480" s="57" t="n">
        <f aca="false">IF(COUNTIFS(E$2:E1480,E1480,C$2:C1480,C1480)=1,1,0)</f>
        <v>1</v>
      </c>
      <c r="O1480" s="57" t="n">
        <f aca="false">IF(COUNTIFS(E$2:E1480,E1480,C$2:C1480,C1480,D$2:D1480,D1480)=1,1,0)</f>
        <v>1</v>
      </c>
      <c r="P1480" s="57" t="n">
        <f aca="false">IF(AND(C1480=Calc!$C$3,OR(Calc!$C$4=0,D1480=Calc!$C$4)),ROW(),0)</f>
        <v>1480</v>
      </c>
    </row>
    <row r="1481" customFormat="false" ht="15" hidden="false" customHeight="false" outlineLevel="0" collapsed="false">
      <c r="A1481" s="57" t="s">
        <v>2004</v>
      </c>
      <c r="B1481" s="58" t="n">
        <v>45698</v>
      </c>
      <c r="C1481" s="57" t="n">
        <f aca="false">YEAR(B1481)</f>
        <v>2025</v>
      </c>
      <c r="D1481" s="57" t="n">
        <f aca="false">MONTH(B1481)</f>
        <v>2</v>
      </c>
      <c r="E1481" s="57" t="s">
        <v>93</v>
      </c>
      <c r="F1481" s="57" t="s">
        <v>81</v>
      </c>
      <c r="G1481" s="57" t="s">
        <v>40</v>
      </c>
      <c r="H1481" s="57" t="s">
        <v>39</v>
      </c>
      <c r="I1481" s="59" t="n">
        <v>2</v>
      </c>
      <c r="J1481" s="60" t="n">
        <v>54</v>
      </c>
      <c r="K1481" s="60" t="n">
        <v>19</v>
      </c>
      <c r="L1481" s="61" t="n">
        <f aca="false">I1481*J1481</f>
        <v>108</v>
      </c>
      <c r="M1481" s="61" t="n">
        <f aca="false">L1481-I1481*K1481</f>
        <v>70</v>
      </c>
      <c r="N1481" s="57" t="n">
        <f aca="false">IF(COUNTIFS(E$2:E1481,E1481,C$2:C1481,C1481)=1,1,0)</f>
        <v>1</v>
      </c>
      <c r="O1481" s="57" t="n">
        <f aca="false">IF(COUNTIFS(E$2:E1481,E1481,C$2:C1481,C1481,D$2:D1481,D1481)=1,1,0)</f>
        <v>1</v>
      </c>
      <c r="P1481" s="57" t="n">
        <f aca="false">IF(AND(C1481=Calc!$C$3,OR(Calc!$C$4=0,D1481=Calc!$C$4)),ROW(),0)</f>
        <v>1481</v>
      </c>
    </row>
    <row r="1482" customFormat="false" ht="15" hidden="false" customHeight="false" outlineLevel="0" collapsed="false">
      <c r="A1482" s="57" t="s">
        <v>2005</v>
      </c>
      <c r="B1482" s="58" t="n">
        <v>45698</v>
      </c>
      <c r="C1482" s="57" t="n">
        <f aca="false">YEAR(B1482)</f>
        <v>2025</v>
      </c>
      <c r="D1482" s="57" t="n">
        <f aca="false">MONTH(B1482)</f>
        <v>2</v>
      </c>
      <c r="E1482" s="57" t="s">
        <v>498</v>
      </c>
      <c r="F1482" s="57" t="s">
        <v>78</v>
      </c>
      <c r="G1482" s="57" t="s">
        <v>45</v>
      </c>
      <c r="H1482" s="57" t="s">
        <v>48</v>
      </c>
      <c r="I1482" s="59" t="n">
        <v>1</v>
      </c>
      <c r="J1482" s="60" t="n">
        <v>99</v>
      </c>
      <c r="K1482" s="60" t="n">
        <v>38</v>
      </c>
      <c r="L1482" s="61" t="n">
        <f aca="false">I1482*J1482</f>
        <v>99</v>
      </c>
      <c r="M1482" s="61" t="n">
        <f aca="false">L1482-I1482*K1482</f>
        <v>61</v>
      </c>
      <c r="N1482" s="57" t="n">
        <f aca="false">IF(COUNTIFS(E$2:E1482,E1482,C$2:C1482,C1482)=1,1,0)</f>
        <v>0</v>
      </c>
      <c r="O1482" s="57" t="n">
        <f aca="false">IF(COUNTIFS(E$2:E1482,E1482,C$2:C1482,C1482,D$2:D1482,D1482)=1,1,0)</f>
        <v>1</v>
      </c>
      <c r="P1482" s="57" t="n">
        <f aca="false">IF(AND(C1482=Calc!$C$3,OR(Calc!$C$4=0,D1482=Calc!$C$4)),ROW(),0)</f>
        <v>1482</v>
      </c>
    </row>
    <row r="1483" customFormat="false" ht="15" hidden="false" customHeight="false" outlineLevel="0" collapsed="false">
      <c r="A1483" s="57" t="s">
        <v>2006</v>
      </c>
      <c r="B1483" s="58" t="n">
        <v>45698</v>
      </c>
      <c r="C1483" s="57" t="n">
        <f aca="false">YEAR(B1483)</f>
        <v>2025</v>
      </c>
      <c r="D1483" s="57" t="n">
        <f aca="false">MONTH(B1483)</f>
        <v>2</v>
      </c>
      <c r="E1483" s="57" t="s">
        <v>372</v>
      </c>
      <c r="F1483" s="57" t="s">
        <v>81</v>
      </c>
      <c r="G1483" s="57" t="s">
        <v>45</v>
      </c>
      <c r="H1483" s="57" t="s">
        <v>47</v>
      </c>
      <c r="I1483" s="59" t="n">
        <v>1</v>
      </c>
      <c r="J1483" s="60" t="n">
        <v>34</v>
      </c>
      <c r="K1483" s="60" t="n">
        <v>12</v>
      </c>
      <c r="L1483" s="61" t="n">
        <f aca="false">I1483*J1483</f>
        <v>34</v>
      </c>
      <c r="M1483" s="61" t="n">
        <f aca="false">L1483-I1483*K1483</f>
        <v>22</v>
      </c>
      <c r="N1483" s="57" t="n">
        <f aca="false">IF(COUNTIFS(E$2:E1483,E1483,C$2:C1483,C1483)=1,1,0)</f>
        <v>1</v>
      </c>
      <c r="O1483" s="57" t="n">
        <f aca="false">IF(COUNTIFS(E$2:E1483,E1483,C$2:C1483,C1483,D$2:D1483,D1483)=1,1,0)</f>
        <v>1</v>
      </c>
      <c r="P1483" s="57" t="n">
        <f aca="false">IF(AND(C1483=Calc!$C$3,OR(Calc!$C$4=0,D1483=Calc!$C$4)),ROW(),0)</f>
        <v>1483</v>
      </c>
    </row>
    <row r="1484" customFormat="false" ht="15" hidden="false" customHeight="false" outlineLevel="0" collapsed="false">
      <c r="A1484" s="57" t="s">
        <v>2007</v>
      </c>
      <c r="B1484" s="58" t="n">
        <v>45699</v>
      </c>
      <c r="C1484" s="57" t="n">
        <f aca="false">YEAR(B1484)</f>
        <v>2025</v>
      </c>
      <c r="D1484" s="57" t="n">
        <f aca="false">MONTH(B1484)</f>
        <v>2</v>
      </c>
      <c r="E1484" s="57" t="s">
        <v>1417</v>
      </c>
      <c r="F1484" s="57" t="s">
        <v>69</v>
      </c>
      <c r="G1484" s="57" t="s">
        <v>35</v>
      </c>
      <c r="H1484" s="57" t="s">
        <v>38</v>
      </c>
      <c r="I1484" s="59" t="n">
        <v>1</v>
      </c>
      <c r="J1484" s="60" t="n">
        <v>49</v>
      </c>
      <c r="K1484" s="60" t="n">
        <v>22</v>
      </c>
      <c r="L1484" s="61" t="n">
        <f aca="false">I1484*J1484</f>
        <v>49</v>
      </c>
      <c r="M1484" s="61" t="n">
        <f aca="false">L1484-I1484*K1484</f>
        <v>27</v>
      </c>
      <c r="N1484" s="57" t="n">
        <f aca="false">IF(COUNTIFS(E$2:E1484,E1484,C$2:C1484,C1484)=1,1,0)</f>
        <v>1</v>
      </c>
      <c r="O1484" s="57" t="n">
        <f aca="false">IF(COUNTIFS(E$2:E1484,E1484,C$2:C1484,C1484,D$2:D1484,D1484)=1,1,0)</f>
        <v>1</v>
      </c>
      <c r="P1484" s="57" t="n">
        <f aca="false">IF(AND(C1484=Calc!$C$3,OR(Calc!$C$4=0,D1484=Calc!$C$4)),ROW(),0)</f>
        <v>1484</v>
      </c>
    </row>
    <row r="1485" customFormat="false" ht="15" hidden="false" customHeight="false" outlineLevel="0" collapsed="false">
      <c r="A1485" s="57" t="s">
        <v>2008</v>
      </c>
      <c r="B1485" s="58" t="n">
        <v>45699</v>
      </c>
      <c r="C1485" s="57" t="n">
        <f aca="false">YEAR(B1485)</f>
        <v>2025</v>
      </c>
      <c r="D1485" s="57" t="n">
        <f aca="false">MONTH(B1485)</f>
        <v>2</v>
      </c>
      <c r="E1485" s="57" t="s">
        <v>95</v>
      </c>
      <c r="F1485" s="57" t="s">
        <v>75</v>
      </c>
      <c r="G1485" s="57" t="s">
        <v>40</v>
      </c>
      <c r="H1485" s="57" t="s">
        <v>39</v>
      </c>
      <c r="I1485" s="59" t="n">
        <v>1</v>
      </c>
      <c r="J1485" s="60" t="n">
        <v>54</v>
      </c>
      <c r="K1485" s="60" t="n">
        <v>19</v>
      </c>
      <c r="L1485" s="61" t="n">
        <f aca="false">I1485*J1485</f>
        <v>54</v>
      </c>
      <c r="M1485" s="61" t="n">
        <f aca="false">L1485-I1485*K1485</f>
        <v>35</v>
      </c>
      <c r="N1485" s="57" t="n">
        <f aca="false">IF(COUNTIFS(E$2:E1485,E1485,C$2:C1485,C1485)=1,1,0)</f>
        <v>1</v>
      </c>
      <c r="O1485" s="57" t="n">
        <f aca="false">IF(COUNTIFS(E$2:E1485,E1485,C$2:C1485,C1485,D$2:D1485,D1485)=1,1,0)</f>
        <v>1</v>
      </c>
      <c r="P1485" s="57" t="n">
        <f aca="false">IF(AND(C1485=Calc!$C$3,OR(Calc!$C$4=0,D1485=Calc!$C$4)),ROW(),0)</f>
        <v>1485</v>
      </c>
    </row>
    <row r="1486" customFormat="false" ht="15" hidden="false" customHeight="false" outlineLevel="0" collapsed="false">
      <c r="A1486" s="57" t="s">
        <v>2009</v>
      </c>
      <c r="B1486" s="58" t="n">
        <v>45699</v>
      </c>
      <c r="C1486" s="57" t="n">
        <f aca="false">YEAR(B1486)</f>
        <v>2025</v>
      </c>
      <c r="D1486" s="57" t="n">
        <f aca="false">MONTH(B1486)</f>
        <v>2</v>
      </c>
      <c r="E1486" s="57" t="s">
        <v>196</v>
      </c>
      <c r="F1486" s="57" t="s">
        <v>69</v>
      </c>
      <c r="G1486" s="57" t="s">
        <v>35</v>
      </c>
      <c r="H1486" s="57" t="s">
        <v>37</v>
      </c>
      <c r="I1486" s="59" t="n">
        <v>1</v>
      </c>
      <c r="J1486" s="60" t="n">
        <v>59</v>
      </c>
      <c r="K1486" s="60" t="n">
        <v>27</v>
      </c>
      <c r="L1486" s="61" t="n">
        <f aca="false">I1486*J1486</f>
        <v>59</v>
      </c>
      <c r="M1486" s="61" t="n">
        <f aca="false">L1486-I1486*K1486</f>
        <v>32</v>
      </c>
      <c r="N1486" s="57" t="n">
        <f aca="false">IF(COUNTIFS(E$2:E1486,E1486,C$2:C1486,C1486)=1,1,0)</f>
        <v>0</v>
      </c>
      <c r="O1486" s="57" t="n">
        <f aca="false">IF(COUNTIFS(E$2:E1486,E1486,C$2:C1486,C1486,D$2:D1486,D1486)=1,1,0)</f>
        <v>1</v>
      </c>
      <c r="P1486" s="57" t="n">
        <f aca="false">IF(AND(C1486=Calc!$C$3,OR(Calc!$C$4=0,D1486=Calc!$C$4)),ROW(),0)</f>
        <v>1486</v>
      </c>
    </row>
    <row r="1487" customFormat="false" ht="15" hidden="false" customHeight="false" outlineLevel="0" collapsed="false">
      <c r="A1487" s="57" t="s">
        <v>2010</v>
      </c>
      <c r="B1487" s="58" t="n">
        <v>45700</v>
      </c>
      <c r="C1487" s="57" t="n">
        <f aca="false">YEAR(B1487)</f>
        <v>2025</v>
      </c>
      <c r="D1487" s="57" t="n">
        <f aca="false">MONTH(B1487)</f>
        <v>2</v>
      </c>
      <c r="E1487" s="57" t="s">
        <v>1149</v>
      </c>
      <c r="F1487" s="57" t="s">
        <v>78</v>
      </c>
      <c r="G1487" s="57" t="s">
        <v>40</v>
      </c>
      <c r="H1487" s="57" t="s">
        <v>41</v>
      </c>
      <c r="I1487" s="59" t="n">
        <v>1</v>
      </c>
      <c r="J1487" s="60" t="n">
        <v>46</v>
      </c>
      <c r="K1487" s="60" t="n">
        <v>16</v>
      </c>
      <c r="L1487" s="61" t="n">
        <f aca="false">I1487*J1487</f>
        <v>46</v>
      </c>
      <c r="M1487" s="61" t="n">
        <f aca="false">L1487-I1487*K1487</f>
        <v>30</v>
      </c>
      <c r="N1487" s="57" t="n">
        <f aca="false">IF(COUNTIFS(E$2:E1487,E1487,C$2:C1487,C1487)=1,1,0)</f>
        <v>1</v>
      </c>
      <c r="O1487" s="57" t="n">
        <f aca="false">IF(COUNTIFS(E$2:E1487,E1487,C$2:C1487,C1487,D$2:D1487,D1487)=1,1,0)</f>
        <v>1</v>
      </c>
      <c r="P1487" s="57" t="n">
        <f aca="false">IF(AND(C1487=Calc!$C$3,OR(Calc!$C$4=0,D1487=Calc!$C$4)),ROW(),0)</f>
        <v>1487</v>
      </c>
    </row>
    <row r="1488" customFormat="false" ht="15" hidden="false" customHeight="false" outlineLevel="0" collapsed="false">
      <c r="A1488" s="57" t="s">
        <v>2011</v>
      </c>
      <c r="B1488" s="58" t="n">
        <v>45700</v>
      </c>
      <c r="C1488" s="57" t="n">
        <f aca="false">YEAR(B1488)</f>
        <v>2025</v>
      </c>
      <c r="D1488" s="57" t="n">
        <f aca="false">MONTH(B1488)</f>
        <v>2</v>
      </c>
      <c r="E1488" s="57" t="s">
        <v>83</v>
      </c>
      <c r="F1488" s="57" t="s">
        <v>75</v>
      </c>
      <c r="G1488" s="57" t="s">
        <v>45</v>
      </c>
      <c r="H1488" s="57" t="s">
        <v>44</v>
      </c>
      <c r="I1488" s="59" t="n">
        <v>1</v>
      </c>
      <c r="J1488" s="60" t="n">
        <v>119</v>
      </c>
      <c r="K1488" s="60" t="n">
        <v>63</v>
      </c>
      <c r="L1488" s="61" t="n">
        <f aca="false">I1488*J1488</f>
        <v>119</v>
      </c>
      <c r="M1488" s="61" t="n">
        <f aca="false">L1488-I1488*K1488</f>
        <v>56</v>
      </c>
      <c r="N1488" s="57" t="n">
        <f aca="false">IF(COUNTIFS(E$2:E1488,E1488,C$2:C1488,C1488)=1,1,0)</f>
        <v>1</v>
      </c>
      <c r="O1488" s="57" t="n">
        <f aca="false">IF(COUNTIFS(E$2:E1488,E1488,C$2:C1488,C1488,D$2:D1488,D1488)=1,1,0)</f>
        <v>1</v>
      </c>
      <c r="P1488" s="57" t="n">
        <f aca="false">IF(AND(C1488=Calc!$C$3,OR(Calc!$C$4=0,D1488=Calc!$C$4)),ROW(),0)</f>
        <v>1488</v>
      </c>
    </row>
    <row r="1489" customFormat="false" ht="15" hidden="false" customHeight="false" outlineLevel="0" collapsed="false">
      <c r="A1489" s="57" t="s">
        <v>2012</v>
      </c>
      <c r="B1489" s="58" t="n">
        <v>45700</v>
      </c>
      <c r="C1489" s="57" t="n">
        <f aca="false">YEAR(B1489)</f>
        <v>2025</v>
      </c>
      <c r="D1489" s="57" t="n">
        <f aca="false">MONTH(B1489)</f>
        <v>2</v>
      </c>
      <c r="E1489" s="57" t="s">
        <v>1014</v>
      </c>
      <c r="F1489" s="57" t="s">
        <v>69</v>
      </c>
      <c r="G1489" s="57" t="s">
        <v>45</v>
      </c>
      <c r="H1489" s="57" t="s">
        <v>47</v>
      </c>
      <c r="I1489" s="59" t="n">
        <v>1</v>
      </c>
      <c r="J1489" s="60" t="n">
        <v>34</v>
      </c>
      <c r="K1489" s="60" t="n">
        <v>12</v>
      </c>
      <c r="L1489" s="61" t="n">
        <f aca="false">I1489*J1489</f>
        <v>34</v>
      </c>
      <c r="M1489" s="61" t="n">
        <f aca="false">L1489-I1489*K1489</f>
        <v>22</v>
      </c>
      <c r="N1489" s="57" t="n">
        <f aca="false">IF(COUNTIFS(E$2:E1489,E1489,C$2:C1489,C1489)=1,1,0)</f>
        <v>0</v>
      </c>
      <c r="O1489" s="57" t="n">
        <f aca="false">IF(COUNTIFS(E$2:E1489,E1489,C$2:C1489,C1489,D$2:D1489,D1489)=1,1,0)</f>
        <v>1</v>
      </c>
      <c r="P1489" s="57" t="n">
        <f aca="false">IF(AND(C1489=Calc!$C$3,OR(Calc!$C$4=0,D1489=Calc!$C$4)),ROW(),0)</f>
        <v>1489</v>
      </c>
    </row>
    <row r="1490" customFormat="false" ht="15" hidden="false" customHeight="false" outlineLevel="0" collapsed="false">
      <c r="A1490" s="57" t="s">
        <v>2013</v>
      </c>
      <c r="B1490" s="58" t="n">
        <v>45701</v>
      </c>
      <c r="C1490" s="57" t="n">
        <f aca="false">YEAR(B1490)</f>
        <v>2025</v>
      </c>
      <c r="D1490" s="57" t="n">
        <f aca="false">MONTH(B1490)</f>
        <v>2</v>
      </c>
      <c r="E1490" s="57" t="s">
        <v>748</v>
      </c>
      <c r="F1490" s="57" t="s">
        <v>72</v>
      </c>
      <c r="G1490" s="57" t="s">
        <v>45</v>
      </c>
      <c r="H1490" s="57" t="s">
        <v>47</v>
      </c>
      <c r="I1490" s="59" t="n">
        <v>1</v>
      </c>
      <c r="J1490" s="60" t="n">
        <v>34</v>
      </c>
      <c r="K1490" s="60" t="n">
        <v>12</v>
      </c>
      <c r="L1490" s="61" t="n">
        <f aca="false">I1490*J1490</f>
        <v>34</v>
      </c>
      <c r="M1490" s="61" t="n">
        <f aca="false">L1490-I1490*K1490</f>
        <v>22</v>
      </c>
      <c r="N1490" s="57" t="n">
        <f aca="false">IF(COUNTIFS(E$2:E1490,E1490,C$2:C1490,C1490)=1,1,0)</f>
        <v>1</v>
      </c>
      <c r="O1490" s="57" t="n">
        <f aca="false">IF(COUNTIFS(E$2:E1490,E1490,C$2:C1490,C1490,D$2:D1490,D1490)=1,1,0)</f>
        <v>1</v>
      </c>
      <c r="P1490" s="57" t="n">
        <f aca="false">IF(AND(C1490=Calc!$C$3,OR(Calc!$C$4=0,D1490=Calc!$C$4)),ROW(),0)</f>
        <v>1490</v>
      </c>
    </row>
    <row r="1491" customFormat="false" ht="15" hidden="false" customHeight="false" outlineLevel="0" collapsed="false">
      <c r="A1491" s="57" t="s">
        <v>2014</v>
      </c>
      <c r="B1491" s="58" t="n">
        <v>45701</v>
      </c>
      <c r="C1491" s="57" t="n">
        <f aca="false">YEAR(B1491)</f>
        <v>2025</v>
      </c>
      <c r="D1491" s="57" t="n">
        <f aca="false">MONTH(B1491)</f>
        <v>2</v>
      </c>
      <c r="E1491" s="57" t="s">
        <v>691</v>
      </c>
      <c r="F1491" s="57" t="s">
        <v>69</v>
      </c>
      <c r="G1491" s="57" t="s">
        <v>45</v>
      </c>
      <c r="H1491" s="57" t="s">
        <v>48</v>
      </c>
      <c r="I1491" s="59" t="n">
        <v>1</v>
      </c>
      <c r="J1491" s="60" t="n">
        <v>99</v>
      </c>
      <c r="K1491" s="60" t="n">
        <v>38</v>
      </c>
      <c r="L1491" s="61" t="n">
        <f aca="false">I1491*J1491</f>
        <v>99</v>
      </c>
      <c r="M1491" s="61" t="n">
        <f aca="false">L1491-I1491*K1491</f>
        <v>61</v>
      </c>
      <c r="N1491" s="57" t="n">
        <f aca="false">IF(COUNTIFS(E$2:E1491,E1491,C$2:C1491,C1491)=1,1,0)</f>
        <v>1</v>
      </c>
      <c r="O1491" s="57" t="n">
        <f aca="false">IF(COUNTIFS(E$2:E1491,E1491,C$2:C1491,C1491,D$2:D1491,D1491)=1,1,0)</f>
        <v>1</v>
      </c>
      <c r="P1491" s="57" t="n">
        <f aca="false">IF(AND(C1491=Calc!$C$3,OR(Calc!$C$4=0,D1491=Calc!$C$4)),ROW(),0)</f>
        <v>1491</v>
      </c>
    </row>
    <row r="1492" customFormat="false" ht="15" hidden="false" customHeight="false" outlineLevel="0" collapsed="false">
      <c r="A1492" s="57" t="s">
        <v>2015</v>
      </c>
      <c r="B1492" s="58" t="n">
        <v>45701</v>
      </c>
      <c r="C1492" s="57" t="n">
        <f aca="false">YEAR(B1492)</f>
        <v>2025</v>
      </c>
      <c r="D1492" s="57" t="n">
        <f aca="false">MONTH(B1492)</f>
        <v>2</v>
      </c>
      <c r="E1492" s="57" t="s">
        <v>899</v>
      </c>
      <c r="F1492" s="57" t="s">
        <v>75</v>
      </c>
      <c r="G1492" s="57" t="s">
        <v>40</v>
      </c>
      <c r="H1492" s="57" t="s">
        <v>43</v>
      </c>
      <c r="I1492" s="59" t="n">
        <v>1</v>
      </c>
      <c r="J1492" s="60" t="n">
        <v>29</v>
      </c>
      <c r="K1492" s="60" t="n">
        <v>9</v>
      </c>
      <c r="L1492" s="61" t="n">
        <f aca="false">I1492*J1492</f>
        <v>29</v>
      </c>
      <c r="M1492" s="61" t="n">
        <f aca="false">L1492-I1492*K1492</f>
        <v>20</v>
      </c>
      <c r="N1492" s="57" t="n">
        <f aca="false">IF(COUNTIFS(E$2:E1492,E1492,C$2:C1492,C1492)=1,1,0)</f>
        <v>1</v>
      </c>
      <c r="O1492" s="57" t="n">
        <f aca="false">IF(COUNTIFS(E$2:E1492,E1492,C$2:C1492,C1492,D$2:D1492,D1492)=1,1,0)</f>
        <v>1</v>
      </c>
      <c r="P1492" s="57" t="n">
        <f aca="false">IF(AND(C1492=Calc!$C$3,OR(Calc!$C$4=0,D1492=Calc!$C$4)),ROW(),0)</f>
        <v>1492</v>
      </c>
    </row>
    <row r="1493" customFormat="false" ht="15" hidden="false" customHeight="false" outlineLevel="0" collapsed="false">
      <c r="A1493" s="57" t="s">
        <v>2016</v>
      </c>
      <c r="B1493" s="58" t="n">
        <v>45701</v>
      </c>
      <c r="C1493" s="57" t="n">
        <f aca="false">YEAR(B1493)</f>
        <v>2025</v>
      </c>
      <c r="D1493" s="57" t="n">
        <f aca="false">MONTH(B1493)</f>
        <v>2</v>
      </c>
      <c r="E1493" s="57" t="s">
        <v>446</v>
      </c>
      <c r="F1493" s="57" t="s">
        <v>75</v>
      </c>
      <c r="G1493" s="57" t="s">
        <v>35</v>
      </c>
      <c r="H1493" s="57" t="s">
        <v>38</v>
      </c>
      <c r="I1493" s="59" t="n">
        <v>1</v>
      </c>
      <c r="J1493" s="60" t="n">
        <v>49</v>
      </c>
      <c r="K1493" s="60" t="n">
        <v>22</v>
      </c>
      <c r="L1493" s="61" t="n">
        <f aca="false">I1493*J1493</f>
        <v>49</v>
      </c>
      <c r="M1493" s="61" t="n">
        <f aca="false">L1493-I1493*K1493</f>
        <v>27</v>
      </c>
      <c r="N1493" s="57" t="n">
        <f aca="false">IF(COUNTIFS(E$2:E1493,E1493,C$2:C1493,C1493)=1,1,0)</f>
        <v>1</v>
      </c>
      <c r="O1493" s="57" t="n">
        <f aca="false">IF(COUNTIFS(E$2:E1493,E1493,C$2:C1493,C1493,D$2:D1493,D1493)=1,1,0)</f>
        <v>1</v>
      </c>
      <c r="P1493" s="57" t="n">
        <f aca="false">IF(AND(C1493=Calc!$C$3,OR(Calc!$C$4=0,D1493=Calc!$C$4)),ROW(),0)</f>
        <v>1493</v>
      </c>
    </row>
    <row r="1494" customFormat="false" ht="15" hidden="false" customHeight="false" outlineLevel="0" collapsed="false">
      <c r="A1494" s="57" t="s">
        <v>2017</v>
      </c>
      <c r="B1494" s="58" t="n">
        <v>45702</v>
      </c>
      <c r="C1494" s="57" t="n">
        <f aca="false">YEAR(B1494)</f>
        <v>2025</v>
      </c>
      <c r="D1494" s="57" t="n">
        <f aca="false">MONTH(B1494)</f>
        <v>2</v>
      </c>
      <c r="E1494" s="57" t="s">
        <v>477</v>
      </c>
      <c r="F1494" s="57" t="s">
        <v>78</v>
      </c>
      <c r="G1494" s="57" t="s">
        <v>40</v>
      </c>
      <c r="H1494" s="57" t="s">
        <v>43</v>
      </c>
      <c r="I1494" s="59" t="n">
        <v>1</v>
      </c>
      <c r="J1494" s="60" t="n">
        <v>29</v>
      </c>
      <c r="K1494" s="60" t="n">
        <v>9</v>
      </c>
      <c r="L1494" s="61" t="n">
        <f aca="false">I1494*J1494</f>
        <v>29</v>
      </c>
      <c r="M1494" s="61" t="n">
        <f aca="false">L1494-I1494*K1494</f>
        <v>20</v>
      </c>
      <c r="N1494" s="57" t="n">
        <f aca="false">IF(COUNTIFS(E$2:E1494,E1494,C$2:C1494,C1494)=1,1,0)</f>
        <v>1</v>
      </c>
      <c r="O1494" s="57" t="n">
        <f aca="false">IF(COUNTIFS(E$2:E1494,E1494,C$2:C1494,C1494,D$2:D1494,D1494)=1,1,0)</f>
        <v>1</v>
      </c>
      <c r="P1494" s="57" t="n">
        <f aca="false">IF(AND(C1494=Calc!$C$3,OR(Calc!$C$4=0,D1494=Calc!$C$4)),ROW(),0)</f>
        <v>1494</v>
      </c>
    </row>
    <row r="1495" customFormat="false" ht="15" hidden="false" customHeight="false" outlineLevel="0" collapsed="false">
      <c r="A1495" s="57" t="s">
        <v>2018</v>
      </c>
      <c r="B1495" s="58" t="n">
        <v>45702</v>
      </c>
      <c r="C1495" s="57" t="n">
        <f aca="false">YEAR(B1495)</f>
        <v>2025</v>
      </c>
      <c r="D1495" s="57" t="n">
        <f aca="false">MONTH(B1495)</f>
        <v>2</v>
      </c>
      <c r="E1495" s="57" t="s">
        <v>528</v>
      </c>
      <c r="F1495" s="57" t="s">
        <v>78</v>
      </c>
      <c r="G1495" s="57" t="s">
        <v>45</v>
      </c>
      <c r="H1495" s="57" t="s">
        <v>47</v>
      </c>
      <c r="I1495" s="59" t="n">
        <v>1</v>
      </c>
      <c r="J1495" s="60" t="n">
        <v>34</v>
      </c>
      <c r="K1495" s="60" t="n">
        <v>12</v>
      </c>
      <c r="L1495" s="61" t="n">
        <f aca="false">I1495*J1495</f>
        <v>34</v>
      </c>
      <c r="M1495" s="61" t="n">
        <f aca="false">L1495-I1495*K1495</f>
        <v>22</v>
      </c>
      <c r="N1495" s="57" t="n">
        <f aca="false">IF(COUNTIFS(E$2:E1495,E1495,C$2:C1495,C1495)=1,1,0)</f>
        <v>0</v>
      </c>
      <c r="O1495" s="57" t="n">
        <f aca="false">IF(COUNTIFS(E$2:E1495,E1495,C$2:C1495,C1495,D$2:D1495,D1495)=1,1,0)</f>
        <v>0</v>
      </c>
      <c r="P1495" s="57" t="n">
        <f aca="false">IF(AND(C1495=Calc!$C$3,OR(Calc!$C$4=0,D1495=Calc!$C$4)),ROW(),0)</f>
        <v>1495</v>
      </c>
    </row>
    <row r="1496" customFormat="false" ht="15" hidden="false" customHeight="false" outlineLevel="0" collapsed="false">
      <c r="A1496" s="57" t="s">
        <v>2019</v>
      </c>
      <c r="B1496" s="58" t="n">
        <v>45702</v>
      </c>
      <c r="C1496" s="57" t="n">
        <f aca="false">YEAR(B1496)</f>
        <v>2025</v>
      </c>
      <c r="D1496" s="57" t="n">
        <f aca="false">MONTH(B1496)</f>
        <v>2</v>
      </c>
      <c r="E1496" s="57" t="s">
        <v>601</v>
      </c>
      <c r="F1496" s="57" t="s">
        <v>78</v>
      </c>
      <c r="G1496" s="57" t="s">
        <v>45</v>
      </c>
      <c r="H1496" s="57" t="s">
        <v>48</v>
      </c>
      <c r="I1496" s="59" t="n">
        <v>1</v>
      </c>
      <c r="J1496" s="60" t="n">
        <v>99</v>
      </c>
      <c r="K1496" s="60" t="n">
        <v>38</v>
      </c>
      <c r="L1496" s="61" t="n">
        <f aca="false">I1496*J1496</f>
        <v>99</v>
      </c>
      <c r="M1496" s="61" t="n">
        <f aca="false">L1496-I1496*K1496</f>
        <v>61</v>
      </c>
      <c r="N1496" s="57" t="n">
        <f aca="false">IF(COUNTIFS(E$2:E1496,E1496,C$2:C1496,C1496)=1,1,0)</f>
        <v>0</v>
      </c>
      <c r="O1496" s="57" t="n">
        <f aca="false">IF(COUNTIFS(E$2:E1496,E1496,C$2:C1496,C1496,D$2:D1496,D1496)=1,1,0)</f>
        <v>1</v>
      </c>
      <c r="P1496" s="57" t="n">
        <f aca="false">IF(AND(C1496=Calc!$C$3,OR(Calc!$C$4=0,D1496=Calc!$C$4)),ROW(),0)</f>
        <v>1496</v>
      </c>
    </row>
    <row r="1497" customFormat="false" ht="15" hidden="false" customHeight="false" outlineLevel="0" collapsed="false">
      <c r="A1497" s="57" t="s">
        <v>2020</v>
      </c>
      <c r="B1497" s="58" t="n">
        <v>45702</v>
      </c>
      <c r="C1497" s="57" t="n">
        <f aca="false">YEAR(B1497)</f>
        <v>2025</v>
      </c>
      <c r="D1497" s="57" t="n">
        <f aca="false">MONTH(B1497)</f>
        <v>2</v>
      </c>
      <c r="E1497" s="57" t="s">
        <v>384</v>
      </c>
      <c r="F1497" s="57" t="s">
        <v>72</v>
      </c>
      <c r="G1497" s="57" t="s">
        <v>40</v>
      </c>
      <c r="H1497" s="57" t="s">
        <v>41</v>
      </c>
      <c r="I1497" s="59" t="n">
        <v>2</v>
      </c>
      <c r="J1497" s="60" t="n">
        <v>46</v>
      </c>
      <c r="K1497" s="60" t="n">
        <v>16</v>
      </c>
      <c r="L1497" s="61" t="n">
        <f aca="false">I1497*J1497</f>
        <v>92</v>
      </c>
      <c r="M1497" s="61" t="n">
        <f aca="false">L1497-I1497*K1497</f>
        <v>60</v>
      </c>
      <c r="N1497" s="57" t="n">
        <f aca="false">IF(COUNTIFS(E$2:E1497,E1497,C$2:C1497,C1497)=1,1,0)</f>
        <v>1</v>
      </c>
      <c r="O1497" s="57" t="n">
        <f aca="false">IF(COUNTIFS(E$2:E1497,E1497,C$2:C1497,C1497,D$2:D1497,D1497)=1,1,0)</f>
        <v>1</v>
      </c>
      <c r="P1497" s="57" t="n">
        <f aca="false">IF(AND(C1497=Calc!$C$3,OR(Calc!$C$4=0,D1497=Calc!$C$4)),ROW(),0)</f>
        <v>1497</v>
      </c>
    </row>
    <row r="1498" customFormat="false" ht="15" hidden="false" customHeight="false" outlineLevel="0" collapsed="false">
      <c r="A1498" s="57" t="s">
        <v>2021</v>
      </c>
      <c r="B1498" s="58" t="n">
        <v>45703</v>
      </c>
      <c r="C1498" s="57" t="n">
        <f aca="false">YEAR(B1498)</f>
        <v>2025</v>
      </c>
      <c r="D1498" s="57" t="n">
        <f aca="false">MONTH(B1498)</f>
        <v>2</v>
      </c>
      <c r="E1498" s="57" t="s">
        <v>395</v>
      </c>
      <c r="F1498" s="57" t="s">
        <v>69</v>
      </c>
      <c r="G1498" s="57" t="s">
        <v>50</v>
      </c>
      <c r="H1498" s="57" t="s">
        <v>51</v>
      </c>
      <c r="I1498" s="59" t="n">
        <v>1</v>
      </c>
      <c r="J1498" s="60" t="n">
        <v>69</v>
      </c>
      <c r="K1498" s="60" t="n">
        <v>29</v>
      </c>
      <c r="L1498" s="61" t="n">
        <f aca="false">I1498*J1498</f>
        <v>69</v>
      </c>
      <c r="M1498" s="61" t="n">
        <f aca="false">L1498-I1498*K1498</f>
        <v>40</v>
      </c>
      <c r="N1498" s="57" t="n">
        <f aca="false">IF(COUNTIFS(E$2:E1498,E1498,C$2:C1498,C1498)=1,1,0)</f>
        <v>0</v>
      </c>
      <c r="O1498" s="57" t="n">
        <f aca="false">IF(COUNTIFS(E$2:E1498,E1498,C$2:C1498,C1498,D$2:D1498,D1498)=1,1,0)</f>
        <v>1</v>
      </c>
      <c r="P1498" s="57" t="n">
        <f aca="false">IF(AND(C1498=Calc!$C$3,OR(Calc!$C$4=0,D1498=Calc!$C$4)),ROW(),0)</f>
        <v>1498</v>
      </c>
    </row>
    <row r="1499" customFormat="false" ht="15" hidden="false" customHeight="false" outlineLevel="0" collapsed="false">
      <c r="A1499" s="57" t="s">
        <v>2022</v>
      </c>
      <c r="B1499" s="58" t="n">
        <v>45703</v>
      </c>
      <c r="C1499" s="57" t="n">
        <f aca="false">YEAR(B1499)</f>
        <v>2025</v>
      </c>
      <c r="D1499" s="57" t="n">
        <f aca="false">MONTH(B1499)</f>
        <v>2</v>
      </c>
      <c r="E1499" s="57" t="s">
        <v>1145</v>
      </c>
      <c r="F1499" s="57" t="s">
        <v>78</v>
      </c>
      <c r="G1499" s="57" t="s">
        <v>35</v>
      </c>
      <c r="H1499" s="57" t="s">
        <v>37</v>
      </c>
      <c r="I1499" s="59" t="n">
        <v>1</v>
      </c>
      <c r="J1499" s="60" t="n">
        <v>59</v>
      </c>
      <c r="K1499" s="60" t="n">
        <v>27</v>
      </c>
      <c r="L1499" s="61" t="n">
        <f aca="false">I1499*J1499</f>
        <v>59</v>
      </c>
      <c r="M1499" s="61" t="n">
        <f aca="false">L1499-I1499*K1499</f>
        <v>32</v>
      </c>
      <c r="N1499" s="57" t="n">
        <f aca="false">IF(COUNTIFS(E$2:E1499,E1499,C$2:C1499,C1499)=1,1,0)</f>
        <v>1</v>
      </c>
      <c r="O1499" s="57" t="n">
        <f aca="false">IF(COUNTIFS(E$2:E1499,E1499,C$2:C1499,C1499,D$2:D1499,D1499)=1,1,0)</f>
        <v>1</v>
      </c>
      <c r="P1499" s="57" t="n">
        <f aca="false">IF(AND(C1499=Calc!$C$3,OR(Calc!$C$4=0,D1499=Calc!$C$4)),ROW(),0)</f>
        <v>1499</v>
      </c>
    </row>
    <row r="1500" customFormat="false" ht="15" hidden="false" customHeight="false" outlineLevel="0" collapsed="false">
      <c r="A1500" s="57" t="s">
        <v>2023</v>
      </c>
      <c r="B1500" s="58" t="n">
        <v>45703</v>
      </c>
      <c r="C1500" s="57" t="n">
        <f aca="false">YEAR(B1500)</f>
        <v>2025</v>
      </c>
      <c r="D1500" s="57" t="n">
        <f aca="false">MONTH(B1500)</f>
        <v>2</v>
      </c>
      <c r="E1500" s="57" t="s">
        <v>547</v>
      </c>
      <c r="F1500" s="57" t="s">
        <v>72</v>
      </c>
      <c r="G1500" s="57" t="s">
        <v>35</v>
      </c>
      <c r="H1500" s="57" t="s">
        <v>36</v>
      </c>
      <c r="I1500" s="59" t="n">
        <v>1</v>
      </c>
      <c r="J1500" s="60" t="n">
        <v>179</v>
      </c>
      <c r="K1500" s="60" t="n">
        <v>92</v>
      </c>
      <c r="L1500" s="61" t="n">
        <f aca="false">I1500*J1500</f>
        <v>179</v>
      </c>
      <c r="M1500" s="61" t="n">
        <f aca="false">L1500-I1500*K1500</f>
        <v>87</v>
      </c>
      <c r="N1500" s="57" t="n">
        <f aca="false">IF(COUNTIFS(E$2:E1500,E1500,C$2:C1500,C1500)=1,1,0)</f>
        <v>1</v>
      </c>
      <c r="O1500" s="57" t="n">
        <f aca="false">IF(COUNTIFS(E$2:E1500,E1500,C$2:C1500,C1500,D$2:D1500,D1500)=1,1,0)</f>
        <v>1</v>
      </c>
      <c r="P1500" s="57" t="n">
        <f aca="false">IF(AND(C1500=Calc!$C$3,OR(Calc!$C$4=0,D1500=Calc!$C$4)),ROW(),0)</f>
        <v>1500</v>
      </c>
    </row>
    <row r="1501" customFormat="false" ht="15" hidden="false" customHeight="false" outlineLevel="0" collapsed="false">
      <c r="A1501" s="57" t="s">
        <v>2024</v>
      </c>
      <c r="B1501" s="58" t="n">
        <v>45703</v>
      </c>
      <c r="C1501" s="57" t="n">
        <f aca="false">YEAR(B1501)</f>
        <v>2025</v>
      </c>
      <c r="D1501" s="57" t="n">
        <f aca="false">MONTH(B1501)</f>
        <v>2</v>
      </c>
      <c r="E1501" s="57" t="s">
        <v>181</v>
      </c>
      <c r="F1501" s="57" t="s">
        <v>69</v>
      </c>
      <c r="G1501" s="57" t="s">
        <v>35</v>
      </c>
      <c r="H1501" s="57" t="s">
        <v>38</v>
      </c>
      <c r="I1501" s="59" t="n">
        <v>1</v>
      </c>
      <c r="J1501" s="60" t="n">
        <v>49</v>
      </c>
      <c r="K1501" s="60" t="n">
        <v>22</v>
      </c>
      <c r="L1501" s="61" t="n">
        <f aca="false">I1501*J1501</f>
        <v>49</v>
      </c>
      <c r="M1501" s="61" t="n">
        <f aca="false">L1501-I1501*K1501</f>
        <v>27</v>
      </c>
      <c r="N1501" s="57" t="n">
        <f aca="false">IF(COUNTIFS(E$2:E1501,E1501,C$2:C1501,C1501)=1,1,0)</f>
        <v>0</v>
      </c>
      <c r="O1501" s="57" t="n">
        <f aca="false">IF(COUNTIFS(E$2:E1501,E1501,C$2:C1501,C1501,D$2:D1501,D1501)=1,1,0)</f>
        <v>1</v>
      </c>
      <c r="P1501" s="57" t="n">
        <f aca="false">IF(AND(C1501=Calc!$C$3,OR(Calc!$C$4=0,D1501=Calc!$C$4)),ROW(),0)</f>
        <v>1501</v>
      </c>
    </row>
    <row r="1502" customFormat="false" ht="15" hidden="false" customHeight="false" outlineLevel="0" collapsed="false">
      <c r="A1502" s="57" t="s">
        <v>2025</v>
      </c>
      <c r="B1502" s="58" t="n">
        <v>45704</v>
      </c>
      <c r="C1502" s="57" t="n">
        <f aca="false">YEAR(B1502)</f>
        <v>2025</v>
      </c>
      <c r="D1502" s="57" t="n">
        <f aca="false">MONTH(B1502)</f>
        <v>2</v>
      </c>
      <c r="E1502" s="57" t="s">
        <v>1919</v>
      </c>
      <c r="F1502" s="57" t="s">
        <v>75</v>
      </c>
      <c r="G1502" s="57" t="s">
        <v>35</v>
      </c>
      <c r="H1502" s="57" t="s">
        <v>38</v>
      </c>
      <c r="I1502" s="59" t="n">
        <v>3</v>
      </c>
      <c r="J1502" s="60" t="n">
        <v>49</v>
      </c>
      <c r="K1502" s="60" t="n">
        <v>22</v>
      </c>
      <c r="L1502" s="61" t="n">
        <f aca="false">I1502*J1502</f>
        <v>147</v>
      </c>
      <c r="M1502" s="61" t="n">
        <f aca="false">L1502-I1502*K1502</f>
        <v>81</v>
      </c>
      <c r="N1502" s="57" t="n">
        <f aca="false">IF(COUNTIFS(E$2:E1502,E1502,C$2:C1502,C1502)=1,1,0)</f>
        <v>0</v>
      </c>
      <c r="O1502" s="57" t="n">
        <f aca="false">IF(COUNTIFS(E$2:E1502,E1502,C$2:C1502,C1502,D$2:D1502,D1502)=1,1,0)</f>
        <v>1</v>
      </c>
      <c r="P1502" s="57" t="n">
        <f aca="false">IF(AND(C1502=Calc!$C$3,OR(Calc!$C$4=0,D1502=Calc!$C$4)),ROW(),0)</f>
        <v>1502</v>
      </c>
    </row>
    <row r="1503" customFormat="false" ht="15" hidden="false" customHeight="false" outlineLevel="0" collapsed="false">
      <c r="A1503" s="57" t="s">
        <v>2026</v>
      </c>
      <c r="B1503" s="58" t="n">
        <v>45704</v>
      </c>
      <c r="C1503" s="57" t="n">
        <f aca="false">YEAR(B1503)</f>
        <v>2025</v>
      </c>
      <c r="D1503" s="57" t="n">
        <f aca="false">MONTH(B1503)</f>
        <v>2</v>
      </c>
      <c r="E1503" s="57" t="s">
        <v>189</v>
      </c>
      <c r="F1503" s="57" t="s">
        <v>69</v>
      </c>
      <c r="G1503" s="57" t="s">
        <v>35</v>
      </c>
      <c r="H1503" s="57" t="s">
        <v>36</v>
      </c>
      <c r="I1503" s="59" t="n">
        <v>1</v>
      </c>
      <c r="J1503" s="60" t="n">
        <v>179</v>
      </c>
      <c r="K1503" s="60" t="n">
        <v>92</v>
      </c>
      <c r="L1503" s="61" t="n">
        <f aca="false">I1503*J1503</f>
        <v>179</v>
      </c>
      <c r="M1503" s="61" t="n">
        <f aca="false">L1503-I1503*K1503</f>
        <v>87</v>
      </c>
      <c r="N1503" s="57" t="n">
        <f aca="false">IF(COUNTIFS(E$2:E1503,E1503,C$2:C1503,C1503)=1,1,0)</f>
        <v>0</v>
      </c>
      <c r="O1503" s="57" t="n">
        <f aca="false">IF(COUNTIFS(E$2:E1503,E1503,C$2:C1503,C1503,D$2:D1503,D1503)=1,1,0)</f>
        <v>1</v>
      </c>
      <c r="P1503" s="57" t="n">
        <f aca="false">IF(AND(C1503=Calc!$C$3,OR(Calc!$C$4=0,D1503=Calc!$C$4)),ROW(),0)</f>
        <v>1503</v>
      </c>
    </row>
    <row r="1504" customFormat="false" ht="15" hidden="false" customHeight="false" outlineLevel="0" collapsed="false">
      <c r="A1504" s="57" t="s">
        <v>2027</v>
      </c>
      <c r="B1504" s="58" t="n">
        <v>45705</v>
      </c>
      <c r="C1504" s="57" t="n">
        <f aca="false">YEAR(B1504)</f>
        <v>2025</v>
      </c>
      <c r="D1504" s="57" t="n">
        <f aca="false">MONTH(B1504)</f>
        <v>2</v>
      </c>
      <c r="E1504" s="57" t="s">
        <v>221</v>
      </c>
      <c r="F1504" s="57" t="s">
        <v>69</v>
      </c>
      <c r="G1504" s="57" t="s">
        <v>40</v>
      </c>
      <c r="H1504" s="57" t="s">
        <v>39</v>
      </c>
      <c r="I1504" s="59" t="n">
        <v>1</v>
      </c>
      <c r="J1504" s="60" t="n">
        <v>54</v>
      </c>
      <c r="K1504" s="60" t="n">
        <v>19</v>
      </c>
      <c r="L1504" s="61" t="n">
        <f aca="false">I1504*J1504</f>
        <v>54</v>
      </c>
      <c r="M1504" s="61" t="n">
        <f aca="false">L1504-I1504*K1504</f>
        <v>35</v>
      </c>
      <c r="N1504" s="57" t="n">
        <f aca="false">IF(COUNTIFS(E$2:E1504,E1504,C$2:C1504,C1504)=1,1,0)</f>
        <v>0</v>
      </c>
      <c r="O1504" s="57" t="n">
        <f aca="false">IF(COUNTIFS(E$2:E1504,E1504,C$2:C1504,C1504,D$2:D1504,D1504)=1,1,0)</f>
        <v>1</v>
      </c>
      <c r="P1504" s="57" t="n">
        <f aca="false">IF(AND(C1504=Calc!$C$3,OR(Calc!$C$4=0,D1504=Calc!$C$4)),ROW(),0)</f>
        <v>1504</v>
      </c>
    </row>
    <row r="1505" customFormat="false" ht="15" hidden="false" customHeight="false" outlineLevel="0" collapsed="false">
      <c r="A1505" s="57" t="s">
        <v>2028</v>
      </c>
      <c r="B1505" s="58" t="n">
        <v>45705</v>
      </c>
      <c r="C1505" s="57" t="n">
        <f aca="false">YEAR(B1505)</f>
        <v>2025</v>
      </c>
      <c r="D1505" s="57" t="n">
        <f aca="false">MONTH(B1505)</f>
        <v>2</v>
      </c>
      <c r="E1505" s="57" t="s">
        <v>409</v>
      </c>
      <c r="F1505" s="57" t="s">
        <v>75</v>
      </c>
      <c r="G1505" s="57" t="s">
        <v>45</v>
      </c>
      <c r="H1505" s="57" t="s">
        <v>47</v>
      </c>
      <c r="I1505" s="59" t="n">
        <v>1</v>
      </c>
      <c r="J1505" s="60" t="n">
        <v>34</v>
      </c>
      <c r="K1505" s="60" t="n">
        <v>12</v>
      </c>
      <c r="L1505" s="61" t="n">
        <f aca="false">I1505*J1505</f>
        <v>34</v>
      </c>
      <c r="M1505" s="61" t="n">
        <f aca="false">L1505-I1505*K1505</f>
        <v>22</v>
      </c>
      <c r="N1505" s="57" t="n">
        <f aca="false">IF(COUNTIFS(E$2:E1505,E1505,C$2:C1505,C1505)=1,1,0)</f>
        <v>1</v>
      </c>
      <c r="O1505" s="57" t="n">
        <f aca="false">IF(COUNTIFS(E$2:E1505,E1505,C$2:C1505,C1505,D$2:D1505,D1505)=1,1,0)</f>
        <v>1</v>
      </c>
      <c r="P1505" s="57" t="n">
        <f aca="false">IF(AND(C1505=Calc!$C$3,OR(Calc!$C$4=0,D1505=Calc!$C$4)),ROW(),0)</f>
        <v>1505</v>
      </c>
    </row>
    <row r="1506" customFormat="false" ht="15" hidden="false" customHeight="false" outlineLevel="0" collapsed="false">
      <c r="A1506" s="57" t="s">
        <v>2029</v>
      </c>
      <c r="B1506" s="58" t="n">
        <v>45705</v>
      </c>
      <c r="C1506" s="57" t="n">
        <f aca="false">YEAR(B1506)</f>
        <v>2025</v>
      </c>
      <c r="D1506" s="57" t="n">
        <f aca="false">MONTH(B1506)</f>
        <v>2</v>
      </c>
      <c r="E1506" s="57" t="s">
        <v>68</v>
      </c>
      <c r="F1506" s="57" t="s">
        <v>69</v>
      </c>
      <c r="G1506" s="57" t="s">
        <v>35</v>
      </c>
      <c r="H1506" s="57" t="s">
        <v>34</v>
      </c>
      <c r="I1506" s="59" t="n">
        <v>3</v>
      </c>
      <c r="J1506" s="60" t="n">
        <v>89</v>
      </c>
      <c r="K1506" s="60" t="n">
        <v>41</v>
      </c>
      <c r="L1506" s="61" t="n">
        <f aca="false">I1506*J1506</f>
        <v>267</v>
      </c>
      <c r="M1506" s="61" t="n">
        <f aca="false">L1506-I1506*K1506</f>
        <v>144</v>
      </c>
      <c r="N1506" s="57" t="n">
        <f aca="false">IF(COUNTIFS(E$2:E1506,E1506,C$2:C1506,C1506)=1,1,0)</f>
        <v>0</v>
      </c>
      <c r="O1506" s="57" t="n">
        <f aca="false">IF(COUNTIFS(E$2:E1506,E1506,C$2:C1506,C1506,D$2:D1506,D1506)=1,1,0)</f>
        <v>1</v>
      </c>
      <c r="P1506" s="57" t="n">
        <f aca="false">IF(AND(C1506=Calc!$C$3,OR(Calc!$C$4=0,D1506=Calc!$C$4)),ROW(),0)</f>
        <v>1506</v>
      </c>
    </row>
    <row r="1507" customFormat="false" ht="15" hidden="false" customHeight="false" outlineLevel="0" collapsed="false">
      <c r="A1507" s="57" t="s">
        <v>2030</v>
      </c>
      <c r="B1507" s="58" t="n">
        <v>45706</v>
      </c>
      <c r="C1507" s="57" t="n">
        <f aca="false">YEAR(B1507)</f>
        <v>2025</v>
      </c>
      <c r="D1507" s="57" t="n">
        <f aca="false">MONTH(B1507)</f>
        <v>2</v>
      </c>
      <c r="E1507" s="57" t="s">
        <v>1854</v>
      </c>
      <c r="F1507" s="57" t="s">
        <v>69</v>
      </c>
      <c r="G1507" s="57" t="s">
        <v>45</v>
      </c>
      <c r="H1507" s="57" t="s">
        <v>48</v>
      </c>
      <c r="I1507" s="59" t="n">
        <v>1</v>
      </c>
      <c r="J1507" s="60" t="n">
        <v>99</v>
      </c>
      <c r="K1507" s="60" t="n">
        <v>38</v>
      </c>
      <c r="L1507" s="61" t="n">
        <f aca="false">I1507*J1507</f>
        <v>99</v>
      </c>
      <c r="M1507" s="61" t="n">
        <f aca="false">L1507-I1507*K1507</f>
        <v>61</v>
      </c>
      <c r="N1507" s="57" t="n">
        <f aca="false">IF(COUNTIFS(E$2:E1507,E1507,C$2:C1507,C1507)=1,1,0)</f>
        <v>1</v>
      </c>
      <c r="O1507" s="57" t="n">
        <f aca="false">IF(COUNTIFS(E$2:E1507,E1507,C$2:C1507,C1507,D$2:D1507,D1507)=1,1,0)</f>
        <v>1</v>
      </c>
      <c r="P1507" s="57" t="n">
        <f aca="false">IF(AND(C1507=Calc!$C$3,OR(Calc!$C$4=0,D1507=Calc!$C$4)),ROW(),0)</f>
        <v>1507</v>
      </c>
    </row>
    <row r="1508" customFormat="false" ht="15" hidden="false" customHeight="false" outlineLevel="0" collapsed="false">
      <c r="A1508" s="57" t="s">
        <v>2031</v>
      </c>
      <c r="B1508" s="58" t="n">
        <v>45706</v>
      </c>
      <c r="C1508" s="57" t="n">
        <f aca="false">YEAR(B1508)</f>
        <v>2025</v>
      </c>
      <c r="D1508" s="57" t="n">
        <f aca="false">MONTH(B1508)</f>
        <v>2</v>
      </c>
      <c r="E1508" s="57" t="s">
        <v>156</v>
      </c>
      <c r="F1508" s="57" t="s">
        <v>75</v>
      </c>
      <c r="G1508" s="57" t="s">
        <v>50</v>
      </c>
      <c r="H1508" s="57" t="s">
        <v>51</v>
      </c>
      <c r="I1508" s="59" t="n">
        <v>3</v>
      </c>
      <c r="J1508" s="60" t="n">
        <v>69</v>
      </c>
      <c r="K1508" s="60" t="n">
        <v>29</v>
      </c>
      <c r="L1508" s="61" t="n">
        <f aca="false">I1508*J1508</f>
        <v>207</v>
      </c>
      <c r="M1508" s="61" t="n">
        <f aca="false">L1508-I1508*K1508</f>
        <v>120</v>
      </c>
      <c r="N1508" s="57" t="n">
        <f aca="false">IF(COUNTIFS(E$2:E1508,E1508,C$2:C1508,C1508)=1,1,0)</f>
        <v>0</v>
      </c>
      <c r="O1508" s="57" t="n">
        <f aca="false">IF(COUNTIFS(E$2:E1508,E1508,C$2:C1508,C1508,D$2:D1508,D1508)=1,1,0)</f>
        <v>1</v>
      </c>
      <c r="P1508" s="57" t="n">
        <f aca="false">IF(AND(C1508=Calc!$C$3,OR(Calc!$C$4=0,D1508=Calc!$C$4)),ROW(),0)</f>
        <v>1508</v>
      </c>
    </row>
    <row r="1509" customFormat="false" ht="15" hidden="false" customHeight="false" outlineLevel="0" collapsed="false">
      <c r="A1509" s="57" t="s">
        <v>2032</v>
      </c>
      <c r="B1509" s="58" t="n">
        <v>45706</v>
      </c>
      <c r="C1509" s="57" t="n">
        <f aca="false">YEAR(B1509)</f>
        <v>2025</v>
      </c>
      <c r="D1509" s="57" t="n">
        <f aca="false">MONTH(B1509)</f>
        <v>2</v>
      </c>
      <c r="E1509" s="57" t="s">
        <v>448</v>
      </c>
      <c r="F1509" s="57" t="s">
        <v>69</v>
      </c>
      <c r="G1509" s="57" t="s">
        <v>45</v>
      </c>
      <c r="H1509" s="57" t="s">
        <v>48</v>
      </c>
      <c r="I1509" s="59" t="n">
        <v>2</v>
      </c>
      <c r="J1509" s="60" t="n">
        <v>99</v>
      </c>
      <c r="K1509" s="60" t="n">
        <v>38</v>
      </c>
      <c r="L1509" s="61" t="n">
        <f aca="false">I1509*J1509</f>
        <v>198</v>
      </c>
      <c r="M1509" s="61" t="n">
        <f aca="false">L1509-I1509*K1509</f>
        <v>122</v>
      </c>
      <c r="N1509" s="57" t="n">
        <f aca="false">IF(COUNTIFS(E$2:E1509,E1509,C$2:C1509,C1509)=1,1,0)</f>
        <v>1</v>
      </c>
      <c r="O1509" s="57" t="n">
        <f aca="false">IF(COUNTIFS(E$2:E1509,E1509,C$2:C1509,C1509,D$2:D1509,D1509)=1,1,0)</f>
        <v>1</v>
      </c>
      <c r="P1509" s="57" t="n">
        <f aca="false">IF(AND(C1509=Calc!$C$3,OR(Calc!$C$4=0,D1509=Calc!$C$4)),ROW(),0)</f>
        <v>1509</v>
      </c>
    </row>
    <row r="1510" customFormat="false" ht="15" hidden="false" customHeight="false" outlineLevel="0" collapsed="false">
      <c r="A1510" s="57" t="s">
        <v>2033</v>
      </c>
      <c r="B1510" s="58" t="n">
        <v>45706</v>
      </c>
      <c r="C1510" s="57" t="n">
        <f aca="false">YEAR(B1510)</f>
        <v>2025</v>
      </c>
      <c r="D1510" s="57" t="n">
        <f aca="false">MONTH(B1510)</f>
        <v>2</v>
      </c>
      <c r="E1510" s="57" t="s">
        <v>1046</v>
      </c>
      <c r="F1510" s="57" t="s">
        <v>69</v>
      </c>
      <c r="G1510" s="57" t="s">
        <v>50</v>
      </c>
      <c r="H1510" s="57" t="s">
        <v>49</v>
      </c>
      <c r="I1510" s="59" t="n">
        <v>1</v>
      </c>
      <c r="J1510" s="60" t="n">
        <v>32</v>
      </c>
      <c r="K1510" s="60" t="n">
        <v>7</v>
      </c>
      <c r="L1510" s="61" t="n">
        <f aca="false">I1510*J1510</f>
        <v>32</v>
      </c>
      <c r="M1510" s="61" t="n">
        <f aca="false">L1510-I1510*K1510</f>
        <v>25</v>
      </c>
      <c r="N1510" s="57" t="n">
        <f aca="false">IF(COUNTIFS(E$2:E1510,E1510,C$2:C1510,C1510)=1,1,0)</f>
        <v>0</v>
      </c>
      <c r="O1510" s="57" t="n">
        <f aca="false">IF(COUNTIFS(E$2:E1510,E1510,C$2:C1510,C1510,D$2:D1510,D1510)=1,1,0)</f>
        <v>1</v>
      </c>
      <c r="P1510" s="57" t="n">
        <f aca="false">IF(AND(C1510=Calc!$C$3,OR(Calc!$C$4=0,D1510=Calc!$C$4)),ROW(),0)</f>
        <v>1510</v>
      </c>
    </row>
    <row r="1511" customFormat="false" ht="15" hidden="false" customHeight="false" outlineLevel="0" collapsed="false">
      <c r="A1511" s="57" t="s">
        <v>2034</v>
      </c>
      <c r="B1511" s="58" t="n">
        <v>45707</v>
      </c>
      <c r="C1511" s="57" t="n">
        <f aca="false">YEAR(B1511)</f>
        <v>2025</v>
      </c>
      <c r="D1511" s="57" t="n">
        <f aca="false">MONTH(B1511)</f>
        <v>2</v>
      </c>
      <c r="E1511" s="57" t="s">
        <v>193</v>
      </c>
      <c r="F1511" s="57" t="s">
        <v>78</v>
      </c>
      <c r="G1511" s="57" t="s">
        <v>40</v>
      </c>
      <c r="H1511" s="57" t="s">
        <v>42</v>
      </c>
      <c r="I1511" s="59" t="n">
        <v>1</v>
      </c>
      <c r="J1511" s="60" t="n">
        <v>79</v>
      </c>
      <c r="K1511" s="60" t="n">
        <v>31</v>
      </c>
      <c r="L1511" s="61" t="n">
        <f aca="false">I1511*J1511</f>
        <v>79</v>
      </c>
      <c r="M1511" s="61" t="n">
        <f aca="false">L1511-I1511*K1511</f>
        <v>48</v>
      </c>
      <c r="N1511" s="57" t="n">
        <f aca="false">IF(COUNTIFS(E$2:E1511,E1511,C$2:C1511,C1511)=1,1,0)</f>
        <v>1</v>
      </c>
      <c r="O1511" s="57" t="n">
        <f aca="false">IF(COUNTIFS(E$2:E1511,E1511,C$2:C1511,C1511,D$2:D1511,D1511)=1,1,0)</f>
        <v>1</v>
      </c>
      <c r="P1511" s="57" t="n">
        <f aca="false">IF(AND(C1511=Calc!$C$3,OR(Calc!$C$4=0,D1511=Calc!$C$4)),ROW(),0)</f>
        <v>1511</v>
      </c>
    </row>
    <row r="1512" customFormat="false" ht="15" hidden="false" customHeight="false" outlineLevel="0" collapsed="false">
      <c r="A1512" s="57" t="s">
        <v>2035</v>
      </c>
      <c r="B1512" s="58" t="n">
        <v>45707</v>
      </c>
      <c r="C1512" s="57" t="n">
        <f aca="false">YEAR(B1512)</f>
        <v>2025</v>
      </c>
      <c r="D1512" s="57" t="n">
        <f aca="false">MONTH(B1512)</f>
        <v>2</v>
      </c>
      <c r="E1512" s="57" t="s">
        <v>87</v>
      </c>
      <c r="F1512" s="57" t="s">
        <v>72</v>
      </c>
      <c r="G1512" s="57" t="s">
        <v>40</v>
      </c>
      <c r="H1512" s="57" t="s">
        <v>42</v>
      </c>
      <c r="I1512" s="59" t="n">
        <v>1</v>
      </c>
      <c r="J1512" s="60" t="n">
        <v>79</v>
      </c>
      <c r="K1512" s="60" t="n">
        <v>31</v>
      </c>
      <c r="L1512" s="61" t="n">
        <f aca="false">I1512*J1512</f>
        <v>79</v>
      </c>
      <c r="M1512" s="61" t="n">
        <f aca="false">L1512-I1512*K1512</f>
        <v>48</v>
      </c>
      <c r="N1512" s="57" t="n">
        <f aca="false">IF(COUNTIFS(E$2:E1512,E1512,C$2:C1512,C1512)=1,1,0)</f>
        <v>1</v>
      </c>
      <c r="O1512" s="57" t="n">
        <f aca="false">IF(COUNTIFS(E$2:E1512,E1512,C$2:C1512,C1512,D$2:D1512,D1512)=1,1,0)</f>
        <v>1</v>
      </c>
      <c r="P1512" s="57" t="n">
        <f aca="false">IF(AND(C1512=Calc!$C$3,OR(Calc!$C$4=0,D1512=Calc!$C$4)),ROW(),0)</f>
        <v>1512</v>
      </c>
    </row>
    <row r="1513" customFormat="false" ht="15" hidden="false" customHeight="false" outlineLevel="0" collapsed="false">
      <c r="A1513" s="57" t="s">
        <v>2036</v>
      </c>
      <c r="B1513" s="58" t="n">
        <v>45708</v>
      </c>
      <c r="C1513" s="57" t="n">
        <f aca="false">YEAR(B1513)</f>
        <v>2025</v>
      </c>
      <c r="D1513" s="57" t="n">
        <f aca="false">MONTH(B1513)</f>
        <v>2</v>
      </c>
      <c r="E1513" s="57" t="s">
        <v>275</v>
      </c>
      <c r="F1513" s="57" t="s">
        <v>75</v>
      </c>
      <c r="G1513" s="57" t="s">
        <v>45</v>
      </c>
      <c r="H1513" s="57" t="s">
        <v>48</v>
      </c>
      <c r="I1513" s="59" t="n">
        <v>1</v>
      </c>
      <c r="J1513" s="60" t="n">
        <v>99</v>
      </c>
      <c r="K1513" s="60" t="n">
        <v>38</v>
      </c>
      <c r="L1513" s="61" t="n">
        <f aca="false">I1513*J1513</f>
        <v>99</v>
      </c>
      <c r="M1513" s="61" t="n">
        <f aca="false">L1513-I1513*K1513</f>
        <v>61</v>
      </c>
      <c r="N1513" s="57" t="n">
        <f aca="false">IF(COUNTIFS(E$2:E1513,E1513,C$2:C1513,C1513)=1,1,0)</f>
        <v>0</v>
      </c>
      <c r="O1513" s="57" t="n">
        <f aca="false">IF(COUNTIFS(E$2:E1513,E1513,C$2:C1513,C1513,D$2:D1513,D1513)=1,1,0)</f>
        <v>1</v>
      </c>
      <c r="P1513" s="57" t="n">
        <f aca="false">IF(AND(C1513=Calc!$C$3,OR(Calc!$C$4=0,D1513=Calc!$C$4)),ROW(),0)</f>
        <v>1513</v>
      </c>
    </row>
    <row r="1514" customFormat="false" ht="15" hidden="false" customHeight="false" outlineLevel="0" collapsed="false">
      <c r="A1514" s="57" t="s">
        <v>2037</v>
      </c>
      <c r="B1514" s="58" t="n">
        <v>45708</v>
      </c>
      <c r="C1514" s="57" t="n">
        <f aca="false">YEAR(B1514)</f>
        <v>2025</v>
      </c>
      <c r="D1514" s="57" t="n">
        <f aca="false">MONTH(B1514)</f>
        <v>2</v>
      </c>
      <c r="E1514" s="57" t="s">
        <v>104</v>
      </c>
      <c r="F1514" s="57" t="s">
        <v>78</v>
      </c>
      <c r="G1514" s="57" t="s">
        <v>45</v>
      </c>
      <c r="H1514" s="57" t="s">
        <v>44</v>
      </c>
      <c r="I1514" s="59" t="n">
        <v>1</v>
      </c>
      <c r="J1514" s="60" t="n">
        <v>119</v>
      </c>
      <c r="K1514" s="60" t="n">
        <v>63</v>
      </c>
      <c r="L1514" s="61" t="n">
        <f aca="false">I1514*J1514</f>
        <v>119</v>
      </c>
      <c r="M1514" s="61" t="n">
        <f aca="false">L1514-I1514*K1514</f>
        <v>56</v>
      </c>
      <c r="N1514" s="57" t="n">
        <f aca="false">IF(COUNTIFS(E$2:E1514,E1514,C$2:C1514,C1514)=1,1,0)</f>
        <v>1</v>
      </c>
      <c r="O1514" s="57" t="n">
        <f aca="false">IF(COUNTIFS(E$2:E1514,E1514,C$2:C1514,C1514,D$2:D1514,D1514)=1,1,0)</f>
        <v>1</v>
      </c>
      <c r="P1514" s="57" t="n">
        <f aca="false">IF(AND(C1514=Calc!$C$3,OR(Calc!$C$4=0,D1514=Calc!$C$4)),ROW(),0)</f>
        <v>1514</v>
      </c>
    </row>
    <row r="1515" customFormat="false" ht="15" hidden="false" customHeight="false" outlineLevel="0" collapsed="false">
      <c r="A1515" s="57" t="s">
        <v>2038</v>
      </c>
      <c r="B1515" s="58" t="n">
        <v>45708</v>
      </c>
      <c r="C1515" s="57" t="n">
        <f aca="false">YEAR(B1515)</f>
        <v>2025</v>
      </c>
      <c r="D1515" s="57" t="n">
        <f aca="false">MONTH(B1515)</f>
        <v>2</v>
      </c>
      <c r="E1515" s="57" t="s">
        <v>566</v>
      </c>
      <c r="F1515" s="57" t="s">
        <v>69</v>
      </c>
      <c r="G1515" s="57" t="s">
        <v>40</v>
      </c>
      <c r="H1515" s="57" t="s">
        <v>39</v>
      </c>
      <c r="I1515" s="59" t="n">
        <v>3</v>
      </c>
      <c r="J1515" s="60" t="n">
        <v>54</v>
      </c>
      <c r="K1515" s="60" t="n">
        <v>19</v>
      </c>
      <c r="L1515" s="61" t="n">
        <f aca="false">I1515*J1515</f>
        <v>162</v>
      </c>
      <c r="M1515" s="61" t="n">
        <f aca="false">L1515-I1515*K1515</f>
        <v>105</v>
      </c>
      <c r="N1515" s="57" t="n">
        <f aca="false">IF(COUNTIFS(E$2:E1515,E1515,C$2:C1515,C1515)=1,1,0)</f>
        <v>1</v>
      </c>
      <c r="O1515" s="57" t="n">
        <f aca="false">IF(COUNTIFS(E$2:E1515,E1515,C$2:C1515,C1515,D$2:D1515,D1515)=1,1,0)</f>
        <v>1</v>
      </c>
      <c r="P1515" s="57" t="n">
        <f aca="false">IF(AND(C1515=Calc!$C$3,OR(Calc!$C$4=0,D1515=Calc!$C$4)),ROW(),0)</f>
        <v>1515</v>
      </c>
    </row>
    <row r="1516" customFormat="false" ht="15" hidden="false" customHeight="false" outlineLevel="0" collapsed="false">
      <c r="A1516" s="57" t="s">
        <v>2039</v>
      </c>
      <c r="B1516" s="58" t="n">
        <v>45708</v>
      </c>
      <c r="C1516" s="57" t="n">
        <f aca="false">YEAR(B1516)</f>
        <v>2025</v>
      </c>
      <c r="D1516" s="57" t="n">
        <f aca="false">MONTH(B1516)</f>
        <v>2</v>
      </c>
      <c r="E1516" s="57" t="s">
        <v>2040</v>
      </c>
      <c r="F1516" s="57" t="s">
        <v>72</v>
      </c>
      <c r="G1516" s="57" t="s">
        <v>40</v>
      </c>
      <c r="H1516" s="57" t="s">
        <v>39</v>
      </c>
      <c r="I1516" s="59" t="n">
        <v>2</v>
      </c>
      <c r="J1516" s="60" t="n">
        <v>54</v>
      </c>
      <c r="K1516" s="60" t="n">
        <v>19</v>
      </c>
      <c r="L1516" s="61" t="n">
        <f aca="false">I1516*J1516</f>
        <v>108</v>
      </c>
      <c r="M1516" s="61" t="n">
        <f aca="false">L1516-I1516*K1516</f>
        <v>70</v>
      </c>
      <c r="N1516" s="57" t="n">
        <f aca="false">IF(COUNTIFS(E$2:E1516,E1516,C$2:C1516,C1516)=1,1,0)</f>
        <v>1</v>
      </c>
      <c r="O1516" s="57" t="n">
        <f aca="false">IF(COUNTIFS(E$2:E1516,E1516,C$2:C1516,C1516,D$2:D1516,D1516)=1,1,0)</f>
        <v>1</v>
      </c>
      <c r="P1516" s="57" t="n">
        <f aca="false">IF(AND(C1516=Calc!$C$3,OR(Calc!$C$4=0,D1516=Calc!$C$4)),ROW(),0)</f>
        <v>1516</v>
      </c>
    </row>
    <row r="1517" customFormat="false" ht="15" hidden="false" customHeight="false" outlineLevel="0" collapsed="false">
      <c r="A1517" s="57" t="s">
        <v>2041</v>
      </c>
      <c r="B1517" s="58" t="n">
        <v>45708</v>
      </c>
      <c r="C1517" s="57" t="n">
        <f aca="false">YEAR(B1517)</f>
        <v>2025</v>
      </c>
      <c r="D1517" s="57" t="n">
        <f aca="false">MONTH(B1517)</f>
        <v>2</v>
      </c>
      <c r="E1517" s="57" t="s">
        <v>248</v>
      </c>
      <c r="F1517" s="57" t="s">
        <v>81</v>
      </c>
      <c r="G1517" s="57" t="s">
        <v>40</v>
      </c>
      <c r="H1517" s="57" t="s">
        <v>41</v>
      </c>
      <c r="I1517" s="59" t="n">
        <v>1</v>
      </c>
      <c r="J1517" s="60" t="n">
        <v>46</v>
      </c>
      <c r="K1517" s="60" t="n">
        <v>16</v>
      </c>
      <c r="L1517" s="61" t="n">
        <f aca="false">I1517*J1517</f>
        <v>46</v>
      </c>
      <c r="M1517" s="61" t="n">
        <f aca="false">L1517-I1517*K1517</f>
        <v>30</v>
      </c>
      <c r="N1517" s="57" t="n">
        <f aca="false">IF(COUNTIFS(E$2:E1517,E1517,C$2:C1517,C1517)=1,1,0)</f>
        <v>1</v>
      </c>
      <c r="O1517" s="57" t="n">
        <f aca="false">IF(COUNTIFS(E$2:E1517,E1517,C$2:C1517,C1517,D$2:D1517,D1517)=1,1,0)</f>
        <v>1</v>
      </c>
      <c r="P1517" s="57" t="n">
        <f aca="false">IF(AND(C1517=Calc!$C$3,OR(Calc!$C$4=0,D1517=Calc!$C$4)),ROW(),0)</f>
        <v>1517</v>
      </c>
    </row>
    <row r="1518" customFormat="false" ht="15" hidden="false" customHeight="false" outlineLevel="0" collapsed="false">
      <c r="A1518" s="57" t="s">
        <v>2042</v>
      </c>
      <c r="B1518" s="58" t="n">
        <v>45708</v>
      </c>
      <c r="C1518" s="57" t="n">
        <f aca="false">YEAR(B1518)</f>
        <v>2025</v>
      </c>
      <c r="D1518" s="57" t="n">
        <f aca="false">MONTH(B1518)</f>
        <v>2</v>
      </c>
      <c r="E1518" s="57" t="s">
        <v>384</v>
      </c>
      <c r="F1518" s="57" t="s">
        <v>72</v>
      </c>
      <c r="G1518" s="57" t="s">
        <v>50</v>
      </c>
      <c r="H1518" s="57" t="s">
        <v>52</v>
      </c>
      <c r="I1518" s="59" t="n">
        <v>1</v>
      </c>
      <c r="J1518" s="60" t="n">
        <v>45</v>
      </c>
      <c r="K1518" s="60" t="n">
        <v>14</v>
      </c>
      <c r="L1518" s="61" t="n">
        <f aca="false">I1518*J1518</f>
        <v>45</v>
      </c>
      <c r="M1518" s="61" t="n">
        <f aca="false">L1518-I1518*K1518</f>
        <v>31</v>
      </c>
      <c r="N1518" s="57" t="n">
        <f aca="false">IF(COUNTIFS(E$2:E1518,E1518,C$2:C1518,C1518)=1,1,0)</f>
        <v>0</v>
      </c>
      <c r="O1518" s="57" t="n">
        <f aca="false">IF(COUNTIFS(E$2:E1518,E1518,C$2:C1518,C1518,D$2:D1518,D1518)=1,1,0)</f>
        <v>0</v>
      </c>
      <c r="P1518" s="57" t="n">
        <f aca="false">IF(AND(C1518=Calc!$C$3,OR(Calc!$C$4=0,D1518=Calc!$C$4)),ROW(),0)</f>
        <v>1518</v>
      </c>
    </row>
    <row r="1519" customFormat="false" ht="15" hidden="false" customHeight="false" outlineLevel="0" collapsed="false">
      <c r="A1519" s="57" t="s">
        <v>2043</v>
      </c>
      <c r="B1519" s="58" t="n">
        <v>45709</v>
      </c>
      <c r="C1519" s="57" t="n">
        <f aca="false">YEAR(B1519)</f>
        <v>2025</v>
      </c>
      <c r="D1519" s="57" t="n">
        <f aca="false">MONTH(B1519)</f>
        <v>2</v>
      </c>
      <c r="E1519" s="57" t="s">
        <v>384</v>
      </c>
      <c r="F1519" s="57" t="s">
        <v>72</v>
      </c>
      <c r="G1519" s="57" t="s">
        <v>45</v>
      </c>
      <c r="H1519" s="57" t="s">
        <v>48</v>
      </c>
      <c r="I1519" s="59" t="n">
        <v>1</v>
      </c>
      <c r="J1519" s="60" t="n">
        <v>99</v>
      </c>
      <c r="K1519" s="60" t="n">
        <v>38</v>
      </c>
      <c r="L1519" s="61" t="n">
        <f aca="false">I1519*J1519</f>
        <v>99</v>
      </c>
      <c r="M1519" s="61" t="n">
        <f aca="false">L1519-I1519*K1519</f>
        <v>61</v>
      </c>
      <c r="N1519" s="57" t="n">
        <f aca="false">IF(COUNTIFS(E$2:E1519,E1519,C$2:C1519,C1519)=1,1,0)</f>
        <v>0</v>
      </c>
      <c r="O1519" s="57" t="n">
        <f aca="false">IF(COUNTIFS(E$2:E1519,E1519,C$2:C1519,C1519,D$2:D1519,D1519)=1,1,0)</f>
        <v>0</v>
      </c>
      <c r="P1519" s="57" t="n">
        <f aca="false">IF(AND(C1519=Calc!$C$3,OR(Calc!$C$4=0,D1519=Calc!$C$4)),ROW(),0)</f>
        <v>1519</v>
      </c>
    </row>
    <row r="1520" customFormat="false" ht="15" hidden="false" customHeight="false" outlineLevel="0" collapsed="false">
      <c r="A1520" s="57" t="s">
        <v>2044</v>
      </c>
      <c r="B1520" s="58" t="n">
        <v>45709</v>
      </c>
      <c r="C1520" s="57" t="n">
        <f aca="false">YEAR(B1520)</f>
        <v>2025</v>
      </c>
      <c r="D1520" s="57" t="n">
        <f aca="false">MONTH(B1520)</f>
        <v>2</v>
      </c>
      <c r="E1520" s="57" t="s">
        <v>613</v>
      </c>
      <c r="F1520" s="57" t="s">
        <v>72</v>
      </c>
      <c r="G1520" s="57" t="s">
        <v>40</v>
      </c>
      <c r="H1520" s="57" t="s">
        <v>41</v>
      </c>
      <c r="I1520" s="59" t="n">
        <v>1</v>
      </c>
      <c r="J1520" s="60" t="n">
        <v>46</v>
      </c>
      <c r="K1520" s="60" t="n">
        <v>16</v>
      </c>
      <c r="L1520" s="61" t="n">
        <f aca="false">I1520*J1520</f>
        <v>46</v>
      </c>
      <c r="M1520" s="61" t="n">
        <f aca="false">L1520-I1520*K1520</f>
        <v>30</v>
      </c>
      <c r="N1520" s="57" t="n">
        <f aca="false">IF(COUNTIFS(E$2:E1520,E1520,C$2:C1520,C1520)=1,1,0)</f>
        <v>0</v>
      </c>
      <c r="O1520" s="57" t="n">
        <f aca="false">IF(COUNTIFS(E$2:E1520,E1520,C$2:C1520,C1520,D$2:D1520,D1520)=1,1,0)</f>
        <v>1</v>
      </c>
      <c r="P1520" s="57" t="n">
        <f aca="false">IF(AND(C1520=Calc!$C$3,OR(Calc!$C$4=0,D1520=Calc!$C$4)),ROW(),0)</f>
        <v>1520</v>
      </c>
    </row>
    <row r="1521" customFormat="false" ht="15" hidden="false" customHeight="false" outlineLevel="0" collapsed="false">
      <c r="A1521" s="57" t="s">
        <v>2045</v>
      </c>
      <c r="B1521" s="58" t="n">
        <v>45710</v>
      </c>
      <c r="C1521" s="57" t="n">
        <f aca="false">YEAR(B1521)</f>
        <v>2025</v>
      </c>
      <c r="D1521" s="57" t="n">
        <f aca="false">MONTH(B1521)</f>
        <v>2</v>
      </c>
      <c r="E1521" s="57" t="s">
        <v>1304</v>
      </c>
      <c r="F1521" s="57" t="s">
        <v>78</v>
      </c>
      <c r="G1521" s="57" t="s">
        <v>40</v>
      </c>
      <c r="H1521" s="57" t="s">
        <v>42</v>
      </c>
      <c r="I1521" s="59" t="n">
        <v>1</v>
      </c>
      <c r="J1521" s="60" t="n">
        <v>79</v>
      </c>
      <c r="K1521" s="60" t="n">
        <v>31</v>
      </c>
      <c r="L1521" s="61" t="n">
        <f aca="false">I1521*J1521</f>
        <v>79</v>
      </c>
      <c r="M1521" s="61" t="n">
        <f aca="false">L1521-I1521*K1521</f>
        <v>48</v>
      </c>
      <c r="N1521" s="57" t="n">
        <f aca="false">IF(COUNTIFS(E$2:E1521,E1521,C$2:C1521,C1521)=1,1,0)</f>
        <v>0</v>
      </c>
      <c r="O1521" s="57" t="n">
        <f aca="false">IF(COUNTIFS(E$2:E1521,E1521,C$2:C1521,C1521,D$2:D1521,D1521)=1,1,0)</f>
        <v>0</v>
      </c>
      <c r="P1521" s="57" t="n">
        <f aca="false">IF(AND(C1521=Calc!$C$3,OR(Calc!$C$4=0,D1521=Calc!$C$4)),ROW(),0)</f>
        <v>1521</v>
      </c>
    </row>
    <row r="1522" customFormat="false" ht="15" hidden="false" customHeight="false" outlineLevel="0" collapsed="false">
      <c r="A1522" s="57" t="s">
        <v>2046</v>
      </c>
      <c r="B1522" s="58" t="n">
        <v>45710</v>
      </c>
      <c r="C1522" s="57" t="n">
        <f aca="false">YEAR(B1522)</f>
        <v>2025</v>
      </c>
      <c r="D1522" s="57" t="n">
        <f aca="false">MONTH(B1522)</f>
        <v>2</v>
      </c>
      <c r="E1522" s="57" t="s">
        <v>486</v>
      </c>
      <c r="F1522" s="57" t="s">
        <v>75</v>
      </c>
      <c r="G1522" s="57" t="s">
        <v>40</v>
      </c>
      <c r="H1522" s="57" t="s">
        <v>43</v>
      </c>
      <c r="I1522" s="59" t="n">
        <v>1</v>
      </c>
      <c r="J1522" s="60" t="n">
        <v>29</v>
      </c>
      <c r="K1522" s="60" t="n">
        <v>9</v>
      </c>
      <c r="L1522" s="61" t="n">
        <f aca="false">I1522*J1522</f>
        <v>29</v>
      </c>
      <c r="M1522" s="61" t="n">
        <f aca="false">L1522-I1522*K1522</f>
        <v>20</v>
      </c>
      <c r="N1522" s="57" t="n">
        <f aca="false">IF(COUNTIFS(E$2:E1522,E1522,C$2:C1522,C1522)=1,1,0)</f>
        <v>1</v>
      </c>
      <c r="O1522" s="57" t="n">
        <f aca="false">IF(COUNTIFS(E$2:E1522,E1522,C$2:C1522,C1522,D$2:D1522,D1522)=1,1,0)</f>
        <v>1</v>
      </c>
      <c r="P1522" s="57" t="n">
        <f aca="false">IF(AND(C1522=Calc!$C$3,OR(Calc!$C$4=0,D1522=Calc!$C$4)),ROW(),0)</f>
        <v>1522</v>
      </c>
    </row>
    <row r="1523" customFormat="false" ht="15" hidden="false" customHeight="false" outlineLevel="0" collapsed="false">
      <c r="A1523" s="57" t="s">
        <v>2047</v>
      </c>
      <c r="B1523" s="58" t="n">
        <v>45710</v>
      </c>
      <c r="C1523" s="57" t="n">
        <f aca="false">YEAR(B1523)</f>
        <v>2025</v>
      </c>
      <c r="D1523" s="57" t="n">
        <f aca="false">MONTH(B1523)</f>
        <v>2</v>
      </c>
      <c r="E1523" s="57" t="s">
        <v>466</v>
      </c>
      <c r="F1523" s="57" t="s">
        <v>72</v>
      </c>
      <c r="G1523" s="57" t="s">
        <v>54</v>
      </c>
      <c r="H1523" s="57" t="s">
        <v>55</v>
      </c>
      <c r="I1523" s="59" t="n">
        <v>1</v>
      </c>
      <c r="J1523" s="60" t="n">
        <v>64</v>
      </c>
      <c r="K1523" s="60" t="n">
        <v>25</v>
      </c>
      <c r="L1523" s="61" t="n">
        <f aca="false">I1523*J1523</f>
        <v>64</v>
      </c>
      <c r="M1523" s="61" t="n">
        <f aca="false">L1523-I1523*K1523</f>
        <v>39</v>
      </c>
      <c r="N1523" s="57" t="n">
        <f aca="false">IF(COUNTIFS(E$2:E1523,E1523,C$2:C1523,C1523)=1,1,0)</f>
        <v>0</v>
      </c>
      <c r="O1523" s="57" t="n">
        <f aca="false">IF(COUNTIFS(E$2:E1523,E1523,C$2:C1523,C1523,D$2:D1523,D1523)=1,1,0)</f>
        <v>1</v>
      </c>
      <c r="P1523" s="57" t="n">
        <f aca="false">IF(AND(C1523=Calc!$C$3,OR(Calc!$C$4=0,D1523=Calc!$C$4)),ROW(),0)</f>
        <v>1523</v>
      </c>
    </row>
    <row r="1524" customFormat="false" ht="15" hidden="false" customHeight="false" outlineLevel="0" collapsed="false">
      <c r="A1524" s="57" t="s">
        <v>2048</v>
      </c>
      <c r="B1524" s="58" t="n">
        <v>45711</v>
      </c>
      <c r="C1524" s="57" t="n">
        <f aca="false">YEAR(B1524)</f>
        <v>2025</v>
      </c>
      <c r="D1524" s="57" t="n">
        <f aca="false">MONTH(B1524)</f>
        <v>2</v>
      </c>
      <c r="E1524" s="57" t="s">
        <v>160</v>
      </c>
      <c r="F1524" s="57" t="s">
        <v>75</v>
      </c>
      <c r="G1524" s="57" t="s">
        <v>35</v>
      </c>
      <c r="H1524" s="57" t="s">
        <v>37</v>
      </c>
      <c r="I1524" s="59" t="n">
        <v>1</v>
      </c>
      <c r="J1524" s="60" t="n">
        <v>59</v>
      </c>
      <c r="K1524" s="60" t="n">
        <v>27</v>
      </c>
      <c r="L1524" s="61" t="n">
        <f aca="false">I1524*J1524</f>
        <v>59</v>
      </c>
      <c r="M1524" s="61" t="n">
        <f aca="false">L1524-I1524*K1524</f>
        <v>32</v>
      </c>
      <c r="N1524" s="57" t="n">
        <f aca="false">IF(COUNTIFS(E$2:E1524,E1524,C$2:C1524,C1524)=1,1,0)</f>
        <v>1</v>
      </c>
      <c r="O1524" s="57" t="n">
        <f aca="false">IF(COUNTIFS(E$2:E1524,E1524,C$2:C1524,C1524,D$2:D1524,D1524)=1,1,0)</f>
        <v>1</v>
      </c>
      <c r="P1524" s="57" t="n">
        <f aca="false">IF(AND(C1524=Calc!$C$3,OR(Calc!$C$4=0,D1524=Calc!$C$4)),ROW(),0)</f>
        <v>1524</v>
      </c>
    </row>
    <row r="1525" customFormat="false" ht="15" hidden="false" customHeight="false" outlineLevel="0" collapsed="false">
      <c r="A1525" s="57" t="s">
        <v>2049</v>
      </c>
      <c r="B1525" s="58" t="n">
        <v>45711</v>
      </c>
      <c r="C1525" s="57" t="n">
        <f aca="false">YEAR(B1525)</f>
        <v>2025</v>
      </c>
      <c r="D1525" s="57" t="n">
        <f aca="false">MONTH(B1525)</f>
        <v>2</v>
      </c>
      <c r="E1525" s="57" t="s">
        <v>2050</v>
      </c>
      <c r="F1525" s="57" t="s">
        <v>72</v>
      </c>
      <c r="G1525" s="57" t="s">
        <v>35</v>
      </c>
      <c r="H1525" s="57" t="s">
        <v>37</v>
      </c>
      <c r="I1525" s="59" t="n">
        <v>1</v>
      </c>
      <c r="J1525" s="60" t="n">
        <v>59</v>
      </c>
      <c r="K1525" s="60" t="n">
        <v>27</v>
      </c>
      <c r="L1525" s="61" t="n">
        <f aca="false">I1525*J1525</f>
        <v>59</v>
      </c>
      <c r="M1525" s="61" t="n">
        <f aca="false">L1525-I1525*K1525</f>
        <v>32</v>
      </c>
      <c r="N1525" s="57" t="n">
        <f aca="false">IF(COUNTIFS(E$2:E1525,E1525,C$2:C1525,C1525)=1,1,0)</f>
        <v>1</v>
      </c>
      <c r="O1525" s="57" t="n">
        <f aca="false">IF(COUNTIFS(E$2:E1525,E1525,C$2:C1525,C1525,D$2:D1525,D1525)=1,1,0)</f>
        <v>1</v>
      </c>
      <c r="P1525" s="57" t="n">
        <f aca="false">IF(AND(C1525=Calc!$C$3,OR(Calc!$C$4=0,D1525=Calc!$C$4)),ROW(),0)</f>
        <v>1525</v>
      </c>
    </row>
    <row r="1526" customFormat="false" ht="15" hidden="false" customHeight="false" outlineLevel="0" collapsed="false">
      <c r="A1526" s="57" t="s">
        <v>2051</v>
      </c>
      <c r="B1526" s="58" t="n">
        <v>45711</v>
      </c>
      <c r="C1526" s="57" t="n">
        <f aca="false">YEAR(B1526)</f>
        <v>2025</v>
      </c>
      <c r="D1526" s="57" t="n">
        <f aca="false">MONTH(B1526)</f>
        <v>2</v>
      </c>
      <c r="E1526" s="57" t="s">
        <v>335</v>
      </c>
      <c r="F1526" s="57" t="s">
        <v>81</v>
      </c>
      <c r="G1526" s="57" t="s">
        <v>45</v>
      </c>
      <c r="H1526" s="57" t="s">
        <v>44</v>
      </c>
      <c r="I1526" s="59" t="n">
        <v>1</v>
      </c>
      <c r="J1526" s="60" t="n">
        <v>119</v>
      </c>
      <c r="K1526" s="60" t="n">
        <v>63</v>
      </c>
      <c r="L1526" s="61" t="n">
        <f aca="false">I1526*J1526</f>
        <v>119</v>
      </c>
      <c r="M1526" s="61" t="n">
        <f aca="false">L1526-I1526*K1526</f>
        <v>56</v>
      </c>
      <c r="N1526" s="57" t="n">
        <f aca="false">IF(COUNTIFS(E$2:E1526,E1526,C$2:C1526,C1526)=1,1,0)</f>
        <v>0</v>
      </c>
      <c r="O1526" s="57" t="n">
        <f aca="false">IF(COUNTIFS(E$2:E1526,E1526,C$2:C1526,C1526,D$2:D1526,D1526)=1,1,0)</f>
        <v>1</v>
      </c>
      <c r="P1526" s="57" t="n">
        <f aca="false">IF(AND(C1526=Calc!$C$3,OR(Calc!$C$4=0,D1526=Calc!$C$4)),ROW(),0)</f>
        <v>1526</v>
      </c>
    </row>
    <row r="1527" customFormat="false" ht="15" hidden="false" customHeight="false" outlineLevel="0" collapsed="false">
      <c r="A1527" s="57" t="s">
        <v>2052</v>
      </c>
      <c r="B1527" s="58" t="n">
        <v>45711</v>
      </c>
      <c r="C1527" s="57" t="n">
        <f aca="false">YEAR(B1527)</f>
        <v>2025</v>
      </c>
      <c r="D1527" s="57" t="n">
        <f aca="false">MONTH(B1527)</f>
        <v>2</v>
      </c>
      <c r="E1527" s="57" t="s">
        <v>752</v>
      </c>
      <c r="F1527" s="57" t="s">
        <v>69</v>
      </c>
      <c r="G1527" s="57" t="s">
        <v>40</v>
      </c>
      <c r="H1527" s="57" t="s">
        <v>39</v>
      </c>
      <c r="I1527" s="59" t="n">
        <v>1</v>
      </c>
      <c r="J1527" s="60" t="n">
        <v>54</v>
      </c>
      <c r="K1527" s="60" t="n">
        <v>19</v>
      </c>
      <c r="L1527" s="61" t="n">
        <f aca="false">I1527*J1527</f>
        <v>54</v>
      </c>
      <c r="M1527" s="61" t="n">
        <f aca="false">L1527-I1527*K1527</f>
        <v>35</v>
      </c>
      <c r="N1527" s="57" t="n">
        <f aca="false">IF(COUNTIFS(E$2:E1527,E1527,C$2:C1527,C1527)=1,1,0)</f>
        <v>1</v>
      </c>
      <c r="O1527" s="57" t="n">
        <f aca="false">IF(COUNTIFS(E$2:E1527,E1527,C$2:C1527,C1527,D$2:D1527,D1527)=1,1,0)</f>
        <v>1</v>
      </c>
      <c r="P1527" s="57" t="n">
        <f aca="false">IF(AND(C1527=Calc!$C$3,OR(Calc!$C$4=0,D1527=Calc!$C$4)),ROW(),0)</f>
        <v>1527</v>
      </c>
    </row>
    <row r="1528" customFormat="false" ht="15" hidden="false" customHeight="false" outlineLevel="0" collapsed="false">
      <c r="A1528" s="57" t="s">
        <v>2053</v>
      </c>
      <c r="B1528" s="58" t="n">
        <v>45712</v>
      </c>
      <c r="C1528" s="57" t="n">
        <f aca="false">YEAR(B1528)</f>
        <v>2025</v>
      </c>
      <c r="D1528" s="57" t="n">
        <f aca="false">MONTH(B1528)</f>
        <v>2</v>
      </c>
      <c r="E1528" s="57" t="s">
        <v>1449</v>
      </c>
      <c r="F1528" s="57" t="s">
        <v>78</v>
      </c>
      <c r="G1528" s="57" t="s">
        <v>50</v>
      </c>
      <c r="H1528" s="57" t="s">
        <v>52</v>
      </c>
      <c r="I1528" s="59" t="n">
        <v>1</v>
      </c>
      <c r="J1528" s="60" t="n">
        <v>45</v>
      </c>
      <c r="K1528" s="60" t="n">
        <v>14</v>
      </c>
      <c r="L1528" s="61" t="n">
        <f aca="false">I1528*J1528</f>
        <v>45</v>
      </c>
      <c r="M1528" s="61" t="n">
        <f aca="false">L1528-I1528*K1528</f>
        <v>31</v>
      </c>
      <c r="N1528" s="57" t="n">
        <f aca="false">IF(COUNTIFS(E$2:E1528,E1528,C$2:C1528,C1528)=1,1,0)</f>
        <v>1</v>
      </c>
      <c r="O1528" s="57" t="n">
        <f aca="false">IF(COUNTIFS(E$2:E1528,E1528,C$2:C1528,C1528,D$2:D1528,D1528)=1,1,0)</f>
        <v>1</v>
      </c>
      <c r="P1528" s="57" t="n">
        <f aca="false">IF(AND(C1528=Calc!$C$3,OR(Calc!$C$4=0,D1528=Calc!$C$4)),ROW(),0)</f>
        <v>1528</v>
      </c>
    </row>
    <row r="1529" customFormat="false" ht="15" hidden="false" customHeight="false" outlineLevel="0" collapsed="false">
      <c r="A1529" s="57" t="s">
        <v>2054</v>
      </c>
      <c r="B1529" s="58" t="n">
        <v>45712</v>
      </c>
      <c r="C1529" s="57" t="n">
        <f aca="false">YEAR(B1529)</f>
        <v>2025</v>
      </c>
      <c r="D1529" s="57" t="n">
        <f aca="false">MONTH(B1529)</f>
        <v>2</v>
      </c>
      <c r="E1529" s="57" t="s">
        <v>477</v>
      </c>
      <c r="F1529" s="57" t="s">
        <v>78</v>
      </c>
      <c r="G1529" s="57" t="s">
        <v>54</v>
      </c>
      <c r="H1529" s="57" t="s">
        <v>56</v>
      </c>
      <c r="I1529" s="59" t="n">
        <v>1</v>
      </c>
      <c r="J1529" s="60" t="n">
        <v>42</v>
      </c>
      <c r="K1529" s="60" t="n">
        <v>17</v>
      </c>
      <c r="L1529" s="61" t="n">
        <f aca="false">I1529*J1529</f>
        <v>42</v>
      </c>
      <c r="M1529" s="61" t="n">
        <f aca="false">L1529-I1529*K1529</f>
        <v>25</v>
      </c>
      <c r="N1529" s="57" t="n">
        <f aca="false">IF(COUNTIFS(E$2:E1529,E1529,C$2:C1529,C1529)=1,1,0)</f>
        <v>0</v>
      </c>
      <c r="O1529" s="57" t="n">
        <f aca="false">IF(COUNTIFS(E$2:E1529,E1529,C$2:C1529,C1529,D$2:D1529,D1529)=1,1,0)</f>
        <v>0</v>
      </c>
      <c r="P1529" s="57" t="n">
        <f aca="false">IF(AND(C1529=Calc!$C$3,OR(Calc!$C$4=0,D1529=Calc!$C$4)),ROW(),0)</f>
        <v>1529</v>
      </c>
    </row>
    <row r="1530" customFormat="false" ht="15" hidden="false" customHeight="false" outlineLevel="0" collapsed="false">
      <c r="A1530" s="57" t="s">
        <v>2055</v>
      </c>
      <c r="B1530" s="58" t="n">
        <v>45713</v>
      </c>
      <c r="C1530" s="57" t="n">
        <f aca="false">YEAR(B1530)</f>
        <v>2025</v>
      </c>
      <c r="D1530" s="57" t="n">
        <f aca="false">MONTH(B1530)</f>
        <v>2</v>
      </c>
      <c r="E1530" s="57" t="s">
        <v>304</v>
      </c>
      <c r="F1530" s="57" t="s">
        <v>69</v>
      </c>
      <c r="G1530" s="57" t="s">
        <v>35</v>
      </c>
      <c r="H1530" s="57" t="s">
        <v>34</v>
      </c>
      <c r="I1530" s="59" t="n">
        <v>1</v>
      </c>
      <c r="J1530" s="60" t="n">
        <v>89</v>
      </c>
      <c r="K1530" s="60" t="n">
        <v>41</v>
      </c>
      <c r="L1530" s="61" t="n">
        <f aca="false">I1530*J1530</f>
        <v>89</v>
      </c>
      <c r="M1530" s="61" t="n">
        <f aca="false">L1530-I1530*K1530</f>
        <v>48</v>
      </c>
      <c r="N1530" s="57" t="n">
        <f aca="false">IF(COUNTIFS(E$2:E1530,E1530,C$2:C1530,C1530)=1,1,0)</f>
        <v>1</v>
      </c>
      <c r="O1530" s="57" t="n">
        <f aca="false">IF(COUNTIFS(E$2:E1530,E1530,C$2:C1530,C1530,D$2:D1530,D1530)=1,1,0)</f>
        <v>1</v>
      </c>
      <c r="P1530" s="57" t="n">
        <f aca="false">IF(AND(C1530=Calc!$C$3,OR(Calc!$C$4=0,D1530=Calc!$C$4)),ROW(),0)</f>
        <v>1530</v>
      </c>
    </row>
    <row r="1531" customFormat="false" ht="15" hidden="false" customHeight="false" outlineLevel="0" collapsed="false">
      <c r="A1531" s="57" t="s">
        <v>2056</v>
      </c>
      <c r="B1531" s="58" t="n">
        <v>45713</v>
      </c>
      <c r="C1531" s="57" t="n">
        <f aca="false">YEAR(B1531)</f>
        <v>2025</v>
      </c>
      <c r="D1531" s="57" t="n">
        <f aca="false">MONTH(B1531)</f>
        <v>2</v>
      </c>
      <c r="E1531" s="57" t="s">
        <v>409</v>
      </c>
      <c r="F1531" s="57" t="s">
        <v>75</v>
      </c>
      <c r="G1531" s="57" t="s">
        <v>45</v>
      </c>
      <c r="H1531" s="57" t="s">
        <v>48</v>
      </c>
      <c r="I1531" s="59" t="n">
        <v>1</v>
      </c>
      <c r="J1531" s="60" t="n">
        <v>99</v>
      </c>
      <c r="K1531" s="60" t="n">
        <v>38</v>
      </c>
      <c r="L1531" s="61" t="n">
        <f aca="false">I1531*J1531</f>
        <v>99</v>
      </c>
      <c r="M1531" s="61" t="n">
        <f aca="false">L1531-I1531*K1531</f>
        <v>61</v>
      </c>
      <c r="N1531" s="57" t="n">
        <f aca="false">IF(COUNTIFS(E$2:E1531,E1531,C$2:C1531,C1531)=1,1,0)</f>
        <v>0</v>
      </c>
      <c r="O1531" s="57" t="n">
        <f aca="false">IF(COUNTIFS(E$2:E1531,E1531,C$2:C1531,C1531,D$2:D1531,D1531)=1,1,0)</f>
        <v>0</v>
      </c>
      <c r="P1531" s="57" t="n">
        <f aca="false">IF(AND(C1531=Calc!$C$3,OR(Calc!$C$4=0,D1531=Calc!$C$4)),ROW(),0)</f>
        <v>1531</v>
      </c>
    </row>
    <row r="1532" customFormat="false" ht="15" hidden="false" customHeight="false" outlineLevel="0" collapsed="false">
      <c r="A1532" s="57" t="s">
        <v>2057</v>
      </c>
      <c r="B1532" s="58" t="n">
        <v>45713</v>
      </c>
      <c r="C1532" s="57" t="n">
        <f aca="false">YEAR(B1532)</f>
        <v>2025</v>
      </c>
      <c r="D1532" s="57" t="n">
        <f aca="false">MONTH(B1532)</f>
        <v>2</v>
      </c>
      <c r="E1532" s="57" t="s">
        <v>976</v>
      </c>
      <c r="F1532" s="57" t="s">
        <v>75</v>
      </c>
      <c r="G1532" s="57" t="s">
        <v>35</v>
      </c>
      <c r="H1532" s="57" t="s">
        <v>38</v>
      </c>
      <c r="I1532" s="59" t="n">
        <v>1</v>
      </c>
      <c r="J1532" s="60" t="n">
        <v>49</v>
      </c>
      <c r="K1532" s="60" t="n">
        <v>22</v>
      </c>
      <c r="L1532" s="61" t="n">
        <f aca="false">I1532*J1532</f>
        <v>49</v>
      </c>
      <c r="M1532" s="61" t="n">
        <f aca="false">L1532-I1532*K1532</f>
        <v>27</v>
      </c>
      <c r="N1532" s="57" t="n">
        <f aca="false">IF(COUNTIFS(E$2:E1532,E1532,C$2:C1532,C1532)=1,1,0)</f>
        <v>1</v>
      </c>
      <c r="O1532" s="57" t="n">
        <f aca="false">IF(COUNTIFS(E$2:E1532,E1532,C$2:C1532,C1532,D$2:D1532,D1532)=1,1,0)</f>
        <v>1</v>
      </c>
      <c r="P1532" s="57" t="n">
        <f aca="false">IF(AND(C1532=Calc!$C$3,OR(Calc!$C$4=0,D1532=Calc!$C$4)),ROW(),0)</f>
        <v>1532</v>
      </c>
    </row>
    <row r="1533" customFormat="false" ht="15" hidden="false" customHeight="false" outlineLevel="0" collapsed="false">
      <c r="A1533" s="57" t="s">
        <v>2058</v>
      </c>
      <c r="B1533" s="58" t="n">
        <v>45714</v>
      </c>
      <c r="C1533" s="57" t="n">
        <f aca="false">YEAR(B1533)</f>
        <v>2025</v>
      </c>
      <c r="D1533" s="57" t="n">
        <f aca="false">MONTH(B1533)</f>
        <v>2</v>
      </c>
      <c r="E1533" s="57" t="s">
        <v>843</v>
      </c>
      <c r="F1533" s="57" t="s">
        <v>75</v>
      </c>
      <c r="G1533" s="57" t="s">
        <v>45</v>
      </c>
      <c r="H1533" s="57" t="s">
        <v>48</v>
      </c>
      <c r="I1533" s="59" t="n">
        <v>2</v>
      </c>
      <c r="J1533" s="60" t="n">
        <v>99</v>
      </c>
      <c r="K1533" s="60" t="n">
        <v>38</v>
      </c>
      <c r="L1533" s="61" t="n">
        <f aca="false">I1533*J1533</f>
        <v>198</v>
      </c>
      <c r="M1533" s="61" t="n">
        <f aca="false">L1533-I1533*K1533</f>
        <v>122</v>
      </c>
      <c r="N1533" s="57" t="n">
        <f aca="false">IF(COUNTIFS(E$2:E1533,E1533,C$2:C1533,C1533)=1,1,0)</f>
        <v>0</v>
      </c>
      <c r="O1533" s="57" t="n">
        <f aca="false">IF(COUNTIFS(E$2:E1533,E1533,C$2:C1533,C1533,D$2:D1533,D1533)=1,1,0)</f>
        <v>1</v>
      </c>
      <c r="P1533" s="57" t="n">
        <f aca="false">IF(AND(C1533=Calc!$C$3,OR(Calc!$C$4=0,D1533=Calc!$C$4)),ROW(),0)</f>
        <v>1533</v>
      </c>
    </row>
    <row r="1534" customFormat="false" ht="15" hidden="false" customHeight="false" outlineLevel="0" collapsed="false">
      <c r="A1534" s="57" t="s">
        <v>2059</v>
      </c>
      <c r="B1534" s="58" t="n">
        <v>45715</v>
      </c>
      <c r="C1534" s="57" t="n">
        <f aca="false">YEAR(B1534)</f>
        <v>2025</v>
      </c>
      <c r="D1534" s="57" t="n">
        <f aca="false">MONTH(B1534)</f>
        <v>2</v>
      </c>
      <c r="E1534" s="57" t="s">
        <v>461</v>
      </c>
      <c r="F1534" s="57" t="s">
        <v>78</v>
      </c>
      <c r="G1534" s="57" t="s">
        <v>45</v>
      </c>
      <c r="H1534" s="57" t="s">
        <v>46</v>
      </c>
      <c r="I1534" s="59" t="n">
        <v>1</v>
      </c>
      <c r="J1534" s="60" t="n">
        <v>149</v>
      </c>
      <c r="K1534" s="60" t="n">
        <v>71</v>
      </c>
      <c r="L1534" s="61" t="n">
        <f aca="false">I1534*J1534</f>
        <v>149</v>
      </c>
      <c r="M1534" s="61" t="n">
        <f aca="false">L1534-I1534*K1534</f>
        <v>78</v>
      </c>
      <c r="N1534" s="57" t="n">
        <f aca="false">IF(COUNTIFS(E$2:E1534,E1534,C$2:C1534,C1534)=1,1,0)</f>
        <v>1</v>
      </c>
      <c r="O1534" s="57" t="n">
        <f aca="false">IF(COUNTIFS(E$2:E1534,E1534,C$2:C1534,C1534,D$2:D1534,D1534)=1,1,0)</f>
        <v>1</v>
      </c>
      <c r="P1534" s="57" t="n">
        <f aca="false">IF(AND(C1534=Calc!$C$3,OR(Calc!$C$4=0,D1534=Calc!$C$4)),ROW(),0)</f>
        <v>1534</v>
      </c>
    </row>
    <row r="1535" customFormat="false" ht="15" hidden="false" customHeight="false" outlineLevel="0" collapsed="false">
      <c r="A1535" s="57" t="s">
        <v>2060</v>
      </c>
      <c r="B1535" s="58" t="n">
        <v>45716</v>
      </c>
      <c r="C1535" s="57" t="n">
        <f aca="false">YEAR(B1535)</f>
        <v>2025</v>
      </c>
      <c r="D1535" s="57" t="n">
        <f aca="false">MONTH(B1535)</f>
        <v>2</v>
      </c>
      <c r="E1535" s="57" t="s">
        <v>313</v>
      </c>
      <c r="F1535" s="57" t="s">
        <v>75</v>
      </c>
      <c r="G1535" s="57" t="s">
        <v>45</v>
      </c>
      <c r="H1535" s="57" t="s">
        <v>47</v>
      </c>
      <c r="I1535" s="59" t="n">
        <v>1</v>
      </c>
      <c r="J1535" s="60" t="n">
        <v>34</v>
      </c>
      <c r="K1535" s="60" t="n">
        <v>12</v>
      </c>
      <c r="L1535" s="61" t="n">
        <f aca="false">I1535*J1535</f>
        <v>34</v>
      </c>
      <c r="M1535" s="61" t="n">
        <f aca="false">L1535-I1535*K1535</f>
        <v>22</v>
      </c>
      <c r="N1535" s="57" t="n">
        <f aca="false">IF(COUNTIFS(E$2:E1535,E1535,C$2:C1535,C1535)=1,1,0)</f>
        <v>1</v>
      </c>
      <c r="O1535" s="57" t="n">
        <f aca="false">IF(COUNTIFS(E$2:E1535,E1535,C$2:C1535,C1535,D$2:D1535,D1535)=1,1,0)</f>
        <v>1</v>
      </c>
      <c r="P1535" s="57" t="n">
        <f aca="false">IF(AND(C1535=Calc!$C$3,OR(Calc!$C$4=0,D1535=Calc!$C$4)),ROW(),0)</f>
        <v>1535</v>
      </c>
    </row>
    <row r="1536" customFormat="false" ht="15" hidden="false" customHeight="false" outlineLevel="0" collapsed="false">
      <c r="A1536" s="57" t="s">
        <v>2061</v>
      </c>
      <c r="B1536" s="58" t="n">
        <v>45716</v>
      </c>
      <c r="C1536" s="57" t="n">
        <f aca="false">YEAR(B1536)</f>
        <v>2025</v>
      </c>
      <c r="D1536" s="57" t="n">
        <f aca="false">MONTH(B1536)</f>
        <v>2</v>
      </c>
      <c r="E1536" s="57" t="s">
        <v>506</v>
      </c>
      <c r="F1536" s="57" t="s">
        <v>78</v>
      </c>
      <c r="G1536" s="57" t="s">
        <v>50</v>
      </c>
      <c r="H1536" s="57" t="s">
        <v>49</v>
      </c>
      <c r="I1536" s="59" t="n">
        <v>2</v>
      </c>
      <c r="J1536" s="60" t="n">
        <v>32</v>
      </c>
      <c r="K1536" s="60" t="n">
        <v>7</v>
      </c>
      <c r="L1536" s="61" t="n">
        <f aca="false">I1536*J1536</f>
        <v>64</v>
      </c>
      <c r="M1536" s="61" t="n">
        <f aca="false">L1536-I1536*K1536</f>
        <v>50</v>
      </c>
      <c r="N1536" s="57" t="n">
        <f aca="false">IF(COUNTIFS(E$2:E1536,E1536,C$2:C1536,C1536)=1,1,0)</f>
        <v>1</v>
      </c>
      <c r="O1536" s="57" t="n">
        <f aca="false">IF(COUNTIFS(E$2:E1536,E1536,C$2:C1536,C1536,D$2:D1536,D1536)=1,1,0)</f>
        <v>1</v>
      </c>
      <c r="P1536" s="57" t="n">
        <f aca="false">IF(AND(C1536=Calc!$C$3,OR(Calc!$C$4=0,D1536=Calc!$C$4)),ROW(),0)</f>
        <v>1536</v>
      </c>
    </row>
    <row r="1537" customFormat="false" ht="15" hidden="false" customHeight="false" outlineLevel="0" collapsed="false">
      <c r="A1537" s="57" t="s">
        <v>2062</v>
      </c>
      <c r="B1537" s="58" t="n">
        <v>45716</v>
      </c>
      <c r="C1537" s="57" t="n">
        <f aca="false">YEAR(B1537)</f>
        <v>2025</v>
      </c>
      <c r="D1537" s="57" t="n">
        <f aca="false">MONTH(B1537)</f>
        <v>2</v>
      </c>
      <c r="E1537" s="57" t="s">
        <v>871</v>
      </c>
      <c r="F1537" s="57" t="s">
        <v>72</v>
      </c>
      <c r="G1537" s="57" t="s">
        <v>50</v>
      </c>
      <c r="H1537" s="57" t="s">
        <v>52</v>
      </c>
      <c r="I1537" s="59" t="n">
        <v>2</v>
      </c>
      <c r="J1537" s="60" t="n">
        <v>45</v>
      </c>
      <c r="K1537" s="60" t="n">
        <v>14</v>
      </c>
      <c r="L1537" s="61" t="n">
        <f aca="false">I1537*J1537</f>
        <v>90</v>
      </c>
      <c r="M1537" s="61" t="n">
        <f aca="false">L1537-I1537*K1537</f>
        <v>62</v>
      </c>
      <c r="N1537" s="57" t="n">
        <f aca="false">IF(COUNTIFS(E$2:E1537,E1537,C$2:C1537,C1537)=1,1,0)</f>
        <v>0</v>
      </c>
      <c r="O1537" s="57" t="n">
        <f aca="false">IF(COUNTIFS(E$2:E1537,E1537,C$2:C1537,C1537,D$2:D1537,D1537)=1,1,0)</f>
        <v>1</v>
      </c>
      <c r="P1537" s="57" t="n">
        <f aca="false">IF(AND(C1537=Calc!$C$3,OR(Calc!$C$4=0,D1537=Calc!$C$4)),ROW(),0)</f>
        <v>1537</v>
      </c>
    </row>
    <row r="1538" customFormat="false" ht="15" hidden="false" customHeight="false" outlineLevel="0" collapsed="false">
      <c r="A1538" s="57" t="s">
        <v>2063</v>
      </c>
      <c r="B1538" s="58" t="n">
        <v>45717</v>
      </c>
      <c r="C1538" s="57" t="n">
        <f aca="false">YEAR(B1538)</f>
        <v>2025</v>
      </c>
      <c r="D1538" s="57" t="n">
        <f aca="false">MONTH(B1538)</f>
        <v>3</v>
      </c>
      <c r="E1538" s="57" t="s">
        <v>335</v>
      </c>
      <c r="F1538" s="57" t="s">
        <v>81</v>
      </c>
      <c r="G1538" s="57" t="s">
        <v>35</v>
      </c>
      <c r="H1538" s="57" t="s">
        <v>36</v>
      </c>
      <c r="I1538" s="59" t="n">
        <v>1</v>
      </c>
      <c r="J1538" s="60" t="n">
        <v>179</v>
      </c>
      <c r="K1538" s="60" t="n">
        <v>92</v>
      </c>
      <c r="L1538" s="61" t="n">
        <f aca="false">I1538*J1538</f>
        <v>179</v>
      </c>
      <c r="M1538" s="61" t="n">
        <f aca="false">L1538-I1538*K1538</f>
        <v>87</v>
      </c>
      <c r="N1538" s="57" t="n">
        <f aca="false">IF(COUNTIFS(E$2:E1538,E1538,C$2:C1538,C1538)=1,1,0)</f>
        <v>0</v>
      </c>
      <c r="O1538" s="57" t="n">
        <f aca="false">IF(COUNTIFS(E$2:E1538,E1538,C$2:C1538,C1538,D$2:D1538,D1538)=1,1,0)</f>
        <v>1</v>
      </c>
      <c r="P1538" s="57" t="n">
        <f aca="false">IF(AND(C1538=Calc!$C$3,OR(Calc!$C$4=0,D1538=Calc!$C$4)),ROW(),0)</f>
        <v>1538</v>
      </c>
    </row>
    <row r="1539" customFormat="false" ht="15" hidden="false" customHeight="false" outlineLevel="0" collapsed="false">
      <c r="A1539" s="57" t="s">
        <v>2064</v>
      </c>
      <c r="B1539" s="58" t="n">
        <v>45717</v>
      </c>
      <c r="C1539" s="57" t="n">
        <f aca="false">YEAR(B1539)</f>
        <v>2025</v>
      </c>
      <c r="D1539" s="57" t="n">
        <f aca="false">MONTH(B1539)</f>
        <v>3</v>
      </c>
      <c r="E1539" s="57" t="s">
        <v>1077</v>
      </c>
      <c r="F1539" s="57" t="s">
        <v>81</v>
      </c>
      <c r="G1539" s="57" t="s">
        <v>35</v>
      </c>
      <c r="H1539" s="57" t="s">
        <v>38</v>
      </c>
      <c r="I1539" s="59" t="n">
        <v>1</v>
      </c>
      <c r="J1539" s="60" t="n">
        <v>49</v>
      </c>
      <c r="K1539" s="60" t="n">
        <v>22</v>
      </c>
      <c r="L1539" s="61" t="n">
        <f aca="false">I1539*J1539</f>
        <v>49</v>
      </c>
      <c r="M1539" s="61" t="n">
        <f aca="false">L1539-I1539*K1539</f>
        <v>27</v>
      </c>
      <c r="N1539" s="57" t="n">
        <f aca="false">IF(COUNTIFS(E$2:E1539,E1539,C$2:C1539,C1539)=1,1,0)</f>
        <v>1</v>
      </c>
      <c r="O1539" s="57" t="n">
        <f aca="false">IF(COUNTIFS(E$2:E1539,E1539,C$2:C1539,C1539,D$2:D1539,D1539)=1,1,0)</f>
        <v>1</v>
      </c>
      <c r="P1539" s="57" t="n">
        <f aca="false">IF(AND(C1539=Calc!$C$3,OR(Calc!$C$4=0,D1539=Calc!$C$4)),ROW(),0)</f>
        <v>1539</v>
      </c>
    </row>
    <row r="1540" customFormat="false" ht="15" hidden="false" customHeight="false" outlineLevel="0" collapsed="false">
      <c r="A1540" s="57" t="s">
        <v>2065</v>
      </c>
      <c r="B1540" s="58" t="n">
        <v>45717</v>
      </c>
      <c r="C1540" s="57" t="n">
        <f aca="false">YEAR(B1540)</f>
        <v>2025</v>
      </c>
      <c r="D1540" s="57" t="n">
        <f aca="false">MONTH(B1540)</f>
        <v>3</v>
      </c>
      <c r="E1540" s="57" t="s">
        <v>498</v>
      </c>
      <c r="F1540" s="57" t="s">
        <v>78</v>
      </c>
      <c r="G1540" s="57" t="s">
        <v>54</v>
      </c>
      <c r="H1540" s="57" t="s">
        <v>53</v>
      </c>
      <c r="I1540" s="59" t="n">
        <v>2</v>
      </c>
      <c r="J1540" s="60" t="n">
        <v>39</v>
      </c>
      <c r="K1540" s="60" t="n">
        <v>13</v>
      </c>
      <c r="L1540" s="61" t="n">
        <f aca="false">I1540*J1540</f>
        <v>78</v>
      </c>
      <c r="M1540" s="61" t="n">
        <f aca="false">L1540-I1540*K1540</f>
        <v>52</v>
      </c>
      <c r="N1540" s="57" t="n">
        <f aca="false">IF(COUNTIFS(E$2:E1540,E1540,C$2:C1540,C1540)=1,1,0)</f>
        <v>0</v>
      </c>
      <c r="O1540" s="57" t="n">
        <f aca="false">IF(COUNTIFS(E$2:E1540,E1540,C$2:C1540,C1540,D$2:D1540,D1540)=1,1,0)</f>
        <v>1</v>
      </c>
      <c r="P1540" s="57" t="n">
        <f aca="false">IF(AND(C1540=Calc!$C$3,OR(Calc!$C$4=0,D1540=Calc!$C$4)),ROW(),0)</f>
        <v>1540</v>
      </c>
    </row>
    <row r="1541" customFormat="false" ht="15" hidden="false" customHeight="false" outlineLevel="0" collapsed="false">
      <c r="A1541" s="57" t="s">
        <v>2066</v>
      </c>
      <c r="B1541" s="58" t="n">
        <v>45718</v>
      </c>
      <c r="C1541" s="57" t="n">
        <f aca="false">YEAR(B1541)</f>
        <v>2025</v>
      </c>
      <c r="D1541" s="57" t="n">
        <f aca="false">MONTH(B1541)</f>
        <v>3</v>
      </c>
      <c r="E1541" s="57" t="s">
        <v>541</v>
      </c>
      <c r="F1541" s="57" t="s">
        <v>75</v>
      </c>
      <c r="G1541" s="57" t="s">
        <v>40</v>
      </c>
      <c r="H1541" s="57" t="s">
        <v>43</v>
      </c>
      <c r="I1541" s="59" t="n">
        <v>1</v>
      </c>
      <c r="J1541" s="60" t="n">
        <v>29</v>
      </c>
      <c r="K1541" s="60" t="n">
        <v>9</v>
      </c>
      <c r="L1541" s="61" t="n">
        <f aca="false">I1541*J1541</f>
        <v>29</v>
      </c>
      <c r="M1541" s="61" t="n">
        <f aca="false">L1541-I1541*K1541</f>
        <v>20</v>
      </c>
      <c r="N1541" s="57" t="n">
        <f aca="false">IF(COUNTIFS(E$2:E1541,E1541,C$2:C1541,C1541)=1,1,0)</f>
        <v>1</v>
      </c>
      <c r="O1541" s="57" t="n">
        <f aca="false">IF(COUNTIFS(E$2:E1541,E1541,C$2:C1541,C1541,D$2:D1541,D1541)=1,1,0)</f>
        <v>1</v>
      </c>
      <c r="P1541" s="57" t="n">
        <f aca="false">IF(AND(C1541=Calc!$C$3,OR(Calc!$C$4=0,D1541=Calc!$C$4)),ROW(),0)</f>
        <v>1541</v>
      </c>
    </row>
    <row r="1542" customFormat="false" ht="15" hidden="false" customHeight="false" outlineLevel="0" collapsed="false">
      <c r="A1542" s="57" t="s">
        <v>2067</v>
      </c>
      <c r="B1542" s="58" t="n">
        <v>45718</v>
      </c>
      <c r="C1542" s="57" t="n">
        <f aca="false">YEAR(B1542)</f>
        <v>2025</v>
      </c>
      <c r="D1542" s="57" t="n">
        <f aca="false">MONTH(B1542)</f>
        <v>3</v>
      </c>
      <c r="E1542" s="57" t="s">
        <v>189</v>
      </c>
      <c r="F1542" s="57" t="s">
        <v>69</v>
      </c>
      <c r="G1542" s="57" t="s">
        <v>35</v>
      </c>
      <c r="H1542" s="57" t="s">
        <v>38</v>
      </c>
      <c r="I1542" s="59" t="n">
        <v>1</v>
      </c>
      <c r="J1542" s="60" t="n">
        <v>49</v>
      </c>
      <c r="K1542" s="60" t="n">
        <v>22</v>
      </c>
      <c r="L1542" s="61" t="n">
        <f aca="false">I1542*J1542</f>
        <v>49</v>
      </c>
      <c r="M1542" s="61" t="n">
        <f aca="false">L1542-I1542*K1542</f>
        <v>27</v>
      </c>
      <c r="N1542" s="57" t="n">
        <f aca="false">IF(COUNTIFS(E$2:E1542,E1542,C$2:C1542,C1542)=1,1,0)</f>
        <v>0</v>
      </c>
      <c r="O1542" s="57" t="n">
        <f aca="false">IF(COUNTIFS(E$2:E1542,E1542,C$2:C1542,C1542,D$2:D1542,D1542)=1,1,0)</f>
        <v>1</v>
      </c>
      <c r="P1542" s="57" t="n">
        <f aca="false">IF(AND(C1542=Calc!$C$3,OR(Calc!$C$4=0,D1542=Calc!$C$4)),ROW(),0)</f>
        <v>1542</v>
      </c>
    </row>
    <row r="1543" customFormat="false" ht="15" hidden="false" customHeight="false" outlineLevel="0" collapsed="false">
      <c r="A1543" s="57" t="s">
        <v>2068</v>
      </c>
      <c r="B1543" s="58" t="n">
        <v>45718</v>
      </c>
      <c r="C1543" s="57" t="n">
        <f aca="false">YEAR(B1543)</f>
        <v>2025</v>
      </c>
      <c r="D1543" s="57" t="n">
        <f aca="false">MONTH(B1543)</f>
        <v>3</v>
      </c>
      <c r="E1543" s="57" t="s">
        <v>328</v>
      </c>
      <c r="F1543" s="57" t="s">
        <v>69</v>
      </c>
      <c r="G1543" s="57" t="s">
        <v>35</v>
      </c>
      <c r="H1543" s="57" t="s">
        <v>38</v>
      </c>
      <c r="I1543" s="59" t="n">
        <v>1</v>
      </c>
      <c r="J1543" s="60" t="n">
        <v>49</v>
      </c>
      <c r="K1543" s="60" t="n">
        <v>22</v>
      </c>
      <c r="L1543" s="61" t="n">
        <f aca="false">I1543*J1543</f>
        <v>49</v>
      </c>
      <c r="M1543" s="61" t="n">
        <f aca="false">L1543-I1543*K1543</f>
        <v>27</v>
      </c>
      <c r="N1543" s="57" t="n">
        <f aca="false">IF(COUNTIFS(E$2:E1543,E1543,C$2:C1543,C1543)=1,1,0)</f>
        <v>0</v>
      </c>
      <c r="O1543" s="57" t="n">
        <f aca="false">IF(COUNTIFS(E$2:E1543,E1543,C$2:C1543,C1543,D$2:D1543,D1543)=1,1,0)</f>
        <v>1</v>
      </c>
      <c r="P1543" s="57" t="n">
        <f aca="false">IF(AND(C1543=Calc!$C$3,OR(Calc!$C$4=0,D1543=Calc!$C$4)),ROW(),0)</f>
        <v>1543</v>
      </c>
    </row>
    <row r="1544" customFormat="false" ht="15" hidden="false" customHeight="false" outlineLevel="0" collapsed="false">
      <c r="A1544" s="57" t="s">
        <v>2069</v>
      </c>
      <c r="B1544" s="58" t="n">
        <v>45718</v>
      </c>
      <c r="C1544" s="57" t="n">
        <f aca="false">YEAR(B1544)</f>
        <v>2025</v>
      </c>
      <c r="D1544" s="57" t="n">
        <f aca="false">MONTH(B1544)</f>
        <v>3</v>
      </c>
      <c r="E1544" s="57" t="s">
        <v>914</v>
      </c>
      <c r="F1544" s="57" t="s">
        <v>75</v>
      </c>
      <c r="G1544" s="57" t="s">
        <v>35</v>
      </c>
      <c r="H1544" s="57" t="s">
        <v>37</v>
      </c>
      <c r="I1544" s="59" t="n">
        <v>1</v>
      </c>
      <c r="J1544" s="60" t="n">
        <v>59</v>
      </c>
      <c r="K1544" s="60" t="n">
        <v>27</v>
      </c>
      <c r="L1544" s="61" t="n">
        <f aca="false">I1544*J1544</f>
        <v>59</v>
      </c>
      <c r="M1544" s="61" t="n">
        <f aca="false">L1544-I1544*K1544</f>
        <v>32</v>
      </c>
      <c r="N1544" s="57" t="n">
        <f aca="false">IF(COUNTIFS(E$2:E1544,E1544,C$2:C1544,C1544)=1,1,0)</f>
        <v>0</v>
      </c>
      <c r="O1544" s="57" t="n">
        <f aca="false">IF(COUNTIFS(E$2:E1544,E1544,C$2:C1544,C1544,D$2:D1544,D1544)=1,1,0)</f>
        <v>1</v>
      </c>
      <c r="P1544" s="57" t="n">
        <f aca="false">IF(AND(C1544=Calc!$C$3,OR(Calc!$C$4=0,D1544=Calc!$C$4)),ROW(),0)</f>
        <v>1544</v>
      </c>
    </row>
    <row r="1545" customFormat="false" ht="15" hidden="false" customHeight="false" outlineLevel="0" collapsed="false">
      <c r="A1545" s="57" t="s">
        <v>2070</v>
      </c>
      <c r="B1545" s="58" t="n">
        <v>45719</v>
      </c>
      <c r="C1545" s="57" t="n">
        <f aca="false">YEAR(B1545)</f>
        <v>2025</v>
      </c>
      <c r="D1545" s="57" t="n">
        <f aca="false">MONTH(B1545)</f>
        <v>3</v>
      </c>
      <c r="E1545" s="57" t="s">
        <v>275</v>
      </c>
      <c r="F1545" s="57" t="s">
        <v>75</v>
      </c>
      <c r="G1545" s="57" t="s">
        <v>35</v>
      </c>
      <c r="H1545" s="57" t="s">
        <v>36</v>
      </c>
      <c r="I1545" s="59" t="n">
        <v>2</v>
      </c>
      <c r="J1545" s="60" t="n">
        <v>179</v>
      </c>
      <c r="K1545" s="60" t="n">
        <v>92</v>
      </c>
      <c r="L1545" s="61" t="n">
        <f aca="false">I1545*J1545</f>
        <v>358</v>
      </c>
      <c r="M1545" s="61" t="n">
        <f aca="false">L1545-I1545*K1545</f>
        <v>174</v>
      </c>
      <c r="N1545" s="57" t="n">
        <f aca="false">IF(COUNTIFS(E$2:E1545,E1545,C$2:C1545,C1545)=1,1,0)</f>
        <v>0</v>
      </c>
      <c r="O1545" s="57" t="n">
        <f aca="false">IF(COUNTIFS(E$2:E1545,E1545,C$2:C1545,C1545,D$2:D1545,D1545)=1,1,0)</f>
        <v>1</v>
      </c>
      <c r="P1545" s="57" t="n">
        <f aca="false">IF(AND(C1545=Calc!$C$3,OR(Calc!$C$4=0,D1545=Calc!$C$4)),ROW(),0)</f>
        <v>1545</v>
      </c>
    </row>
    <row r="1546" customFormat="false" ht="15" hidden="false" customHeight="false" outlineLevel="0" collapsed="false">
      <c r="A1546" s="57" t="s">
        <v>2071</v>
      </c>
      <c r="B1546" s="58" t="n">
        <v>45719</v>
      </c>
      <c r="C1546" s="57" t="n">
        <f aca="false">YEAR(B1546)</f>
        <v>2025</v>
      </c>
      <c r="D1546" s="57" t="n">
        <f aca="false">MONTH(B1546)</f>
        <v>3</v>
      </c>
      <c r="E1546" s="57" t="s">
        <v>1034</v>
      </c>
      <c r="F1546" s="57" t="s">
        <v>69</v>
      </c>
      <c r="G1546" s="57" t="s">
        <v>45</v>
      </c>
      <c r="H1546" s="57" t="s">
        <v>47</v>
      </c>
      <c r="I1546" s="59" t="n">
        <v>1</v>
      </c>
      <c r="J1546" s="60" t="n">
        <v>34</v>
      </c>
      <c r="K1546" s="60" t="n">
        <v>12</v>
      </c>
      <c r="L1546" s="61" t="n">
        <f aca="false">I1546*J1546</f>
        <v>34</v>
      </c>
      <c r="M1546" s="61" t="n">
        <f aca="false">L1546-I1546*K1546</f>
        <v>22</v>
      </c>
      <c r="N1546" s="57" t="n">
        <f aca="false">IF(COUNTIFS(E$2:E1546,E1546,C$2:C1546,C1546)=1,1,0)</f>
        <v>1</v>
      </c>
      <c r="O1546" s="57" t="n">
        <f aca="false">IF(COUNTIFS(E$2:E1546,E1546,C$2:C1546,C1546,D$2:D1546,D1546)=1,1,0)</f>
        <v>1</v>
      </c>
      <c r="P1546" s="57" t="n">
        <f aca="false">IF(AND(C1546=Calc!$C$3,OR(Calc!$C$4=0,D1546=Calc!$C$4)),ROW(),0)</f>
        <v>1546</v>
      </c>
    </row>
    <row r="1547" customFormat="false" ht="15" hidden="false" customHeight="false" outlineLevel="0" collapsed="false">
      <c r="A1547" s="57" t="s">
        <v>2072</v>
      </c>
      <c r="B1547" s="58" t="n">
        <v>45719</v>
      </c>
      <c r="C1547" s="57" t="n">
        <f aca="false">YEAR(B1547)</f>
        <v>2025</v>
      </c>
      <c r="D1547" s="57" t="n">
        <f aca="false">MONTH(B1547)</f>
        <v>3</v>
      </c>
      <c r="E1547" s="57" t="s">
        <v>368</v>
      </c>
      <c r="F1547" s="57" t="s">
        <v>69</v>
      </c>
      <c r="G1547" s="57" t="s">
        <v>45</v>
      </c>
      <c r="H1547" s="57" t="s">
        <v>47</v>
      </c>
      <c r="I1547" s="59" t="n">
        <v>1</v>
      </c>
      <c r="J1547" s="60" t="n">
        <v>34</v>
      </c>
      <c r="K1547" s="60" t="n">
        <v>12</v>
      </c>
      <c r="L1547" s="61" t="n">
        <f aca="false">I1547*J1547</f>
        <v>34</v>
      </c>
      <c r="M1547" s="61" t="n">
        <f aca="false">L1547-I1547*K1547</f>
        <v>22</v>
      </c>
      <c r="N1547" s="57" t="n">
        <f aca="false">IF(COUNTIFS(E$2:E1547,E1547,C$2:C1547,C1547)=1,1,0)</f>
        <v>1</v>
      </c>
      <c r="O1547" s="57" t="n">
        <f aca="false">IF(COUNTIFS(E$2:E1547,E1547,C$2:C1547,C1547,D$2:D1547,D1547)=1,1,0)</f>
        <v>1</v>
      </c>
      <c r="P1547" s="57" t="n">
        <f aca="false">IF(AND(C1547=Calc!$C$3,OR(Calc!$C$4=0,D1547=Calc!$C$4)),ROW(),0)</f>
        <v>1547</v>
      </c>
    </row>
    <row r="1548" customFormat="false" ht="15" hidden="false" customHeight="false" outlineLevel="0" collapsed="false">
      <c r="A1548" s="57" t="s">
        <v>2073</v>
      </c>
      <c r="B1548" s="58" t="n">
        <v>45719</v>
      </c>
      <c r="C1548" s="57" t="n">
        <f aca="false">YEAR(B1548)</f>
        <v>2025</v>
      </c>
      <c r="D1548" s="57" t="n">
        <f aca="false">MONTH(B1548)</f>
        <v>3</v>
      </c>
      <c r="E1548" s="57" t="s">
        <v>323</v>
      </c>
      <c r="F1548" s="57" t="s">
        <v>75</v>
      </c>
      <c r="G1548" s="57" t="s">
        <v>54</v>
      </c>
      <c r="H1548" s="57" t="s">
        <v>56</v>
      </c>
      <c r="I1548" s="59" t="n">
        <v>2</v>
      </c>
      <c r="J1548" s="60" t="n">
        <v>42</v>
      </c>
      <c r="K1548" s="60" t="n">
        <v>17</v>
      </c>
      <c r="L1548" s="61" t="n">
        <f aca="false">I1548*J1548</f>
        <v>84</v>
      </c>
      <c r="M1548" s="61" t="n">
        <f aca="false">L1548-I1548*K1548</f>
        <v>50</v>
      </c>
      <c r="N1548" s="57" t="n">
        <f aca="false">IF(COUNTIFS(E$2:E1548,E1548,C$2:C1548,C1548)=1,1,0)</f>
        <v>1</v>
      </c>
      <c r="O1548" s="57" t="n">
        <f aca="false">IF(COUNTIFS(E$2:E1548,E1548,C$2:C1548,C1548,D$2:D1548,D1548)=1,1,0)</f>
        <v>1</v>
      </c>
      <c r="P1548" s="57" t="n">
        <f aca="false">IF(AND(C1548=Calc!$C$3,OR(Calc!$C$4=0,D1548=Calc!$C$4)),ROW(),0)</f>
        <v>1548</v>
      </c>
    </row>
    <row r="1549" customFormat="false" ht="15" hidden="false" customHeight="false" outlineLevel="0" collapsed="false">
      <c r="A1549" s="57" t="s">
        <v>2074</v>
      </c>
      <c r="B1549" s="58" t="n">
        <v>45720</v>
      </c>
      <c r="C1549" s="57" t="n">
        <f aca="false">YEAR(B1549)</f>
        <v>2025</v>
      </c>
      <c r="D1549" s="57" t="n">
        <f aca="false">MONTH(B1549)</f>
        <v>3</v>
      </c>
      <c r="E1549" s="57" t="s">
        <v>1062</v>
      </c>
      <c r="F1549" s="57" t="s">
        <v>78</v>
      </c>
      <c r="G1549" s="57" t="s">
        <v>50</v>
      </c>
      <c r="H1549" s="57" t="s">
        <v>49</v>
      </c>
      <c r="I1549" s="59" t="n">
        <v>1</v>
      </c>
      <c r="J1549" s="60" t="n">
        <v>32</v>
      </c>
      <c r="K1549" s="60" t="n">
        <v>7</v>
      </c>
      <c r="L1549" s="61" t="n">
        <f aca="false">I1549*J1549</f>
        <v>32</v>
      </c>
      <c r="M1549" s="61" t="n">
        <f aca="false">L1549-I1549*K1549</f>
        <v>25</v>
      </c>
      <c r="N1549" s="57" t="n">
        <f aca="false">IF(COUNTIFS(E$2:E1549,E1549,C$2:C1549,C1549)=1,1,0)</f>
        <v>1</v>
      </c>
      <c r="O1549" s="57" t="n">
        <f aca="false">IF(COUNTIFS(E$2:E1549,E1549,C$2:C1549,C1549,D$2:D1549,D1549)=1,1,0)</f>
        <v>1</v>
      </c>
      <c r="P1549" s="57" t="n">
        <f aca="false">IF(AND(C1549=Calc!$C$3,OR(Calc!$C$4=0,D1549=Calc!$C$4)),ROW(),0)</f>
        <v>1549</v>
      </c>
    </row>
    <row r="1550" customFormat="false" ht="15" hidden="false" customHeight="false" outlineLevel="0" collapsed="false">
      <c r="A1550" s="57" t="s">
        <v>2075</v>
      </c>
      <c r="B1550" s="58" t="n">
        <v>45720</v>
      </c>
      <c r="C1550" s="57" t="n">
        <f aca="false">YEAR(B1550)</f>
        <v>2025</v>
      </c>
      <c r="D1550" s="57" t="n">
        <f aca="false">MONTH(B1550)</f>
        <v>3</v>
      </c>
      <c r="E1550" s="57" t="s">
        <v>502</v>
      </c>
      <c r="F1550" s="57" t="s">
        <v>72</v>
      </c>
      <c r="G1550" s="57" t="s">
        <v>35</v>
      </c>
      <c r="H1550" s="57" t="s">
        <v>38</v>
      </c>
      <c r="I1550" s="59" t="n">
        <v>3</v>
      </c>
      <c r="J1550" s="60" t="n">
        <v>49</v>
      </c>
      <c r="K1550" s="60" t="n">
        <v>22</v>
      </c>
      <c r="L1550" s="61" t="n">
        <f aca="false">I1550*J1550</f>
        <v>147</v>
      </c>
      <c r="M1550" s="61" t="n">
        <f aca="false">L1550-I1550*K1550</f>
        <v>81</v>
      </c>
      <c r="N1550" s="57" t="n">
        <f aca="false">IF(COUNTIFS(E$2:E1550,E1550,C$2:C1550,C1550)=1,1,0)</f>
        <v>0</v>
      </c>
      <c r="O1550" s="57" t="n">
        <f aca="false">IF(COUNTIFS(E$2:E1550,E1550,C$2:C1550,C1550,D$2:D1550,D1550)=1,1,0)</f>
        <v>1</v>
      </c>
      <c r="P1550" s="57" t="n">
        <f aca="false">IF(AND(C1550=Calc!$C$3,OR(Calc!$C$4=0,D1550=Calc!$C$4)),ROW(),0)</f>
        <v>1550</v>
      </c>
    </row>
    <row r="1551" customFormat="false" ht="15" hidden="false" customHeight="false" outlineLevel="0" collapsed="false">
      <c r="A1551" s="57" t="s">
        <v>2076</v>
      </c>
      <c r="B1551" s="58" t="n">
        <v>45721</v>
      </c>
      <c r="C1551" s="57" t="n">
        <f aca="false">YEAR(B1551)</f>
        <v>2025</v>
      </c>
      <c r="D1551" s="57" t="n">
        <f aca="false">MONTH(B1551)</f>
        <v>3</v>
      </c>
      <c r="E1551" s="57" t="s">
        <v>996</v>
      </c>
      <c r="F1551" s="57" t="s">
        <v>75</v>
      </c>
      <c r="G1551" s="57" t="s">
        <v>35</v>
      </c>
      <c r="H1551" s="57" t="s">
        <v>34</v>
      </c>
      <c r="I1551" s="59" t="n">
        <v>1</v>
      </c>
      <c r="J1551" s="60" t="n">
        <v>89</v>
      </c>
      <c r="K1551" s="60" t="n">
        <v>41</v>
      </c>
      <c r="L1551" s="61" t="n">
        <f aca="false">I1551*J1551</f>
        <v>89</v>
      </c>
      <c r="M1551" s="61" t="n">
        <f aca="false">L1551-I1551*K1551</f>
        <v>48</v>
      </c>
      <c r="N1551" s="57" t="n">
        <f aca="false">IF(COUNTIFS(E$2:E1551,E1551,C$2:C1551,C1551)=1,1,0)</f>
        <v>1</v>
      </c>
      <c r="O1551" s="57" t="n">
        <f aca="false">IF(COUNTIFS(E$2:E1551,E1551,C$2:C1551,C1551,D$2:D1551,D1551)=1,1,0)</f>
        <v>1</v>
      </c>
      <c r="P1551" s="57" t="n">
        <f aca="false">IF(AND(C1551=Calc!$C$3,OR(Calc!$C$4=0,D1551=Calc!$C$4)),ROW(),0)</f>
        <v>1551</v>
      </c>
    </row>
    <row r="1552" customFormat="false" ht="15" hidden="false" customHeight="false" outlineLevel="0" collapsed="false">
      <c r="A1552" s="57" t="s">
        <v>2077</v>
      </c>
      <c r="B1552" s="58" t="n">
        <v>45721</v>
      </c>
      <c r="C1552" s="57" t="n">
        <f aca="false">YEAR(B1552)</f>
        <v>2025</v>
      </c>
      <c r="D1552" s="57" t="n">
        <f aca="false">MONTH(B1552)</f>
        <v>3</v>
      </c>
      <c r="E1552" s="57" t="s">
        <v>779</v>
      </c>
      <c r="F1552" s="57" t="s">
        <v>75</v>
      </c>
      <c r="G1552" s="57" t="s">
        <v>50</v>
      </c>
      <c r="H1552" s="57" t="s">
        <v>51</v>
      </c>
      <c r="I1552" s="59" t="n">
        <v>1</v>
      </c>
      <c r="J1552" s="60" t="n">
        <v>69</v>
      </c>
      <c r="K1552" s="60" t="n">
        <v>29</v>
      </c>
      <c r="L1552" s="61" t="n">
        <f aca="false">I1552*J1552</f>
        <v>69</v>
      </c>
      <c r="M1552" s="61" t="n">
        <f aca="false">L1552-I1552*K1552</f>
        <v>40</v>
      </c>
      <c r="N1552" s="57" t="n">
        <f aca="false">IF(COUNTIFS(E$2:E1552,E1552,C$2:C1552,C1552)=1,1,0)</f>
        <v>1</v>
      </c>
      <c r="O1552" s="57" t="n">
        <f aca="false">IF(COUNTIFS(E$2:E1552,E1552,C$2:C1552,C1552,D$2:D1552,D1552)=1,1,0)</f>
        <v>1</v>
      </c>
      <c r="P1552" s="57" t="n">
        <f aca="false">IF(AND(C1552=Calc!$C$3,OR(Calc!$C$4=0,D1552=Calc!$C$4)),ROW(),0)</f>
        <v>1552</v>
      </c>
    </row>
    <row r="1553" customFormat="false" ht="15" hidden="false" customHeight="false" outlineLevel="0" collapsed="false">
      <c r="A1553" s="57" t="s">
        <v>2078</v>
      </c>
      <c r="B1553" s="58" t="n">
        <v>45721</v>
      </c>
      <c r="C1553" s="57" t="n">
        <f aca="false">YEAR(B1553)</f>
        <v>2025</v>
      </c>
      <c r="D1553" s="57" t="n">
        <f aca="false">MONTH(B1553)</f>
        <v>3</v>
      </c>
      <c r="E1553" s="57" t="s">
        <v>378</v>
      </c>
      <c r="F1553" s="57" t="s">
        <v>75</v>
      </c>
      <c r="G1553" s="57" t="s">
        <v>40</v>
      </c>
      <c r="H1553" s="57" t="s">
        <v>41</v>
      </c>
      <c r="I1553" s="59" t="n">
        <v>1</v>
      </c>
      <c r="J1553" s="60" t="n">
        <v>46</v>
      </c>
      <c r="K1553" s="60" t="n">
        <v>16</v>
      </c>
      <c r="L1553" s="61" t="n">
        <f aca="false">I1553*J1553</f>
        <v>46</v>
      </c>
      <c r="M1553" s="61" t="n">
        <f aca="false">L1553-I1553*K1553</f>
        <v>30</v>
      </c>
      <c r="N1553" s="57" t="n">
        <f aca="false">IF(COUNTIFS(E$2:E1553,E1553,C$2:C1553,C1553)=1,1,0)</f>
        <v>1</v>
      </c>
      <c r="O1553" s="57" t="n">
        <f aca="false">IF(COUNTIFS(E$2:E1553,E1553,C$2:C1553,C1553,D$2:D1553,D1553)=1,1,0)</f>
        <v>1</v>
      </c>
      <c r="P1553" s="57" t="n">
        <f aca="false">IF(AND(C1553=Calc!$C$3,OR(Calc!$C$4=0,D1553=Calc!$C$4)),ROW(),0)</f>
        <v>1553</v>
      </c>
    </row>
    <row r="1554" customFormat="false" ht="15" hidden="false" customHeight="false" outlineLevel="0" collapsed="false">
      <c r="A1554" s="57" t="s">
        <v>2079</v>
      </c>
      <c r="B1554" s="58" t="n">
        <v>45722</v>
      </c>
      <c r="C1554" s="57" t="n">
        <f aca="false">YEAR(B1554)</f>
        <v>2025</v>
      </c>
      <c r="D1554" s="57" t="n">
        <f aca="false">MONTH(B1554)</f>
        <v>3</v>
      </c>
      <c r="E1554" s="57" t="s">
        <v>361</v>
      </c>
      <c r="F1554" s="57" t="s">
        <v>69</v>
      </c>
      <c r="G1554" s="57" t="s">
        <v>45</v>
      </c>
      <c r="H1554" s="57" t="s">
        <v>44</v>
      </c>
      <c r="I1554" s="59" t="n">
        <v>1</v>
      </c>
      <c r="J1554" s="60" t="n">
        <v>119</v>
      </c>
      <c r="K1554" s="60" t="n">
        <v>63</v>
      </c>
      <c r="L1554" s="61" t="n">
        <f aca="false">I1554*J1554</f>
        <v>119</v>
      </c>
      <c r="M1554" s="61" t="n">
        <f aca="false">L1554-I1554*K1554</f>
        <v>56</v>
      </c>
      <c r="N1554" s="57" t="n">
        <f aca="false">IF(COUNTIFS(E$2:E1554,E1554,C$2:C1554,C1554)=1,1,0)</f>
        <v>0</v>
      </c>
      <c r="O1554" s="57" t="n">
        <f aca="false">IF(COUNTIFS(E$2:E1554,E1554,C$2:C1554,C1554,D$2:D1554,D1554)=1,1,0)</f>
        <v>1</v>
      </c>
      <c r="P1554" s="57" t="n">
        <f aca="false">IF(AND(C1554=Calc!$C$3,OR(Calc!$C$4=0,D1554=Calc!$C$4)),ROW(),0)</f>
        <v>1554</v>
      </c>
    </row>
    <row r="1555" customFormat="false" ht="15" hidden="false" customHeight="false" outlineLevel="0" collapsed="false">
      <c r="A1555" s="57" t="s">
        <v>2080</v>
      </c>
      <c r="B1555" s="58" t="n">
        <v>45722</v>
      </c>
      <c r="C1555" s="57" t="n">
        <f aca="false">YEAR(B1555)</f>
        <v>2025</v>
      </c>
      <c r="D1555" s="57" t="n">
        <f aca="false">MONTH(B1555)</f>
        <v>3</v>
      </c>
      <c r="E1555" s="57" t="s">
        <v>368</v>
      </c>
      <c r="F1555" s="57" t="s">
        <v>69</v>
      </c>
      <c r="G1555" s="57" t="s">
        <v>45</v>
      </c>
      <c r="H1555" s="57" t="s">
        <v>47</v>
      </c>
      <c r="I1555" s="59" t="n">
        <v>1</v>
      </c>
      <c r="J1555" s="60" t="n">
        <v>34</v>
      </c>
      <c r="K1555" s="60" t="n">
        <v>12</v>
      </c>
      <c r="L1555" s="61" t="n">
        <f aca="false">I1555*J1555</f>
        <v>34</v>
      </c>
      <c r="M1555" s="61" t="n">
        <f aca="false">L1555-I1555*K1555</f>
        <v>22</v>
      </c>
      <c r="N1555" s="57" t="n">
        <f aca="false">IF(COUNTIFS(E$2:E1555,E1555,C$2:C1555,C1555)=1,1,0)</f>
        <v>0</v>
      </c>
      <c r="O1555" s="57" t="n">
        <f aca="false">IF(COUNTIFS(E$2:E1555,E1555,C$2:C1555,C1555,D$2:D1555,D1555)=1,1,0)</f>
        <v>0</v>
      </c>
      <c r="P1555" s="57" t="n">
        <f aca="false">IF(AND(C1555=Calc!$C$3,OR(Calc!$C$4=0,D1555=Calc!$C$4)),ROW(),0)</f>
        <v>1555</v>
      </c>
    </row>
    <row r="1556" customFormat="false" ht="15" hidden="false" customHeight="false" outlineLevel="0" collapsed="false">
      <c r="A1556" s="57" t="s">
        <v>2081</v>
      </c>
      <c r="B1556" s="58" t="n">
        <v>45722</v>
      </c>
      <c r="C1556" s="57" t="n">
        <f aca="false">YEAR(B1556)</f>
        <v>2025</v>
      </c>
      <c r="D1556" s="57" t="n">
        <f aca="false">MONTH(B1556)</f>
        <v>3</v>
      </c>
      <c r="E1556" s="57" t="s">
        <v>908</v>
      </c>
      <c r="F1556" s="57" t="s">
        <v>72</v>
      </c>
      <c r="G1556" s="57" t="s">
        <v>35</v>
      </c>
      <c r="H1556" s="57" t="s">
        <v>34</v>
      </c>
      <c r="I1556" s="59" t="n">
        <v>1</v>
      </c>
      <c r="J1556" s="60" t="n">
        <v>89</v>
      </c>
      <c r="K1556" s="60" t="n">
        <v>41</v>
      </c>
      <c r="L1556" s="61" t="n">
        <f aca="false">I1556*J1556</f>
        <v>89</v>
      </c>
      <c r="M1556" s="61" t="n">
        <f aca="false">L1556-I1556*K1556</f>
        <v>48</v>
      </c>
      <c r="N1556" s="57" t="n">
        <f aca="false">IF(COUNTIFS(E$2:E1556,E1556,C$2:C1556,C1556)=1,1,0)</f>
        <v>1</v>
      </c>
      <c r="O1556" s="57" t="n">
        <f aca="false">IF(COUNTIFS(E$2:E1556,E1556,C$2:C1556,C1556,D$2:D1556,D1556)=1,1,0)</f>
        <v>1</v>
      </c>
      <c r="P1556" s="57" t="n">
        <f aca="false">IF(AND(C1556=Calc!$C$3,OR(Calc!$C$4=0,D1556=Calc!$C$4)),ROW(),0)</f>
        <v>1556</v>
      </c>
    </row>
    <row r="1557" customFormat="false" ht="15" hidden="false" customHeight="false" outlineLevel="0" collapsed="false">
      <c r="A1557" s="57" t="s">
        <v>2082</v>
      </c>
      <c r="B1557" s="58" t="n">
        <v>45722</v>
      </c>
      <c r="C1557" s="57" t="n">
        <f aca="false">YEAR(B1557)</f>
        <v>2025</v>
      </c>
      <c r="D1557" s="57" t="n">
        <f aca="false">MONTH(B1557)</f>
        <v>3</v>
      </c>
      <c r="E1557" s="57" t="s">
        <v>2083</v>
      </c>
      <c r="F1557" s="57" t="s">
        <v>75</v>
      </c>
      <c r="G1557" s="57" t="s">
        <v>45</v>
      </c>
      <c r="H1557" s="57" t="s">
        <v>46</v>
      </c>
      <c r="I1557" s="59" t="n">
        <v>1</v>
      </c>
      <c r="J1557" s="60" t="n">
        <v>149</v>
      </c>
      <c r="K1557" s="60" t="n">
        <v>71</v>
      </c>
      <c r="L1557" s="61" t="n">
        <f aca="false">I1557*J1557</f>
        <v>149</v>
      </c>
      <c r="M1557" s="61" t="n">
        <f aca="false">L1557-I1557*K1557</f>
        <v>78</v>
      </c>
      <c r="N1557" s="57" t="n">
        <f aca="false">IF(COUNTIFS(E$2:E1557,E1557,C$2:C1557,C1557)=1,1,0)</f>
        <v>1</v>
      </c>
      <c r="O1557" s="57" t="n">
        <f aca="false">IF(COUNTIFS(E$2:E1557,E1557,C$2:C1557,C1557,D$2:D1557,D1557)=1,1,0)</f>
        <v>1</v>
      </c>
      <c r="P1557" s="57" t="n">
        <f aca="false">IF(AND(C1557=Calc!$C$3,OR(Calc!$C$4=0,D1557=Calc!$C$4)),ROW(),0)</f>
        <v>1557</v>
      </c>
    </row>
    <row r="1558" customFormat="false" ht="15" hidden="false" customHeight="false" outlineLevel="0" collapsed="false">
      <c r="A1558" s="57" t="s">
        <v>2084</v>
      </c>
      <c r="B1558" s="58" t="n">
        <v>45722</v>
      </c>
      <c r="C1558" s="57" t="n">
        <f aca="false">YEAR(B1558)</f>
        <v>2025</v>
      </c>
      <c r="D1558" s="57" t="n">
        <f aca="false">MONTH(B1558)</f>
        <v>3</v>
      </c>
      <c r="E1558" s="57" t="s">
        <v>1808</v>
      </c>
      <c r="F1558" s="57" t="s">
        <v>78</v>
      </c>
      <c r="G1558" s="57" t="s">
        <v>54</v>
      </c>
      <c r="H1558" s="57" t="s">
        <v>53</v>
      </c>
      <c r="I1558" s="59" t="n">
        <v>1</v>
      </c>
      <c r="J1558" s="60" t="n">
        <v>39</v>
      </c>
      <c r="K1558" s="60" t="n">
        <v>13</v>
      </c>
      <c r="L1558" s="61" t="n">
        <f aca="false">I1558*J1558</f>
        <v>39</v>
      </c>
      <c r="M1558" s="61" t="n">
        <f aca="false">L1558-I1558*K1558</f>
        <v>26</v>
      </c>
      <c r="N1558" s="57" t="n">
        <f aca="false">IF(COUNTIFS(E$2:E1558,E1558,C$2:C1558,C1558)=1,1,0)</f>
        <v>1</v>
      </c>
      <c r="O1558" s="57" t="n">
        <f aca="false">IF(COUNTIFS(E$2:E1558,E1558,C$2:C1558,C1558,D$2:D1558,D1558)=1,1,0)</f>
        <v>1</v>
      </c>
      <c r="P1558" s="57" t="n">
        <f aca="false">IF(AND(C1558=Calc!$C$3,OR(Calc!$C$4=0,D1558=Calc!$C$4)),ROW(),0)</f>
        <v>1558</v>
      </c>
    </row>
    <row r="1559" customFormat="false" ht="15" hidden="false" customHeight="false" outlineLevel="0" collapsed="false">
      <c r="A1559" s="57" t="s">
        <v>2085</v>
      </c>
      <c r="B1559" s="58" t="n">
        <v>45722</v>
      </c>
      <c r="C1559" s="57" t="n">
        <f aca="false">YEAR(B1559)</f>
        <v>2025</v>
      </c>
      <c r="D1559" s="57" t="n">
        <f aca="false">MONTH(B1559)</f>
        <v>3</v>
      </c>
      <c r="E1559" s="57" t="s">
        <v>2086</v>
      </c>
      <c r="F1559" s="57" t="s">
        <v>75</v>
      </c>
      <c r="G1559" s="57" t="s">
        <v>45</v>
      </c>
      <c r="H1559" s="57" t="s">
        <v>48</v>
      </c>
      <c r="I1559" s="59" t="n">
        <v>1</v>
      </c>
      <c r="J1559" s="60" t="n">
        <v>99</v>
      </c>
      <c r="K1559" s="60" t="n">
        <v>38</v>
      </c>
      <c r="L1559" s="61" t="n">
        <f aca="false">I1559*J1559</f>
        <v>99</v>
      </c>
      <c r="M1559" s="61" t="n">
        <f aca="false">L1559-I1559*K1559</f>
        <v>61</v>
      </c>
      <c r="N1559" s="57" t="n">
        <f aca="false">IF(COUNTIFS(E$2:E1559,E1559,C$2:C1559,C1559)=1,1,0)</f>
        <v>1</v>
      </c>
      <c r="O1559" s="57" t="n">
        <f aca="false">IF(COUNTIFS(E$2:E1559,E1559,C$2:C1559,C1559,D$2:D1559,D1559)=1,1,0)</f>
        <v>1</v>
      </c>
      <c r="P1559" s="57" t="n">
        <f aca="false">IF(AND(C1559=Calc!$C$3,OR(Calc!$C$4=0,D1559=Calc!$C$4)),ROW(),0)</f>
        <v>1559</v>
      </c>
    </row>
    <row r="1560" customFormat="false" ht="15" hidden="false" customHeight="false" outlineLevel="0" collapsed="false">
      <c r="A1560" s="57" t="s">
        <v>2087</v>
      </c>
      <c r="B1560" s="58" t="n">
        <v>45723</v>
      </c>
      <c r="C1560" s="57" t="n">
        <f aca="false">YEAR(B1560)</f>
        <v>2025</v>
      </c>
      <c r="D1560" s="57" t="n">
        <f aca="false">MONTH(B1560)</f>
        <v>3</v>
      </c>
      <c r="E1560" s="57" t="s">
        <v>170</v>
      </c>
      <c r="F1560" s="57" t="s">
        <v>69</v>
      </c>
      <c r="G1560" s="57" t="s">
        <v>40</v>
      </c>
      <c r="H1560" s="57" t="s">
        <v>42</v>
      </c>
      <c r="I1560" s="59" t="n">
        <v>1</v>
      </c>
      <c r="J1560" s="60" t="n">
        <v>79</v>
      </c>
      <c r="K1560" s="60" t="n">
        <v>31</v>
      </c>
      <c r="L1560" s="61" t="n">
        <f aca="false">I1560*J1560</f>
        <v>79</v>
      </c>
      <c r="M1560" s="61" t="n">
        <f aca="false">L1560-I1560*K1560</f>
        <v>48</v>
      </c>
      <c r="N1560" s="57" t="n">
        <f aca="false">IF(COUNTIFS(E$2:E1560,E1560,C$2:C1560,C1560)=1,1,0)</f>
        <v>0</v>
      </c>
      <c r="O1560" s="57" t="n">
        <f aca="false">IF(COUNTIFS(E$2:E1560,E1560,C$2:C1560,C1560,D$2:D1560,D1560)=1,1,0)</f>
        <v>1</v>
      </c>
      <c r="P1560" s="57" t="n">
        <f aca="false">IF(AND(C1560=Calc!$C$3,OR(Calc!$C$4=0,D1560=Calc!$C$4)),ROW(),0)</f>
        <v>1560</v>
      </c>
    </row>
    <row r="1561" customFormat="false" ht="15" hidden="false" customHeight="false" outlineLevel="0" collapsed="false">
      <c r="A1561" s="57" t="s">
        <v>2088</v>
      </c>
      <c r="B1561" s="58" t="n">
        <v>45723</v>
      </c>
      <c r="C1561" s="57" t="n">
        <f aca="false">YEAR(B1561)</f>
        <v>2025</v>
      </c>
      <c r="D1561" s="57" t="n">
        <f aca="false">MONTH(B1561)</f>
        <v>3</v>
      </c>
      <c r="E1561" s="57" t="s">
        <v>2089</v>
      </c>
      <c r="F1561" s="57" t="s">
        <v>69</v>
      </c>
      <c r="G1561" s="57" t="s">
        <v>45</v>
      </c>
      <c r="H1561" s="57" t="s">
        <v>46</v>
      </c>
      <c r="I1561" s="59" t="n">
        <v>1</v>
      </c>
      <c r="J1561" s="60" t="n">
        <v>149</v>
      </c>
      <c r="K1561" s="60" t="n">
        <v>71</v>
      </c>
      <c r="L1561" s="61" t="n">
        <f aca="false">I1561*J1561</f>
        <v>149</v>
      </c>
      <c r="M1561" s="61" t="n">
        <f aca="false">L1561-I1561*K1561</f>
        <v>78</v>
      </c>
      <c r="N1561" s="57" t="n">
        <f aca="false">IF(COUNTIFS(E$2:E1561,E1561,C$2:C1561,C1561)=1,1,0)</f>
        <v>1</v>
      </c>
      <c r="O1561" s="57" t="n">
        <f aca="false">IF(COUNTIFS(E$2:E1561,E1561,C$2:C1561,C1561,D$2:D1561,D1561)=1,1,0)</f>
        <v>1</v>
      </c>
      <c r="P1561" s="57" t="n">
        <f aca="false">IF(AND(C1561=Calc!$C$3,OR(Calc!$C$4=0,D1561=Calc!$C$4)),ROW(),0)</f>
        <v>1561</v>
      </c>
    </row>
    <row r="1562" customFormat="false" ht="15" hidden="false" customHeight="false" outlineLevel="0" collapsed="false">
      <c r="A1562" s="57" t="s">
        <v>2090</v>
      </c>
      <c r="B1562" s="58" t="n">
        <v>45723</v>
      </c>
      <c r="C1562" s="57" t="n">
        <f aca="false">YEAR(B1562)</f>
        <v>2025</v>
      </c>
      <c r="D1562" s="57" t="n">
        <f aca="false">MONTH(B1562)</f>
        <v>3</v>
      </c>
      <c r="E1562" s="57" t="s">
        <v>541</v>
      </c>
      <c r="F1562" s="57" t="s">
        <v>75</v>
      </c>
      <c r="G1562" s="57" t="s">
        <v>40</v>
      </c>
      <c r="H1562" s="57" t="s">
        <v>43</v>
      </c>
      <c r="I1562" s="59" t="n">
        <v>1</v>
      </c>
      <c r="J1562" s="60" t="n">
        <v>29</v>
      </c>
      <c r="K1562" s="60" t="n">
        <v>9</v>
      </c>
      <c r="L1562" s="61" t="n">
        <f aca="false">I1562*J1562</f>
        <v>29</v>
      </c>
      <c r="M1562" s="61" t="n">
        <f aca="false">L1562-I1562*K1562</f>
        <v>20</v>
      </c>
      <c r="N1562" s="57" t="n">
        <f aca="false">IF(COUNTIFS(E$2:E1562,E1562,C$2:C1562,C1562)=1,1,0)</f>
        <v>0</v>
      </c>
      <c r="O1562" s="57" t="n">
        <f aca="false">IF(COUNTIFS(E$2:E1562,E1562,C$2:C1562,C1562,D$2:D1562,D1562)=1,1,0)</f>
        <v>0</v>
      </c>
      <c r="P1562" s="57" t="n">
        <f aca="false">IF(AND(C1562=Calc!$C$3,OR(Calc!$C$4=0,D1562=Calc!$C$4)),ROW(),0)</f>
        <v>1562</v>
      </c>
    </row>
    <row r="1563" customFormat="false" ht="15" hidden="false" customHeight="false" outlineLevel="0" collapsed="false">
      <c r="A1563" s="57" t="s">
        <v>2091</v>
      </c>
      <c r="B1563" s="58" t="n">
        <v>45724</v>
      </c>
      <c r="C1563" s="57" t="n">
        <f aca="false">YEAR(B1563)</f>
        <v>2025</v>
      </c>
      <c r="D1563" s="57" t="n">
        <f aca="false">MONTH(B1563)</f>
        <v>3</v>
      </c>
      <c r="E1563" s="57" t="s">
        <v>1014</v>
      </c>
      <c r="F1563" s="57" t="s">
        <v>69</v>
      </c>
      <c r="G1563" s="57" t="s">
        <v>50</v>
      </c>
      <c r="H1563" s="57" t="s">
        <v>49</v>
      </c>
      <c r="I1563" s="59" t="n">
        <v>2</v>
      </c>
      <c r="J1563" s="60" t="n">
        <v>32</v>
      </c>
      <c r="K1563" s="60" t="n">
        <v>7</v>
      </c>
      <c r="L1563" s="61" t="n">
        <f aca="false">I1563*J1563</f>
        <v>64</v>
      </c>
      <c r="M1563" s="61" t="n">
        <f aca="false">L1563-I1563*K1563</f>
        <v>50</v>
      </c>
      <c r="N1563" s="57" t="n">
        <f aca="false">IF(COUNTIFS(E$2:E1563,E1563,C$2:C1563,C1563)=1,1,0)</f>
        <v>0</v>
      </c>
      <c r="O1563" s="57" t="n">
        <f aca="false">IF(COUNTIFS(E$2:E1563,E1563,C$2:C1563,C1563,D$2:D1563,D1563)=1,1,0)</f>
        <v>1</v>
      </c>
      <c r="P1563" s="57" t="n">
        <f aca="false">IF(AND(C1563=Calc!$C$3,OR(Calc!$C$4=0,D1563=Calc!$C$4)),ROW(),0)</f>
        <v>1563</v>
      </c>
    </row>
    <row r="1564" customFormat="false" ht="15" hidden="false" customHeight="false" outlineLevel="0" collapsed="false">
      <c r="A1564" s="57" t="s">
        <v>2092</v>
      </c>
      <c r="B1564" s="58" t="n">
        <v>45724</v>
      </c>
      <c r="C1564" s="57" t="n">
        <f aca="false">YEAR(B1564)</f>
        <v>2025</v>
      </c>
      <c r="D1564" s="57" t="n">
        <f aca="false">MONTH(B1564)</f>
        <v>3</v>
      </c>
      <c r="E1564" s="57" t="s">
        <v>696</v>
      </c>
      <c r="F1564" s="57" t="s">
        <v>72</v>
      </c>
      <c r="G1564" s="57" t="s">
        <v>40</v>
      </c>
      <c r="H1564" s="57" t="s">
        <v>41</v>
      </c>
      <c r="I1564" s="59" t="n">
        <v>1</v>
      </c>
      <c r="J1564" s="60" t="n">
        <v>46</v>
      </c>
      <c r="K1564" s="60" t="n">
        <v>16</v>
      </c>
      <c r="L1564" s="61" t="n">
        <f aca="false">I1564*J1564</f>
        <v>46</v>
      </c>
      <c r="M1564" s="61" t="n">
        <f aca="false">L1564-I1564*K1564</f>
        <v>30</v>
      </c>
      <c r="N1564" s="57" t="n">
        <f aca="false">IF(COUNTIFS(E$2:E1564,E1564,C$2:C1564,C1564)=1,1,0)</f>
        <v>0</v>
      </c>
      <c r="O1564" s="57" t="n">
        <f aca="false">IF(COUNTIFS(E$2:E1564,E1564,C$2:C1564,C1564,D$2:D1564,D1564)=1,1,0)</f>
        <v>1</v>
      </c>
      <c r="P1564" s="57" t="n">
        <f aca="false">IF(AND(C1564=Calc!$C$3,OR(Calc!$C$4=0,D1564=Calc!$C$4)),ROW(),0)</f>
        <v>1564</v>
      </c>
    </row>
    <row r="1565" customFormat="false" ht="15" hidden="false" customHeight="false" outlineLevel="0" collapsed="false">
      <c r="A1565" s="57" t="s">
        <v>2093</v>
      </c>
      <c r="B1565" s="58" t="n">
        <v>45724</v>
      </c>
      <c r="C1565" s="57" t="n">
        <f aca="false">YEAR(B1565)</f>
        <v>2025</v>
      </c>
      <c r="D1565" s="57" t="n">
        <f aca="false">MONTH(B1565)</f>
        <v>3</v>
      </c>
      <c r="E1565" s="57" t="s">
        <v>256</v>
      </c>
      <c r="F1565" s="57" t="s">
        <v>69</v>
      </c>
      <c r="G1565" s="57" t="s">
        <v>45</v>
      </c>
      <c r="H1565" s="57" t="s">
        <v>46</v>
      </c>
      <c r="I1565" s="59" t="n">
        <v>1</v>
      </c>
      <c r="J1565" s="60" t="n">
        <v>149</v>
      </c>
      <c r="K1565" s="60" t="n">
        <v>71</v>
      </c>
      <c r="L1565" s="61" t="n">
        <f aca="false">I1565*J1565</f>
        <v>149</v>
      </c>
      <c r="M1565" s="61" t="n">
        <f aca="false">L1565-I1565*K1565</f>
        <v>78</v>
      </c>
      <c r="N1565" s="57" t="n">
        <f aca="false">IF(COUNTIFS(E$2:E1565,E1565,C$2:C1565,C1565)=1,1,0)</f>
        <v>1</v>
      </c>
      <c r="O1565" s="57" t="n">
        <f aca="false">IF(COUNTIFS(E$2:E1565,E1565,C$2:C1565,C1565,D$2:D1565,D1565)=1,1,0)</f>
        <v>1</v>
      </c>
      <c r="P1565" s="57" t="n">
        <f aca="false">IF(AND(C1565=Calc!$C$3,OR(Calc!$C$4=0,D1565=Calc!$C$4)),ROW(),0)</f>
        <v>1565</v>
      </c>
    </row>
    <row r="1566" customFormat="false" ht="15" hidden="false" customHeight="false" outlineLevel="0" collapsed="false">
      <c r="A1566" s="57" t="s">
        <v>2094</v>
      </c>
      <c r="B1566" s="58" t="n">
        <v>45725</v>
      </c>
      <c r="C1566" s="57" t="n">
        <f aca="false">YEAR(B1566)</f>
        <v>2025</v>
      </c>
      <c r="D1566" s="57" t="n">
        <f aca="false">MONTH(B1566)</f>
        <v>3</v>
      </c>
      <c r="E1566" s="57" t="s">
        <v>668</v>
      </c>
      <c r="F1566" s="57" t="s">
        <v>78</v>
      </c>
      <c r="G1566" s="57" t="s">
        <v>40</v>
      </c>
      <c r="H1566" s="57" t="s">
        <v>42</v>
      </c>
      <c r="I1566" s="59" t="n">
        <v>3</v>
      </c>
      <c r="J1566" s="60" t="n">
        <v>79</v>
      </c>
      <c r="K1566" s="60" t="n">
        <v>31</v>
      </c>
      <c r="L1566" s="61" t="n">
        <f aca="false">I1566*J1566</f>
        <v>237</v>
      </c>
      <c r="M1566" s="61" t="n">
        <f aca="false">L1566-I1566*K1566</f>
        <v>144</v>
      </c>
      <c r="N1566" s="57" t="n">
        <f aca="false">IF(COUNTIFS(E$2:E1566,E1566,C$2:C1566,C1566)=1,1,0)</f>
        <v>1</v>
      </c>
      <c r="O1566" s="57" t="n">
        <f aca="false">IF(COUNTIFS(E$2:E1566,E1566,C$2:C1566,C1566,D$2:D1566,D1566)=1,1,0)</f>
        <v>1</v>
      </c>
      <c r="P1566" s="57" t="n">
        <f aca="false">IF(AND(C1566=Calc!$C$3,OR(Calc!$C$4=0,D1566=Calc!$C$4)),ROW(),0)</f>
        <v>1566</v>
      </c>
    </row>
    <row r="1567" customFormat="false" ht="15" hidden="false" customHeight="false" outlineLevel="0" collapsed="false">
      <c r="A1567" s="57" t="s">
        <v>2095</v>
      </c>
      <c r="B1567" s="58" t="n">
        <v>45725</v>
      </c>
      <c r="C1567" s="57" t="n">
        <f aca="false">YEAR(B1567)</f>
        <v>2025</v>
      </c>
      <c r="D1567" s="57" t="n">
        <f aca="false">MONTH(B1567)</f>
        <v>3</v>
      </c>
      <c r="E1567" s="57" t="s">
        <v>594</v>
      </c>
      <c r="F1567" s="57" t="s">
        <v>81</v>
      </c>
      <c r="G1567" s="57" t="s">
        <v>35</v>
      </c>
      <c r="H1567" s="57" t="s">
        <v>34</v>
      </c>
      <c r="I1567" s="59" t="n">
        <v>2</v>
      </c>
      <c r="J1567" s="60" t="n">
        <v>89</v>
      </c>
      <c r="K1567" s="60" t="n">
        <v>41</v>
      </c>
      <c r="L1567" s="61" t="n">
        <f aca="false">I1567*J1567</f>
        <v>178</v>
      </c>
      <c r="M1567" s="61" t="n">
        <f aca="false">L1567-I1567*K1567</f>
        <v>96</v>
      </c>
      <c r="N1567" s="57" t="n">
        <f aca="false">IF(COUNTIFS(E$2:E1567,E1567,C$2:C1567,C1567)=1,1,0)</f>
        <v>1</v>
      </c>
      <c r="O1567" s="57" t="n">
        <f aca="false">IF(COUNTIFS(E$2:E1567,E1567,C$2:C1567,C1567,D$2:D1567,D1567)=1,1,0)</f>
        <v>1</v>
      </c>
      <c r="P1567" s="57" t="n">
        <f aca="false">IF(AND(C1567=Calc!$C$3,OR(Calc!$C$4=0,D1567=Calc!$C$4)),ROW(),0)</f>
        <v>1567</v>
      </c>
    </row>
    <row r="1568" customFormat="false" ht="15" hidden="false" customHeight="false" outlineLevel="0" collapsed="false">
      <c r="A1568" s="57" t="s">
        <v>2096</v>
      </c>
      <c r="B1568" s="58" t="n">
        <v>45725</v>
      </c>
      <c r="C1568" s="57" t="n">
        <f aca="false">YEAR(B1568)</f>
        <v>2025</v>
      </c>
      <c r="D1568" s="57" t="n">
        <f aca="false">MONTH(B1568)</f>
        <v>3</v>
      </c>
      <c r="E1568" s="57" t="s">
        <v>380</v>
      </c>
      <c r="F1568" s="57" t="s">
        <v>69</v>
      </c>
      <c r="G1568" s="57" t="s">
        <v>35</v>
      </c>
      <c r="H1568" s="57" t="s">
        <v>38</v>
      </c>
      <c r="I1568" s="59" t="n">
        <v>1</v>
      </c>
      <c r="J1568" s="60" t="n">
        <v>49</v>
      </c>
      <c r="K1568" s="60" t="n">
        <v>22</v>
      </c>
      <c r="L1568" s="61" t="n">
        <f aca="false">I1568*J1568</f>
        <v>49</v>
      </c>
      <c r="M1568" s="61" t="n">
        <f aca="false">L1568-I1568*K1568</f>
        <v>27</v>
      </c>
      <c r="N1568" s="57" t="n">
        <f aca="false">IF(COUNTIFS(E$2:E1568,E1568,C$2:C1568,C1568)=1,1,0)</f>
        <v>0</v>
      </c>
      <c r="O1568" s="57" t="n">
        <f aca="false">IF(COUNTIFS(E$2:E1568,E1568,C$2:C1568,C1568,D$2:D1568,D1568)=1,1,0)</f>
        <v>1</v>
      </c>
      <c r="P1568" s="57" t="n">
        <f aca="false">IF(AND(C1568=Calc!$C$3,OR(Calc!$C$4=0,D1568=Calc!$C$4)),ROW(),0)</f>
        <v>1568</v>
      </c>
    </row>
    <row r="1569" customFormat="false" ht="15" hidden="false" customHeight="false" outlineLevel="0" collapsed="false">
      <c r="A1569" s="57" t="s">
        <v>2097</v>
      </c>
      <c r="B1569" s="58" t="n">
        <v>45725</v>
      </c>
      <c r="C1569" s="57" t="n">
        <f aca="false">YEAR(B1569)</f>
        <v>2025</v>
      </c>
      <c r="D1569" s="57" t="n">
        <f aca="false">MONTH(B1569)</f>
        <v>3</v>
      </c>
      <c r="E1569" s="57" t="s">
        <v>2098</v>
      </c>
      <c r="F1569" s="57" t="s">
        <v>69</v>
      </c>
      <c r="G1569" s="57" t="s">
        <v>40</v>
      </c>
      <c r="H1569" s="57" t="s">
        <v>42</v>
      </c>
      <c r="I1569" s="59" t="n">
        <v>1</v>
      </c>
      <c r="J1569" s="60" t="n">
        <v>79</v>
      </c>
      <c r="K1569" s="60" t="n">
        <v>31</v>
      </c>
      <c r="L1569" s="61" t="n">
        <f aca="false">I1569*J1569</f>
        <v>79</v>
      </c>
      <c r="M1569" s="61" t="n">
        <f aca="false">L1569-I1569*K1569</f>
        <v>48</v>
      </c>
      <c r="N1569" s="57" t="n">
        <f aca="false">IF(COUNTIFS(E$2:E1569,E1569,C$2:C1569,C1569)=1,1,0)</f>
        <v>1</v>
      </c>
      <c r="O1569" s="57" t="n">
        <f aca="false">IF(COUNTIFS(E$2:E1569,E1569,C$2:C1569,C1569,D$2:D1569,D1569)=1,1,0)</f>
        <v>1</v>
      </c>
      <c r="P1569" s="57" t="n">
        <f aca="false">IF(AND(C1569=Calc!$C$3,OR(Calc!$C$4=0,D1569=Calc!$C$4)),ROW(),0)</f>
        <v>1569</v>
      </c>
    </row>
    <row r="1570" customFormat="false" ht="15" hidden="false" customHeight="false" outlineLevel="0" collapsed="false">
      <c r="A1570" s="57" t="s">
        <v>2099</v>
      </c>
      <c r="B1570" s="58" t="n">
        <v>45726</v>
      </c>
      <c r="C1570" s="57" t="n">
        <f aca="false">YEAR(B1570)</f>
        <v>2025</v>
      </c>
      <c r="D1570" s="57" t="n">
        <f aca="false">MONTH(B1570)</f>
        <v>3</v>
      </c>
      <c r="E1570" s="57" t="s">
        <v>168</v>
      </c>
      <c r="F1570" s="57" t="s">
        <v>81</v>
      </c>
      <c r="G1570" s="57" t="s">
        <v>45</v>
      </c>
      <c r="H1570" s="57" t="s">
        <v>48</v>
      </c>
      <c r="I1570" s="59" t="n">
        <v>1</v>
      </c>
      <c r="J1570" s="60" t="n">
        <v>99</v>
      </c>
      <c r="K1570" s="60" t="n">
        <v>38</v>
      </c>
      <c r="L1570" s="61" t="n">
        <f aca="false">I1570*J1570</f>
        <v>99</v>
      </c>
      <c r="M1570" s="61" t="n">
        <f aca="false">L1570-I1570*K1570</f>
        <v>61</v>
      </c>
      <c r="N1570" s="57" t="n">
        <f aca="false">IF(COUNTIFS(E$2:E1570,E1570,C$2:C1570,C1570)=1,1,0)</f>
        <v>1</v>
      </c>
      <c r="O1570" s="57" t="n">
        <f aca="false">IF(COUNTIFS(E$2:E1570,E1570,C$2:C1570,C1570,D$2:D1570,D1570)=1,1,0)</f>
        <v>1</v>
      </c>
      <c r="P1570" s="57" t="n">
        <f aca="false">IF(AND(C1570=Calc!$C$3,OR(Calc!$C$4=0,D1570=Calc!$C$4)),ROW(),0)</f>
        <v>1570</v>
      </c>
    </row>
    <row r="1571" customFormat="false" ht="15" hidden="false" customHeight="false" outlineLevel="0" collapsed="false">
      <c r="A1571" s="57" t="s">
        <v>2100</v>
      </c>
      <c r="B1571" s="58" t="n">
        <v>45726</v>
      </c>
      <c r="C1571" s="57" t="n">
        <f aca="false">YEAR(B1571)</f>
        <v>2025</v>
      </c>
      <c r="D1571" s="57" t="n">
        <f aca="false">MONTH(B1571)</f>
        <v>3</v>
      </c>
      <c r="E1571" s="57" t="s">
        <v>361</v>
      </c>
      <c r="F1571" s="57" t="s">
        <v>69</v>
      </c>
      <c r="G1571" s="57" t="s">
        <v>35</v>
      </c>
      <c r="H1571" s="57" t="s">
        <v>34</v>
      </c>
      <c r="I1571" s="59" t="n">
        <v>1</v>
      </c>
      <c r="J1571" s="60" t="n">
        <v>89</v>
      </c>
      <c r="K1571" s="60" t="n">
        <v>41</v>
      </c>
      <c r="L1571" s="61" t="n">
        <f aca="false">I1571*J1571</f>
        <v>89</v>
      </c>
      <c r="M1571" s="61" t="n">
        <f aca="false">L1571-I1571*K1571</f>
        <v>48</v>
      </c>
      <c r="N1571" s="57" t="n">
        <f aca="false">IF(COUNTIFS(E$2:E1571,E1571,C$2:C1571,C1571)=1,1,0)</f>
        <v>0</v>
      </c>
      <c r="O1571" s="57" t="n">
        <f aca="false">IF(COUNTIFS(E$2:E1571,E1571,C$2:C1571,C1571,D$2:D1571,D1571)=1,1,0)</f>
        <v>0</v>
      </c>
      <c r="P1571" s="57" t="n">
        <f aca="false">IF(AND(C1571=Calc!$C$3,OR(Calc!$C$4=0,D1571=Calc!$C$4)),ROW(),0)</f>
        <v>1571</v>
      </c>
    </row>
    <row r="1572" customFormat="false" ht="15" hidden="false" customHeight="false" outlineLevel="0" collapsed="false">
      <c r="A1572" s="57" t="s">
        <v>2101</v>
      </c>
      <c r="B1572" s="58" t="n">
        <v>45726</v>
      </c>
      <c r="C1572" s="57" t="n">
        <f aca="false">YEAR(B1572)</f>
        <v>2025</v>
      </c>
      <c r="D1572" s="57" t="n">
        <f aca="false">MONTH(B1572)</f>
        <v>3</v>
      </c>
      <c r="E1572" s="57" t="s">
        <v>2102</v>
      </c>
      <c r="F1572" s="57" t="s">
        <v>78</v>
      </c>
      <c r="G1572" s="57" t="s">
        <v>35</v>
      </c>
      <c r="H1572" s="57" t="s">
        <v>38</v>
      </c>
      <c r="I1572" s="59" t="n">
        <v>2</v>
      </c>
      <c r="J1572" s="60" t="n">
        <v>49</v>
      </c>
      <c r="K1572" s="60" t="n">
        <v>22</v>
      </c>
      <c r="L1572" s="61" t="n">
        <f aca="false">I1572*J1572</f>
        <v>98</v>
      </c>
      <c r="M1572" s="61" t="n">
        <f aca="false">L1572-I1572*K1572</f>
        <v>54</v>
      </c>
      <c r="N1572" s="57" t="n">
        <f aca="false">IF(COUNTIFS(E$2:E1572,E1572,C$2:C1572,C1572)=1,1,0)</f>
        <v>1</v>
      </c>
      <c r="O1572" s="57" t="n">
        <f aca="false">IF(COUNTIFS(E$2:E1572,E1572,C$2:C1572,C1572,D$2:D1572,D1572)=1,1,0)</f>
        <v>1</v>
      </c>
      <c r="P1572" s="57" t="n">
        <f aca="false">IF(AND(C1572=Calc!$C$3,OR(Calc!$C$4=0,D1572=Calc!$C$4)),ROW(),0)</f>
        <v>1572</v>
      </c>
    </row>
    <row r="1573" customFormat="false" ht="15" hidden="false" customHeight="false" outlineLevel="0" collapsed="false">
      <c r="A1573" s="57" t="s">
        <v>2103</v>
      </c>
      <c r="B1573" s="58" t="n">
        <v>45727</v>
      </c>
      <c r="C1573" s="57" t="n">
        <f aca="false">YEAR(B1573)</f>
        <v>2025</v>
      </c>
      <c r="D1573" s="57" t="n">
        <f aca="false">MONTH(B1573)</f>
        <v>3</v>
      </c>
      <c r="E1573" s="57" t="s">
        <v>973</v>
      </c>
      <c r="F1573" s="57" t="s">
        <v>78</v>
      </c>
      <c r="G1573" s="57" t="s">
        <v>40</v>
      </c>
      <c r="H1573" s="57" t="s">
        <v>43</v>
      </c>
      <c r="I1573" s="59" t="n">
        <v>1</v>
      </c>
      <c r="J1573" s="60" t="n">
        <v>29</v>
      </c>
      <c r="K1573" s="60" t="n">
        <v>9</v>
      </c>
      <c r="L1573" s="61" t="n">
        <f aca="false">I1573*J1573</f>
        <v>29</v>
      </c>
      <c r="M1573" s="61" t="n">
        <f aca="false">L1573-I1573*K1573</f>
        <v>20</v>
      </c>
      <c r="N1573" s="57" t="n">
        <f aca="false">IF(COUNTIFS(E$2:E1573,E1573,C$2:C1573,C1573)=1,1,0)</f>
        <v>1</v>
      </c>
      <c r="O1573" s="57" t="n">
        <f aca="false">IF(COUNTIFS(E$2:E1573,E1573,C$2:C1573,C1573,D$2:D1573,D1573)=1,1,0)</f>
        <v>1</v>
      </c>
      <c r="P1573" s="57" t="n">
        <f aca="false">IF(AND(C1573=Calc!$C$3,OR(Calc!$C$4=0,D1573=Calc!$C$4)),ROW(),0)</f>
        <v>1573</v>
      </c>
    </row>
    <row r="1574" customFormat="false" ht="15" hidden="false" customHeight="false" outlineLevel="0" collapsed="false">
      <c r="A1574" s="57" t="s">
        <v>2104</v>
      </c>
      <c r="B1574" s="58" t="n">
        <v>45727</v>
      </c>
      <c r="C1574" s="57" t="n">
        <f aca="false">YEAR(B1574)</f>
        <v>2025</v>
      </c>
      <c r="D1574" s="57" t="n">
        <f aca="false">MONTH(B1574)</f>
        <v>3</v>
      </c>
      <c r="E1574" s="57" t="s">
        <v>1151</v>
      </c>
      <c r="F1574" s="57" t="s">
        <v>78</v>
      </c>
      <c r="G1574" s="57" t="s">
        <v>50</v>
      </c>
      <c r="H1574" s="57" t="s">
        <v>51</v>
      </c>
      <c r="I1574" s="59" t="n">
        <v>2</v>
      </c>
      <c r="J1574" s="60" t="n">
        <v>69</v>
      </c>
      <c r="K1574" s="60" t="n">
        <v>29</v>
      </c>
      <c r="L1574" s="61" t="n">
        <f aca="false">I1574*J1574</f>
        <v>138</v>
      </c>
      <c r="M1574" s="61" t="n">
        <f aca="false">L1574-I1574*K1574</f>
        <v>80</v>
      </c>
      <c r="N1574" s="57" t="n">
        <f aca="false">IF(COUNTIFS(E$2:E1574,E1574,C$2:C1574,C1574)=1,1,0)</f>
        <v>1</v>
      </c>
      <c r="O1574" s="57" t="n">
        <f aca="false">IF(COUNTIFS(E$2:E1574,E1574,C$2:C1574,C1574,D$2:D1574,D1574)=1,1,0)</f>
        <v>1</v>
      </c>
      <c r="P1574" s="57" t="n">
        <f aca="false">IF(AND(C1574=Calc!$C$3,OR(Calc!$C$4=0,D1574=Calc!$C$4)),ROW(),0)</f>
        <v>1574</v>
      </c>
    </row>
    <row r="1575" customFormat="false" ht="15" hidden="false" customHeight="false" outlineLevel="0" collapsed="false">
      <c r="A1575" s="57" t="s">
        <v>2105</v>
      </c>
      <c r="B1575" s="58" t="n">
        <v>45727</v>
      </c>
      <c r="C1575" s="57" t="n">
        <f aca="false">YEAR(B1575)</f>
        <v>2025</v>
      </c>
      <c r="D1575" s="57" t="n">
        <f aca="false">MONTH(B1575)</f>
        <v>3</v>
      </c>
      <c r="E1575" s="57" t="s">
        <v>199</v>
      </c>
      <c r="F1575" s="57" t="s">
        <v>72</v>
      </c>
      <c r="G1575" s="57" t="s">
        <v>35</v>
      </c>
      <c r="H1575" s="57" t="s">
        <v>36</v>
      </c>
      <c r="I1575" s="59" t="n">
        <v>2</v>
      </c>
      <c r="J1575" s="60" t="n">
        <v>179</v>
      </c>
      <c r="K1575" s="60" t="n">
        <v>92</v>
      </c>
      <c r="L1575" s="61" t="n">
        <f aca="false">I1575*J1575</f>
        <v>358</v>
      </c>
      <c r="M1575" s="61" t="n">
        <f aca="false">L1575-I1575*K1575</f>
        <v>174</v>
      </c>
      <c r="N1575" s="57" t="n">
        <f aca="false">IF(COUNTIFS(E$2:E1575,E1575,C$2:C1575,C1575)=1,1,0)</f>
        <v>1</v>
      </c>
      <c r="O1575" s="57" t="n">
        <f aca="false">IF(COUNTIFS(E$2:E1575,E1575,C$2:C1575,C1575,D$2:D1575,D1575)=1,1,0)</f>
        <v>1</v>
      </c>
      <c r="P1575" s="57" t="n">
        <f aca="false">IF(AND(C1575=Calc!$C$3,OR(Calc!$C$4=0,D1575=Calc!$C$4)),ROW(),0)</f>
        <v>1575</v>
      </c>
    </row>
    <row r="1576" customFormat="false" ht="15" hidden="false" customHeight="false" outlineLevel="0" collapsed="false">
      <c r="A1576" s="57" t="s">
        <v>2106</v>
      </c>
      <c r="B1576" s="58" t="n">
        <v>45727</v>
      </c>
      <c r="C1576" s="57" t="n">
        <f aca="false">YEAR(B1576)</f>
        <v>2025</v>
      </c>
      <c r="D1576" s="57" t="n">
        <f aca="false">MONTH(B1576)</f>
        <v>3</v>
      </c>
      <c r="E1576" s="57" t="s">
        <v>323</v>
      </c>
      <c r="F1576" s="57" t="s">
        <v>75</v>
      </c>
      <c r="G1576" s="57" t="s">
        <v>50</v>
      </c>
      <c r="H1576" s="57" t="s">
        <v>52</v>
      </c>
      <c r="I1576" s="59" t="n">
        <v>1</v>
      </c>
      <c r="J1576" s="60" t="n">
        <v>45</v>
      </c>
      <c r="K1576" s="60" t="n">
        <v>14</v>
      </c>
      <c r="L1576" s="61" t="n">
        <f aca="false">I1576*J1576</f>
        <v>45</v>
      </c>
      <c r="M1576" s="61" t="n">
        <f aca="false">L1576-I1576*K1576</f>
        <v>31</v>
      </c>
      <c r="N1576" s="57" t="n">
        <f aca="false">IF(COUNTIFS(E$2:E1576,E1576,C$2:C1576,C1576)=1,1,0)</f>
        <v>0</v>
      </c>
      <c r="O1576" s="57" t="n">
        <f aca="false">IF(COUNTIFS(E$2:E1576,E1576,C$2:C1576,C1576,D$2:D1576,D1576)=1,1,0)</f>
        <v>0</v>
      </c>
      <c r="P1576" s="57" t="n">
        <f aca="false">IF(AND(C1576=Calc!$C$3,OR(Calc!$C$4=0,D1576=Calc!$C$4)),ROW(),0)</f>
        <v>1576</v>
      </c>
    </row>
    <row r="1577" customFormat="false" ht="15" hidden="false" customHeight="false" outlineLevel="0" collapsed="false">
      <c r="A1577" s="57" t="s">
        <v>2107</v>
      </c>
      <c r="B1577" s="58" t="n">
        <v>45728</v>
      </c>
      <c r="C1577" s="57" t="n">
        <f aca="false">YEAR(B1577)</f>
        <v>2025</v>
      </c>
      <c r="D1577" s="57" t="n">
        <f aca="false">MONTH(B1577)</f>
        <v>3</v>
      </c>
      <c r="E1577" s="57" t="s">
        <v>1122</v>
      </c>
      <c r="F1577" s="57" t="s">
        <v>75</v>
      </c>
      <c r="G1577" s="57" t="s">
        <v>35</v>
      </c>
      <c r="H1577" s="57" t="s">
        <v>38</v>
      </c>
      <c r="I1577" s="59" t="n">
        <v>1</v>
      </c>
      <c r="J1577" s="60" t="n">
        <v>49</v>
      </c>
      <c r="K1577" s="60" t="n">
        <v>22</v>
      </c>
      <c r="L1577" s="61" t="n">
        <f aca="false">I1577*J1577</f>
        <v>49</v>
      </c>
      <c r="M1577" s="61" t="n">
        <f aca="false">L1577-I1577*K1577</f>
        <v>27</v>
      </c>
      <c r="N1577" s="57" t="n">
        <f aca="false">IF(COUNTIFS(E$2:E1577,E1577,C$2:C1577,C1577)=1,1,0)</f>
        <v>1</v>
      </c>
      <c r="O1577" s="57" t="n">
        <f aca="false">IF(COUNTIFS(E$2:E1577,E1577,C$2:C1577,C1577,D$2:D1577,D1577)=1,1,0)</f>
        <v>1</v>
      </c>
      <c r="P1577" s="57" t="n">
        <f aca="false">IF(AND(C1577=Calc!$C$3,OR(Calc!$C$4=0,D1577=Calc!$C$4)),ROW(),0)</f>
        <v>1577</v>
      </c>
    </row>
    <row r="1578" customFormat="false" ht="15" hidden="false" customHeight="false" outlineLevel="0" collapsed="false">
      <c r="A1578" s="57" t="s">
        <v>2108</v>
      </c>
      <c r="B1578" s="58" t="n">
        <v>45728</v>
      </c>
      <c r="C1578" s="57" t="n">
        <f aca="false">YEAR(B1578)</f>
        <v>2025</v>
      </c>
      <c r="D1578" s="57" t="n">
        <f aca="false">MONTH(B1578)</f>
        <v>3</v>
      </c>
      <c r="E1578" s="57" t="s">
        <v>71</v>
      </c>
      <c r="F1578" s="57" t="s">
        <v>72</v>
      </c>
      <c r="G1578" s="57" t="s">
        <v>45</v>
      </c>
      <c r="H1578" s="57" t="s">
        <v>48</v>
      </c>
      <c r="I1578" s="59" t="n">
        <v>1</v>
      </c>
      <c r="J1578" s="60" t="n">
        <v>99</v>
      </c>
      <c r="K1578" s="60" t="n">
        <v>38</v>
      </c>
      <c r="L1578" s="61" t="n">
        <f aca="false">I1578*J1578</f>
        <v>99</v>
      </c>
      <c r="M1578" s="61" t="n">
        <f aca="false">L1578-I1578*K1578</f>
        <v>61</v>
      </c>
      <c r="N1578" s="57" t="n">
        <f aca="false">IF(COUNTIFS(E$2:E1578,E1578,C$2:C1578,C1578)=1,1,0)</f>
        <v>0</v>
      </c>
      <c r="O1578" s="57" t="n">
        <f aca="false">IF(COUNTIFS(E$2:E1578,E1578,C$2:C1578,C1578,D$2:D1578,D1578)=1,1,0)</f>
        <v>1</v>
      </c>
      <c r="P1578" s="57" t="n">
        <f aca="false">IF(AND(C1578=Calc!$C$3,OR(Calc!$C$4=0,D1578=Calc!$C$4)),ROW(),0)</f>
        <v>1578</v>
      </c>
    </row>
    <row r="1579" customFormat="false" ht="15" hidden="false" customHeight="false" outlineLevel="0" collapsed="false">
      <c r="A1579" s="57" t="s">
        <v>2109</v>
      </c>
      <c r="B1579" s="58" t="n">
        <v>45729</v>
      </c>
      <c r="C1579" s="57" t="n">
        <f aca="false">YEAR(B1579)</f>
        <v>2025</v>
      </c>
      <c r="D1579" s="57" t="n">
        <f aca="false">MONTH(B1579)</f>
        <v>3</v>
      </c>
      <c r="E1579" s="57" t="s">
        <v>1792</v>
      </c>
      <c r="F1579" s="57" t="s">
        <v>75</v>
      </c>
      <c r="G1579" s="57" t="s">
        <v>45</v>
      </c>
      <c r="H1579" s="57" t="s">
        <v>46</v>
      </c>
      <c r="I1579" s="59" t="n">
        <v>2</v>
      </c>
      <c r="J1579" s="60" t="n">
        <v>149</v>
      </c>
      <c r="K1579" s="60" t="n">
        <v>71</v>
      </c>
      <c r="L1579" s="61" t="n">
        <f aca="false">I1579*J1579</f>
        <v>298</v>
      </c>
      <c r="M1579" s="61" t="n">
        <f aca="false">L1579-I1579*K1579</f>
        <v>156</v>
      </c>
      <c r="N1579" s="57" t="n">
        <f aca="false">IF(COUNTIFS(E$2:E1579,E1579,C$2:C1579,C1579)=1,1,0)</f>
        <v>1</v>
      </c>
      <c r="O1579" s="57" t="n">
        <f aca="false">IF(COUNTIFS(E$2:E1579,E1579,C$2:C1579,C1579,D$2:D1579,D1579)=1,1,0)</f>
        <v>1</v>
      </c>
      <c r="P1579" s="57" t="n">
        <f aca="false">IF(AND(C1579=Calc!$C$3,OR(Calc!$C$4=0,D1579=Calc!$C$4)),ROW(),0)</f>
        <v>1579</v>
      </c>
    </row>
    <row r="1580" customFormat="false" ht="15" hidden="false" customHeight="false" outlineLevel="0" collapsed="false">
      <c r="A1580" s="57" t="s">
        <v>2110</v>
      </c>
      <c r="B1580" s="58" t="n">
        <v>45729</v>
      </c>
      <c r="C1580" s="57" t="n">
        <f aca="false">YEAR(B1580)</f>
        <v>2025</v>
      </c>
      <c r="D1580" s="57" t="n">
        <f aca="false">MONTH(B1580)</f>
        <v>3</v>
      </c>
      <c r="E1580" s="57" t="s">
        <v>1491</v>
      </c>
      <c r="F1580" s="57" t="s">
        <v>69</v>
      </c>
      <c r="G1580" s="57" t="s">
        <v>45</v>
      </c>
      <c r="H1580" s="57" t="s">
        <v>48</v>
      </c>
      <c r="I1580" s="59" t="n">
        <v>2</v>
      </c>
      <c r="J1580" s="60" t="n">
        <v>99</v>
      </c>
      <c r="K1580" s="60" t="n">
        <v>38</v>
      </c>
      <c r="L1580" s="61" t="n">
        <f aca="false">I1580*J1580</f>
        <v>198</v>
      </c>
      <c r="M1580" s="61" t="n">
        <f aca="false">L1580-I1580*K1580</f>
        <v>122</v>
      </c>
      <c r="N1580" s="57" t="n">
        <f aca="false">IF(COUNTIFS(E$2:E1580,E1580,C$2:C1580,C1580)=1,1,0)</f>
        <v>1</v>
      </c>
      <c r="O1580" s="57" t="n">
        <f aca="false">IF(COUNTIFS(E$2:E1580,E1580,C$2:C1580,C1580,D$2:D1580,D1580)=1,1,0)</f>
        <v>1</v>
      </c>
      <c r="P1580" s="57" t="n">
        <f aca="false">IF(AND(C1580=Calc!$C$3,OR(Calc!$C$4=0,D1580=Calc!$C$4)),ROW(),0)</f>
        <v>1580</v>
      </c>
    </row>
    <row r="1581" customFormat="false" ht="15" hidden="false" customHeight="false" outlineLevel="0" collapsed="false">
      <c r="A1581" s="57" t="s">
        <v>2111</v>
      </c>
      <c r="B1581" s="58" t="n">
        <v>45729</v>
      </c>
      <c r="C1581" s="57" t="n">
        <f aca="false">YEAR(B1581)</f>
        <v>2025</v>
      </c>
      <c r="D1581" s="57" t="n">
        <f aca="false">MONTH(B1581)</f>
        <v>3</v>
      </c>
      <c r="E1581" s="57" t="s">
        <v>728</v>
      </c>
      <c r="F1581" s="57" t="s">
        <v>78</v>
      </c>
      <c r="G1581" s="57" t="s">
        <v>35</v>
      </c>
      <c r="H1581" s="57" t="s">
        <v>38</v>
      </c>
      <c r="I1581" s="59" t="n">
        <v>1</v>
      </c>
      <c r="J1581" s="60" t="n">
        <v>49</v>
      </c>
      <c r="K1581" s="60" t="n">
        <v>22</v>
      </c>
      <c r="L1581" s="61" t="n">
        <f aca="false">I1581*J1581</f>
        <v>49</v>
      </c>
      <c r="M1581" s="61" t="n">
        <f aca="false">L1581-I1581*K1581</f>
        <v>27</v>
      </c>
      <c r="N1581" s="57" t="n">
        <f aca="false">IF(COUNTIFS(E$2:E1581,E1581,C$2:C1581,C1581)=1,1,0)</f>
        <v>1</v>
      </c>
      <c r="O1581" s="57" t="n">
        <f aca="false">IF(COUNTIFS(E$2:E1581,E1581,C$2:C1581,C1581,D$2:D1581,D1581)=1,1,0)</f>
        <v>1</v>
      </c>
      <c r="P1581" s="57" t="n">
        <f aca="false">IF(AND(C1581=Calc!$C$3,OR(Calc!$C$4=0,D1581=Calc!$C$4)),ROW(),0)</f>
        <v>1581</v>
      </c>
    </row>
    <row r="1582" customFormat="false" ht="15" hidden="false" customHeight="false" outlineLevel="0" collapsed="false">
      <c r="A1582" s="57" t="s">
        <v>2112</v>
      </c>
      <c r="B1582" s="58" t="n">
        <v>45729</v>
      </c>
      <c r="C1582" s="57" t="n">
        <f aca="false">YEAR(B1582)</f>
        <v>2025</v>
      </c>
      <c r="D1582" s="57" t="n">
        <f aca="false">MONTH(B1582)</f>
        <v>3</v>
      </c>
      <c r="E1582" s="57" t="s">
        <v>309</v>
      </c>
      <c r="F1582" s="57" t="s">
        <v>81</v>
      </c>
      <c r="G1582" s="57" t="s">
        <v>35</v>
      </c>
      <c r="H1582" s="57" t="s">
        <v>36</v>
      </c>
      <c r="I1582" s="59" t="n">
        <v>1</v>
      </c>
      <c r="J1582" s="60" t="n">
        <v>179</v>
      </c>
      <c r="K1582" s="60" t="n">
        <v>92</v>
      </c>
      <c r="L1582" s="61" t="n">
        <f aca="false">I1582*J1582</f>
        <v>179</v>
      </c>
      <c r="M1582" s="61" t="n">
        <f aca="false">L1582-I1582*K1582</f>
        <v>87</v>
      </c>
      <c r="N1582" s="57" t="n">
        <f aca="false">IF(COUNTIFS(E$2:E1582,E1582,C$2:C1582,C1582)=1,1,0)</f>
        <v>1</v>
      </c>
      <c r="O1582" s="57" t="n">
        <f aca="false">IF(COUNTIFS(E$2:E1582,E1582,C$2:C1582,C1582,D$2:D1582,D1582)=1,1,0)</f>
        <v>1</v>
      </c>
      <c r="P1582" s="57" t="n">
        <f aca="false">IF(AND(C1582=Calc!$C$3,OR(Calc!$C$4=0,D1582=Calc!$C$4)),ROW(),0)</f>
        <v>1582</v>
      </c>
    </row>
    <row r="1583" customFormat="false" ht="15" hidden="false" customHeight="false" outlineLevel="0" collapsed="false">
      <c r="A1583" s="57" t="s">
        <v>2113</v>
      </c>
      <c r="B1583" s="58" t="n">
        <v>45730</v>
      </c>
      <c r="C1583" s="57" t="n">
        <f aca="false">YEAR(B1583)</f>
        <v>2025</v>
      </c>
      <c r="D1583" s="57" t="n">
        <f aca="false">MONTH(B1583)</f>
        <v>3</v>
      </c>
      <c r="E1583" s="57" t="s">
        <v>390</v>
      </c>
      <c r="F1583" s="57" t="s">
        <v>72</v>
      </c>
      <c r="G1583" s="57" t="s">
        <v>35</v>
      </c>
      <c r="H1583" s="57" t="s">
        <v>38</v>
      </c>
      <c r="I1583" s="59" t="n">
        <v>1</v>
      </c>
      <c r="J1583" s="60" t="n">
        <v>49</v>
      </c>
      <c r="K1583" s="60" t="n">
        <v>22</v>
      </c>
      <c r="L1583" s="61" t="n">
        <f aca="false">I1583*J1583</f>
        <v>49</v>
      </c>
      <c r="M1583" s="61" t="n">
        <f aca="false">L1583-I1583*K1583</f>
        <v>27</v>
      </c>
      <c r="N1583" s="57" t="n">
        <f aca="false">IF(COUNTIFS(E$2:E1583,E1583,C$2:C1583,C1583)=1,1,0)</f>
        <v>0</v>
      </c>
      <c r="O1583" s="57" t="n">
        <f aca="false">IF(COUNTIFS(E$2:E1583,E1583,C$2:C1583,C1583,D$2:D1583,D1583)=1,1,0)</f>
        <v>1</v>
      </c>
      <c r="P1583" s="57" t="n">
        <f aca="false">IF(AND(C1583=Calc!$C$3,OR(Calc!$C$4=0,D1583=Calc!$C$4)),ROW(),0)</f>
        <v>1583</v>
      </c>
    </row>
    <row r="1584" customFormat="false" ht="15" hidden="false" customHeight="false" outlineLevel="0" collapsed="false">
      <c r="A1584" s="57" t="s">
        <v>2114</v>
      </c>
      <c r="B1584" s="58" t="n">
        <v>45730</v>
      </c>
      <c r="C1584" s="57" t="n">
        <f aca="false">YEAR(B1584)</f>
        <v>2025</v>
      </c>
      <c r="D1584" s="57" t="n">
        <f aca="false">MONTH(B1584)</f>
        <v>3</v>
      </c>
      <c r="E1584" s="57" t="s">
        <v>93</v>
      </c>
      <c r="F1584" s="57" t="s">
        <v>81</v>
      </c>
      <c r="G1584" s="57" t="s">
        <v>40</v>
      </c>
      <c r="H1584" s="57" t="s">
        <v>42</v>
      </c>
      <c r="I1584" s="59" t="n">
        <v>2</v>
      </c>
      <c r="J1584" s="60" t="n">
        <v>79</v>
      </c>
      <c r="K1584" s="60" t="n">
        <v>31</v>
      </c>
      <c r="L1584" s="61" t="n">
        <f aca="false">I1584*J1584</f>
        <v>158</v>
      </c>
      <c r="M1584" s="61" t="n">
        <f aca="false">L1584-I1584*K1584</f>
        <v>96</v>
      </c>
      <c r="N1584" s="57" t="n">
        <f aca="false">IF(COUNTIFS(E$2:E1584,E1584,C$2:C1584,C1584)=1,1,0)</f>
        <v>0</v>
      </c>
      <c r="O1584" s="57" t="n">
        <f aca="false">IF(COUNTIFS(E$2:E1584,E1584,C$2:C1584,C1584,D$2:D1584,D1584)=1,1,0)</f>
        <v>1</v>
      </c>
      <c r="P1584" s="57" t="n">
        <f aca="false">IF(AND(C1584=Calc!$C$3,OR(Calc!$C$4=0,D1584=Calc!$C$4)),ROW(),0)</f>
        <v>1584</v>
      </c>
    </row>
    <row r="1585" customFormat="false" ht="15" hidden="false" customHeight="false" outlineLevel="0" collapsed="false">
      <c r="A1585" s="57" t="s">
        <v>2115</v>
      </c>
      <c r="B1585" s="58" t="n">
        <v>45730</v>
      </c>
      <c r="C1585" s="57" t="n">
        <f aca="false">YEAR(B1585)</f>
        <v>2025</v>
      </c>
      <c r="D1585" s="57" t="n">
        <f aca="false">MONTH(B1585)</f>
        <v>3</v>
      </c>
      <c r="E1585" s="57" t="s">
        <v>580</v>
      </c>
      <c r="F1585" s="57" t="s">
        <v>75</v>
      </c>
      <c r="G1585" s="57" t="s">
        <v>35</v>
      </c>
      <c r="H1585" s="57" t="s">
        <v>36</v>
      </c>
      <c r="I1585" s="59" t="n">
        <v>1</v>
      </c>
      <c r="J1585" s="60" t="n">
        <v>179</v>
      </c>
      <c r="K1585" s="60" t="n">
        <v>92</v>
      </c>
      <c r="L1585" s="61" t="n">
        <f aca="false">I1585*J1585</f>
        <v>179</v>
      </c>
      <c r="M1585" s="61" t="n">
        <f aca="false">L1585-I1585*K1585</f>
        <v>87</v>
      </c>
      <c r="N1585" s="57" t="n">
        <f aca="false">IF(COUNTIFS(E$2:E1585,E1585,C$2:C1585,C1585)=1,1,0)</f>
        <v>1</v>
      </c>
      <c r="O1585" s="57" t="n">
        <f aca="false">IF(COUNTIFS(E$2:E1585,E1585,C$2:C1585,C1585,D$2:D1585,D1585)=1,1,0)</f>
        <v>1</v>
      </c>
      <c r="P1585" s="57" t="n">
        <f aca="false">IF(AND(C1585=Calc!$C$3,OR(Calc!$C$4=0,D1585=Calc!$C$4)),ROW(),0)</f>
        <v>1585</v>
      </c>
    </row>
    <row r="1586" customFormat="false" ht="15" hidden="false" customHeight="false" outlineLevel="0" collapsed="false">
      <c r="A1586" s="57" t="s">
        <v>2116</v>
      </c>
      <c r="B1586" s="58" t="n">
        <v>45730</v>
      </c>
      <c r="C1586" s="57" t="n">
        <f aca="false">YEAR(B1586)</f>
        <v>2025</v>
      </c>
      <c r="D1586" s="57" t="n">
        <f aca="false">MONTH(B1586)</f>
        <v>3</v>
      </c>
      <c r="E1586" s="57" t="s">
        <v>558</v>
      </c>
      <c r="F1586" s="57" t="s">
        <v>81</v>
      </c>
      <c r="G1586" s="57" t="s">
        <v>35</v>
      </c>
      <c r="H1586" s="57" t="s">
        <v>37</v>
      </c>
      <c r="I1586" s="59" t="n">
        <v>1</v>
      </c>
      <c r="J1586" s="60" t="n">
        <v>59</v>
      </c>
      <c r="K1586" s="60" t="n">
        <v>27</v>
      </c>
      <c r="L1586" s="61" t="n">
        <f aca="false">I1586*J1586</f>
        <v>59</v>
      </c>
      <c r="M1586" s="61" t="n">
        <f aca="false">L1586-I1586*K1586</f>
        <v>32</v>
      </c>
      <c r="N1586" s="57" t="n">
        <f aca="false">IF(COUNTIFS(E$2:E1586,E1586,C$2:C1586,C1586)=1,1,0)</f>
        <v>0</v>
      </c>
      <c r="O1586" s="57" t="n">
        <f aca="false">IF(COUNTIFS(E$2:E1586,E1586,C$2:C1586,C1586,D$2:D1586,D1586)=1,1,0)</f>
        <v>1</v>
      </c>
      <c r="P1586" s="57" t="n">
        <f aca="false">IF(AND(C1586=Calc!$C$3,OR(Calc!$C$4=0,D1586=Calc!$C$4)),ROW(),0)</f>
        <v>1586</v>
      </c>
    </row>
    <row r="1587" customFormat="false" ht="15" hidden="false" customHeight="false" outlineLevel="0" collapsed="false">
      <c r="A1587" s="57" t="s">
        <v>2117</v>
      </c>
      <c r="B1587" s="58" t="n">
        <v>45731</v>
      </c>
      <c r="C1587" s="57" t="n">
        <f aca="false">YEAR(B1587)</f>
        <v>2025</v>
      </c>
      <c r="D1587" s="57" t="n">
        <f aca="false">MONTH(B1587)</f>
        <v>3</v>
      </c>
      <c r="E1587" s="57" t="s">
        <v>277</v>
      </c>
      <c r="F1587" s="57" t="s">
        <v>75</v>
      </c>
      <c r="G1587" s="57" t="s">
        <v>35</v>
      </c>
      <c r="H1587" s="57" t="s">
        <v>38</v>
      </c>
      <c r="I1587" s="59" t="n">
        <v>1</v>
      </c>
      <c r="J1587" s="60" t="n">
        <v>49</v>
      </c>
      <c r="K1587" s="60" t="n">
        <v>22</v>
      </c>
      <c r="L1587" s="61" t="n">
        <f aca="false">I1587*J1587</f>
        <v>49</v>
      </c>
      <c r="M1587" s="61" t="n">
        <f aca="false">L1587-I1587*K1587</f>
        <v>27</v>
      </c>
      <c r="N1587" s="57" t="n">
        <f aca="false">IF(COUNTIFS(E$2:E1587,E1587,C$2:C1587,C1587)=1,1,0)</f>
        <v>1</v>
      </c>
      <c r="O1587" s="57" t="n">
        <f aca="false">IF(COUNTIFS(E$2:E1587,E1587,C$2:C1587,C1587,D$2:D1587,D1587)=1,1,0)</f>
        <v>1</v>
      </c>
      <c r="P1587" s="57" t="n">
        <f aca="false">IF(AND(C1587=Calc!$C$3,OR(Calc!$C$4=0,D1587=Calc!$C$4)),ROW(),0)</f>
        <v>1587</v>
      </c>
    </row>
    <row r="1588" customFormat="false" ht="15" hidden="false" customHeight="false" outlineLevel="0" collapsed="false">
      <c r="A1588" s="57" t="s">
        <v>2118</v>
      </c>
      <c r="B1588" s="58" t="n">
        <v>45731</v>
      </c>
      <c r="C1588" s="57" t="n">
        <f aca="false">YEAR(B1588)</f>
        <v>2025</v>
      </c>
      <c r="D1588" s="57" t="n">
        <f aca="false">MONTH(B1588)</f>
        <v>3</v>
      </c>
      <c r="E1588" s="57" t="s">
        <v>1602</v>
      </c>
      <c r="F1588" s="57" t="s">
        <v>81</v>
      </c>
      <c r="G1588" s="57" t="s">
        <v>40</v>
      </c>
      <c r="H1588" s="57" t="s">
        <v>42</v>
      </c>
      <c r="I1588" s="59" t="n">
        <v>1</v>
      </c>
      <c r="J1588" s="60" t="n">
        <v>79</v>
      </c>
      <c r="K1588" s="60" t="n">
        <v>31</v>
      </c>
      <c r="L1588" s="61" t="n">
        <f aca="false">I1588*J1588</f>
        <v>79</v>
      </c>
      <c r="M1588" s="61" t="n">
        <f aca="false">L1588-I1588*K1588</f>
        <v>48</v>
      </c>
      <c r="N1588" s="57" t="n">
        <f aca="false">IF(COUNTIFS(E$2:E1588,E1588,C$2:C1588,C1588)=1,1,0)</f>
        <v>1</v>
      </c>
      <c r="O1588" s="57" t="n">
        <f aca="false">IF(COUNTIFS(E$2:E1588,E1588,C$2:C1588,C1588,D$2:D1588,D1588)=1,1,0)</f>
        <v>1</v>
      </c>
      <c r="P1588" s="57" t="n">
        <f aca="false">IF(AND(C1588=Calc!$C$3,OR(Calc!$C$4=0,D1588=Calc!$C$4)),ROW(),0)</f>
        <v>1588</v>
      </c>
    </row>
    <row r="1589" customFormat="false" ht="15" hidden="false" customHeight="false" outlineLevel="0" collapsed="false">
      <c r="A1589" s="57" t="s">
        <v>2119</v>
      </c>
      <c r="B1589" s="58" t="n">
        <v>45731</v>
      </c>
      <c r="C1589" s="57" t="n">
        <f aca="false">YEAR(B1589)</f>
        <v>2025</v>
      </c>
      <c r="D1589" s="57" t="n">
        <f aca="false">MONTH(B1589)</f>
        <v>3</v>
      </c>
      <c r="E1589" s="57" t="s">
        <v>146</v>
      </c>
      <c r="F1589" s="57" t="s">
        <v>78</v>
      </c>
      <c r="G1589" s="57" t="s">
        <v>50</v>
      </c>
      <c r="H1589" s="57" t="s">
        <v>52</v>
      </c>
      <c r="I1589" s="59" t="n">
        <v>1</v>
      </c>
      <c r="J1589" s="60" t="n">
        <v>45</v>
      </c>
      <c r="K1589" s="60" t="n">
        <v>14</v>
      </c>
      <c r="L1589" s="61" t="n">
        <f aca="false">I1589*J1589</f>
        <v>45</v>
      </c>
      <c r="M1589" s="61" t="n">
        <f aca="false">L1589-I1589*K1589</f>
        <v>31</v>
      </c>
      <c r="N1589" s="57" t="n">
        <f aca="false">IF(COUNTIFS(E$2:E1589,E1589,C$2:C1589,C1589)=1,1,0)</f>
        <v>1</v>
      </c>
      <c r="O1589" s="57" t="n">
        <f aca="false">IF(COUNTIFS(E$2:E1589,E1589,C$2:C1589,C1589,D$2:D1589,D1589)=1,1,0)</f>
        <v>1</v>
      </c>
      <c r="P1589" s="57" t="n">
        <f aca="false">IF(AND(C1589=Calc!$C$3,OR(Calc!$C$4=0,D1589=Calc!$C$4)),ROW(),0)</f>
        <v>1589</v>
      </c>
    </row>
    <row r="1590" customFormat="false" ht="15" hidden="false" customHeight="false" outlineLevel="0" collapsed="false">
      <c r="A1590" s="57" t="s">
        <v>2120</v>
      </c>
      <c r="B1590" s="58" t="n">
        <v>45731</v>
      </c>
      <c r="C1590" s="57" t="n">
        <f aca="false">YEAR(B1590)</f>
        <v>2025</v>
      </c>
      <c r="D1590" s="57" t="n">
        <f aca="false">MONTH(B1590)</f>
        <v>3</v>
      </c>
      <c r="E1590" s="57" t="s">
        <v>296</v>
      </c>
      <c r="F1590" s="57" t="s">
        <v>75</v>
      </c>
      <c r="G1590" s="57" t="s">
        <v>35</v>
      </c>
      <c r="H1590" s="57" t="s">
        <v>37</v>
      </c>
      <c r="I1590" s="59" t="n">
        <v>3</v>
      </c>
      <c r="J1590" s="60" t="n">
        <v>59</v>
      </c>
      <c r="K1590" s="60" t="n">
        <v>27</v>
      </c>
      <c r="L1590" s="61" t="n">
        <f aca="false">I1590*J1590</f>
        <v>177</v>
      </c>
      <c r="M1590" s="61" t="n">
        <f aca="false">L1590-I1590*K1590</f>
        <v>96</v>
      </c>
      <c r="N1590" s="57" t="n">
        <f aca="false">IF(COUNTIFS(E$2:E1590,E1590,C$2:C1590,C1590)=1,1,0)</f>
        <v>1</v>
      </c>
      <c r="O1590" s="57" t="n">
        <f aca="false">IF(COUNTIFS(E$2:E1590,E1590,C$2:C1590,C1590,D$2:D1590,D1590)=1,1,0)</f>
        <v>1</v>
      </c>
      <c r="P1590" s="57" t="n">
        <f aca="false">IF(AND(C1590=Calc!$C$3,OR(Calc!$C$4=0,D1590=Calc!$C$4)),ROW(),0)</f>
        <v>1590</v>
      </c>
    </row>
    <row r="1591" customFormat="false" ht="15" hidden="false" customHeight="false" outlineLevel="0" collapsed="false">
      <c r="A1591" s="57" t="s">
        <v>2121</v>
      </c>
      <c r="B1591" s="58" t="n">
        <v>45732</v>
      </c>
      <c r="C1591" s="57" t="n">
        <f aca="false">YEAR(B1591)</f>
        <v>2025</v>
      </c>
      <c r="D1591" s="57" t="n">
        <f aca="false">MONTH(B1591)</f>
        <v>3</v>
      </c>
      <c r="E1591" s="57" t="s">
        <v>170</v>
      </c>
      <c r="F1591" s="57" t="s">
        <v>69</v>
      </c>
      <c r="G1591" s="57" t="s">
        <v>45</v>
      </c>
      <c r="H1591" s="57" t="s">
        <v>48</v>
      </c>
      <c r="I1591" s="59" t="n">
        <v>1</v>
      </c>
      <c r="J1591" s="60" t="n">
        <v>99</v>
      </c>
      <c r="K1591" s="60" t="n">
        <v>38</v>
      </c>
      <c r="L1591" s="61" t="n">
        <f aca="false">I1591*J1591</f>
        <v>99</v>
      </c>
      <c r="M1591" s="61" t="n">
        <f aca="false">L1591-I1591*K1591</f>
        <v>61</v>
      </c>
      <c r="N1591" s="57" t="n">
        <f aca="false">IF(COUNTIFS(E$2:E1591,E1591,C$2:C1591,C1591)=1,1,0)</f>
        <v>0</v>
      </c>
      <c r="O1591" s="57" t="n">
        <f aca="false">IF(COUNTIFS(E$2:E1591,E1591,C$2:C1591,C1591,D$2:D1591,D1591)=1,1,0)</f>
        <v>0</v>
      </c>
      <c r="P1591" s="57" t="n">
        <f aca="false">IF(AND(C1591=Calc!$C$3,OR(Calc!$C$4=0,D1591=Calc!$C$4)),ROW(),0)</f>
        <v>1591</v>
      </c>
    </row>
    <row r="1592" customFormat="false" ht="15" hidden="false" customHeight="false" outlineLevel="0" collapsed="false">
      <c r="A1592" s="57" t="s">
        <v>2122</v>
      </c>
      <c r="B1592" s="58" t="n">
        <v>45732</v>
      </c>
      <c r="C1592" s="57" t="n">
        <f aca="false">YEAR(B1592)</f>
        <v>2025</v>
      </c>
      <c r="D1592" s="57" t="n">
        <f aca="false">MONTH(B1592)</f>
        <v>3</v>
      </c>
      <c r="E1592" s="57" t="s">
        <v>97</v>
      </c>
      <c r="F1592" s="57" t="s">
        <v>78</v>
      </c>
      <c r="G1592" s="57" t="s">
        <v>40</v>
      </c>
      <c r="H1592" s="57" t="s">
        <v>41</v>
      </c>
      <c r="I1592" s="59" t="n">
        <v>1</v>
      </c>
      <c r="J1592" s="60" t="n">
        <v>46</v>
      </c>
      <c r="K1592" s="60" t="n">
        <v>16</v>
      </c>
      <c r="L1592" s="61" t="n">
        <f aca="false">I1592*J1592</f>
        <v>46</v>
      </c>
      <c r="M1592" s="61" t="n">
        <f aca="false">L1592-I1592*K1592</f>
        <v>30</v>
      </c>
      <c r="N1592" s="57" t="n">
        <f aca="false">IF(COUNTIFS(E$2:E1592,E1592,C$2:C1592,C1592)=1,1,0)</f>
        <v>1</v>
      </c>
      <c r="O1592" s="57" t="n">
        <f aca="false">IF(COUNTIFS(E$2:E1592,E1592,C$2:C1592,C1592,D$2:D1592,D1592)=1,1,0)</f>
        <v>1</v>
      </c>
      <c r="P1592" s="57" t="n">
        <f aca="false">IF(AND(C1592=Calc!$C$3,OR(Calc!$C$4=0,D1592=Calc!$C$4)),ROW(),0)</f>
        <v>1592</v>
      </c>
    </row>
    <row r="1593" customFormat="false" ht="15" hidden="false" customHeight="false" outlineLevel="0" collapsed="false">
      <c r="A1593" s="57" t="s">
        <v>2123</v>
      </c>
      <c r="B1593" s="58" t="n">
        <v>45732</v>
      </c>
      <c r="C1593" s="57" t="n">
        <f aca="false">YEAR(B1593)</f>
        <v>2025</v>
      </c>
      <c r="D1593" s="57" t="n">
        <f aca="false">MONTH(B1593)</f>
        <v>3</v>
      </c>
      <c r="E1593" s="57" t="s">
        <v>285</v>
      </c>
      <c r="F1593" s="57" t="s">
        <v>75</v>
      </c>
      <c r="G1593" s="57" t="s">
        <v>40</v>
      </c>
      <c r="H1593" s="57" t="s">
        <v>42</v>
      </c>
      <c r="I1593" s="59" t="n">
        <v>1</v>
      </c>
      <c r="J1593" s="60" t="n">
        <v>79</v>
      </c>
      <c r="K1593" s="60" t="n">
        <v>31</v>
      </c>
      <c r="L1593" s="61" t="n">
        <f aca="false">I1593*J1593</f>
        <v>79</v>
      </c>
      <c r="M1593" s="61" t="n">
        <f aca="false">L1593-I1593*K1593</f>
        <v>48</v>
      </c>
      <c r="N1593" s="57" t="n">
        <f aca="false">IF(COUNTIFS(E$2:E1593,E1593,C$2:C1593,C1593)=1,1,0)</f>
        <v>0</v>
      </c>
      <c r="O1593" s="57" t="n">
        <f aca="false">IF(COUNTIFS(E$2:E1593,E1593,C$2:C1593,C1593,D$2:D1593,D1593)=1,1,0)</f>
        <v>1</v>
      </c>
      <c r="P1593" s="57" t="n">
        <f aca="false">IF(AND(C1593=Calc!$C$3,OR(Calc!$C$4=0,D1593=Calc!$C$4)),ROW(),0)</f>
        <v>1593</v>
      </c>
    </row>
    <row r="1594" customFormat="false" ht="15" hidden="false" customHeight="false" outlineLevel="0" collapsed="false">
      <c r="A1594" s="57" t="s">
        <v>2124</v>
      </c>
      <c r="B1594" s="58" t="n">
        <v>45733</v>
      </c>
      <c r="C1594" s="57" t="n">
        <f aca="false">YEAR(B1594)</f>
        <v>2025</v>
      </c>
      <c r="D1594" s="57" t="n">
        <f aca="false">MONTH(B1594)</f>
        <v>3</v>
      </c>
      <c r="E1594" s="57" t="s">
        <v>250</v>
      </c>
      <c r="F1594" s="57" t="s">
        <v>78</v>
      </c>
      <c r="G1594" s="57" t="s">
        <v>45</v>
      </c>
      <c r="H1594" s="57" t="s">
        <v>48</v>
      </c>
      <c r="I1594" s="59" t="n">
        <v>1</v>
      </c>
      <c r="J1594" s="60" t="n">
        <v>99</v>
      </c>
      <c r="K1594" s="60" t="n">
        <v>38</v>
      </c>
      <c r="L1594" s="61" t="n">
        <f aca="false">I1594*J1594</f>
        <v>99</v>
      </c>
      <c r="M1594" s="61" t="n">
        <f aca="false">L1594-I1594*K1594</f>
        <v>61</v>
      </c>
      <c r="N1594" s="57" t="n">
        <f aca="false">IF(COUNTIFS(E$2:E1594,E1594,C$2:C1594,C1594)=1,1,0)</f>
        <v>1</v>
      </c>
      <c r="O1594" s="57" t="n">
        <f aca="false">IF(COUNTIFS(E$2:E1594,E1594,C$2:C1594,C1594,D$2:D1594,D1594)=1,1,0)</f>
        <v>1</v>
      </c>
      <c r="P1594" s="57" t="n">
        <f aca="false">IF(AND(C1594=Calc!$C$3,OR(Calc!$C$4=0,D1594=Calc!$C$4)),ROW(),0)</f>
        <v>1594</v>
      </c>
    </row>
    <row r="1595" customFormat="false" ht="15" hidden="false" customHeight="false" outlineLevel="0" collapsed="false">
      <c r="A1595" s="57" t="s">
        <v>2125</v>
      </c>
      <c r="B1595" s="58" t="n">
        <v>45733</v>
      </c>
      <c r="C1595" s="57" t="n">
        <f aca="false">YEAR(B1595)</f>
        <v>2025</v>
      </c>
      <c r="D1595" s="57" t="n">
        <f aca="false">MONTH(B1595)</f>
        <v>3</v>
      </c>
      <c r="E1595" s="57" t="s">
        <v>547</v>
      </c>
      <c r="F1595" s="57" t="s">
        <v>72</v>
      </c>
      <c r="G1595" s="57" t="s">
        <v>45</v>
      </c>
      <c r="H1595" s="57" t="s">
        <v>47</v>
      </c>
      <c r="I1595" s="59" t="n">
        <v>1</v>
      </c>
      <c r="J1595" s="60" t="n">
        <v>34</v>
      </c>
      <c r="K1595" s="60" t="n">
        <v>12</v>
      </c>
      <c r="L1595" s="61" t="n">
        <f aca="false">I1595*J1595</f>
        <v>34</v>
      </c>
      <c r="M1595" s="61" t="n">
        <f aca="false">L1595-I1595*K1595</f>
        <v>22</v>
      </c>
      <c r="N1595" s="57" t="n">
        <f aca="false">IF(COUNTIFS(E$2:E1595,E1595,C$2:C1595,C1595)=1,1,0)</f>
        <v>0</v>
      </c>
      <c r="O1595" s="57" t="n">
        <f aca="false">IF(COUNTIFS(E$2:E1595,E1595,C$2:C1595,C1595,D$2:D1595,D1595)=1,1,0)</f>
        <v>1</v>
      </c>
      <c r="P1595" s="57" t="n">
        <f aca="false">IF(AND(C1595=Calc!$C$3,OR(Calc!$C$4=0,D1595=Calc!$C$4)),ROW(),0)</f>
        <v>1595</v>
      </c>
    </row>
    <row r="1596" customFormat="false" ht="15" hidden="false" customHeight="false" outlineLevel="0" collapsed="false">
      <c r="A1596" s="57" t="s">
        <v>2126</v>
      </c>
      <c r="B1596" s="58" t="n">
        <v>45734</v>
      </c>
      <c r="C1596" s="57" t="n">
        <f aca="false">YEAR(B1596)</f>
        <v>2025</v>
      </c>
      <c r="D1596" s="57" t="n">
        <f aca="false">MONTH(B1596)</f>
        <v>3</v>
      </c>
      <c r="E1596" s="57" t="s">
        <v>504</v>
      </c>
      <c r="F1596" s="57" t="s">
        <v>72</v>
      </c>
      <c r="G1596" s="57" t="s">
        <v>54</v>
      </c>
      <c r="H1596" s="57" t="s">
        <v>55</v>
      </c>
      <c r="I1596" s="59" t="n">
        <v>1</v>
      </c>
      <c r="J1596" s="60" t="n">
        <v>64</v>
      </c>
      <c r="K1596" s="60" t="n">
        <v>25</v>
      </c>
      <c r="L1596" s="61" t="n">
        <f aca="false">I1596*J1596</f>
        <v>64</v>
      </c>
      <c r="M1596" s="61" t="n">
        <f aca="false">L1596-I1596*K1596</f>
        <v>39</v>
      </c>
      <c r="N1596" s="57" t="n">
        <f aca="false">IF(COUNTIFS(E$2:E1596,E1596,C$2:C1596,C1596)=1,1,0)</f>
        <v>0</v>
      </c>
      <c r="O1596" s="57" t="n">
        <f aca="false">IF(COUNTIFS(E$2:E1596,E1596,C$2:C1596,C1596,D$2:D1596,D1596)=1,1,0)</f>
        <v>1</v>
      </c>
      <c r="P1596" s="57" t="n">
        <f aca="false">IF(AND(C1596=Calc!$C$3,OR(Calc!$C$4=0,D1596=Calc!$C$4)),ROW(),0)</f>
        <v>1596</v>
      </c>
    </row>
    <row r="1597" customFormat="false" ht="15" hidden="false" customHeight="false" outlineLevel="0" collapsed="false">
      <c r="A1597" s="57" t="s">
        <v>2127</v>
      </c>
      <c r="B1597" s="58" t="n">
        <v>45734</v>
      </c>
      <c r="C1597" s="57" t="n">
        <f aca="false">YEAR(B1597)</f>
        <v>2025</v>
      </c>
      <c r="D1597" s="57" t="n">
        <f aca="false">MONTH(B1597)</f>
        <v>3</v>
      </c>
      <c r="E1597" s="57" t="s">
        <v>80</v>
      </c>
      <c r="F1597" s="57" t="s">
        <v>81</v>
      </c>
      <c r="G1597" s="57" t="s">
        <v>35</v>
      </c>
      <c r="H1597" s="57" t="s">
        <v>38</v>
      </c>
      <c r="I1597" s="59" t="n">
        <v>1</v>
      </c>
      <c r="J1597" s="60" t="n">
        <v>49</v>
      </c>
      <c r="K1597" s="60" t="n">
        <v>22</v>
      </c>
      <c r="L1597" s="61" t="n">
        <f aca="false">I1597*J1597</f>
        <v>49</v>
      </c>
      <c r="M1597" s="61" t="n">
        <f aca="false">L1597-I1597*K1597</f>
        <v>27</v>
      </c>
      <c r="N1597" s="57" t="n">
        <f aca="false">IF(COUNTIFS(E$2:E1597,E1597,C$2:C1597,C1597)=1,1,0)</f>
        <v>1</v>
      </c>
      <c r="O1597" s="57" t="n">
        <f aca="false">IF(COUNTIFS(E$2:E1597,E1597,C$2:C1597,C1597,D$2:D1597,D1597)=1,1,0)</f>
        <v>1</v>
      </c>
      <c r="P1597" s="57" t="n">
        <f aca="false">IF(AND(C1597=Calc!$C$3,OR(Calc!$C$4=0,D1597=Calc!$C$4)),ROW(),0)</f>
        <v>1597</v>
      </c>
    </row>
    <row r="1598" customFormat="false" ht="15" hidden="false" customHeight="false" outlineLevel="0" collapsed="false">
      <c r="A1598" s="57" t="s">
        <v>2128</v>
      </c>
      <c r="B1598" s="58" t="n">
        <v>45734</v>
      </c>
      <c r="C1598" s="57" t="n">
        <f aca="false">YEAR(B1598)</f>
        <v>2025</v>
      </c>
      <c r="D1598" s="57" t="n">
        <f aca="false">MONTH(B1598)</f>
        <v>3</v>
      </c>
      <c r="E1598" s="57" t="s">
        <v>170</v>
      </c>
      <c r="F1598" s="57" t="s">
        <v>69</v>
      </c>
      <c r="G1598" s="57" t="s">
        <v>45</v>
      </c>
      <c r="H1598" s="57" t="s">
        <v>47</v>
      </c>
      <c r="I1598" s="59" t="n">
        <v>1</v>
      </c>
      <c r="J1598" s="60" t="n">
        <v>34</v>
      </c>
      <c r="K1598" s="60" t="n">
        <v>12</v>
      </c>
      <c r="L1598" s="61" t="n">
        <f aca="false">I1598*J1598</f>
        <v>34</v>
      </c>
      <c r="M1598" s="61" t="n">
        <f aca="false">L1598-I1598*K1598</f>
        <v>22</v>
      </c>
      <c r="N1598" s="57" t="n">
        <f aca="false">IF(COUNTIFS(E$2:E1598,E1598,C$2:C1598,C1598)=1,1,0)</f>
        <v>0</v>
      </c>
      <c r="O1598" s="57" t="n">
        <f aca="false">IF(COUNTIFS(E$2:E1598,E1598,C$2:C1598,C1598,D$2:D1598,D1598)=1,1,0)</f>
        <v>0</v>
      </c>
      <c r="P1598" s="57" t="n">
        <f aca="false">IF(AND(C1598=Calc!$C$3,OR(Calc!$C$4=0,D1598=Calc!$C$4)),ROW(),0)</f>
        <v>1598</v>
      </c>
    </row>
    <row r="1599" customFormat="false" ht="15" hidden="false" customHeight="false" outlineLevel="0" collapsed="false">
      <c r="A1599" s="57" t="s">
        <v>2129</v>
      </c>
      <c r="B1599" s="58" t="n">
        <v>45734</v>
      </c>
      <c r="C1599" s="57" t="n">
        <f aca="false">YEAR(B1599)</f>
        <v>2025</v>
      </c>
      <c r="D1599" s="57" t="n">
        <f aca="false">MONTH(B1599)</f>
        <v>3</v>
      </c>
      <c r="E1599" s="57" t="s">
        <v>983</v>
      </c>
      <c r="F1599" s="57" t="s">
        <v>72</v>
      </c>
      <c r="G1599" s="57" t="s">
        <v>54</v>
      </c>
      <c r="H1599" s="57" t="s">
        <v>55</v>
      </c>
      <c r="I1599" s="59" t="n">
        <v>1</v>
      </c>
      <c r="J1599" s="60" t="n">
        <v>64</v>
      </c>
      <c r="K1599" s="60" t="n">
        <v>25</v>
      </c>
      <c r="L1599" s="61" t="n">
        <f aca="false">I1599*J1599</f>
        <v>64</v>
      </c>
      <c r="M1599" s="61" t="n">
        <f aca="false">L1599-I1599*K1599</f>
        <v>39</v>
      </c>
      <c r="N1599" s="57" t="n">
        <f aca="false">IF(COUNTIFS(E$2:E1599,E1599,C$2:C1599,C1599)=1,1,0)</f>
        <v>0</v>
      </c>
      <c r="O1599" s="57" t="n">
        <f aca="false">IF(COUNTIFS(E$2:E1599,E1599,C$2:C1599,C1599,D$2:D1599,D1599)=1,1,0)</f>
        <v>1</v>
      </c>
      <c r="P1599" s="57" t="n">
        <f aca="false">IF(AND(C1599=Calc!$C$3,OR(Calc!$C$4=0,D1599=Calc!$C$4)),ROW(),0)</f>
        <v>1599</v>
      </c>
    </row>
    <row r="1600" customFormat="false" ht="15" hidden="false" customHeight="false" outlineLevel="0" collapsed="false">
      <c r="A1600" s="57" t="s">
        <v>2130</v>
      </c>
      <c r="B1600" s="58" t="n">
        <v>45735</v>
      </c>
      <c r="C1600" s="57" t="n">
        <f aca="false">YEAR(B1600)</f>
        <v>2025</v>
      </c>
      <c r="D1600" s="57" t="n">
        <f aca="false">MONTH(B1600)</f>
        <v>3</v>
      </c>
      <c r="E1600" s="57" t="s">
        <v>323</v>
      </c>
      <c r="F1600" s="57" t="s">
        <v>75</v>
      </c>
      <c r="G1600" s="57" t="s">
        <v>35</v>
      </c>
      <c r="H1600" s="57" t="s">
        <v>34</v>
      </c>
      <c r="I1600" s="59" t="n">
        <v>2</v>
      </c>
      <c r="J1600" s="60" t="n">
        <v>89</v>
      </c>
      <c r="K1600" s="60" t="n">
        <v>41</v>
      </c>
      <c r="L1600" s="61" t="n">
        <f aca="false">I1600*J1600</f>
        <v>178</v>
      </c>
      <c r="M1600" s="61" t="n">
        <f aca="false">L1600-I1600*K1600</f>
        <v>96</v>
      </c>
      <c r="N1600" s="57" t="n">
        <f aca="false">IF(COUNTIFS(E$2:E1600,E1600,C$2:C1600,C1600)=1,1,0)</f>
        <v>0</v>
      </c>
      <c r="O1600" s="57" t="n">
        <f aca="false">IF(COUNTIFS(E$2:E1600,E1600,C$2:C1600,C1600,D$2:D1600,D1600)=1,1,0)</f>
        <v>0</v>
      </c>
      <c r="P1600" s="57" t="n">
        <f aca="false">IF(AND(C1600=Calc!$C$3,OR(Calc!$C$4=0,D1600=Calc!$C$4)),ROW(),0)</f>
        <v>1600</v>
      </c>
    </row>
    <row r="1601" customFormat="false" ht="15" hidden="false" customHeight="false" outlineLevel="0" collapsed="false">
      <c r="A1601" s="57" t="s">
        <v>2131</v>
      </c>
      <c r="B1601" s="58" t="n">
        <v>45735</v>
      </c>
      <c r="C1601" s="57" t="n">
        <f aca="false">YEAR(B1601)</f>
        <v>2025</v>
      </c>
      <c r="D1601" s="57" t="n">
        <f aca="false">MONTH(B1601)</f>
        <v>3</v>
      </c>
      <c r="E1601" s="57" t="s">
        <v>715</v>
      </c>
      <c r="F1601" s="57" t="s">
        <v>72</v>
      </c>
      <c r="G1601" s="57" t="s">
        <v>54</v>
      </c>
      <c r="H1601" s="57" t="s">
        <v>55</v>
      </c>
      <c r="I1601" s="59" t="n">
        <v>1</v>
      </c>
      <c r="J1601" s="60" t="n">
        <v>64</v>
      </c>
      <c r="K1601" s="60" t="n">
        <v>25</v>
      </c>
      <c r="L1601" s="61" t="n">
        <f aca="false">I1601*J1601</f>
        <v>64</v>
      </c>
      <c r="M1601" s="61" t="n">
        <f aca="false">L1601-I1601*K1601</f>
        <v>39</v>
      </c>
      <c r="N1601" s="57" t="n">
        <f aca="false">IF(COUNTIFS(E$2:E1601,E1601,C$2:C1601,C1601)=1,1,0)</f>
        <v>1</v>
      </c>
      <c r="O1601" s="57" t="n">
        <f aca="false">IF(COUNTIFS(E$2:E1601,E1601,C$2:C1601,C1601,D$2:D1601,D1601)=1,1,0)</f>
        <v>1</v>
      </c>
      <c r="P1601" s="57" t="n">
        <f aca="false">IF(AND(C1601=Calc!$C$3,OR(Calc!$C$4=0,D1601=Calc!$C$4)),ROW(),0)</f>
        <v>1601</v>
      </c>
    </row>
    <row r="1602" customFormat="false" ht="15" hidden="false" customHeight="false" outlineLevel="0" collapsed="false">
      <c r="A1602" s="57" t="s">
        <v>2132</v>
      </c>
      <c r="B1602" s="58" t="n">
        <v>45735</v>
      </c>
      <c r="C1602" s="57" t="n">
        <f aca="false">YEAR(B1602)</f>
        <v>2025</v>
      </c>
      <c r="D1602" s="57" t="n">
        <f aca="false">MONTH(B1602)</f>
        <v>3</v>
      </c>
      <c r="E1602" s="57" t="s">
        <v>116</v>
      </c>
      <c r="F1602" s="57" t="s">
        <v>75</v>
      </c>
      <c r="G1602" s="57" t="s">
        <v>40</v>
      </c>
      <c r="H1602" s="57" t="s">
        <v>42</v>
      </c>
      <c r="I1602" s="59" t="n">
        <v>1</v>
      </c>
      <c r="J1602" s="60" t="n">
        <v>79</v>
      </c>
      <c r="K1602" s="60" t="n">
        <v>31</v>
      </c>
      <c r="L1602" s="61" t="n">
        <f aca="false">I1602*J1602</f>
        <v>79</v>
      </c>
      <c r="M1602" s="61" t="n">
        <f aca="false">L1602-I1602*K1602</f>
        <v>48</v>
      </c>
      <c r="N1602" s="57" t="n">
        <f aca="false">IF(COUNTIFS(E$2:E1602,E1602,C$2:C1602,C1602)=1,1,0)</f>
        <v>1</v>
      </c>
      <c r="O1602" s="57" t="n">
        <f aca="false">IF(COUNTIFS(E$2:E1602,E1602,C$2:C1602,C1602,D$2:D1602,D1602)=1,1,0)</f>
        <v>1</v>
      </c>
      <c r="P1602" s="57" t="n">
        <f aca="false">IF(AND(C1602=Calc!$C$3,OR(Calc!$C$4=0,D1602=Calc!$C$4)),ROW(),0)</f>
        <v>1602</v>
      </c>
    </row>
    <row r="1603" customFormat="false" ht="15" hidden="false" customHeight="false" outlineLevel="0" collapsed="false">
      <c r="A1603" s="57" t="s">
        <v>2133</v>
      </c>
      <c r="B1603" s="58" t="n">
        <v>45735</v>
      </c>
      <c r="C1603" s="57" t="n">
        <f aca="false">YEAR(B1603)</f>
        <v>2025</v>
      </c>
      <c r="D1603" s="57" t="n">
        <f aca="false">MONTH(B1603)</f>
        <v>3</v>
      </c>
      <c r="E1603" s="57" t="s">
        <v>1466</v>
      </c>
      <c r="F1603" s="57" t="s">
        <v>75</v>
      </c>
      <c r="G1603" s="57" t="s">
        <v>40</v>
      </c>
      <c r="H1603" s="57" t="s">
        <v>41</v>
      </c>
      <c r="I1603" s="59" t="n">
        <v>1</v>
      </c>
      <c r="J1603" s="60" t="n">
        <v>46</v>
      </c>
      <c r="K1603" s="60" t="n">
        <v>16</v>
      </c>
      <c r="L1603" s="61" t="n">
        <f aca="false">I1603*J1603</f>
        <v>46</v>
      </c>
      <c r="M1603" s="61" t="n">
        <f aca="false">L1603-I1603*K1603</f>
        <v>30</v>
      </c>
      <c r="N1603" s="57" t="n">
        <f aca="false">IF(COUNTIFS(E$2:E1603,E1603,C$2:C1603,C1603)=1,1,0)</f>
        <v>0</v>
      </c>
      <c r="O1603" s="57" t="n">
        <f aca="false">IF(COUNTIFS(E$2:E1603,E1603,C$2:C1603,C1603,D$2:D1603,D1603)=1,1,0)</f>
        <v>1</v>
      </c>
      <c r="P1603" s="57" t="n">
        <f aca="false">IF(AND(C1603=Calc!$C$3,OR(Calc!$C$4=0,D1603=Calc!$C$4)),ROW(),0)</f>
        <v>1603</v>
      </c>
    </row>
    <row r="1604" customFormat="false" ht="15" hidden="false" customHeight="false" outlineLevel="0" collapsed="false">
      <c r="A1604" s="57" t="s">
        <v>2134</v>
      </c>
      <c r="B1604" s="58" t="n">
        <v>45736</v>
      </c>
      <c r="C1604" s="57" t="n">
        <f aca="false">YEAR(B1604)</f>
        <v>2025</v>
      </c>
      <c r="D1604" s="57" t="n">
        <f aca="false">MONTH(B1604)</f>
        <v>3</v>
      </c>
      <c r="E1604" s="57" t="s">
        <v>1234</v>
      </c>
      <c r="F1604" s="57" t="s">
        <v>78</v>
      </c>
      <c r="G1604" s="57" t="s">
        <v>40</v>
      </c>
      <c r="H1604" s="57" t="s">
        <v>42</v>
      </c>
      <c r="I1604" s="59" t="n">
        <v>1</v>
      </c>
      <c r="J1604" s="60" t="n">
        <v>79</v>
      </c>
      <c r="K1604" s="60" t="n">
        <v>31</v>
      </c>
      <c r="L1604" s="61" t="n">
        <f aca="false">I1604*J1604</f>
        <v>79</v>
      </c>
      <c r="M1604" s="61" t="n">
        <f aca="false">L1604-I1604*K1604</f>
        <v>48</v>
      </c>
      <c r="N1604" s="57" t="n">
        <f aca="false">IF(COUNTIFS(E$2:E1604,E1604,C$2:C1604,C1604)=1,1,0)</f>
        <v>0</v>
      </c>
      <c r="O1604" s="57" t="n">
        <f aca="false">IF(COUNTIFS(E$2:E1604,E1604,C$2:C1604,C1604,D$2:D1604,D1604)=1,1,0)</f>
        <v>1</v>
      </c>
      <c r="P1604" s="57" t="n">
        <f aca="false">IF(AND(C1604=Calc!$C$3,OR(Calc!$C$4=0,D1604=Calc!$C$4)),ROW(),0)</f>
        <v>1604</v>
      </c>
    </row>
    <row r="1605" customFormat="false" ht="15" hidden="false" customHeight="false" outlineLevel="0" collapsed="false">
      <c r="A1605" s="57" t="s">
        <v>2135</v>
      </c>
      <c r="B1605" s="58" t="n">
        <v>45736</v>
      </c>
      <c r="C1605" s="57" t="n">
        <f aca="false">YEAR(B1605)</f>
        <v>2025</v>
      </c>
      <c r="D1605" s="57" t="n">
        <f aca="false">MONTH(B1605)</f>
        <v>3</v>
      </c>
      <c r="E1605" s="57" t="s">
        <v>794</v>
      </c>
      <c r="F1605" s="57" t="s">
        <v>69</v>
      </c>
      <c r="G1605" s="57" t="s">
        <v>35</v>
      </c>
      <c r="H1605" s="57" t="s">
        <v>34</v>
      </c>
      <c r="I1605" s="59" t="n">
        <v>1</v>
      </c>
      <c r="J1605" s="60" t="n">
        <v>89</v>
      </c>
      <c r="K1605" s="60" t="n">
        <v>41</v>
      </c>
      <c r="L1605" s="61" t="n">
        <f aca="false">I1605*J1605</f>
        <v>89</v>
      </c>
      <c r="M1605" s="61" t="n">
        <f aca="false">L1605-I1605*K1605</f>
        <v>48</v>
      </c>
      <c r="N1605" s="57" t="n">
        <f aca="false">IF(COUNTIFS(E$2:E1605,E1605,C$2:C1605,C1605)=1,1,0)</f>
        <v>1</v>
      </c>
      <c r="O1605" s="57" t="n">
        <f aca="false">IF(COUNTIFS(E$2:E1605,E1605,C$2:C1605,C1605,D$2:D1605,D1605)=1,1,0)</f>
        <v>1</v>
      </c>
      <c r="P1605" s="57" t="n">
        <f aca="false">IF(AND(C1605=Calc!$C$3,OR(Calc!$C$4=0,D1605=Calc!$C$4)),ROW(),0)</f>
        <v>1605</v>
      </c>
    </row>
    <row r="1606" customFormat="false" ht="15" hidden="false" customHeight="false" outlineLevel="0" collapsed="false">
      <c r="A1606" s="57" t="s">
        <v>2136</v>
      </c>
      <c r="B1606" s="58" t="n">
        <v>45736</v>
      </c>
      <c r="C1606" s="57" t="n">
        <f aca="false">YEAR(B1606)</f>
        <v>2025</v>
      </c>
      <c r="D1606" s="57" t="n">
        <f aca="false">MONTH(B1606)</f>
        <v>3</v>
      </c>
      <c r="E1606" s="57" t="s">
        <v>908</v>
      </c>
      <c r="F1606" s="57" t="s">
        <v>72</v>
      </c>
      <c r="G1606" s="57" t="s">
        <v>40</v>
      </c>
      <c r="H1606" s="57" t="s">
        <v>43</v>
      </c>
      <c r="I1606" s="59" t="n">
        <v>3</v>
      </c>
      <c r="J1606" s="60" t="n">
        <v>29</v>
      </c>
      <c r="K1606" s="60" t="n">
        <v>9</v>
      </c>
      <c r="L1606" s="61" t="n">
        <f aca="false">I1606*J1606</f>
        <v>87</v>
      </c>
      <c r="M1606" s="61" t="n">
        <f aca="false">L1606-I1606*K1606</f>
        <v>60</v>
      </c>
      <c r="N1606" s="57" t="n">
        <f aca="false">IF(COUNTIFS(E$2:E1606,E1606,C$2:C1606,C1606)=1,1,0)</f>
        <v>0</v>
      </c>
      <c r="O1606" s="57" t="n">
        <f aca="false">IF(COUNTIFS(E$2:E1606,E1606,C$2:C1606,C1606,D$2:D1606,D1606)=1,1,0)</f>
        <v>0</v>
      </c>
      <c r="P1606" s="57" t="n">
        <f aca="false">IF(AND(C1606=Calc!$C$3,OR(Calc!$C$4=0,D1606=Calc!$C$4)),ROW(),0)</f>
        <v>1606</v>
      </c>
    </row>
    <row r="1607" customFormat="false" ht="15" hidden="false" customHeight="false" outlineLevel="0" collapsed="false">
      <c r="A1607" s="57" t="s">
        <v>2137</v>
      </c>
      <c r="B1607" s="58" t="n">
        <v>45736</v>
      </c>
      <c r="C1607" s="57" t="n">
        <f aca="false">YEAR(B1607)</f>
        <v>2025</v>
      </c>
      <c r="D1607" s="57" t="n">
        <f aca="false">MONTH(B1607)</f>
        <v>3</v>
      </c>
      <c r="E1607" s="57" t="s">
        <v>1080</v>
      </c>
      <c r="F1607" s="57" t="s">
        <v>75</v>
      </c>
      <c r="G1607" s="57" t="s">
        <v>45</v>
      </c>
      <c r="H1607" s="57" t="s">
        <v>48</v>
      </c>
      <c r="I1607" s="59" t="n">
        <v>1</v>
      </c>
      <c r="J1607" s="60" t="n">
        <v>99</v>
      </c>
      <c r="K1607" s="60" t="n">
        <v>38</v>
      </c>
      <c r="L1607" s="61" t="n">
        <f aca="false">I1607*J1607</f>
        <v>99</v>
      </c>
      <c r="M1607" s="61" t="n">
        <f aca="false">L1607-I1607*K1607</f>
        <v>61</v>
      </c>
      <c r="N1607" s="57" t="n">
        <f aca="false">IF(COUNTIFS(E$2:E1607,E1607,C$2:C1607,C1607)=1,1,0)</f>
        <v>1</v>
      </c>
      <c r="O1607" s="57" t="n">
        <f aca="false">IF(COUNTIFS(E$2:E1607,E1607,C$2:C1607,C1607,D$2:D1607,D1607)=1,1,0)</f>
        <v>1</v>
      </c>
      <c r="P1607" s="57" t="n">
        <f aca="false">IF(AND(C1607=Calc!$C$3,OR(Calc!$C$4=0,D1607=Calc!$C$4)),ROW(),0)</f>
        <v>1607</v>
      </c>
    </row>
    <row r="1608" customFormat="false" ht="15" hidden="false" customHeight="false" outlineLevel="0" collapsed="false">
      <c r="A1608" s="57" t="s">
        <v>2138</v>
      </c>
      <c r="B1608" s="58" t="n">
        <v>45736</v>
      </c>
      <c r="C1608" s="57" t="n">
        <f aca="false">YEAR(B1608)</f>
        <v>2025</v>
      </c>
      <c r="D1608" s="57" t="n">
        <f aca="false">MONTH(B1608)</f>
        <v>3</v>
      </c>
      <c r="E1608" s="57" t="s">
        <v>1714</v>
      </c>
      <c r="F1608" s="57" t="s">
        <v>75</v>
      </c>
      <c r="G1608" s="57" t="s">
        <v>40</v>
      </c>
      <c r="H1608" s="57" t="s">
        <v>41</v>
      </c>
      <c r="I1608" s="59" t="n">
        <v>1</v>
      </c>
      <c r="J1608" s="60" t="n">
        <v>46</v>
      </c>
      <c r="K1608" s="60" t="n">
        <v>16</v>
      </c>
      <c r="L1608" s="61" t="n">
        <f aca="false">I1608*J1608</f>
        <v>46</v>
      </c>
      <c r="M1608" s="61" t="n">
        <f aca="false">L1608-I1608*K1608</f>
        <v>30</v>
      </c>
      <c r="N1608" s="57" t="n">
        <f aca="false">IF(COUNTIFS(E$2:E1608,E1608,C$2:C1608,C1608)=1,1,0)</f>
        <v>1</v>
      </c>
      <c r="O1608" s="57" t="n">
        <f aca="false">IF(COUNTIFS(E$2:E1608,E1608,C$2:C1608,C1608,D$2:D1608,D1608)=1,1,0)</f>
        <v>1</v>
      </c>
      <c r="P1608" s="57" t="n">
        <f aca="false">IF(AND(C1608=Calc!$C$3,OR(Calc!$C$4=0,D1608=Calc!$C$4)),ROW(),0)</f>
        <v>1608</v>
      </c>
    </row>
    <row r="1609" customFormat="false" ht="15" hidden="false" customHeight="false" outlineLevel="0" collapsed="false">
      <c r="A1609" s="57" t="s">
        <v>2139</v>
      </c>
      <c r="B1609" s="58" t="n">
        <v>45736</v>
      </c>
      <c r="C1609" s="57" t="n">
        <f aca="false">YEAR(B1609)</f>
        <v>2025</v>
      </c>
      <c r="D1609" s="57" t="n">
        <f aca="false">MONTH(B1609)</f>
        <v>3</v>
      </c>
      <c r="E1609" s="57" t="s">
        <v>1022</v>
      </c>
      <c r="F1609" s="57" t="s">
        <v>75</v>
      </c>
      <c r="G1609" s="57" t="s">
        <v>45</v>
      </c>
      <c r="H1609" s="57" t="s">
        <v>47</v>
      </c>
      <c r="I1609" s="59" t="n">
        <v>2</v>
      </c>
      <c r="J1609" s="60" t="n">
        <v>34</v>
      </c>
      <c r="K1609" s="60" t="n">
        <v>12</v>
      </c>
      <c r="L1609" s="61" t="n">
        <f aca="false">I1609*J1609</f>
        <v>68</v>
      </c>
      <c r="M1609" s="61" t="n">
        <f aca="false">L1609-I1609*K1609</f>
        <v>44</v>
      </c>
      <c r="N1609" s="57" t="n">
        <f aca="false">IF(COUNTIFS(E$2:E1609,E1609,C$2:C1609,C1609)=1,1,0)</f>
        <v>1</v>
      </c>
      <c r="O1609" s="57" t="n">
        <f aca="false">IF(COUNTIFS(E$2:E1609,E1609,C$2:C1609,C1609,D$2:D1609,D1609)=1,1,0)</f>
        <v>1</v>
      </c>
      <c r="P1609" s="57" t="n">
        <f aca="false">IF(AND(C1609=Calc!$C$3,OR(Calc!$C$4=0,D1609=Calc!$C$4)),ROW(),0)</f>
        <v>1609</v>
      </c>
    </row>
    <row r="1610" customFormat="false" ht="15" hidden="false" customHeight="false" outlineLevel="0" collapsed="false">
      <c r="A1610" s="57" t="s">
        <v>2140</v>
      </c>
      <c r="B1610" s="58" t="n">
        <v>45737</v>
      </c>
      <c r="C1610" s="57" t="n">
        <f aca="false">YEAR(B1610)</f>
        <v>2025</v>
      </c>
      <c r="D1610" s="57" t="n">
        <f aca="false">MONTH(B1610)</f>
        <v>3</v>
      </c>
      <c r="E1610" s="57" t="s">
        <v>2141</v>
      </c>
      <c r="F1610" s="57" t="s">
        <v>75</v>
      </c>
      <c r="G1610" s="57" t="s">
        <v>35</v>
      </c>
      <c r="H1610" s="57" t="s">
        <v>38</v>
      </c>
      <c r="I1610" s="59" t="n">
        <v>1</v>
      </c>
      <c r="J1610" s="60" t="n">
        <v>49</v>
      </c>
      <c r="K1610" s="60" t="n">
        <v>22</v>
      </c>
      <c r="L1610" s="61" t="n">
        <f aca="false">I1610*J1610</f>
        <v>49</v>
      </c>
      <c r="M1610" s="61" t="n">
        <f aca="false">L1610-I1610*K1610</f>
        <v>27</v>
      </c>
      <c r="N1610" s="57" t="n">
        <f aca="false">IF(COUNTIFS(E$2:E1610,E1610,C$2:C1610,C1610)=1,1,0)</f>
        <v>1</v>
      </c>
      <c r="O1610" s="57" t="n">
        <f aca="false">IF(COUNTIFS(E$2:E1610,E1610,C$2:C1610,C1610,D$2:D1610,D1610)=1,1,0)</f>
        <v>1</v>
      </c>
      <c r="P1610" s="57" t="n">
        <f aca="false">IF(AND(C1610=Calc!$C$3,OR(Calc!$C$4=0,D1610=Calc!$C$4)),ROW(),0)</f>
        <v>1610</v>
      </c>
    </row>
    <row r="1611" customFormat="false" ht="15" hidden="false" customHeight="false" outlineLevel="0" collapsed="false">
      <c r="A1611" s="57" t="s">
        <v>2142</v>
      </c>
      <c r="B1611" s="58" t="n">
        <v>45737</v>
      </c>
      <c r="C1611" s="57" t="n">
        <f aca="false">YEAR(B1611)</f>
        <v>2025</v>
      </c>
      <c r="D1611" s="57" t="n">
        <f aca="false">MONTH(B1611)</f>
        <v>3</v>
      </c>
      <c r="E1611" s="57" t="s">
        <v>1792</v>
      </c>
      <c r="F1611" s="57" t="s">
        <v>75</v>
      </c>
      <c r="G1611" s="57" t="s">
        <v>45</v>
      </c>
      <c r="H1611" s="57" t="s">
        <v>44</v>
      </c>
      <c r="I1611" s="59" t="n">
        <v>1</v>
      </c>
      <c r="J1611" s="60" t="n">
        <v>119</v>
      </c>
      <c r="K1611" s="60" t="n">
        <v>63</v>
      </c>
      <c r="L1611" s="61" t="n">
        <f aca="false">I1611*J1611</f>
        <v>119</v>
      </c>
      <c r="M1611" s="61" t="n">
        <f aca="false">L1611-I1611*K1611</f>
        <v>56</v>
      </c>
      <c r="N1611" s="57" t="n">
        <f aca="false">IF(COUNTIFS(E$2:E1611,E1611,C$2:C1611,C1611)=1,1,0)</f>
        <v>0</v>
      </c>
      <c r="O1611" s="57" t="n">
        <f aca="false">IF(COUNTIFS(E$2:E1611,E1611,C$2:C1611,C1611,D$2:D1611,D1611)=1,1,0)</f>
        <v>0</v>
      </c>
      <c r="P1611" s="57" t="n">
        <f aca="false">IF(AND(C1611=Calc!$C$3,OR(Calc!$C$4=0,D1611=Calc!$C$4)),ROW(),0)</f>
        <v>1611</v>
      </c>
    </row>
    <row r="1612" customFormat="false" ht="15" hidden="false" customHeight="false" outlineLevel="0" collapsed="false">
      <c r="A1612" s="57" t="s">
        <v>2143</v>
      </c>
      <c r="B1612" s="58" t="n">
        <v>45737</v>
      </c>
      <c r="C1612" s="57" t="n">
        <f aca="false">YEAR(B1612)</f>
        <v>2025</v>
      </c>
      <c r="D1612" s="57" t="n">
        <f aca="false">MONTH(B1612)</f>
        <v>3</v>
      </c>
      <c r="E1612" s="57" t="s">
        <v>477</v>
      </c>
      <c r="F1612" s="57" t="s">
        <v>78</v>
      </c>
      <c r="G1612" s="57" t="s">
        <v>40</v>
      </c>
      <c r="H1612" s="57" t="s">
        <v>41</v>
      </c>
      <c r="I1612" s="59" t="n">
        <v>1</v>
      </c>
      <c r="J1612" s="60" t="n">
        <v>46</v>
      </c>
      <c r="K1612" s="60" t="n">
        <v>16</v>
      </c>
      <c r="L1612" s="61" t="n">
        <f aca="false">I1612*J1612</f>
        <v>46</v>
      </c>
      <c r="M1612" s="61" t="n">
        <f aca="false">L1612-I1612*K1612</f>
        <v>30</v>
      </c>
      <c r="N1612" s="57" t="n">
        <f aca="false">IF(COUNTIFS(E$2:E1612,E1612,C$2:C1612,C1612)=1,1,0)</f>
        <v>0</v>
      </c>
      <c r="O1612" s="57" t="n">
        <f aca="false">IF(COUNTIFS(E$2:E1612,E1612,C$2:C1612,C1612,D$2:D1612,D1612)=1,1,0)</f>
        <v>1</v>
      </c>
      <c r="P1612" s="57" t="n">
        <f aca="false">IF(AND(C1612=Calc!$C$3,OR(Calc!$C$4=0,D1612=Calc!$C$4)),ROW(),0)</f>
        <v>1612</v>
      </c>
    </row>
    <row r="1613" customFormat="false" ht="15" hidden="false" customHeight="false" outlineLevel="0" collapsed="false">
      <c r="A1613" s="57" t="s">
        <v>2144</v>
      </c>
      <c r="B1613" s="58" t="n">
        <v>45738</v>
      </c>
      <c r="C1613" s="57" t="n">
        <f aca="false">YEAR(B1613)</f>
        <v>2025</v>
      </c>
      <c r="D1613" s="57" t="n">
        <f aca="false">MONTH(B1613)</f>
        <v>3</v>
      </c>
      <c r="E1613" s="57" t="s">
        <v>1478</v>
      </c>
      <c r="F1613" s="57" t="s">
        <v>69</v>
      </c>
      <c r="G1613" s="57" t="s">
        <v>35</v>
      </c>
      <c r="H1613" s="57" t="s">
        <v>34</v>
      </c>
      <c r="I1613" s="59" t="n">
        <v>2</v>
      </c>
      <c r="J1613" s="60" t="n">
        <v>89</v>
      </c>
      <c r="K1613" s="60" t="n">
        <v>41</v>
      </c>
      <c r="L1613" s="61" t="n">
        <f aca="false">I1613*J1613</f>
        <v>178</v>
      </c>
      <c r="M1613" s="61" t="n">
        <f aca="false">L1613-I1613*K1613</f>
        <v>96</v>
      </c>
      <c r="N1613" s="57" t="n">
        <f aca="false">IF(COUNTIFS(E$2:E1613,E1613,C$2:C1613,C1613)=1,1,0)</f>
        <v>1</v>
      </c>
      <c r="O1613" s="57" t="n">
        <f aca="false">IF(COUNTIFS(E$2:E1613,E1613,C$2:C1613,C1613,D$2:D1613,D1613)=1,1,0)</f>
        <v>1</v>
      </c>
      <c r="P1613" s="57" t="n">
        <f aca="false">IF(AND(C1613=Calc!$C$3,OR(Calc!$C$4=0,D1613=Calc!$C$4)),ROW(),0)</f>
        <v>1613</v>
      </c>
    </row>
    <row r="1614" customFormat="false" ht="15" hidden="false" customHeight="false" outlineLevel="0" collapsed="false">
      <c r="A1614" s="57" t="s">
        <v>2145</v>
      </c>
      <c r="B1614" s="58" t="n">
        <v>45738</v>
      </c>
      <c r="C1614" s="57" t="n">
        <f aca="false">YEAR(B1614)</f>
        <v>2025</v>
      </c>
      <c r="D1614" s="57" t="n">
        <f aca="false">MONTH(B1614)</f>
        <v>3</v>
      </c>
      <c r="E1614" s="57" t="s">
        <v>271</v>
      </c>
      <c r="F1614" s="57" t="s">
        <v>75</v>
      </c>
      <c r="G1614" s="57" t="s">
        <v>40</v>
      </c>
      <c r="H1614" s="57" t="s">
        <v>43</v>
      </c>
      <c r="I1614" s="59" t="n">
        <v>1</v>
      </c>
      <c r="J1614" s="60" t="n">
        <v>29</v>
      </c>
      <c r="K1614" s="60" t="n">
        <v>9</v>
      </c>
      <c r="L1614" s="61" t="n">
        <f aca="false">I1614*J1614</f>
        <v>29</v>
      </c>
      <c r="M1614" s="61" t="n">
        <f aca="false">L1614-I1614*K1614</f>
        <v>20</v>
      </c>
      <c r="N1614" s="57" t="n">
        <f aca="false">IF(COUNTIFS(E$2:E1614,E1614,C$2:C1614,C1614)=1,1,0)</f>
        <v>0</v>
      </c>
      <c r="O1614" s="57" t="n">
        <f aca="false">IF(COUNTIFS(E$2:E1614,E1614,C$2:C1614,C1614,D$2:D1614,D1614)=1,1,0)</f>
        <v>1</v>
      </c>
      <c r="P1614" s="57" t="n">
        <f aca="false">IF(AND(C1614=Calc!$C$3,OR(Calc!$C$4=0,D1614=Calc!$C$4)),ROW(),0)</f>
        <v>1614</v>
      </c>
    </row>
    <row r="1615" customFormat="false" ht="15" hidden="false" customHeight="false" outlineLevel="0" collapsed="false">
      <c r="A1615" s="57" t="s">
        <v>2146</v>
      </c>
      <c r="B1615" s="58" t="n">
        <v>45738</v>
      </c>
      <c r="C1615" s="57" t="n">
        <f aca="false">YEAR(B1615)</f>
        <v>2025</v>
      </c>
      <c r="D1615" s="57" t="n">
        <f aca="false">MONTH(B1615)</f>
        <v>3</v>
      </c>
      <c r="E1615" s="57" t="s">
        <v>2147</v>
      </c>
      <c r="F1615" s="57" t="s">
        <v>81</v>
      </c>
      <c r="G1615" s="57" t="s">
        <v>50</v>
      </c>
      <c r="H1615" s="57" t="s">
        <v>51</v>
      </c>
      <c r="I1615" s="59" t="n">
        <v>1</v>
      </c>
      <c r="J1615" s="60" t="n">
        <v>69</v>
      </c>
      <c r="K1615" s="60" t="n">
        <v>29</v>
      </c>
      <c r="L1615" s="61" t="n">
        <f aca="false">I1615*J1615</f>
        <v>69</v>
      </c>
      <c r="M1615" s="61" t="n">
        <f aca="false">L1615-I1615*K1615</f>
        <v>40</v>
      </c>
      <c r="N1615" s="57" t="n">
        <f aca="false">IF(COUNTIFS(E$2:E1615,E1615,C$2:C1615,C1615)=1,1,0)</f>
        <v>1</v>
      </c>
      <c r="O1615" s="57" t="n">
        <f aca="false">IF(COUNTIFS(E$2:E1615,E1615,C$2:C1615,C1615,D$2:D1615,D1615)=1,1,0)</f>
        <v>1</v>
      </c>
      <c r="P1615" s="57" t="n">
        <f aca="false">IF(AND(C1615=Calc!$C$3,OR(Calc!$C$4=0,D1615=Calc!$C$4)),ROW(),0)</f>
        <v>1615</v>
      </c>
    </row>
    <row r="1616" customFormat="false" ht="15" hidden="false" customHeight="false" outlineLevel="0" collapsed="false">
      <c r="A1616" s="57" t="s">
        <v>2148</v>
      </c>
      <c r="B1616" s="58" t="n">
        <v>45739</v>
      </c>
      <c r="C1616" s="57" t="n">
        <f aca="false">YEAR(B1616)</f>
        <v>2025</v>
      </c>
      <c r="D1616" s="57" t="n">
        <f aca="false">MONTH(B1616)</f>
        <v>3</v>
      </c>
      <c r="E1616" s="57" t="s">
        <v>2040</v>
      </c>
      <c r="F1616" s="57" t="s">
        <v>72</v>
      </c>
      <c r="G1616" s="57" t="s">
        <v>35</v>
      </c>
      <c r="H1616" s="57" t="s">
        <v>37</v>
      </c>
      <c r="I1616" s="59" t="n">
        <v>1</v>
      </c>
      <c r="J1616" s="60" t="n">
        <v>59</v>
      </c>
      <c r="K1616" s="60" t="n">
        <v>27</v>
      </c>
      <c r="L1616" s="61" t="n">
        <f aca="false">I1616*J1616</f>
        <v>59</v>
      </c>
      <c r="M1616" s="61" t="n">
        <f aca="false">L1616-I1616*K1616</f>
        <v>32</v>
      </c>
      <c r="N1616" s="57" t="n">
        <f aca="false">IF(COUNTIFS(E$2:E1616,E1616,C$2:C1616,C1616)=1,1,0)</f>
        <v>0</v>
      </c>
      <c r="O1616" s="57" t="n">
        <f aca="false">IF(COUNTIFS(E$2:E1616,E1616,C$2:C1616,C1616,D$2:D1616,D1616)=1,1,0)</f>
        <v>1</v>
      </c>
      <c r="P1616" s="57" t="n">
        <f aca="false">IF(AND(C1616=Calc!$C$3,OR(Calc!$C$4=0,D1616=Calc!$C$4)),ROW(),0)</f>
        <v>1616</v>
      </c>
    </row>
    <row r="1617" customFormat="false" ht="15" hidden="false" customHeight="false" outlineLevel="0" collapsed="false">
      <c r="A1617" s="57" t="s">
        <v>2149</v>
      </c>
      <c r="B1617" s="58" t="n">
        <v>45739</v>
      </c>
      <c r="C1617" s="57" t="n">
        <f aca="false">YEAR(B1617)</f>
        <v>2025</v>
      </c>
      <c r="D1617" s="57" t="n">
        <f aca="false">MONTH(B1617)</f>
        <v>3</v>
      </c>
      <c r="E1617" s="57" t="s">
        <v>1792</v>
      </c>
      <c r="F1617" s="57" t="s">
        <v>75</v>
      </c>
      <c r="G1617" s="57" t="s">
        <v>54</v>
      </c>
      <c r="H1617" s="57" t="s">
        <v>53</v>
      </c>
      <c r="I1617" s="59" t="n">
        <v>1</v>
      </c>
      <c r="J1617" s="60" t="n">
        <v>39</v>
      </c>
      <c r="K1617" s="60" t="n">
        <v>13</v>
      </c>
      <c r="L1617" s="61" t="n">
        <f aca="false">I1617*J1617</f>
        <v>39</v>
      </c>
      <c r="M1617" s="61" t="n">
        <f aca="false">L1617-I1617*K1617</f>
        <v>26</v>
      </c>
      <c r="N1617" s="57" t="n">
        <f aca="false">IF(COUNTIFS(E$2:E1617,E1617,C$2:C1617,C1617)=1,1,0)</f>
        <v>0</v>
      </c>
      <c r="O1617" s="57" t="n">
        <f aca="false">IF(COUNTIFS(E$2:E1617,E1617,C$2:C1617,C1617,D$2:D1617,D1617)=1,1,0)</f>
        <v>0</v>
      </c>
      <c r="P1617" s="57" t="n">
        <f aca="false">IF(AND(C1617=Calc!$C$3,OR(Calc!$C$4=0,D1617=Calc!$C$4)),ROW(),0)</f>
        <v>1617</v>
      </c>
    </row>
    <row r="1618" customFormat="false" ht="15" hidden="false" customHeight="false" outlineLevel="0" collapsed="false">
      <c r="A1618" s="57" t="s">
        <v>2150</v>
      </c>
      <c r="B1618" s="58" t="n">
        <v>45739</v>
      </c>
      <c r="C1618" s="57" t="n">
        <f aca="false">YEAR(B1618)</f>
        <v>2025</v>
      </c>
      <c r="D1618" s="57" t="n">
        <f aca="false">MONTH(B1618)</f>
        <v>3</v>
      </c>
      <c r="E1618" s="57" t="s">
        <v>1014</v>
      </c>
      <c r="F1618" s="57" t="s">
        <v>69</v>
      </c>
      <c r="G1618" s="57" t="s">
        <v>35</v>
      </c>
      <c r="H1618" s="57" t="s">
        <v>34</v>
      </c>
      <c r="I1618" s="59" t="n">
        <v>1</v>
      </c>
      <c r="J1618" s="60" t="n">
        <v>89</v>
      </c>
      <c r="K1618" s="60" t="n">
        <v>41</v>
      </c>
      <c r="L1618" s="61" t="n">
        <f aca="false">I1618*J1618</f>
        <v>89</v>
      </c>
      <c r="M1618" s="61" t="n">
        <f aca="false">L1618-I1618*K1618</f>
        <v>48</v>
      </c>
      <c r="N1618" s="57" t="n">
        <f aca="false">IF(COUNTIFS(E$2:E1618,E1618,C$2:C1618,C1618)=1,1,0)</f>
        <v>0</v>
      </c>
      <c r="O1618" s="57" t="n">
        <f aca="false">IF(COUNTIFS(E$2:E1618,E1618,C$2:C1618,C1618,D$2:D1618,D1618)=1,1,0)</f>
        <v>0</v>
      </c>
      <c r="P1618" s="57" t="n">
        <f aca="false">IF(AND(C1618=Calc!$C$3,OR(Calc!$C$4=0,D1618=Calc!$C$4)),ROW(),0)</f>
        <v>1618</v>
      </c>
    </row>
    <row r="1619" customFormat="false" ht="15" hidden="false" customHeight="false" outlineLevel="0" collapsed="false">
      <c r="A1619" s="57" t="s">
        <v>2151</v>
      </c>
      <c r="B1619" s="58" t="n">
        <v>45740</v>
      </c>
      <c r="C1619" s="57" t="n">
        <f aca="false">YEAR(B1619)</f>
        <v>2025</v>
      </c>
      <c r="D1619" s="57" t="n">
        <f aca="false">MONTH(B1619)</f>
        <v>3</v>
      </c>
      <c r="E1619" s="57" t="s">
        <v>285</v>
      </c>
      <c r="F1619" s="57" t="s">
        <v>75</v>
      </c>
      <c r="G1619" s="57" t="s">
        <v>54</v>
      </c>
      <c r="H1619" s="57" t="s">
        <v>53</v>
      </c>
      <c r="I1619" s="59" t="n">
        <v>2</v>
      </c>
      <c r="J1619" s="60" t="n">
        <v>39</v>
      </c>
      <c r="K1619" s="60" t="n">
        <v>13</v>
      </c>
      <c r="L1619" s="61" t="n">
        <f aca="false">I1619*J1619</f>
        <v>78</v>
      </c>
      <c r="M1619" s="61" t="n">
        <f aca="false">L1619-I1619*K1619</f>
        <v>52</v>
      </c>
      <c r="N1619" s="57" t="n">
        <f aca="false">IF(COUNTIFS(E$2:E1619,E1619,C$2:C1619,C1619)=1,1,0)</f>
        <v>0</v>
      </c>
      <c r="O1619" s="57" t="n">
        <f aca="false">IF(COUNTIFS(E$2:E1619,E1619,C$2:C1619,C1619,D$2:D1619,D1619)=1,1,0)</f>
        <v>0</v>
      </c>
      <c r="P1619" s="57" t="n">
        <f aca="false">IF(AND(C1619=Calc!$C$3,OR(Calc!$C$4=0,D1619=Calc!$C$4)),ROW(),0)</f>
        <v>1619</v>
      </c>
    </row>
    <row r="1620" customFormat="false" ht="15" hidden="false" customHeight="false" outlineLevel="0" collapsed="false">
      <c r="A1620" s="57" t="s">
        <v>2152</v>
      </c>
      <c r="B1620" s="58" t="n">
        <v>45740</v>
      </c>
      <c r="C1620" s="57" t="n">
        <f aca="false">YEAR(B1620)</f>
        <v>2025</v>
      </c>
      <c r="D1620" s="57" t="n">
        <f aca="false">MONTH(B1620)</f>
        <v>3</v>
      </c>
      <c r="E1620" s="57" t="s">
        <v>380</v>
      </c>
      <c r="F1620" s="57" t="s">
        <v>69</v>
      </c>
      <c r="G1620" s="57" t="s">
        <v>40</v>
      </c>
      <c r="H1620" s="57" t="s">
        <v>39</v>
      </c>
      <c r="I1620" s="59" t="n">
        <v>1</v>
      </c>
      <c r="J1620" s="60" t="n">
        <v>54</v>
      </c>
      <c r="K1620" s="60" t="n">
        <v>19</v>
      </c>
      <c r="L1620" s="61" t="n">
        <f aca="false">I1620*J1620</f>
        <v>54</v>
      </c>
      <c r="M1620" s="61" t="n">
        <f aca="false">L1620-I1620*K1620</f>
        <v>35</v>
      </c>
      <c r="N1620" s="57" t="n">
        <f aca="false">IF(COUNTIFS(E$2:E1620,E1620,C$2:C1620,C1620)=1,1,0)</f>
        <v>0</v>
      </c>
      <c r="O1620" s="57" t="n">
        <f aca="false">IF(COUNTIFS(E$2:E1620,E1620,C$2:C1620,C1620,D$2:D1620,D1620)=1,1,0)</f>
        <v>0</v>
      </c>
      <c r="P1620" s="57" t="n">
        <f aca="false">IF(AND(C1620=Calc!$C$3,OR(Calc!$C$4=0,D1620=Calc!$C$4)),ROW(),0)</f>
        <v>1620</v>
      </c>
    </row>
    <row r="1621" customFormat="false" ht="15" hidden="false" customHeight="false" outlineLevel="0" collapsed="false">
      <c r="A1621" s="57" t="s">
        <v>2153</v>
      </c>
      <c r="B1621" s="58" t="n">
        <v>45740</v>
      </c>
      <c r="C1621" s="57" t="n">
        <f aca="false">YEAR(B1621)</f>
        <v>2025</v>
      </c>
      <c r="D1621" s="57" t="n">
        <f aca="false">MONTH(B1621)</f>
        <v>3</v>
      </c>
      <c r="E1621" s="57" t="s">
        <v>275</v>
      </c>
      <c r="F1621" s="57" t="s">
        <v>75</v>
      </c>
      <c r="G1621" s="57" t="s">
        <v>50</v>
      </c>
      <c r="H1621" s="57" t="s">
        <v>52</v>
      </c>
      <c r="I1621" s="59" t="n">
        <v>1</v>
      </c>
      <c r="J1621" s="60" t="n">
        <v>45</v>
      </c>
      <c r="K1621" s="60" t="n">
        <v>14</v>
      </c>
      <c r="L1621" s="61" t="n">
        <f aca="false">I1621*J1621</f>
        <v>45</v>
      </c>
      <c r="M1621" s="61" t="n">
        <f aca="false">L1621-I1621*K1621</f>
        <v>31</v>
      </c>
      <c r="N1621" s="57" t="n">
        <f aca="false">IF(COUNTIFS(E$2:E1621,E1621,C$2:C1621,C1621)=1,1,0)</f>
        <v>0</v>
      </c>
      <c r="O1621" s="57" t="n">
        <f aca="false">IF(COUNTIFS(E$2:E1621,E1621,C$2:C1621,C1621,D$2:D1621,D1621)=1,1,0)</f>
        <v>0</v>
      </c>
      <c r="P1621" s="57" t="n">
        <f aca="false">IF(AND(C1621=Calc!$C$3,OR(Calc!$C$4=0,D1621=Calc!$C$4)),ROW(),0)</f>
        <v>1621</v>
      </c>
    </row>
    <row r="1622" customFormat="false" ht="15" hidden="false" customHeight="false" outlineLevel="0" collapsed="false">
      <c r="A1622" s="57" t="s">
        <v>2154</v>
      </c>
      <c r="B1622" s="58" t="n">
        <v>45740</v>
      </c>
      <c r="C1622" s="57" t="n">
        <f aca="false">YEAR(B1622)</f>
        <v>2025</v>
      </c>
      <c r="D1622" s="57" t="n">
        <f aca="false">MONTH(B1622)</f>
        <v>3</v>
      </c>
      <c r="E1622" s="57" t="s">
        <v>386</v>
      </c>
      <c r="F1622" s="57" t="s">
        <v>78</v>
      </c>
      <c r="G1622" s="57" t="s">
        <v>40</v>
      </c>
      <c r="H1622" s="57" t="s">
        <v>42</v>
      </c>
      <c r="I1622" s="59" t="n">
        <v>1</v>
      </c>
      <c r="J1622" s="60" t="n">
        <v>79</v>
      </c>
      <c r="K1622" s="60" t="n">
        <v>31</v>
      </c>
      <c r="L1622" s="61" t="n">
        <f aca="false">I1622*J1622</f>
        <v>79</v>
      </c>
      <c r="M1622" s="61" t="n">
        <f aca="false">L1622-I1622*K1622</f>
        <v>48</v>
      </c>
      <c r="N1622" s="57" t="n">
        <f aca="false">IF(COUNTIFS(E$2:E1622,E1622,C$2:C1622,C1622)=1,1,0)</f>
        <v>1</v>
      </c>
      <c r="O1622" s="57" t="n">
        <f aca="false">IF(COUNTIFS(E$2:E1622,E1622,C$2:C1622,C1622,D$2:D1622,D1622)=1,1,0)</f>
        <v>1</v>
      </c>
      <c r="P1622" s="57" t="n">
        <f aca="false">IF(AND(C1622=Calc!$C$3,OR(Calc!$C$4=0,D1622=Calc!$C$4)),ROW(),0)</f>
        <v>1622</v>
      </c>
    </row>
    <row r="1623" customFormat="false" ht="15" hidden="false" customHeight="false" outlineLevel="0" collapsed="false">
      <c r="A1623" s="57" t="s">
        <v>2155</v>
      </c>
      <c r="B1623" s="58" t="n">
        <v>45741</v>
      </c>
      <c r="C1623" s="57" t="n">
        <f aca="false">YEAR(B1623)</f>
        <v>2025</v>
      </c>
      <c r="D1623" s="57" t="n">
        <f aca="false">MONTH(B1623)</f>
        <v>3</v>
      </c>
      <c r="E1623" s="57" t="s">
        <v>307</v>
      </c>
      <c r="F1623" s="57" t="s">
        <v>69</v>
      </c>
      <c r="G1623" s="57" t="s">
        <v>35</v>
      </c>
      <c r="H1623" s="57" t="s">
        <v>34</v>
      </c>
      <c r="I1623" s="59" t="n">
        <v>3</v>
      </c>
      <c r="J1623" s="60" t="n">
        <v>89</v>
      </c>
      <c r="K1623" s="60" t="n">
        <v>41</v>
      </c>
      <c r="L1623" s="61" t="n">
        <f aca="false">I1623*J1623</f>
        <v>267</v>
      </c>
      <c r="M1623" s="61" t="n">
        <f aca="false">L1623-I1623*K1623</f>
        <v>144</v>
      </c>
      <c r="N1623" s="57" t="n">
        <f aca="false">IF(COUNTIFS(E$2:E1623,E1623,C$2:C1623,C1623)=1,1,0)</f>
        <v>0</v>
      </c>
      <c r="O1623" s="57" t="n">
        <f aca="false">IF(COUNTIFS(E$2:E1623,E1623,C$2:C1623,C1623,D$2:D1623,D1623)=1,1,0)</f>
        <v>1</v>
      </c>
      <c r="P1623" s="57" t="n">
        <f aca="false">IF(AND(C1623=Calc!$C$3,OR(Calc!$C$4=0,D1623=Calc!$C$4)),ROW(),0)</f>
        <v>1623</v>
      </c>
    </row>
    <row r="1624" customFormat="false" ht="15" hidden="false" customHeight="false" outlineLevel="0" collapsed="false">
      <c r="A1624" s="57" t="s">
        <v>2156</v>
      </c>
      <c r="B1624" s="58" t="n">
        <v>45742</v>
      </c>
      <c r="C1624" s="57" t="n">
        <f aca="false">YEAR(B1624)</f>
        <v>2025</v>
      </c>
      <c r="D1624" s="57" t="n">
        <f aca="false">MONTH(B1624)</f>
        <v>3</v>
      </c>
      <c r="E1624" s="57" t="s">
        <v>319</v>
      </c>
      <c r="F1624" s="57" t="s">
        <v>75</v>
      </c>
      <c r="G1624" s="57" t="s">
        <v>45</v>
      </c>
      <c r="H1624" s="57" t="s">
        <v>47</v>
      </c>
      <c r="I1624" s="59" t="n">
        <v>1</v>
      </c>
      <c r="J1624" s="60" t="n">
        <v>34</v>
      </c>
      <c r="K1624" s="60" t="n">
        <v>12</v>
      </c>
      <c r="L1624" s="61" t="n">
        <f aca="false">I1624*J1624</f>
        <v>34</v>
      </c>
      <c r="M1624" s="61" t="n">
        <f aca="false">L1624-I1624*K1624</f>
        <v>22</v>
      </c>
      <c r="N1624" s="57" t="n">
        <f aca="false">IF(COUNTIFS(E$2:E1624,E1624,C$2:C1624,C1624)=1,1,0)</f>
        <v>1</v>
      </c>
      <c r="O1624" s="57" t="n">
        <f aca="false">IF(COUNTIFS(E$2:E1624,E1624,C$2:C1624,C1624,D$2:D1624,D1624)=1,1,0)</f>
        <v>1</v>
      </c>
      <c r="P1624" s="57" t="n">
        <f aca="false">IF(AND(C1624=Calc!$C$3,OR(Calc!$C$4=0,D1624=Calc!$C$4)),ROW(),0)</f>
        <v>1624</v>
      </c>
    </row>
    <row r="1625" customFormat="false" ht="15" hidden="false" customHeight="false" outlineLevel="0" collapsed="false">
      <c r="A1625" s="57" t="s">
        <v>2157</v>
      </c>
      <c r="B1625" s="58" t="n">
        <v>45742</v>
      </c>
      <c r="C1625" s="57" t="n">
        <f aca="false">YEAR(B1625)</f>
        <v>2025</v>
      </c>
      <c r="D1625" s="57" t="n">
        <f aca="false">MONTH(B1625)</f>
        <v>3</v>
      </c>
      <c r="E1625" s="57" t="s">
        <v>261</v>
      </c>
      <c r="F1625" s="57" t="s">
        <v>75</v>
      </c>
      <c r="G1625" s="57" t="s">
        <v>40</v>
      </c>
      <c r="H1625" s="57" t="s">
        <v>41</v>
      </c>
      <c r="I1625" s="59" t="n">
        <v>1</v>
      </c>
      <c r="J1625" s="60" t="n">
        <v>46</v>
      </c>
      <c r="K1625" s="60" t="n">
        <v>16</v>
      </c>
      <c r="L1625" s="61" t="n">
        <f aca="false">I1625*J1625</f>
        <v>46</v>
      </c>
      <c r="M1625" s="61" t="n">
        <f aca="false">L1625-I1625*K1625</f>
        <v>30</v>
      </c>
      <c r="N1625" s="57" t="n">
        <f aca="false">IF(COUNTIFS(E$2:E1625,E1625,C$2:C1625,C1625)=1,1,0)</f>
        <v>0</v>
      </c>
      <c r="O1625" s="57" t="n">
        <f aca="false">IF(COUNTIFS(E$2:E1625,E1625,C$2:C1625,C1625,D$2:D1625,D1625)=1,1,0)</f>
        <v>1</v>
      </c>
      <c r="P1625" s="57" t="n">
        <f aca="false">IF(AND(C1625=Calc!$C$3,OR(Calc!$C$4=0,D1625=Calc!$C$4)),ROW(),0)</f>
        <v>1625</v>
      </c>
    </row>
    <row r="1626" customFormat="false" ht="15" hidden="false" customHeight="false" outlineLevel="0" collapsed="false">
      <c r="A1626" s="57" t="s">
        <v>2158</v>
      </c>
      <c r="B1626" s="58" t="n">
        <v>45743</v>
      </c>
      <c r="C1626" s="57" t="n">
        <f aca="false">YEAR(B1626)</f>
        <v>2025</v>
      </c>
      <c r="D1626" s="57" t="n">
        <f aca="false">MONTH(B1626)</f>
        <v>3</v>
      </c>
      <c r="E1626" s="57" t="s">
        <v>292</v>
      </c>
      <c r="F1626" s="57" t="s">
        <v>72</v>
      </c>
      <c r="G1626" s="57" t="s">
        <v>40</v>
      </c>
      <c r="H1626" s="57" t="s">
        <v>41</v>
      </c>
      <c r="I1626" s="59" t="n">
        <v>1</v>
      </c>
      <c r="J1626" s="60" t="n">
        <v>46</v>
      </c>
      <c r="K1626" s="60" t="n">
        <v>16</v>
      </c>
      <c r="L1626" s="61" t="n">
        <f aca="false">I1626*J1626</f>
        <v>46</v>
      </c>
      <c r="M1626" s="61" t="n">
        <f aca="false">L1626-I1626*K1626</f>
        <v>30</v>
      </c>
      <c r="N1626" s="57" t="n">
        <f aca="false">IF(COUNTIFS(E$2:E1626,E1626,C$2:C1626,C1626)=1,1,0)</f>
        <v>1</v>
      </c>
      <c r="O1626" s="57" t="n">
        <f aca="false">IF(COUNTIFS(E$2:E1626,E1626,C$2:C1626,C1626,D$2:D1626,D1626)=1,1,0)</f>
        <v>1</v>
      </c>
      <c r="P1626" s="57" t="n">
        <f aca="false">IF(AND(C1626=Calc!$C$3,OR(Calc!$C$4=0,D1626=Calc!$C$4)),ROW(),0)</f>
        <v>1626</v>
      </c>
    </row>
    <row r="1627" customFormat="false" ht="15" hidden="false" customHeight="false" outlineLevel="0" collapsed="false">
      <c r="A1627" s="57" t="s">
        <v>2159</v>
      </c>
      <c r="B1627" s="58" t="n">
        <v>45743</v>
      </c>
      <c r="C1627" s="57" t="n">
        <f aca="false">YEAR(B1627)</f>
        <v>2025</v>
      </c>
      <c r="D1627" s="57" t="n">
        <f aca="false">MONTH(B1627)</f>
        <v>3</v>
      </c>
      <c r="E1627" s="57" t="s">
        <v>95</v>
      </c>
      <c r="F1627" s="57" t="s">
        <v>75</v>
      </c>
      <c r="G1627" s="57" t="s">
        <v>54</v>
      </c>
      <c r="H1627" s="57" t="s">
        <v>56</v>
      </c>
      <c r="I1627" s="59" t="n">
        <v>1</v>
      </c>
      <c r="J1627" s="60" t="n">
        <v>42</v>
      </c>
      <c r="K1627" s="60" t="n">
        <v>17</v>
      </c>
      <c r="L1627" s="61" t="n">
        <f aca="false">I1627*J1627</f>
        <v>42</v>
      </c>
      <c r="M1627" s="61" t="n">
        <f aca="false">L1627-I1627*K1627</f>
        <v>25</v>
      </c>
      <c r="N1627" s="57" t="n">
        <f aca="false">IF(COUNTIFS(E$2:E1627,E1627,C$2:C1627,C1627)=1,1,0)</f>
        <v>0</v>
      </c>
      <c r="O1627" s="57" t="n">
        <f aca="false">IF(COUNTIFS(E$2:E1627,E1627,C$2:C1627,C1627,D$2:D1627,D1627)=1,1,0)</f>
        <v>1</v>
      </c>
      <c r="P1627" s="57" t="n">
        <f aca="false">IF(AND(C1627=Calc!$C$3,OR(Calc!$C$4=0,D1627=Calc!$C$4)),ROW(),0)</f>
        <v>1627</v>
      </c>
    </row>
    <row r="1628" customFormat="false" ht="15" hidden="false" customHeight="false" outlineLevel="0" collapsed="false">
      <c r="A1628" s="57" t="s">
        <v>2160</v>
      </c>
      <c r="B1628" s="58" t="n">
        <v>45743</v>
      </c>
      <c r="C1628" s="57" t="n">
        <f aca="false">YEAR(B1628)</f>
        <v>2025</v>
      </c>
      <c r="D1628" s="57" t="n">
        <f aca="false">MONTH(B1628)</f>
        <v>3</v>
      </c>
      <c r="E1628" s="57" t="s">
        <v>500</v>
      </c>
      <c r="F1628" s="57" t="s">
        <v>72</v>
      </c>
      <c r="G1628" s="57" t="s">
        <v>40</v>
      </c>
      <c r="H1628" s="57" t="s">
        <v>43</v>
      </c>
      <c r="I1628" s="59" t="n">
        <v>1</v>
      </c>
      <c r="J1628" s="60" t="n">
        <v>29</v>
      </c>
      <c r="K1628" s="60" t="n">
        <v>9</v>
      </c>
      <c r="L1628" s="61" t="n">
        <f aca="false">I1628*J1628</f>
        <v>29</v>
      </c>
      <c r="M1628" s="61" t="n">
        <f aca="false">L1628-I1628*K1628</f>
        <v>20</v>
      </c>
      <c r="N1628" s="57" t="n">
        <f aca="false">IF(COUNTIFS(E$2:E1628,E1628,C$2:C1628,C1628)=1,1,0)</f>
        <v>1</v>
      </c>
      <c r="O1628" s="57" t="n">
        <f aca="false">IF(COUNTIFS(E$2:E1628,E1628,C$2:C1628,C1628,D$2:D1628,D1628)=1,1,0)</f>
        <v>1</v>
      </c>
      <c r="P1628" s="57" t="n">
        <f aca="false">IF(AND(C1628=Calc!$C$3,OR(Calc!$C$4=0,D1628=Calc!$C$4)),ROW(),0)</f>
        <v>1628</v>
      </c>
    </row>
    <row r="1629" customFormat="false" ht="15" hidden="false" customHeight="false" outlineLevel="0" collapsed="false">
      <c r="A1629" s="57" t="s">
        <v>2161</v>
      </c>
      <c r="B1629" s="58" t="n">
        <v>45744</v>
      </c>
      <c r="C1629" s="57" t="n">
        <f aca="false">YEAR(B1629)</f>
        <v>2025</v>
      </c>
      <c r="D1629" s="57" t="n">
        <f aca="false">MONTH(B1629)</f>
        <v>3</v>
      </c>
      <c r="E1629" s="57" t="s">
        <v>390</v>
      </c>
      <c r="F1629" s="57" t="s">
        <v>72</v>
      </c>
      <c r="G1629" s="57" t="s">
        <v>45</v>
      </c>
      <c r="H1629" s="57" t="s">
        <v>46</v>
      </c>
      <c r="I1629" s="59" t="n">
        <v>2</v>
      </c>
      <c r="J1629" s="60" t="n">
        <v>149</v>
      </c>
      <c r="K1629" s="60" t="n">
        <v>71</v>
      </c>
      <c r="L1629" s="61" t="n">
        <f aca="false">I1629*J1629</f>
        <v>298</v>
      </c>
      <c r="M1629" s="61" t="n">
        <f aca="false">L1629-I1629*K1629</f>
        <v>156</v>
      </c>
      <c r="N1629" s="57" t="n">
        <f aca="false">IF(COUNTIFS(E$2:E1629,E1629,C$2:C1629,C1629)=1,1,0)</f>
        <v>0</v>
      </c>
      <c r="O1629" s="57" t="n">
        <f aca="false">IF(COUNTIFS(E$2:E1629,E1629,C$2:C1629,C1629,D$2:D1629,D1629)=1,1,0)</f>
        <v>0</v>
      </c>
      <c r="P1629" s="57" t="n">
        <f aca="false">IF(AND(C1629=Calc!$C$3,OR(Calc!$C$4=0,D1629=Calc!$C$4)),ROW(),0)</f>
        <v>1629</v>
      </c>
    </row>
    <row r="1630" customFormat="false" ht="15" hidden="false" customHeight="false" outlineLevel="0" collapsed="false">
      <c r="A1630" s="57" t="s">
        <v>2162</v>
      </c>
      <c r="B1630" s="58" t="n">
        <v>45744</v>
      </c>
      <c r="C1630" s="57" t="n">
        <f aca="false">YEAR(B1630)</f>
        <v>2025</v>
      </c>
      <c r="D1630" s="57" t="n">
        <f aca="false">MONTH(B1630)</f>
        <v>3</v>
      </c>
      <c r="E1630" s="57" t="s">
        <v>2163</v>
      </c>
      <c r="F1630" s="57" t="s">
        <v>75</v>
      </c>
      <c r="G1630" s="57" t="s">
        <v>45</v>
      </c>
      <c r="H1630" s="57" t="s">
        <v>48</v>
      </c>
      <c r="I1630" s="59" t="n">
        <v>1</v>
      </c>
      <c r="J1630" s="60" t="n">
        <v>99</v>
      </c>
      <c r="K1630" s="60" t="n">
        <v>38</v>
      </c>
      <c r="L1630" s="61" t="n">
        <f aca="false">I1630*J1630</f>
        <v>99</v>
      </c>
      <c r="M1630" s="61" t="n">
        <f aca="false">L1630-I1630*K1630</f>
        <v>61</v>
      </c>
      <c r="N1630" s="57" t="n">
        <f aca="false">IF(COUNTIFS(E$2:E1630,E1630,C$2:C1630,C1630)=1,1,0)</f>
        <v>1</v>
      </c>
      <c r="O1630" s="57" t="n">
        <f aca="false">IF(COUNTIFS(E$2:E1630,E1630,C$2:C1630,C1630,D$2:D1630,D1630)=1,1,0)</f>
        <v>1</v>
      </c>
      <c r="P1630" s="57" t="n">
        <f aca="false">IF(AND(C1630=Calc!$C$3,OR(Calc!$C$4=0,D1630=Calc!$C$4)),ROW(),0)</f>
        <v>1630</v>
      </c>
    </row>
    <row r="1631" customFormat="false" ht="15" hidden="false" customHeight="false" outlineLevel="0" collapsed="false">
      <c r="A1631" s="57" t="s">
        <v>2164</v>
      </c>
      <c r="B1631" s="58" t="n">
        <v>45744</v>
      </c>
      <c r="C1631" s="57" t="n">
        <f aca="false">YEAR(B1631)</f>
        <v>2025</v>
      </c>
      <c r="D1631" s="57" t="n">
        <f aca="false">MONTH(B1631)</f>
        <v>3</v>
      </c>
      <c r="E1631" s="57" t="s">
        <v>899</v>
      </c>
      <c r="F1631" s="57" t="s">
        <v>75</v>
      </c>
      <c r="G1631" s="57" t="s">
        <v>40</v>
      </c>
      <c r="H1631" s="57" t="s">
        <v>41</v>
      </c>
      <c r="I1631" s="59" t="n">
        <v>1</v>
      </c>
      <c r="J1631" s="60" t="n">
        <v>46</v>
      </c>
      <c r="K1631" s="60" t="n">
        <v>16</v>
      </c>
      <c r="L1631" s="61" t="n">
        <f aca="false">I1631*J1631</f>
        <v>46</v>
      </c>
      <c r="M1631" s="61" t="n">
        <f aca="false">L1631-I1631*K1631</f>
        <v>30</v>
      </c>
      <c r="N1631" s="57" t="n">
        <f aca="false">IF(COUNTIFS(E$2:E1631,E1631,C$2:C1631,C1631)=1,1,0)</f>
        <v>0</v>
      </c>
      <c r="O1631" s="57" t="n">
        <f aca="false">IF(COUNTIFS(E$2:E1631,E1631,C$2:C1631,C1631,D$2:D1631,D1631)=1,1,0)</f>
        <v>1</v>
      </c>
      <c r="P1631" s="57" t="n">
        <f aca="false">IF(AND(C1631=Calc!$C$3,OR(Calc!$C$4=0,D1631=Calc!$C$4)),ROW(),0)</f>
        <v>1631</v>
      </c>
    </row>
    <row r="1632" customFormat="false" ht="15" hidden="false" customHeight="false" outlineLevel="0" collapsed="false">
      <c r="A1632" s="57" t="s">
        <v>2165</v>
      </c>
      <c r="B1632" s="58" t="n">
        <v>45744</v>
      </c>
      <c r="C1632" s="57" t="n">
        <f aca="false">YEAR(B1632)</f>
        <v>2025</v>
      </c>
      <c r="D1632" s="57" t="n">
        <f aca="false">MONTH(B1632)</f>
        <v>3</v>
      </c>
      <c r="E1632" s="57" t="s">
        <v>530</v>
      </c>
      <c r="F1632" s="57" t="s">
        <v>72</v>
      </c>
      <c r="G1632" s="57" t="s">
        <v>35</v>
      </c>
      <c r="H1632" s="57" t="s">
        <v>37</v>
      </c>
      <c r="I1632" s="59" t="n">
        <v>1</v>
      </c>
      <c r="J1632" s="60" t="n">
        <v>59</v>
      </c>
      <c r="K1632" s="60" t="n">
        <v>27</v>
      </c>
      <c r="L1632" s="61" t="n">
        <f aca="false">I1632*J1632</f>
        <v>59</v>
      </c>
      <c r="M1632" s="61" t="n">
        <f aca="false">L1632-I1632*K1632</f>
        <v>32</v>
      </c>
      <c r="N1632" s="57" t="n">
        <f aca="false">IF(COUNTIFS(E$2:E1632,E1632,C$2:C1632,C1632)=1,1,0)</f>
        <v>1</v>
      </c>
      <c r="O1632" s="57" t="n">
        <f aca="false">IF(COUNTIFS(E$2:E1632,E1632,C$2:C1632,C1632,D$2:D1632,D1632)=1,1,0)</f>
        <v>1</v>
      </c>
      <c r="P1632" s="57" t="n">
        <f aca="false">IF(AND(C1632=Calc!$C$3,OR(Calc!$C$4=0,D1632=Calc!$C$4)),ROW(),0)</f>
        <v>1632</v>
      </c>
    </row>
    <row r="1633" customFormat="false" ht="15" hidden="false" customHeight="false" outlineLevel="0" collapsed="false">
      <c r="A1633" s="57" t="s">
        <v>2166</v>
      </c>
      <c r="B1633" s="58" t="n">
        <v>45744</v>
      </c>
      <c r="C1633" s="57" t="n">
        <f aca="false">YEAR(B1633)</f>
        <v>2025</v>
      </c>
      <c r="D1633" s="57" t="n">
        <f aca="false">MONTH(B1633)</f>
        <v>3</v>
      </c>
      <c r="E1633" s="57" t="s">
        <v>313</v>
      </c>
      <c r="F1633" s="57" t="s">
        <v>75</v>
      </c>
      <c r="G1633" s="57" t="s">
        <v>45</v>
      </c>
      <c r="H1633" s="57" t="s">
        <v>47</v>
      </c>
      <c r="I1633" s="59" t="n">
        <v>1</v>
      </c>
      <c r="J1633" s="60" t="n">
        <v>34</v>
      </c>
      <c r="K1633" s="60" t="n">
        <v>12</v>
      </c>
      <c r="L1633" s="61" t="n">
        <f aca="false">I1633*J1633</f>
        <v>34</v>
      </c>
      <c r="M1633" s="61" t="n">
        <f aca="false">L1633-I1633*K1633</f>
        <v>22</v>
      </c>
      <c r="N1633" s="57" t="n">
        <f aca="false">IF(COUNTIFS(E$2:E1633,E1633,C$2:C1633,C1633)=1,1,0)</f>
        <v>0</v>
      </c>
      <c r="O1633" s="57" t="n">
        <f aca="false">IF(COUNTIFS(E$2:E1633,E1633,C$2:C1633,C1633,D$2:D1633,D1633)=1,1,0)</f>
        <v>1</v>
      </c>
      <c r="P1633" s="57" t="n">
        <f aca="false">IF(AND(C1633=Calc!$C$3,OR(Calc!$C$4=0,D1633=Calc!$C$4)),ROW(),0)</f>
        <v>1633</v>
      </c>
    </row>
    <row r="1634" customFormat="false" ht="15" hidden="false" customHeight="false" outlineLevel="0" collapsed="false">
      <c r="A1634" s="57" t="s">
        <v>2167</v>
      </c>
      <c r="B1634" s="58" t="n">
        <v>45744</v>
      </c>
      <c r="C1634" s="57" t="n">
        <f aca="false">YEAR(B1634)</f>
        <v>2025</v>
      </c>
      <c r="D1634" s="57" t="n">
        <f aca="false">MONTH(B1634)</f>
        <v>3</v>
      </c>
      <c r="E1634" s="57" t="s">
        <v>1430</v>
      </c>
      <c r="F1634" s="57" t="s">
        <v>75</v>
      </c>
      <c r="G1634" s="57" t="s">
        <v>40</v>
      </c>
      <c r="H1634" s="57" t="s">
        <v>42</v>
      </c>
      <c r="I1634" s="59" t="n">
        <v>1</v>
      </c>
      <c r="J1634" s="60" t="n">
        <v>79</v>
      </c>
      <c r="K1634" s="60" t="n">
        <v>31</v>
      </c>
      <c r="L1634" s="61" t="n">
        <f aca="false">I1634*J1634</f>
        <v>79</v>
      </c>
      <c r="M1634" s="61" t="n">
        <f aca="false">L1634-I1634*K1634</f>
        <v>48</v>
      </c>
      <c r="N1634" s="57" t="n">
        <f aca="false">IF(COUNTIFS(E$2:E1634,E1634,C$2:C1634,C1634)=1,1,0)</f>
        <v>1</v>
      </c>
      <c r="O1634" s="57" t="n">
        <f aca="false">IF(COUNTIFS(E$2:E1634,E1634,C$2:C1634,C1634,D$2:D1634,D1634)=1,1,0)</f>
        <v>1</v>
      </c>
      <c r="P1634" s="57" t="n">
        <f aca="false">IF(AND(C1634=Calc!$C$3,OR(Calc!$C$4=0,D1634=Calc!$C$4)),ROW(),0)</f>
        <v>1634</v>
      </c>
    </row>
    <row r="1635" customFormat="false" ht="15" hidden="false" customHeight="false" outlineLevel="0" collapsed="false">
      <c r="A1635" s="57" t="s">
        <v>2168</v>
      </c>
      <c r="B1635" s="58" t="n">
        <v>45745</v>
      </c>
      <c r="C1635" s="57" t="n">
        <f aca="false">YEAR(B1635)</f>
        <v>2025</v>
      </c>
      <c r="D1635" s="57" t="n">
        <f aca="false">MONTH(B1635)</f>
        <v>3</v>
      </c>
      <c r="E1635" s="57" t="s">
        <v>361</v>
      </c>
      <c r="F1635" s="57" t="s">
        <v>69</v>
      </c>
      <c r="G1635" s="57" t="s">
        <v>45</v>
      </c>
      <c r="H1635" s="57" t="s">
        <v>48</v>
      </c>
      <c r="I1635" s="59" t="n">
        <v>1</v>
      </c>
      <c r="J1635" s="60" t="n">
        <v>99</v>
      </c>
      <c r="K1635" s="60" t="n">
        <v>38</v>
      </c>
      <c r="L1635" s="61" t="n">
        <f aca="false">I1635*J1635</f>
        <v>99</v>
      </c>
      <c r="M1635" s="61" t="n">
        <f aca="false">L1635-I1635*K1635</f>
        <v>61</v>
      </c>
      <c r="N1635" s="57" t="n">
        <f aca="false">IF(COUNTIFS(E$2:E1635,E1635,C$2:C1635,C1635)=1,1,0)</f>
        <v>0</v>
      </c>
      <c r="O1635" s="57" t="n">
        <f aca="false">IF(COUNTIFS(E$2:E1635,E1635,C$2:C1635,C1635,D$2:D1635,D1635)=1,1,0)</f>
        <v>0</v>
      </c>
      <c r="P1635" s="57" t="n">
        <f aca="false">IF(AND(C1635=Calc!$C$3,OR(Calc!$C$4=0,D1635=Calc!$C$4)),ROW(),0)</f>
        <v>1635</v>
      </c>
    </row>
    <row r="1636" customFormat="false" ht="15" hidden="false" customHeight="false" outlineLevel="0" collapsed="false">
      <c r="A1636" s="57" t="s">
        <v>2169</v>
      </c>
      <c r="B1636" s="58" t="n">
        <v>45745</v>
      </c>
      <c r="C1636" s="57" t="n">
        <f aca="false">YEAR(B1636)</f>
        <v>2025</v>
      </c>
      <c r="D1636" s="57" t="n">
        <f aca="false">MONTH(B1636)</f>
        <v>3</v>
      </c>
      <c r="E1636" s="57" t="s">
        <v>500</v>
      </c>
      <c r="F1636" s="57" t="s">
        <v>72</v>
      </c>
      <c r="G1636" s="57" t="s">
        <v>40</v>
      </c>
      <c r="H1636" s="57" t="s">
        <v>42</v>
      </c>
      <c r="I1636" s="59" t="n">
        <v>2</v>
      </c>
      <c r="J1636" s="60" t="n">
        <v>79</v>
      </c>
      <c r="K1636" s="60" t="n">
        <v>31</v>
      </c>
      <c r="L1636" s="61" t="n">
        <f aca="false">I1636*J1636</f>
        <v>158</v>
      </c>
      <c r="M1636" s="61" t="n">
        <f aca="false">L1636-I1636*K1636</f>
        <v>96</v>
      </c>
      <c r="N1636" s="57" t="n">
        <f aca="false">IF(COUNTIFS(E$2:E1636,E1636,C$2:C1636,C1636)=1,1,0)</f>
        <v>0</v>
      </c>
      <c r="O1636" s="57" t="n">
        <f aca="false">IF(COUNTIFS(E$2:E1636,E1636,C$2:C1636,C1636,D$2:D1636,D1636)=1,1,0)</f>
        <v>0</v>
      </c>
      <c r="P1636" s="57" t="n">
        <f aca="false">IF(AND(C1636=Calc!$C$3,OR(Calc!$C$4=0,D1636=Calc!$C$4)),ROW(),0)</f>
        <v>1636</v>
      </c>
    </row>
    <row r="1637" customFormat="false" ht="15" hidden="false" customHeight="false" outlineLevel="0" collapsed="false">
      <c r="A1637" s="57" t="s">
        <v>2170</v>
      </c>
      <c r="B1637" s="58" t="n">
        <v>45745</v>
      </c>
      <c r="C1637" s="57" t="n">
        <f aca="false">YEAR(B1637)</f>
        <v>2025</v>
      </c>
      <c r="D1637" s="57" t="n">
        <f aca="false">MONTH(B1637)</f>
        <v>3</v>
      </c>
      <c r="E1637" s="57" t="s">
        <v>275</v>
      </c>
      <c r="F1637" s="57" t="s">
        <v>75</v>
      </c>
      <c r="G1637" s="57" t="s">
        <v>50</v>
      </c>
      <c r="H1637" s="57" t="s">
        <v>49</v>
      </c>
      <c r="I1637" s="59" t="n">
        <v>3</v>
      </c>
      <c r="J1637" s="60" t="n">
        <v>32</v>
      </c>
      <c r="K1637" s="60" t="n">
        <v>7</v>
      </c>
      <c r="L1637" s="61" t="n">
        <f aca="false">I1637*J1637</f>
        <v>96</v>
      </c>
      <c r="M1637" s="61" t="n">
        <f aca="false">L1637-I1637*K1637</f>
        <v>75</v>
      </c>
      <c r="N1637" s="57" t="n">
        <f aca="false">IF(COUNTIFS(E$2:E1637,E1637,C$2:C1637,C1637)=1,1,0)</f>
        <v>0</v>
      </c>
      <c r="O1637" s="57" t="n">
        <f aca="false">IF(COUNTIFS(E$2:E1637,E1637,C$2:C1637,C1637,D$2:D1637,D1637)=1,1,0)</f>
        <v>0</v>
      </c>
      <c r="P1637" s="57" t="n">
        <f aca="false">IF(AND(C1637=Calc!$C$3,OR(Calc!$C$4=0,D1637=Calc!$C$4)),ROW(),0)</f>
        <v>1637</v>
      </c>
    </row>
    <row r="1638" customFormat="false" ht="15" hidden="false" customHeight="false" outlineLevel="0" collapsed="false">
      <c r="A1638" s="57" t="s">
        <v>2171</v>
      </c>
      <c r="B1638" s="58" t="n">
        <v>45745</v>
      </c>
      <c r="C1638" s="57" t="n">
        <f aca="false">YEAR(B1638)</f>
        <v>2025</v>
      </c>
      <c r="D1638" s="57" t="n">
        <f aca="false">MONTH(B1638)</f>
        <v>3</v>
      </c>
      <c r="E1638" s="57" t="s">
        <v>168</v>
      </c>
      <c r="F1638" s="57" t="s">
        <v>81</v>
      </c>
      <c r="G1638" s="57" t="s">
        <v>40</v>
      </c>
      <c r="H1638" s="57" t="s">
        <v>43</v>
      </c>
      <c r="I1638" s="59" t="n">
        <v>1</v>
      </c>
      <c r="J1638" s="60" t="n">
        <v>29</v>
      </c>
      <c r="K1638" s="60" t="n">
        <v>9</v>
      </c>
      <c r="L1638" s="61" t="n">
        <f aca="false">I1638*J1638</f>
        <v>29</v>
      </c>
      <c r="M1638" s="61" t="n">
        <f aca="false">L1638-I1638*K1638</f>
        <v>20</v>
      </c>
      <c r="N1638" s="57" t="n">
        <f aca="false">IF(COUNTIFS(E$2:E1638,E1638,C$2:C1638,C1638)=1,1,0)</f>
        <v>0</v>
      </c>
      <c r="O1638" s="57" t="n">
        <f aca="false">IF(COUNTIFS(E$2:E1638,E1638,C$2:C1638,C1638,D$2:D1638,D1638)=1,1,0)</f>
        <v>0</v>
      </c>
      <c r="P1638" s="57" t="n">
        <f aca="false">IF(AND(C1638=Calc!$C$3,OR(Calc!$C$4=0,D1638=Calc!$C$4)),ROW(),0)</f>
        <v>1638</v>
      </c>
    </row>
    <row r="1639" customFormat="false" ht="15" hidden="false" customHeight="false" outlineLevel="0" collapsed="false">
      <c r="A1639" s="57" t="s">
        <v>2172</v>
      </c>
      <c r="B1639" s="58" t="n">
        <v>45745</v>
      </c>
      <c r="C1639" s="57" t="n">
        <f aca="false">YEAR(B1639)</f>
        <v>2025</v>
      </c>
      <c r="D1639" s="57" t="n">
        <f aca="false">MONTH(B1639)</f>
        <v>3</v>
      </c>
      <c r="E1639" s="57" t="s">
        <v>376</v>
      </c>
      <c r="F1639" s="57" t="s">
        <v>78</v>
      </c>
      <c r="G1639" s="57" t="s">
        <v>35</v>
      </c>
      <c r="H1639" s="57" t="s">
        <v>38</v>
      </c>
      <c r="I1639" s="59" t="n">
        <v>1</v>
      </c>
      <c r="J1639" s="60" t="n">
        <v>49</v>
      </c>
      <c r="K1639" s="60" t="n">
        <v>22</v>
      </c>
      <c r="L1639" s="61" t="n">
        <f aca="false">I1639*J1639</f>
        <v>49</v>
      </c>
      <c r="M1639" s="61" t="n">
        <f aca="false">L1639-I1639*K1639</f>
        <v>27</v>
      </c>
      <c r="N1639" s="57" t="n">
        <f aca="false">IF(COUNTIFS(E$2:E1639,E1639,C$2:C1639,C1639)=1,1,0)</f>
        <v>0</v>
      </c>
      <c r="O1639" s="57" t="n">
        <f aca="false">IF(COUNTIFS(E$2:E1639,E1639,C$2:C1639,C1639,D$2:D1639,D1639)=1,1,0)</f>
        <v>1</v>
      </c>
      <c r="P1639" s="57" t="n">
        <f aca="false">IF(AND(C1639=Calc!$C$3,OR(Calc!$C$4=0,D1639=Calc!$C$4)),ROW(),0)</f>
        <v>1639</v>
      </c>
    </row>
    <row r="1640" customFormat="false" ht="15" hidden="false" customHeight="false" outlineLevel="0" collapsed="false">
      <c r="A1640" s="57" t="s">
        <v>2173</v>
      </c>
      <c r="B1640" s="58" t="n">
        <v>45746</v>
      </c>
      <c r="C1640" s="57" t="n">
        <f aca="false">YEAR(B1640)</f>
        <v>2025</v>
      </c>
      <c r="D1640" s="57" t="n">
        <f aca="false">MONTH(B1640)</f>
        <v>3</v>
      </c>
      <c r="E1640" s="57" t="s">
        <v>494</v>
      </c>
      <c r="F1640" s="57" t="s">
        <v>78</v>
      </c>
      <c r="G1640" s="57" t="s">
        <v>35</v>
      </c>
      <c r="H1640" s="57" t="s">
        <v>36</v>
      </c>
      <c r="I1640" s="59" t="n">
        <v>1</v>
      </c>
      <c r="J1640" s="60" t="n">
        <v>179</v>
      </c>
      <c r="K1640" s="60" t="n">
        <v>92</v>
      </c>
      <c r="L1640" s="61" t="n">
        <f aca="false">I1640*J1640</f>
        <v>179</v>
      </c>
      <c r="M1640" s="61" t="n">
        <f aca="false">L1640-I1640*K1640</f>
        <v>87</v>
      </c>
      <c r="N1640" s="57" t="n">
        <f aca="false">IF(COUNTIFS(E$2:E1640,E1640,C$2:C1640,C1640)=1,1,0)</f>
        <v>1</v>
      </c>
      <c r="O1640" s="57" t="n">
        <f aca="false">IF(COUNTIFS(E$2:E1640,E1640,C$2:C1640,C1640,D$2:D1640,D1640)=1,1,0)</f>
        <v>1</v>
      </c>
      <c r="P1640" s="57" t="n">
        <f aca="false">IF(AND(C1640=Calc!$C$3,OR(Calc!$C$4=0,D1640=Calc!$C$4)),ROW(),0)</f>
        <v>1640</v>
      </c>
    </row>
    <row r="1641" customFormat="false" ht="15" hidden="false" customHeight="false" outlineLevel="0" collapsed="false">
      <c r="A1641" s="57" t="s">
        <v>2174</v>
      </c>
      <c r="B1641" s="58" t="n">
        <v>45746</v>
      </c>
      <c r="C1641" s="57" t="n">
        <f aca="false">YEAR(B1641)</f>
        <v>2025</v>
      </c>
      <c r="D1641" s="57" t="n">
        <f aca="false">MONTH(B1641)</f>
        <v>3</v>
      </c>
      <c r="E1641" s="57" t="s">
        <v>80</v>
      </c>
      <c r="F1641" s="57" t="s">
        <v>81</v>
      </c>
      <c r="G1641" s="57" t="s">
        <v>50</v>
      </c>
      <c r="H1641" s="57" t="s">
        <v>49</v>
      </c>
      <c r="I1641" s="59" t="n">
        <v>1</v>
      </c>
      <c r="J1641" s="60" t="n">
        <v>32</v>
      </c>
      <c r="K1641" s="60" t="n">
        <v>7</v>
      </c>
      <c r="L1641" s="61" t="n">
        <f aca="false">I1641*J1641</f>
        <v>32</v>
      </c>
      <c r="M1641" s="61" t="n">
        <f aca="false">L1641-I1641*K1641</f>
        <v>25</v>
      </c>
      <c r="N1641" s="57" t="n">
        <f aca="false">IF(COUNTIFS(E$2:E1641,E1641,C$2:C1641,C1641)=1,1,0)</f>
        <v>0</v>
      </c>
      <c r="O1641" s="57" t="n">
        <f aca="false">IF(COUNTIFS(E$2:E1641,E1641,C$2:C1641,C1641,D$2:D1641,D1641)=1,1,0)</f>
        <v>0</v>
      </c>
      <c r="P1641" s="57" t="n">
        <f aca="false">IF(AND(C1641=Calc!$C$3,OR(Calc!$C$4=0,D1641=Calc!$C$4)),ROW(),0)</f>
        <v>1641</v>
      </c>
    </row>
    <row r="1642" customFormat="false" ht="15" hidden="false" customHeight="false" outlineLevel="0" collapsed="false">
      <c r="A1642" s="57" t="s">
        <v>2175</v>
      </c>
      <c r="B1642" s="58" t="n">
        <v>45746</v>
      </c>
      <c r="C1642" s="57" t="n">
        <f aca="false">YEAR(B1642)</f>
        <v>2025</v>
      </c>
      <c r="D1642" s="57" t="n">
        <f aca="false">MONTH(B1642)</f>
        <v>3</v>
      </c>
      <c r="E1642" s="57" t="s">
        <v>275</v>
      </c>
      <c r="F1642" s="57" t="s">
        <v>75</v>
      </c>
      <c r="G1642" s="57" t="s">
        <v>35</v>
      </c>
      <c r="H1642" s="57" t="s">
        <v>38</v>
      </c>
      <c r="I1642" s="59" t="n">
        <v>1</v>
      </c>
      <c r="J1642" s="60" t="n">
        <v>49</v>
      </c>
      <c r="K1642" s="60" t="n">
        <v>22</v>
      </c>
      <c r="L1642" s="61" t="n">
        <f aca="false">I1642*J1642</f>
        <v>49</v>
      </c>
      <c r="M1642" s="61" t="n">
        <f aca="false">L1642-I1642*K1642</f>
        <v>27</v>
      </c>
      <c r="N1642" s="57" t="n">
        <f aca="false">IF(COUNTIFS(E$2:E1642,E1642,C$2:C1642,C1642)=1,1,0)</f>
        <v>0</v>
      </c>
      <c r="O1642" s="57" t="n">
        <f aca="false">IF(COUNTIFS(E$2:E1642,E1642,C$2:C1642,C1642,D$2:D1642,D1642)=1,1,0)</f>
        <v>0</v>
      </c>
      <c r="P1642" s="57" t="n">
        <f aca="false">IF(AND(C1642=Calc!$C$3,OR(Calc!$C$4=0,D1642=Calc!$C$4)),ROW(),0)</f>
        <v>1642</v>
      </c>
    </row>
    <row r="1643" customFormat="false" ht="15" hidden="false" customHeight="false" outlineLevel="0" collapsed="false">
      <c r="A1643" s="57" t="s">
        <v>2176</v>
      </c>
      <c r="B1643" s="58" t="n">
        <v>45747</v>
      </c>
      <c r="C1643" s="57" t="n">
        <f aca="false">YEAR(B1643)</f>
        <v>2025</v>
      </c>
      <c r="D1643" s="57" t="n">
        <f aca="false">MONTH(B1643)</f>
        <v>3</v>
      </c>
      <c r="E1643" s="57" t="s">
        <v>2177</v>
      </c>
      <c r="F1643" s="57" t="s">
        <v>78</v>
      </c>
      <c r="G1643" s="57" t="s">
        <v>45</v>
      </c>
      <c r="H1643" s="57" t="s">
        <v>46</v>
      </c>
      <c r="I1643" s="59" t="n">
        <v>1</v>
      </c>
      <c r="J1643" s="60" t="n">
        <v>149</v>
      </c>
      <c r="K1643" s="60" t="n">
        <v>71</v>
      </c>
      <c r="L1643" s="61" t="n">
        <f aca="false">I1643*J1643</f>
        <v>149</v>
      </c>
      <c r="M1643" s="61" t="n">
        <f aca="false">L1643-I1643*K1643</f>
        <v>78</v>
      </c>
      <c r="N1643" s="57" t="n">
        <f aca="false">IF(COUNTIFS(E$2:E1643,E1643,C$2:C1643,C1643)=1,1,0)</f>
        <v>1</v>
      </c>
      <c r="O1643" s="57" t="n">
        <f aca="false">IF(COUNTIFS(E$2:E1643,E1643,C$2:C1643,C1643,D$2:D1643,D1643)=1,1,0)</f>
        <v>1</v>
      </c>
      <c r="P1643" s="57" t="n">
        <f aca="false">IF(AND(C1643=Calc!$C$3,OR(Calc!$C$4=0,D1643=Calc!$C$4)),ROW(),0)</f>
        <v>1643</v>
      </c>
    </row>
    <row r="1644" customFormat="false" ht="15" hidden="false" customHeight="false" outlineLevel="0" collapsed="false">
      <c r="A1644" s="57" t="s">
        <v>2178</v>
      </c>
      <c r="B1644" s="58" t="n">
        <v>45747</v>
      </c>
      <c r="C1644" s="57" t="n">
        <f aca="false">YEAR(B1644)</f>
        <v>2025</v>
      </c>
      <c r="D1644" s="57" t="n">
        <f aca="false">MONTH(B1644)</f>
        <v>3</v>
      </c>
      <c r="E1644" s="57" t="s">
        <v>698</v>
      </c>
      <c r="F1644" s="57" t="s">
        <v>75</v>
      </c>
      <c r="G1644" s="57" t="s">
        <v>35</v>
      </c>
      <c r="H1644" s="57" t="s">
        <v>37</v>
      </c>
      <c r="I1644" s="59" t="n">
        <v>2</v>
      </c>
      <c r="J1644" s="60" t="n">
        <v>59</v>
      </c>
      <c r="K1644" s="60" t="n">
        <v>27</v>
      </c>
      <c r="L1644" s="61" t="n">
        <f aca="false">I1644*J1644</f>
        <v>118</v>
      </c>
      <c r="M1644" s="61" t="n">
        <f aca="false">L1644-I1644*K1644</f>
        <v>64</v>
      </c>
      <c r="N1644" s="57" t="n">
        <f aca="false">IF(COUNTIFS(E$2:E1644,E1644,C$2:C1644,C1644)=1,1,0)</f>
        <v>0</v>
      </c>
      <c r="O1644" s="57" t="n">
        <f aca="false">IF(COUNTIFS(E$2:E1644,E1644,C$2:C1644,C1644,D$2:D1644,D1644)=1,1,0)</f>
        <v>1</v>
      </c>
      <c r="P1644" s="57" t="n">
        <f aca="false">IF(AND(C1644=Calc!$C$3,OR(Calc!$C$4=0,D1644=Calc!$C$4)),ROW(),0)</f>
        <v>1644</v>
      </c>
    </row>
    <row r="1645" customFormat="false" ht="15" hidden="false" customHeight="false" outlineLevel="0" collapsed="false">
      <c r="A1645" s="57" t="s">
        <v>2179</v>
      </c>
      <c r="B1645" s="58" t="n">
        <v>45747</v>
      </c>
      <c r="C1645" s="57" t="n">
        <f aca="false">YEAR(B1645)</f>
        <v>2025</v>
      </c>
      <c r="D1645" s="57" t="n">
        <f aca="false">MONTH(B1645)</f>
        <v>3</v>
      </c>
      <c r="E1645" s="57" t="s">
        <v>1313</v>
      </c>
      <c r="F1645" s="57" t="s">
        <v>75</v>
      </c>
      <c r="G1645" s="57" t="s">
        <v>54</v>
      </c>
      <c r="H1645" s="57" t="s">
        <v>53</v>
      </c>
      <c r="I1645" s="59" t="n">
        <v>1</v>
      </c>
      <c r="J1645" s="60" t="n">
        <v>39</v>
      </c>
      <c r="K1645" s="60" t="n">
        <v>13</v>
      </c>
      <c r="L1645" s="61" t="n">
        <f aca="false">I1645*J1645</f>
        <v>39</v>
      </c>
      <c r="M1645" s="61" t="n">
        <f aca="false">L1645-I1645*K1645</f>
        <v>26</v>
      </c>
      <c r="N1645" s="57" t="n">
        <f aca="false">IF(COUNTIFS(E$2:E1645,E1645,C$2:C1645,C1645)=1,1,0)</f>
        <v>1</v>
      </c>
      <c r="O1645" s="57" t="n">
        <f aca="false">IF(COUNTIFS(E$2:E1645,E1645,C$2:C1645,C1645,D$2:D1645,D1645)=1,1,0)</f>
        <v>1</v>
      </c>
      <c r="P1645" s="57" t="n">
        <f aca="false">IF(AND(C1645=Calc!$C$3,OR(Calc!$C$4=0,D1645=Calc!$C$4)),ROW(),0)</f>
        <v>1645</v>
      </c>
    </row>
    <row r="1646" customFormat="false" ht="15" hidden="false" customHeight="false" outlineLevel="0" collapsed="false">
      <c r="A1646" s="57" t="s">
        <v>2180</v>
      </c>
      <c r="B1646" s="58" t="n">
        <v>45748</v>
      </c>
      <c r="C1646" s="57" t="n">
        <f aca="false">YEAR(B1646)</f>
        <v>2025</v>
      </c>
      <c r="D1646" s="57" t="n">
        <f aca="false">MONTH(B1646)</f>
        <v>4</v>
      </c>
      <c r="E1646" s="57" t="s">
        <v>1218</v>
      </c>
      <c r="F1646" s="57" t="s">
        <v>81</v>
      </c>
      <c r="G1646" s="57" t="s">
        <v>40</v>
      </c>
      <c r="H1646" s="57" t="s">
        <v>41</v>
      </c>
      <c r="I1646" s="59" t="n">
        <v>1</v>
      </c>
      <c r="J1646" s="60" t="n">
        <v>46</v>
      </c>
      <c r="K1646" s="60" t="n">
        <v>16</v>
      </c>
      <c r="L1646" s="61" t="n">
        <f aca="false">I1646*J1646</f>
        <v>46</v>
      </c>
      <c r="M1646" s="61" t="n">
        <f aca="false">L1646-I1646*K1646</f>
        <v>30</v>
      </c>
      <c r="N1646" s="57" t="n">
        <f aca="false">IF(COUNTIFS(E$2:E1646,E1646,C$2:C1646,C1646)=1,1,0)</f>
        <v>0</v>
      </c>
      <c r="O1646" s="57" t="n">
        <f aca="false">IF(COUNTIFS(E$2:E1646,E1646,C$2:C1646,C1646,D$2:D1646,D1646)=1,1,0)</f>
        <v>1</v>
      </c>
      <c r="P1646" s="57" t="n">
        <f aca="false">IF(AND(C1646=Calc!$C$3,OR(Calc!$C$4=0,D1646=Calc!$C$4)),ROW(),0)</f>
        <v>1646</v>
      </c>
    </row>
    <row r="1647" customFormat="false" ht="15" hidden="false" customHeight="false" outlineLevel="0" collapsed="false">
      <c r="A1647" s="57" t="s">
        <v>2181</v>
      </c>
      <c r="B1647" s="58" t="n">
        <v>45748</v>
      </c>
      <c r="C1647" s="57" t="n">
        <f aca="false">YEAR(B1647)</f>
        <v>2025</v>
      </c>
      <c r="D1647" s="57" t="n">
        <f aca="false">MONTH(B1647)</f>
        <v>4</v>
      </c>
      <c r="E1647" s="57" t="s">
        <v>2182</v>
      </c>
      <c r="F1647" s="57" t="s">
        <v>69</v>
      </c>
      <c r="G1647" s="57" t="s">
        <v>45</v>
      </c>
      <c r="H1647" s="57" t="s">
        <v>47</v>
      </c>
      <c r="I1647" s="59" t="n">
        <v>3</v>
      </c>
      <c r="J1647" s="60" t="n">
        <v>34</v>
      </c>
      <c r="K1647" s="60" t="n">
        <v>12</v>
      </c>
      <c r="L1647" s="61" t="n">
        <f aca="false">I1647*J1647</f>
        <v>102</v>
      </c>
      <c r="M1647" s="61" t="n">
        <f aca="false">L1647-I1647*K1647</f>
        <v>66</v>
      </c>
      <c r="N1647" s="57" t="n">
        <f aca="false">IF(COUNTIFS(E$2:E1647,E1647,C$2:C1647,C1647)=1,1,0)</f>
        <v>1</v>
      </c>
      <c r="O1647" s="57" t="n">
        <f aca="false">IF(COUNTIFS(E$2:E1647,E1647,C$2:C1647,C1647,D$2:D1647,D1647)=1,1,0)</f>
        <v>1</v>
      </c>
      <c r="P1647" s="57" t="n">
        <f aca="false">IF(AND(C1647=Calc!$C$3,OR(Calc!$C$4=0,D1647=Calc!$C$4)),ROW(),0)</f>
        <v>1647</v>
      </c>
    </row>
    <row r="1648" customFormat="false" ht="15" hidden="false" customHeight="false" outlineLevel="0" collapsed="false">
      <c r="A1648" s="57" t="s">
        <v>2183</v>
      </c>
      <c r="B1648" s="58" t="n">
        <v>45748</v>
      </c>
      <c r="C1648" s="57" t="n">
        <f aca="false">YEAR(B1648)</f>
        <v>2025</v>
      </c>
      <c r="D1648" s="57" t="n">
        <f aca="false">MONTH(B1648)</f>
        <v>4</v>
      </c>
      <c r="E1648" s="57" t="s">
        <v>914</v>
      </c>
      <c r="F1648" s="57" t="s">
        <v>75</v>
      </c>
      <c r="G1648" s="57" t="s">
        <v>35</v>
      </c>
      <c r="H1648" s="57" t="s">
        <v>38</v>
      </c>
      <c r="I1648" s="59" t="n">
        <v>2</v>
      </c>
      <c r="J1648" s="60" t="n">
        <v>49</v>
      </c>
      <c r="K1648" s="60" t="n">
        <v>22</v>
      </c>
      <c r="L1648" s="61" t="n">
        <f aca="false">I1648*J1648</f>
        <v>98</v>
      </c>
      <c r="M1648" s="61" t="n">
        <f aca="false">L1648-I1648*K1648</f>
        <v>54</v>
      </c>
      <c r="N1648" s="57" t="n">
        <f aca="false">IF(COUNTIFS(E$2:E1648,E1648,C$2:C1648,C1648)=1,1,0)</f>
        <v>0</v>
      </c>
      <c r="O1648" s="57" t="n">
        <f aca="false">IF(COUNTIFS(E$2:E1648,E1648,C$2:C1648,C1648,D$2:D1648,D1648)=1,1,0)</f>
        <v>1</v>
      </c>
      <c r="P1648" s="57" t="n">
        <f aca="false">IF(AND(C1648=Calc!$C$3,OR(Calc!$C$4=0,D1648=Calc!$C$4)),ROW(),0)</f>
        <v>1648</v>
      </c>
    </row>
    <row r="1649" customFormat="false" ht="15" hidden="false" customHeight="false" outlineLevel="0" collapsed="false">
      <c r="A1649" s="57" t="s">
        <v>2184</v>
      </c>
      <c r="B1649" s="58" t="n">
        <v>45748</v>
      </c>
      <c r="C1649" s="57" t="n">
        <f aca="false">YEAR(B1649)</f>
        <v>2025</v>
      </c>
      <c r="D1649" s="57" t="n">
        <f aca="false">MONTH(B1649)</f>
        <v>4</v>
      </c>
      <c r="E1649" s="57" t="s">
        <v>68</v>
      </c>
      <c r="F1649" s="57" t="s">
        <v>69</v>
      </c>
      <c r="G1649" s="57" t="s">
        <v>40</v>
      </c>
      <c r="H1649" s="57" t="s">
        <v>41</v>
      </c>
      <c r="I1649" s="59" t="n">
        <v>2</v>
      </c>
      <c r="J1649" s="60" t="n">
        <v>46</v>
      </c>
      <c r="K1649" s="60" t="n">
        <v>16</v>
      </c>
      <c r="L1649" s="61" t="n">
        <f aca="false">I1649*J1649</f>
        <v>92</v>
      </c>
      <c r="M1649" s="61" t="n">
        <f aca="false">L1649-I1649*K1649</f>
        <v>60</v>
      </c>
      <c r="N1649" s="57" t="n">
        <f aca="false">IF(COUNTIFS(E$2:E1649,E1649,C$2:C1649,C1649)=1,1,0)</f>
        <v>0</v>
      </c>
      <c r="O1649" s="57" t="n">
        <f aca="false">IF(COUNTIFS(E$2:E1649,E1649,C$2:C1649,C1649,D$2:D1649,D1649)=1,1,0)</f>
        <v>1</v>
      </c>
      <c r="P1649" s="57" t="n">
        <f aca="false">IF(AND(C1649=Calc!$C$3,OR(Calc!$C$4=0,D1649=Calc!$C$4)),ROW(),0)</f>
        <v>1649</v>
      </c>
    </row>
    <row r="1650" customFormat="false" ht="15" hidden="false" customHeight="false" outlineLevel="0" collapsed="false">
      <c r="A1650" s="57" t="s">
        <v>2185</v>
      </c>
      <c r="B1650" s="58" t="n">
        <v>45748</v>
      </c>
      <c r="C1650" s="57" t="n">
        <f aca="false">YEAR(B1650)</f>
        <v>2025</v>
      </c>
      <c r="D1650" s="57" t="n">
        <f aca="false">MONTH(B1650)</f>
        <v>4</v>
      </c>
      <c r="E1650" s="57" t="s">
        <v>304</v>
      </c>
      <c r="F1650" s="57" t="s">
        <v>69</v>
      </c>
      <c r="G1650" s="57" t="s">
        <v>40</v>
      </c>
      <c r="H1650" s="57" t="s">
        <v>41</v>
      </c>
      <c r="I1650" s="59" t="n">
        <v>1</v>
      </c>
      <c r="J1650" s="60" t="n">
        <v>46</v>
      </c>
      <c r="K1650" s="60" t="n">
        <v>16</v>
      </c>
      <c r="L1650" s="61" t="n">
        <f aca="false">I1650*J1650</f>
        <v>46</v>
      </c>
      <c r="M1650" s="61" t="n">
        <f aca="false">L1650-I1650*K1650</f>
        <v>30</v>
      </c>
      <c r="N1650" s="57" t="n">
        <f aca="false">IF(COUNTIFS(E$2:E1650,E1650,C$2:C1650,C1650)=1,1,0)</f>
        <v>0</v>
      </c>
      <c r="O1650" s="57" t="n">
        <f aca="false">IF(COUNTIFS(E$2:E1650,E1650,C$2:C1650,C1650,D$2:D1650,D1650)=1,1,0)</f>
        <v>1</v>
      </c>
      <c r="P1650" s="57" t="n">
        <f aca="false">IF(AND(C1650=Calc!$C$3,OR(Calc!$C$4=0,D1650=Calc!$C$4)),ROW(),0)</f>
        <v>1650</v>
      </c>
    </row>
    <row r="1651" customFormat="false" ht="15" hidden="false" customHeight="false" outlineLevel="0" collapsed="false">
      <c r="A1651" s="57" t="s">
        <v>2186</v>
      </c>
      <c r="B1651" s="58" t="n">
        <v>45748</v>
      </c>
      <c r="C1651" s="57" t="n">
        <f aca="false">YEAR(B1651)</f>
        <v>2025</v>
      </c>
      <c r="D1651" s="57" t="n">
        <f aca="false">MONTH(B1651)</f>
        <v>4</v>
      </c>
      <c r="E1651" s="57" t="s">
        <v>1854</v>
      </c>
      <c r="F1651" s="57" t="s">
        <v>69</v>
      </c>
      <c r="G1651" s="57" t="s">
        <v>40</v>
      </c>
      <c r="H1651" s="57" t="s">
        <v>42</v>
      </c>
      <c r="I1651" s="59" t="n">
        <v>1</v>
      </c>
      <c r="J1651" s="60" t="n">
        <v>79</v>
      </c>
      <c r="K1651" s="60" t="n">
        <v>31</v>
      </c>
      <c r="L1651" s="61" t="n">
        <f aca="false">I1651*J1651</f>
        <v>79</v>
      </c>
      <c r="M1651" s="61" t="n">
        <f aca="false">L1651-I1651*K1651</f>
        <v>48</v>
      </c>
      <c r="N1651" s="57" t="n">
        <f aca="false">IF(COUNTIFS(E$2:E1651,E1651,C$2:C1651,C1651)=1,1,0)</f>
        <v>0</v>
      </c>
      <c r="O1651" s="57" t="n">
        <f aca="false">IF(COUNTIFS(E$2:E1651,E1651,C$2:C1651,C1651,D$2:D1651,D1651)=1,1,0)</f>
        <v>1</v>
      </c>
      <c r="P1651" s="57" t="n">
        <f aca="false">IF(AND(C1651=Calc!$C$3,OR(Calc!$C$4=0,D1651=Calc!$C$4)),ROW(),0)</f>
        <v>1651</v>
      </c>
    </row>
    <row r="1652" customFormat="false" ht="15" hidden="false" customHeight="false" outlineLevel="0" collapsed="false">
      <c r="A1652" s="57" t="s">
        <v>2187</v>
      </c>
      <c r="B1652" s="58" t="n">
        <v>45749</v>
      </c>
      <c r="C1652" s="57" t="n">
        <f aca="false">YEAR(B1652)</f>
        <v>2025</v>
      </c>
      <c r="D1652" s="57" t="n">
        <f aca="false">MONTH(B1652)</f>
        <v>4</v>
      </c>
      <c r="E1652" s="57" t="s">
        <v>957</v>
      </c>
      <c r="F1652" s="57" t="s">
        <v>69</v>
      </c>
      <c r="G1652" s="57" t="s">
        <v>45</v>
      </c>
      <c r="H1652" s="57" t="s">
        <v>47</v>
      </c>
      <c r="I1652" s="59" t="n">
        <v>3</v>
      </c>
      <c r="J1652" s="60" t="n">
        <v>34</v>
      </c>
      <c r="K1652" s="60" t="n">
        <v>12</v>
      </c>
      <c r="L1652" s="61" t="n">
        <f aca="false">I1652*J1652</f>
        <v>102</v>
      </c>
      <c r="M1652" s="61" t="n">
        <f aca="false">L1652-I1652*K1652</f>
        <v>66</v>
      </c>
      <c r="N1652" s="57" t="n">
        <f aca="false">IF(COUNTIFS(E$2:E1652,E1652,C$2:C1652,C1652)=1,1,0)</f>
        <v>1</v>
      </c>
      <c r="O1652" s="57" t="n">
        <f aca="false">IF(COUNTIFS(E$2:E1652,E1652,C$2:C1652,C1652,D$2:D1652,D1652)=1,1,0)</f>
        <v>1</v>
      </c>
      <c r="P1652" s="57" t="n">
        <f aca="false">IF(AND(C1652=Calc!$C$3,OR(Calc!$C$4=0,D1652=Calc!$C$4)),ROW(),0)</f>
        <v>1652</v>
      </c>
    </row>
    <row r="1653" customFormat="false" ht="15" hidden="false" customHeight="false" outlineLevel="0" collapsed="false">
      <c r="A1653" s="57" t="s">
        <v>2188</v>
      </c>
      <c r="B1653" s="58" t="n">
        <v>45749</v>
      </c>
      <c r="C1653" s="57" t="n">
        <f aca="false">YEAR(B1653)</f>
        <v>2025</v>
      </c>
      <c r="D1653" s="57" t="n">
        <f aca="false">MONTH(B1653)</f>
        <v>4</v>
      </c>
      <c r="E1653" s="57" t="s">
        <v>1491</v>
      </c>
      <c r="F1653" s="57" t="s">
        <v>69</v>
      </c>
      <c r="G1653" s="57" t="s">
        <v>35</v>
      </c>
      <c r="H1653" s="57" t="s">
        <v>36</v>
      </c>
      <c r="I1653" s="59" t="n">
        <v>1</v>
      </c>
      <c r="J1653" s="60" t="n">
        <v>179</v>
      </c>
      <c r="K1653" s="60" t="n">
        <v>92</v>
      </c>
      <c r="L1653" s="61" t="n">
        <f aca="false">I1653*J1653</f>
        <v>179</v>
      </c>
      <c r="M1653" s="61" t="n">
        <f aca="false">L1653-I1653*K1653</f>
        <v>87</v>
      </c>
      <c r="N1653" s="57" t="n">
        <f aca="false">IF(COUNTIFS(E$2:E1653,E1653,C$2:C1653,C1653)=1,1,0)</f>
        <v>0</v>
      </c>
      <c r="O1653" s="57" t="n">
        <f aca="false">IF(COUNTIFS(E$2:E1653,E1653,C$2:C1653,C1653,D$2:D1653,D1653)=1,1,0)</f>
        <v>1</v>
      </c>
      <c r="P1653" s="57" t="n">
        <f aca="false">IF(AND(C1653=Calc!$C$3,OR(Calc!$C$4=0,D1653=Calc!$C$4)),ROW(),0)</f>
        <v>1653</v>
      </c>
    </row>
    <row r="1654" customFormat="false" ht="15" hidden="false" customHeight="false" outlineLevel="0" collapsed="false">
      <c r="A1654" s="57" t="s">
        <v>2189</v>
      </c>
      <c r="B1654" s="58" t="n">
        <v>45749</v>
      </c>
      <c r="C1654" s="57" t="n">
        <f aca="false">YEAR(B1654)</f>
        <v>2025</v>
      </c>
      <c r="D1654" s="57" t="n">
        <f aca="false">MONTH(B1654)</f>
        <v>4</v>
      </c>
      <c r="E1654" s="57" t="s">
        <v>2190</v>
      </c>
      <c r="F1654" s="57" t="s">
        <v>81</v>
      </c>
      <c r="G1654" s="57" t="s">
        <v>40</v>
      </c>
      <c r="H1654" s="57" t="s">
        <v>42</v>
      </c>
      <c r="I1654" s="59" t="n">
        <v>1</v>
      </c>
      <c r="J1654" s="60" t="n">
        <v>79</v>
      </c>
      <c r="K1654" s="60" t="n">
        <v>31</v>
      </c>
      <c r="L1654" s="61" t="n">
        <f aca="false">I1654*J1654</f>
        <v>79</v>
      </c>
      <c r="M1654" s="61" t="n">
        <f aca="false">L1654-I1654*K1654</f>
        <v>48</v>
      </c>
      <c r="N1654" s="57" t="n">
        <f aca="false">IF(COUNTIFS(E$2:E1654,E1654,C$2:C1654,C1654)=1,1,0)</f>
        <v>1</v>
      </c>
      <c r="O1654" s="57" t="n">
        <f aca="false">IF(COUNTIFS(E$2:E1654,E1654,C$2:C1654,C1654,D$2:D1654,D1654)=1,1,0)</f>
        <v>1</v>
      </c>
      <c r="P1654" s="57" t="n">
        <f aca="false">IF(AND(C1654=Calc!$C$3,OR(Calc!$C$4=0,D1654=Calc!$C$4)),ROW(),0)</f>
        <v>1654</v>
      </c>
    </row>
    <row r="1655" customFormat="false" ht="15" hidden="false" customHeight="false" outlineLevel="0" collapsed="false">
      <c r="A1655" s="57" t="s">
        <v>2191</v>
      </c>
      <c r="B1655" s="58" t="n">
        <v>45749</v>
      </c>
      <c r="C1655" s="57" t="n">
        <f aca="false">YEAR(B1655)</f>
        <v>2025</v>
      </c>
      <c r="D1655" s="57" t="n">
        <f aca="false">MONTH(B1655)</f>
        <v>4</v>
      </c>
      <c r="E1655" s="57" t="s">
        <v>2192</v>
      </c>
      <c r="F1655" s="57" t="s">
        <v>69</v>
      </c>
      <c r="G1655" s="57" t="s">
        <v>45</v>
      </c>
      <c r="H1655" s="57" t="s">
        <v>46</v>
      </c>
      <c r="I1655" s="59" t="n">
        <v>1</v>
      </c>
      <c r="J1655" s="60" t="n">
        <v>149</v>
      </c>
      <c r="K1655" s="60" t="n">
        <v>71</v>
      </c>
      <c r="L1655" s="61" t="n">
        <f aca="false">I1655*J1655</f>
        <v>149</v>
      </c>
      <c r="M1655" s="61" t="n">
        <f aca="false">L1655-I1655*K1655</f>
        <v>78</v>
      </c>
      <c r="N1655" s="57" t="n">
        <f aca="false">IF(COUNTIFS(E$2:E1655,E1655,C$2:C1655,C1655)=1,1,0)</f>
        <v>1</v>
      </c>
      <c r="O1655" s="57" t="n">
        <f aca="false">IF(COUNTIFS(E$2:E1655,E1655,C$2:C1655,C1655,D$2:D1655,D1655)=1,1,0)</f>
        <v>1</v>
      </c>
      <c r="P1655" s="57" t="n">
        <f aca="false">IF(AND(C1655=Calc!$C$3,OR(Calc!$C$4=0,D1655=Calc!$C$4)),ROW(),0)</f>
        <v>1655</v>
      </c>
    </row>
    <row r="1656" customFormat="false" ht="15" hidden="false" customHeight="false" outlineLevel="0" collapsed="false">
      <c r="A1656" s="57" t="s">
        <v>2193</v>
      </c>
      <c r="B1656" s="58" t="n">
        <v>45749</v>
      </c>
      <c r="C1656" s="57" t="n">
        <f aca="false">YEAR(B1656)</f>
        <v>2025</v>
      </c>
      <c r="D1656" s="57" t="n">
        <f aca="false">MONTH(B1656)</f>
        <v>4</v>
      </c>
      <c r="E1656" s="57" t="s">
        <v>1307</v>
      </c>
      <c r="F1656" s="57" t="s">
        <v>78</v>
      </c>
      <c r="G1656" s="57" t="s">
        <v>35</v>
      </c>
      <c r="H1656" s="57" t="s">
        <v>38</v>
      </c>
      <c r="I1656" s="59" t="n">
        <v>1</v>
      </c>
      <c r="J1656" s="60" t="n">
        <v>49</v>
      </c>
      <c r="K1656" s="60" t="n">
        <v>22</v>
      </c>
      <c r="L1656" s="61" t="n">
        <f aca="false">I1656*J1656</f>
        <v>49</v>
      </c>
      <c r="M1656" s="61" t="n">
        <f aca="false">L1656-I1656*K1656</f>
        <v>27</v>
      </c>
      <c r="N1656" s="57" t="n">
        <f aca="false">IF(COUNTIFS(E$2:E1656,E1656,C$2:C1656,C1656)=1,1,0)</f>
        <v>1</v>
      </c>
      <c r="O1656" s="57" t="n">
        <f aca="false">IF(COUNTIFS(E$2:E1656,E1656,C$2:C1656,C1656,D$2:D1656,D1656)=1,1,0)</f>
        <v>1</v>
      </c>
      <c r="P1656" s="57" t="n">
        <f aca="false">IF(AND(C1656=Calc!$C$3,OR(Calc!$C$4=0,D1656=Calc!$C$4)),ROW(),0)</f>
        <v>1656</v>
      </c>
    </row>
    <row r="1657" customFormat="false" ht="15" hidden="false" customHeight="false" outlineLevel="0" collapsed="false">
      <c r="A1657" s="57" t="s">
        <v>2194</v>
      </c>
      <c r="B1657" s="58" t="n">
        <v>45750</v>
      </c>
      <c r="C1657" s="57" t="n">
        <f aca="false">YEAR(B1657)</f>
        <v>2025</v>
      </c>
      <c r="D1657" s="57" t="n">
        <f aca="false">MONTH(B1657)</f>
        <v>4</v>
      </c>
      <c r="E1657" s="57" t="s">
        <v>1290</v>
      </c>
      <c r="F1657" s="57" t="s">
        <v>75</v>
      </c>
      <c r="G1657" s="57" t="s">
        <v>40</v>
      </c>
      <c r="H1657" s="57" t="s">
        <v>43</v>
      </c>
      <c r="I1657" s="59" t="n">
        <v>1</v>
      </c>
      <c r="J1657" s="60" t="n">
        <v>29</v>
      </c>
      <c r="K1657" s="60" t="n">
        <v>9</v>
      </c>
      <c r="L1657" s="61" t="n">
        <f aca="false">I1657*J1657</f>
        <v>29</v>
      </c>
      <c r="M1657" s="61" t="n">
        <f aca="false">L1657-I1657*K1657</f>
        <v>20</v>
      </c>
      <c r="N1657" s="57" t="n">
        <f aca="false">IF(COUNTIFS(E$2:E1657,E1657,C$2:C1657,C1657)=1,1,0)</f>
        <v>1</v>
      </c>
      <c r="O1657" s="57" t="n">
        <f aca="false">IF(COUNTIFS(E$2:E1657,E1657,C$2:C1657,C1657,D$2:D1657,D1657)=1,1,0)</f>
        <v>1</v>
      </c>
      <c r="P1657" s="57" t="n">
        <f aca="false">IF(AND(C1657=Calc!$C$3,OR(Calc!$C$4=0,D1657=Calc!$C$4)),ROW(),0)</f>
        <v>1657</v>
      </c>
    </row>
    <row r="1658" customFormat="false" ht="15" hidden="false" customHeight="false" outlineLevel="0" collapsed="false">
      <c r="A1658" s="57" t="s">
        <v>2195</v>
      </c>
      <c r="B1658" s="58" t="n">
        <v>45750</v>
      </c>
      <c r="C1658" s="57" t="n">
        <f aca="false">YEAR(B1658)</f>
        <v>2025</v>
      </c>
      <c r="D1658" s="57" t="n">
        <f aca="false">MONTH(B1658)</f>
        <v>4</v>
      </c>
      <c r="E1658" s="57" t="s">
        <v>547</v>
      </c>
      <c r="F1658" s="57" t="s">
        <v>72</v>
      </c>
      <c r="G1658" s="57" t="s">
        <v>35</v>
      </c>
      <c r="H1658" s="57" t="s">
        <v>34</v>
      </c>
      <c r="I1658" s="59" t="n">
        <v>1</v>
      </c>
      <c r="J1658" s="60" t="n">
        <v>89</v>
      </c>
      <c r="K1658" s="60" t="n">
        <v>41</v>
      </c>
      <c r="L1658" s="61" t="n">
        <f aca="false">I1658*J1658</f>
        <v>89</v>
      </c>
      <c r="M1658" s="61" t="n">
        <f aca="false">L1658-I1658*K1658</f>
        <v>48</v>
      </c>
      <c r="N1658" s="57" t="n">
        <f aca="false">IF(COUNTIFS(E$2:E1658,E1658,C$2:C1658,C1658)=1,1,0)</f>
        <v>0</v>
      </c>
      <c r="O1658" s="57" t="n">
        <f aca="false">IF(COUNTIFS(E$2:E1658,E1658,C$2:C1658,C1658,D$2:D1658,D1658)=1,1,0)</f>
        <v>1</v>
      </c>
      <c r="P1658" s="57" t="n">
        <f aca="false">IF(AND(C1658=Calc!$C$3,OR(Calc!$C$4=0,D1658=Calc!$C$4)),ROW(),0)</f>
        <v>1658</v>
      </c>
    </row>
    <row r="1659" customFormat="false" ht="15" hidden="false" customHeight="false" outlineLevel="0" collapsed="false">
      <c r="A1659" s="57" t="s">
        <v>2196</v>
      </c>
      <c r="B1659" s="58" t="n">
        <v>45750</v>
      </c>
      <c r="C1659" s="57" t="n">
        <f aca="false">YEAR(B1659)</f>
        <v>2025</v>
      </c>
      <c r="D1659" s="57" t="n">
        <f aca="false">MONTH(B1659)</f>
        <v>4</v>
      </c>
      <c r="E1659" s="57" t="s">
        <v>203</v>
      </c>
      <c r="F1659" s="57" t="s">
        <v>78</v>
      </c>
      <c r="G1659" s="57" t="s">
        <v>35</v>
      </c>
      <c r="H1659" s="57" t="s">
        <v>38</v>
      </c>
      <c r="I1659" s="59" t="n">
        <v>1</v>
      </c>
      <c r="J1659" s="60" t="n">
        <v>49</v>
      </c>
      <c r="K1659" s="60" t="n">
        <v>22</v>
      </c>
      <c r="L1659" s="61" t="n">
        <f aca="false">I1659*J1659</f>
        <v>49</v>
      </c>
      <c r="M1659" s="61" t="n">
        <f aca="false">L1659-I1659*K1659</f>
        <v>27</v>
      </c>
      <c r="N1659" s="57" t="n">
        <f aca="false">IF(COUNTIFS(E$2:E1659,E1659,C$2:C1659,C1659)=1,1,0)</f>
        <v>0</v>
      </c>
      <c r="O1659" s="57" t="n">
        <f aca="false">IF(COUNTIFS(E$2:E1659,E1659,C$2:C1659,C1659,D$2:D1659,D1659)=1,1,0)</f>
        <v>1</v>
      </c>
      <c r="P1659" s="57" t="n">
        <f aca="false">IF(AND(C1659=Calc!$C$3,OR(Calc!$C$4=0,D1659=Calc!$C$4)),ROW(),0)</f>
        <v>1659</v>
      </c>
    </row>
    <row r="1660" customFormat="false" ht="15" hidden="false" customHeight="false" outlineLevel="0" collapsed="false">
      <c r="A1660" s="57" t="s">
        <v>2197</v>
      </c>
      <c r="B1660" s="58" t="n">
        <v>45750</v>
      </c>
      <c r="C1660" s="57" t="n">
        <f aca="false">YEAR(B1660)</f>
        <v>2025</v>
      </c>
      <c r="D1660" s="57" t="n">
        <f aca="false">MONTH(B1660)</f>
        <v>4</v>
      </c>
      <c r="E1660" s="57" t="s">
        <v>85</v>
      </c>
      <c r="F1660" s="57" t="s">
        <v>69</v>
      </c>
      <c r="G1660" s="57" t="s">
        <v>40</v>
      </c>
      <c r="H1660" s="57" t="s">
        <v>43</v>
      </c>
      <c r="I1660" s="59" t="n">
        <v>1</v>
      </c>
      <c r="J1660" s="60" t="n">
        <v>29</v>
      </c>
      <c r="K1660" s="60" t="n">
        <v>9</v>
      </c>
      <c r="L1660" s="61" t="n">
        <f aca="false">I1660*J1660</f>
        <v>29</v>
      </c>
      <c r="M1660" s="61" t="n">
        <f aca="false">L1660-I1660*K1660</f>
        <v>20</v>
      </c>
      <c r="N1660" s="57" t="n">
        <f aca="false">IF(COUNTIFS(E$2:E1660,E1660,C$2:C1660,C1660)=1,1,0)</f>
        <v>1</v>
      </c>
      <c r="O1660" s="57" t="n">
        <f aca="false">IF(COUNTIFS(E$2:E1660,E1660,C$2:C1660,C1660,D$2:D1660,D1660)=1,1,0)</f>
        <v>1</v>
      </c>
      <c r="P1660" s="57" t="n">
        <f aca="false">IF(AND(C1660=Calc!$C$3,OR(Calc!$C$4=0,D1660=Calc!$C$4)),ROW(),0)</f>
        <v>1660</v>
      </c>
    </row>
    <row r="1661" customFormat="false" ht="15" hidden="false" customHeight="false" outlineLevel="0" collapsed="false">
      <c r="A1661" s="57" t="s">
        <v>2198</v>
      </c>
      <c r="B1661" s="58" t="n">
        <v>45751</v>
      </c>
      <c r="C1661" s="57" t="n">
        <f aca="false">YEAR(B1661)</f>
        <v>2025</v>
      </c>
      <c r="D1661" s="57" t="n">
        <f aca="false">MONTH(B1661)</f>
        <v>4</v>
      </c>
      <c r="E1661" s="57" t="s">
        <v>494</v>
      </c>
      <c r="F1661" s="57" t="s">
        <v>78</v>
      </c>
      <c r="G1661" s="57" t="s">
        <v>45</v>
      </c>
      <c r="H1661" s="57" t="s">
        <v>47</v>
      </c>
      <c r="I1661" s="59" t="n">
        <v>1</v>
      </c>
      <c r="J1661" s="60" t="n">
        <v>34</v>
      </c>
      <c r="K1661" s="60" t="n">
        <v>12</v>
      </c>
      <c r="L1661" s="61" t="n">
        <f aca="false">I1661*J1661</f>
        <v>34</v>
      </c>
      <c r="M1661" s="61" t="n">
        <f aca="false">L1661-I1661*K1661</f>
        <v>22</v>
      </c>
      <c r="N1661" s="57" t="n">
        <f aca="false">IF(COUNTIFS(E$2:E1661,E1661,C$2:C1661,C1661)=1,1,0)</f>
        <v>0</v>
      </c>
      <c r="O1661" s="57" t="n">
        <f aca="false">IF(COUNTIFS(E$2:E1661,E1661,C$2:C1661,C1661,D$2:D1661,D1661)=1,1,0)</f>
        <v>1</v>
      </c>
      <c r="P1661" s="57" t="n">
        <f aca="false">IF(AND(C1661=Calc!$C$3,OR(Calc!$C$4=0,D1661=Calc!$C$4)),ROW(),0)</f>
        <v>1661</v>
      </c>
    </row>
    <row r="1662" customFormat="false" ht="15" hidden="false" customHeight="false" outlineLevel="0" collapsed="false">
      <c r="A1662" s="57" t="s">
        <v>2199</v>
      </c>
      <c r="B1662" s="58" t="n">
        <v>45751</v>
      </c>
      <c r="C1662" s="57" t="n">
        <f aca="false">YEAR(B1662)</f>
        <v>2025</v>
      </c>
      <c r="D1662" s="57" t="n">
        <f aca="false">MONTH(B1662)</f>
        <v>4</v>
      </c>
      <c r="E1662" s="57" t="s">
        <v>317</v>
      </c>
      <c r="F1662" s="57" t="s">
        <v>72</v>
      </c>
      <c r="G1662" s="57" t="s">
        <v>35</v>
      </c>
      <c r="H1662" s="57" t="s">
        <v>36</v>
      </c>
      <c r="I1662" s="59" t="n">
        <v>1</v>
      </c>
      <c r="J1662" s="60" t="n">
        <v>179</v>
      </c>
      <c r="K1662" s="60" t="n">
        <v>92</v>
      </c>
      <c r="L1662" s="61" t="n">
        <f aca="false">I1662*J1662</f>
        <v>179</v>
      </c>
      <c r="M1662" s="61" t="n">
        <f aca="false">L1662-I1662*K1662</f>
        <v>87</v>
      </c>
      <c r="N1662" s="57" t="n">
        <f aca="false">IF(COUNTIFS(E$2:E1662,E1662,C$2:C1662,C1662)=1,1,0)</f>
        <v>1</v>
      </c>
      <c r="O1662" s="57" t="n">
        <f aca="false">IF(COUNTIFS(E$2:E1662,E1662,C$2:C1662,C1662,D$2:D1662,D1662)=1,1,0)</f>
        <v>1</v>
      </c>
      <c r="P1662" s="57" t="n">
        <f aca="false">IF(AND(C1662=Calc!$C$3,OR(Calc!$C$4=0,D1662=Calc!$C$4)),ROW(),0)</f>
        <v>1662</v>
      </c>
    </row>
    <row r="1663" customFormat="false" ht="15" hidden="false" customHeight="false" outlineLevel="0" collapsed="false">
      <c r="A1663" s="57" t="s">
        <v>2200</v>
      </c>
      <c r="B1663" s="58" t="n">
        <v>45751</v>
      </c>
      <c r="C1663" s="57" t="n">
        <f aca="false">YEAR(B1663)</f>
        <v>2025</v>
      </c>
      <c r="D1663" s="57" t="n">
        <f aca="false">MONTH(B1663)</f>
        <v>4</v>
      </c>
      <c r="E1663" s="57" t="s">
        <v>142</v>
      </c>
      <c r="F1663" s="57" t="s">
        <v>78</v>
      </c>
      <c r="G1663" s="57" t="s">
        <v>35</v>
      </c>
      <c r="H1663" s="57" t="s">
        <v>37</v>
      </c>
      <c r="I1663" s="59" t="n">
        <v>1</v>
      </c>
      <c r="J1663" s="60" t="n">
        <v>59</v>
      </c>
      <c r="K1663" s="60" t="n">
        <v>27</v>
      </c>
      <c r="L1663" s="61" t="n">
        <f aca="false">I1663*J1663</f>
        <v>59</v>
      </c>
      <c r="M1663" s="61" t="n">
        <f aca="false">L1663-I1663*K1663</f>
        <v>32</v>
      </c>
      <c r="N1663" s="57" t="n">
        <f aca="false">IF(COUNTIFS(E$2:E1663,E1663,C$2:C1663,C1663)=1,1,0)</f>
        <v>0</v>
      </c>
      <c r="O1663" s="57" t="n">
        <f aca="false">IF(COUNTIFS(E$2:E1663,E1663,C$2:C1663,C1663,D$2:D1663,D1663)=1,1,0)</f>
        <v>1</v>
      </c>
      <c r="P1663" s="57" t="n">
        <f aca="false">IF(AND(C1663=Calc!$C$3,OR(Calc!$C$4=0,D1663=Calc!$C$4)),ROW(),0)</f>
        <v>1663</v>
      </c>
    </row>
    <row r="1664" customFormat="false" ht="15" hidden="false" customHeight="false" outlineLevel="0" collapsed="false">
      <c r="A1664" s="57" t="s">
        <v>2201</v>
      </c>
      <c r="B1664" s="58" t="n">
        <v>45752</v>
      </c>
      <c r="C1664" s="57" t="n">
        <f aca="false">YEAR(B1664)</f>
        <v>2025</v>
      </c>
      <c r="D1664" s="57" t="n">
        <f aca="false">MONTH(B1664)</f>
        <v>4</v>
      </c>
      <c r="E1664" s="57" t="s">
        <v>1195</v>
      </c>
      <c r="F1664" s="57" t="s">
        <v>72</v>
      </c>
      <c r="G1664" s="57" t="s">
        <v>45</v>
      </c>
      <c r="H1664" s="57" t="s">
        <v>44</v>
      </c>
      <c r="I1664" s="59" t="n">
        <v>1</v>
      </c>
      <c r="J1664" s="60" t="n">
        <v>119</v>
      </c>
      <c r="K1664" s="60" t="n">
        <v>63</v>
      </c>
      <c r="L1664" s="61" t="n">
        <f aca="false">I1664*J1664</f>
        <v>119</v>
      </c>
      <c r="M1664" s="61" t="n">
        <f aca="false">L1664-I1664*K1664</f>
        <v>56</v>
      </c>
      <c r="N1664" s="57" t="n">
        <f aca="false">IF(COUNTIFS(E$2:E1664,E1664,C$2:C1664,C1664)=1,1,0)</f>
        <v>1</v>
      </c>
      <c r="O1664" s="57" t="n">
        <f aca="false">IF(COUNTIFS(E$2:E1664,E1664,C$2:C1664,C1664,D$2:D1664,D1664)=1,1,0)</f>
        <v>1</v>
      </c>
      <c r="P1664" s="57" t="n">
        <f aca="false">IF(AND(C1664=Calc!$C$3,OR(Calc!$C$4=0,D1664=Calc!$C$4)),ROW(),0)</f>
        <v>1664</v>
      </c>
    </row>
    <row r="1665" customFormat="false" ht="15" hidden="false" customHeight="false" outlineLevel="0" collapsed="false">
      <c r="A1665" s="57" t="s">
        <v>2202</v>
      </c>
      <c r="B1665" s="58" t="n">
        <v>45752</v>
      </c>
      <c r="C1665" s="57" t="n">
        <f aca="false">YEAR(B1665)</f>
        <v>2025</v>
      </c>
      <c r="D1665" s="57" t="n">
        <f aca="false">MONTH(B1665)</f>
        <v>4</v>
      </c>
      <c r="E1665" s="57" t="s">
        <v>500</v>
      </c>
      <c r="F1665" s="57" t="s">
        <v>72</v>
      </c>
      <c r="G1665" s="57" t="s">
        <v>35</v>
      </c>
      <c r="H1665" s="57" t="s">
        <v>36</v>
      </c>
      <c r="I1665" s="59" t="n">
        <v>1</v>
      </c>
      <c r="J1665" s="60" t="n">
        <v>179</v>
      </c>
      <c r="K1665" s="60" t="n">
        <v>92</v>
      </c>
      <c r="L1665" s="61" t="n">
        <f aca="false">I1665*J1665</f>
        <v>179</v>
      </c>
      <c r="M1665" s="61" t="n">
        <f aca="false">L1665-I1665*K1665</f>
        <v>87</v>
      </c>
      <c r="N1665" s="57" t="n">
        <f aca="false">IF(COUNTIFS(E$2:E1665,E1665,C$2:C1665,C1665)=1,1,0)</f>
        <v>0</v>
      </c>
      <c r="O1665" s="57" t="n">
        <f aca="false">IF(COUNTIFS(E$2:E1665,E1665,C$2:C1665,C1665,D$2:D1665,D1665)=1,1,0)</f>
        <v>1</v>
      </c>
      <c r="P1665" s="57" t="n">
        <f aca="false">IF(AND(C1665=Calc!$C$3,OR(Calc!$C$4=0,D1665=Calc!$C$4)),ROW(),0)</f>
        <v>1665</v>
      </c>
    </row>
    <row r="1666" customFormat="false" ht="15" hidden="false" customHeight="false" outlineLevel="0" collapsed="false">
      <c r="A1666" s="57" t="s">
        <v>2203</v>
      </c>
      <c r="B1666" s="58" t="n">
        <v>45753</v>
      </c>
      <c r="C1666" s="57" t="n">
        <f aca="false">YEAR(B1666)</f>
        <v>2025</v>
      </c>
      <c r="D1666" s="57" t="n">
        <f aca="false">MONTH(B1666)</f>
        <v>4</v>
      </c>
      <c r="E1666" s="57" t="s">
        <v>1304</v>
      </c>
      <c r="F1666" s="57" t="s">
        <v>78</v>
      </c>
      <c r="G1666" s="57" t="s">
        <v>35</v>
      </c>
      <c r="H1666" s="57" t="s">
        <v>37</v>
      </c>
      <c r="I1666" s="59" t="n">
        <v>1</v>
      </c>
      <c r="J1666" s="60" t="n">
        <v>59</v>
      </c>
      <c r="K1666" s="60" t="n">
        <v>27</v>
      </c>
      <c r="L1666" s="61" t="n">
        <f aca="false">I1666*J1666</f>
        <v>59</v>
      </c>
      <c r="M1666" s="61" t="n">
        <f aca="false">L1666-I1666*K1666</f>
        <v>32</v>
      </c>
      <c r="N1666" s="57" t="n">
        <f aca="false">IF(COUNTIFS(E$2:E1666,E1666,C$2:C1666,C1666)=1,1,0)</f>
        <v>0</v>
      </c>
      <c r="O1666" s="57" t="n">
        <f aca="false">IF(COUNTIFS(E$2:E1666,E1666,C$2:C1666,C1666,D$2:D1666,D1666)=1,1,0)</f>
        <v>1</v>
      </c>
      <c r="P1666" s="57" t="n">
        <f aca="false">IF(AND(C1666=Calc!$C$3,OR(Calc!$C$4=0,D1666=Calc!$C$4)),ROW(),0)</f>
        <v>1666</v>
      </c>
    </row>
    <row r="1667" customFormat="false" ht="15" hidden="false" customHeight="false" outlineLevel="0" collapsed="false">
      <c r="A1667" s="57" t="s">
        <v>2204</v>
      </c>
      <c r="B1667" s="58" t="n">
        <v>45753</v>
      </c>
      <c r="C1667" s="57" t="n">
        <f aca="false">YEAR(B1667)</f>
        <v>2025</v>
      </c>
      <c r="D1667" s="57" t="n">
        <f aca="false">MONTH(B1667)</f>
        <v>4</v>
      </c>
      <c r="E1667" s="57" t="s">
        <v>1114</v>
      </c>
      <c r="F1667" s="57" t="s">
        <v>75</v>
      </c>
      <c r="G1667" s="57" t="s">
        <v>40</v>
      </c>
      <c r="H1667" s="57" t="s">
        <v>42</v>
      </c>
      <c r="I1667" s="59" t="n">
        <v>1</v>
      </c>
      <c r="J1667" s="60" t="n">
        <v>79</v>
      </c>
      <c r="K1667" s="60" t="n">
        <v>31</v>
      </c>
      <c r="L1667" s="61" t="n">
        <f aca="false">I1667*J1667</f>
        <v>79</v>
      </c>
      <c r="M1667" s="61" t="n">
        <f aca="false">L1667-I1667*K1667</f>
        <v>48</v>
      </c>
      <c r="N1667" s="57" t="n">
        <f aca="false">IF(COUNTIFS(E$2:E1667,E1667,C$2:C1667,C1667)=1,1,0)</f>
        <v>1</v>
      </c>
      <c r="O1667" s="57" t="n">
        <f aca="false">IF(COUNTIFS(E$2:E1667,E1667,C$2:C1667,C1667,D$2:D1667,D1667)=1,1,0)</f>
        <v>1</v>
      </c>
      <c r="P1667" s="57" t="n">
        <f aca="false">IF(AND(C1667=Calc!$C$3,OR(Calc!$C$4=0,D1667=Calc!$C$4)),ROW(),0)</f>
        <v>1667</v>
      </c>
    </row>
    <row r="1668" customFormat="false" ht="15" hidden="false" customHeight="false" outlineLevel="0" collapsed="false">
      <c r="A1668" s="57" t="s">
        <v>2205</v>
      </c>
      <c r="B1668" s="58" t="n">
        <v>45753</v>
      </c>
      <c r="C1668" s="57" t="n">
        <f aca="false">YEAR(B1668)</f>
        <v>2025</v>
      </c>
      <c r="D1668" s="57" t="n">
        <f aca="false">MONTH(B1668)</f>
        <v>4</v>
      </c>
      <c r="E1668" s="57" t="s">
        <v>796</v>
      </c>
      <c r="F1668" s="57" t="s">
        <v>69</v>
      </c>
      <c r="G1668" s="57" t="s">
        <v>45</v>
      </c>
      <c r="H1668" s="57" t="s">
        <v>46</v>
      </c>
      <c r="I1668" s="59" t="n">
        <v>1</v>
      </c>
      <c r="J1668" s="60" t="n">
        <v>149</v>
      </c>
      <c r="K1668" s="60" t="n">
        <v>71</v>
      </c>
      <c r="L1668" s="61" t="n">
        <f aca="false">I1668*J1668</f>
        <v>149</v>
      </c>
      <c r="M1668" s="61" t="n">
        <f aca="false">L1668-I1668*K1668</f>
        <v>78</v>
      </c>
      <c r="N1668" s="57" t="n">
        <f aca="false">IF(COUNTIFS(E$2:E1668,E1668,C$2:C1668,C1668)=1,1,0)</f>
        <v>1</v>
      </c>
      <c r="O1668" s="57" t="n">
        <f aca="false">IF(COUNTIFS(E$2:E1668,E1668,C$2:C1668,C1668,D$2:D1668,D1668)=1,1,0)</f>
        <v>1</v>
      </c>
      <c r="P1668" s="57" t="n">
        <f aca="false">IF(AND(C1668=Calc!$C$3,OR(Calc!$C$4=0,D1668=Calc!$C$4)),ROW(),0)</f>
        <v>1668</v>
      </c>
    </row>
    <row r="1669" customFormat="false" ht="15" hidden="false" customHeight="false" outlineLevel="0" collapsed="false">
      <c r="A1669" s="57" t="s">
        <v>2206</v>
      </c>
      <c r="B1669" s="58" t="n">
        <v>45754</v>
      </c>
      <c r="C1669" s="57" t="n">
        <f aca="false">YEAR(B1669)</f>
        <v>2025</v>
      </c>
      <c r="D1669" s="57" t="n">
        <f aca="false">MONTH(B1669)</f>
        <v>4</v>
      </c>
      <c r="E1669" s="57" t="s">
        <v>1413</v>
      </c>
      <c r="F1669" s="57" t="s">
        <v>75</v>
      </c>
      <c r="G1669" s="57" t="s">
        <v>35</v>
      </c>
      <c r="H1669" s="57" t="s">
        <v>38</v>
      </c>
      <c r="I1669" s="59" t="n">
        <v>1</v>
      </c>
      <c r="J1669" s="60" t="n">
        <v>49</v>
      </c>
      <c r="K1669" s="60" t="n">
        <v>22</v>
      </c>
      <c r="L1669" s="61" t="n">
        <f aca="false">I1669*J1669</f>
        <v>49</v>
      </c>
      <c r="M1669" s="61" t="n">
        <f aca="false">L1669-I1669*K1669</f>
        <v>27</v>
      </c>
      <c r="N1669" s="57" t="n">
        <f aca="false">IF(COUNTIFS(E$2:E1669,E1669,C$2:C1669,C1669)=1,1,0)</f>
        <v>1</v>
      </c>
      <c r="O1669" s="57" t="n">
        <f aca="false">IF(COUNTIFS(E$2:E1669,E1669,C$2:C1669,C1669,D$2:D1669,D1669)=1,1,0)</f>
        <v>1</v>
      </c>
      <c r="P1669" s="57" t="n">
        <f aca="false">IF(AND(C1669=Calc!$C$3,OR(Calc!$C$4=0,D1669=Calc!$C$4)),ROW(),0)</f>
        <v>1669</v>
      </c>
    </row>
    <row r="1670" customFormat="false" ht="15" hidden="false" customHeight="false" outlineLevel="0" collapsed="false">
      <c r="A1670" s="57" t="s">
        <v>2207</v>
      </c>
      <c r="B1670" s="58" t="n">
        <v>45754</v>
      </c>
      <c r="C1670" s="57" t="n">
        <f aca="false">YEAR(B1670)</f>
        <v>2025</v>
      </c>
      <c r="D1670" s="57" t="n">
        <f aca="false">MONTH(B1670)</f>
        <v>4</v>
      </c>
      <c r="E1670" s="57" t="s">
        <v>275</v>
      </c>
      <c r="F1670" s="57" t="s">
        <v>75</v>
      </c>
      <c r="G1670" s="57" t="s">
        <v>50</v>
      </c>
      <c r="H1670" s="57" t="s">
        <v>49</v>
      </c>
      <c r="I1670" s="59" t="n">
        <v>1</v>
      </c>
      <c r="J1670" s="60" t="n">
        <v>32</v>
      </c>
      <c r="K1670" s="60" t="n">
        <v>7</v>
      </c>
      <c r="L1670" s="61" t="n">
        <f aca="false">I1670*J1670</f>
        <v>32</v>
      </c>
      <c r="M1670" s="61" t="n">
        <f aca="false">L1670-I1670*K1670</f>
        <v>25</v>
      </c>
      <c r="N1670" s="57" t="n">
        <f aca="false">IF(COUNTIFS(E$2:E1670,E1670,C$2:C1670,C1670)=1,1,0)</f>
        <v>0</v>
      </c>
      <c r="O1670" s="57" t="n">
        <f aca="false">IF(COUNTIFS(E$2:E1670,E1670,C$2:C1670,C1670,D$2:D1670,D1670)=1,1,0)</f>
        <v>1</v>
      </c>
      <c r="P1670" s="57" t="n">
        <f aca="false">IF(AND(C1670=Calc!$C$3,OR(Calc!$C$4=0,D1670=Calc!$C$4)),ROW(),0)</f>
        <v>1670</v>
      </c>
    </row>
    <row r="1671" customFormat="false" ht="15" hidden="false" customHeight="false" outlineLevel="0" collapsed="false">
      <c r="A1671" s="57" t="s">
        <v>2208</v>
      </c>
      <c r="B1671" s="58" t="n">
        <v>45754</v>
      </c>
      <c r="C1671" s="57" t="n">
        <f aca="false">YEAR(B1671)</f>
        <v>2025</v>
      </c>
      <c r="D1671" s="57" t="n">
        <f aca="false">MONTH(B1671)</f>
        <v>4</v>
      </c>
      <c r="E1671" s="57" t="s">
        <v>1237</v>
      </c>
      <c r="F1671" s="57" t="s">
        <v>78</v>
      </c>
      <c r="G1671" s="57" t="s">
        <v>45</v>
      </c>
      <c r="H1671" s="57" t="s">
        <v>44</v>
      </c>
      <c r="I1671" s="59" t="n">
        <v>2</v>
      </c>
      <c r="J1671" s="60" t="n">
        <v>119</v>
      </c>
      <c r="K1671" s="60" t="n">
        <v>63</v>
      </c>
      <c r="L1671" s="61" t="n">
        <f aca="false">I1671*J1671</f>
        <v>238</v>
      </c>
      <c r="M1671" s="61" t="n">
        <f aca="false">L1671-I1671*K1671</f>
        <v>112</v>
      </c>
      <c r="N1671" s="57" t="n">
        <f aca="false">IF(COUNTIFS(E$2:E1671,E1671,C$2:C1671,C1671)=1,1,0)</f>
        <v>1</v>
      </c>
      <c r="O1671" s="57" t="n">
        <f aca="false">IF(COUNTIFS(E$2:E1671,E1671,C$2:C1671,C1671,D$2:D1671,D1671)=1,1,0)</f>
        <v>1</v>
      </c>
      <c r="P1671" s="57" t="n">
        <f aca="false">IF(AND(C1671=Calc!$C$3,OR(Calc!$C$4=0,D1671=Calc!$C$4)),ROW(),0)</f>
        <v>1671</v>
      </c>
    </row>
    <row r="1672" customFormat="false" ht="15" hidden="false" customHeight="false" outlineLevel="0" collapsed="false">
      <c r="A1672" s="57" t="s">
        <v>2209</v>
      </c>
      <c r="B1672" s="58" t="n">
        <v>45755</v>
      </c>
      <c r="C1672" s="57" t="n">
        <f aca="false">YEAR(B1672)</f>
        <v>2025</v>
      </c>
      <c r="D1672" s="57" t="n">
        <f aca="false">MONTH(B1672)</f>
        <v>4</v>
      </c>
      <c r="E1672" s="57" t="s">
        <v>506</v>
      </c>
      <c r="F1672" s="57" t="s">
        <v>78</v>
      </c>
      <c r="G1672" s="57" t="s">
        <v>40</v>
      </c>
      <c r="H1672" s="57" t="s">
        <v>41</v>
      </c>
      <c r="I1672" s="59" t="n">
        <v>1</v>
      </c>
      <c r="J1672" s="60" t="n">
        <v>46</v>
      </c>
      <c r="K1672" s="60" t="n">
        <v>16</v>
      </c>
      <c r="L1672" s="61" t="n">
        <f aca="false">I1672*J1672</f>
        <v>46</v>
      </c>
      <c r="M1672" s="61" t="n">
        <f aca="false">L1672-I1672*K1672</f>
        <v>30</v>
      </c>
      <c r="N1672" s="57" t="n">
        <f aca="false">IF(COUNTIFS(E$2:E1672,E1672,C$2:C1672,C1672)=1,1,0)</f>
        <v>0</v>
      </c>
      <c r="O1672" s="57" t="n">
        <f aca="false">IF(COUNTIFS(E$2:E1672,E1672,C$2:C1672,C1672,D$2:D1672,D1672)=1,1,0)</f>
        <v>1</v>
      </c>
      <c r="P1672" s="57" t="n">
        <f aca="false">IF(AND(C1672=Calc!$C$3,OR(Calc!$C$4=0,D1672=Calc!$C$4)),ROW(),0)</f>
        <v>1672</v>
      </c>
    </row>
    <row r="1673" customFormat="false" ht="15" hidden="false" customHeight="false" outlineLevel="0" collapsed="false">
      <c r="A1673" s="57" t="s">
        <v>2210</v>
      </c>
      <c r="B1673" s="58" t="n">
        <v>45755</v>
      </c>
      <c r="C1673" s="57" t="n">
        <f aca="false">YEAR(B1673)</f>
        <v>2025</v>
      </c>
      <c r="D1673" s="57" t="n">
        <f aca="false">MONTH(B1673)</f>
        <v>4</v>
      </c>
      <c r="E1673" s="57" t="s">
        <v>116</v>
      </c>
      <c r="F1673" s="57" t="s">
        <v>75</v>
      </c>
      <c r="G1673" s="57" t="s">
        <v>54</v>
      </c>
      <c r="H1673" s="57" t="s">
        <v>53</v>
      </c>
      <c r="I1673" s="59" t="n">
        <v>1</v>
      </c>
      <c r="J1673" s="60" t="n">
        <v>39</v>
      </c>
      <c r="K1673" s="60" t="n">
        <v>13</v>
      </c>
      <c r="L1673" s="61" t="n">
        <f aca="false">I1673*J1673</f>
        <v>39</v>
      </c>
      <c r="M1673" s="61" t="n">
        <f aca="false">L1673-I1673*K1673</f>
        <v>26</v>
      </c>
      <c r="N1673" s="57" t="n">
        <f aca="false">IF(COUNTIFS(E$2:E1673,E1673,C$2:C1673,C1673)=1,1,0)</f>
        <v>0</v>
      </c>
      <c r="O1673" s="57" t="n">
        <f aca="false">IF(COUNTIFS(E$2:E1673,E1673,C$2:C1673,C1673,D$2:D1673,D1673)=1,1,0)</f>
        <v>1</v>
      </c>
      <c r="P1673" s="57" t="n">
        <f aca="false">IF(AND(C1673=Calc!$C$3,OR(Calc!$C$4=0,D1673=Calc!$C$4)),ROW(),0)</f>
        <v>1673</v>
      </c>
    </row>
    <row r="1674" customFormat="false" ht="15" hidden="false" customHeight="false" outlineLevel="0" collapsed="false">
      <c r="A1674" s="57" t="s">
        <v>2211</v>
      </c>
      <c r="B1674" s="58" t="n">
        <v>45756</v>
      </c>
      <c r="C1674" s="57" t="n">
        <f aca="false">YEAR(B1674)</f>
        <v>2025</v>
      </c>
      <c r="D1674" s="57" t="n">
        <f aca="false">MONTH(B1674)</f>
        <v>4</v>
      </c>
      <c r="E1674" s="57" t="s">
        <v>510</v>
      </c>
      <c r="F1674" s="57" t="s">
        <v>78</v>
      </c>
      <c r="G1674" s="57" t="s">
        <v>50</v>
      </c>
      <c r="H1674" s="57" t="s">
        <v>51</v>
      </c>
      <c r="I1674" s="59" t="n">
        <v>2</v>
      </c>
      <c r="J1674" s="60" t="n">
        <v>69</v>
      </c>
      <c r="K1674" s="60" t="n">
        <v>29</v>
      </c>
      <c r="L1674" s="61" t="n">
        <f aca="false">I1674*J1674</f>
        <v>138</v>
      </c>
      <c r="M1674" s="61" t="n">
        <f aca="false">L1674-I1674*K1674</f>
        <v>80</v>
      </c>
      <c r="N1674" s="57" t="n">
        <f aca="false">IF(COUNTIFS(E$2:E1674,E1674,C$2:C1674,C1674)=1,1,0)</f>
        <v>1</v>
      </c>
      <c r="O1674" s="57" t="n">
        <f aca="false">IF(COUNTIFS(E$2:E1674,E1674,C$2:C1674,C1674,D$2:D1674,D1674)=1,1,0)</f>
        <v>1</v>
      </c>
      <c r="P1674" s="57" t="n">
        <f aca="false">IF(AND(C1674=Calc!$C$3,OR(Calc!$C$4=0,D1674=Calc!$C$4)),ROW(),0)</f>
        <v>1674</v>
      </c>
    </row>
    <row r="1675" customFormat="false" ht="15" hidden="false" customHeight="false" outlineLevel="0" collapsed="false">
      <c r="A1675" s="57" t="s">
        <v>2212</v>
      </c>
      <c r="B1675" s="58" t="n">
        <v>45756</v>
      </c>
      <c r="C1675" s="57" t="n">
        <f aca="false">YEAR(B1675)</f>
        <v>2025</v>
      </c>
      <c r="D1675" s="57" t="n">
        <f aca="false">MONTH(B1675)</f>
        <v>4</v>
      </c>
      <c r="E1675" s="57" t="s">
        <v>229</v>
      </c>
      <c r="F1675" s="57" t="s">
        <v>81</v>
      </c>
      <c r="G1675" s="57" t="s">
        <v>35</v>
      </c>
      <c r="H1675" s="57" t="s">
        <v>38</v>
      </c>
      <c r="I1675" s="59" t="n">
        <v>1</v>
      </c>
      <c r="J1675" s="60" t="n">
        <v>49</v>
      </c>
      <c r="K1675" s="60" t="n">
        <v>22</v>
      </c>
      <c r="L1675" s="61" t="n">
        <f aca="false">I1675*J1675</f>
        <v>49</v>
      </c>
      <c r="M1675" s="61" t="n">
        <f aca="false">L1675-I1675*K1675</f>
        <v>27</v>
      </c>
      <c r="N1675" s="57" t="n">
        <f aca="false">IF(COUNTIFS(E$2:E1675,E1675,C$2:C1675,C1675)=1,1,0)</f>
        <v>1</v>
      </c>
      <c r="O1675" s="57" t="n">
        <f aca="false">IF(COUNTIFS(E$2:E1675,E1675,C$2:C1675,C1675,D$2:D1675,D1675)=1,1,0)</f>
        <v>1</v>
      </c>
      <c r="P1675" s="57" t="n">
        <f aca="false">IF(AND(C1675=Calc!$C$3,OR(Calc!$C$4=0,D1675=Calc!$C$4)),ROW(),0)</f>
        <v>1675</v>
      </c>
    </row>
    <row r="1676" customFormat="false" ht="15" hidden="false" customHeight="false" outlineLevel="0" collapsed="false">
      <c r="A1676" s="57" t="s">
        <v>2213</v>
      </c>
      <c r="B1676" s="58" t="n">
        <v>45756</v>
      </c>
      <c r="C1676" s="57" t="n">
        <f aca="false">YEAR(B1676)</f>
        <v>2025</v>
      </c>
      <c r="D1676" s="57" t="n">
        <f aca="false">MONTH(B1676)</f>
        <v>4</v>
      </c>
      <c r="E1676" s="57" t="s">
        <v>461</v>
      </c>
      <c r="F1676" s="57" t="s">
        <v>78</v>
      </c>
      <c r="G1676" s="57" t="s">
        <v>35</v>
      </c>
      <c r="H1676" s="57" t="s">
        <v>37</v>
      </c>
      <c r="I1676" s="59" t="n">
        <v>3</v>
      </c>
      <c r="J1676" s="60" t="n">
        <v>59</v>
      </c>
      <c r="K1676" s="60" t="n">
        <v>27</v>
      </c>
      <c r="L1676" s="61" t="n">
        <f aca="false">I1676*J1676</f>
        <v>177</v>
      </c>
      <c r="M1676" s="61" t="n">
        <f aca="false">L1676-I1676*K1676</f>
        <v>96</v>
      </c>
      <c r="N1676" s="57" t="n">
        <f aca="false">IF(COUNTIFS(E$2:E1676,E1676,C$2:C1676,C1676)=1,1,0)</f>
        <v>0</v>
      </c>
      <c r="O1676" s="57" t="n">
        <f aca="false">IF(COUNTIFS(E$2:E1676,E1676,C$2:C1676,C1676,D$2:D1676,D1676)=1,1,0)</f>
        <v>1</v>
      </c>
      <c r="P1676" s="57" t="n">
        <f aca="false">IF(AND(C1676=Calc!$C$3,OR(Calc!$C$4=0,D1676=Calc!$C$4)),ROW(),0)</f>
        <v>1676</v>
      </c>
    </row>
    <row r="1677" customFormat="false" ht="15" hidden="false" customHeight="false" outlineLevel="0" collapsed="false">
      <c r="A1677" s="57" t="s">
        <v>2214</v>
      </c>
      <c r="B1677" s="58" t="n">
        <v>45757</v>
      </c>
      <c r="C1677" s="57" t="n">
        <f aca="false">YEAR(B1677)</f>
        <v>2025</v>
      </c>
      <c r="D1677" s="57" t="n">
        <f aca="false">MONTH(B1677)</f>
        <v>4</v>
      </c>
      <c r="E1677" s="57" t="s">
        <v>2163</v>
      </c>
      <c r="F1677" s="57" t="s">
        <v>75</v>
      </c>
      <c r="G1677" s="57" t="s">
        <v>50</v>
      </c>
      <c r="H1677" s="57" t="s">
        <v>51</v>
      </c>
      <c r="I1677" s="59" t="n">
        <v>2</v>
      </c>
      <c r="J1677" s="60" t="n">
        <v>69</v>
      </c>
      <c r="K1677" s="60" t="n">
        <v>29</v>
      </c>
      <c r="L1677" s="61" t="n">
        <f aca="false">I1677*J1677</f>
        <v>138</v>
      </c>
      <c r="M1677" s="61" t="n">
        <f aca="false">L1677-I1677*K1677</f>
        <v>80</v>
      </c>
      <c r="N1677" s="57" t="n">
        <f aca="false">IF(COUNTIFS(E$2:E1677,E1677,C$2:C1677,C1677)=1,1,0)</f>
        <v>0</v>
      </c>
      <c r="O1677" s="57" t="n">
        <f aca="false">IF(COUNTIFS(E$2:E1677,E1677,C$2:C1677,C1677,D$2:D1677,D1677)=1,1,0)</f>
        <v>1</v>
      </c>
      <c r="P1677" s="57" t="n">
        <f aca="false">IF(AND(C1677=Calc!$C$3,OR(Calc!$C$4=0,D1677=Calc!$C$4)),ROW(),0)</f>
        <v>1677</v>
      </c>
    </row>
    <row r="1678" customFormat="false" ht="15" hidden="false" customHeight="false" outlineLevel="0" collapsed="false">
      <c r="A1678" s="57" t="s">
        <v>2215</v>
      </c>
      <c r="B1678" s="58" t="n">
        <v>45757</v>
      </c>
      <c r="C1678" s="57" t="n">
        <f aca="false">YEAR(B1678)</f>
        <v>2025</v>
      </c>
      <c r="D1678" s="57" t="n">
        <f aca="false">MONTH(B1678)</f>
        <v>4</v>
      </c>
      <c r="E1678" s="57" t="s">
        <v>510</v>
      </c>
      <c r="F1678" s="57" t="s">
        <v>78</v>
      </c>
      <c r="G1678" s="57" t="s">
        <v>50</v>
      </c>
      <c r="H1678" s="57" t="s">
        <v>52</v>
      </c>
      <c r="I1678" s="59" t="n">
        <v>3</v>
      </c>
      <c r="J1678" s="60" t="n">
        <v>45</v>
      </c>
      <c r="K1678" s="60" t="n">
        <v>14</v>
      </c>
      <c r="L1678" s="61" t="n">
        <f aca="false">I1678*J1678</f>
        <v>135</v>
      </c>
      <c r="M1678" s="61" t="n">
        <f aca="false">L1678-I1678*K1678</f>
        <v>93</v>
      </c>
      <c r="N1678" s="57" t="n">
        <f aca="false">IF(COUNTIFS(E$2:E1678,E1678,C$2:C1678,C1678)=1,1,0)</f>
        <v>0</v>
      </c>
      <c r="O1678" s="57" t="n">
        <f aca="false">IF(COUNTIFS(E$2:E1678,E1678,C$2:C1678,C1678,D$2:D1678,D1678)=1,1,0)</f>
        <v>0</v>
      </c>
      <c r="P1678" s="57" t="n">
        <f aca="false">IF(AND(C1678=Calc!$C$3,OR(Calc!$C$4=0,D1678=Calc!$C$4)),ROW(),0)</f>
        <v>1678</v>
      </c>
    </row>
    <row r="1679" customFormat="false" ht="15" hidden="false" customHeight="false" outlineLevel="0" collapsed="false">
      <c r="A1679" s="57" t="s">
        <v>2216</v>
      </c>
      <c r="B1679" s="58" t="n">
        <v>45757</v>
      </c>
      <c r="C1679" s="57" t="n">
        <f aca="false">YEAR(B1679)</f>
        <v>2025</v>
      </c>
      <c r="D1679" s="57" t="n">
        <f aca="false">MONTH(B1679)</f>
        <v>4</v>
      </c>
      <c r="E1679" s="57" t="s">
        <v>1101</v>
      </c>
      <c r="F1679" s="57" t="s">
        <v>75</v>
      </c>
      <c r="G1679" s="57" t="s">
        <v>35</v>
      </c>
      <c r="H1679" s="57" t="s">
        <v>37</v>
      </c>
      <c r="I1679" s="59" t="n">
        <v>1</v>
      </c>
      <c r="J1679" s="60" t="n">
        <v>59</v>
      </c>
      <c r="K1679" s="60" t="n">
        <v>27</v>
      </c>
      <c r="L1679" s="61" t="n">
        <f aca="false">I1679*J1679</f>
        <v>59</v>
      </c>
      <c r="M1679" s="61" t="n">
        <f aca="false">L1679-I1679*K1679</f>
        <v>32</v>
      </c>
      <c r="N1679" s="57" t="n">
        <f aca="false">IF(COUNTIFS(E$2:E1679,E1679,C$2:C1679,C1679)=1,1,0)</f>
        <v>1</v>
      </c>
      <c r="O1679" s="57" t="n">
        <f aca="false">IF(COUNTIFS(E$2:E1679,E1679,C$2:C1679,C1679,D$2:D1679,D1679)=1,1,0)</f>
        <v>1</v>
      </c>
      <c r="P1679" s="57" t="n">
        <f aca="false">IF(AND(C1679=Calc!$C$3,OR(Calc!$C$4=0,D1679=Calc!$C$4)),ROW(),0)</f>
        <v>1679</v>
      </c>
    </row>
    <row r="1680" customFormat="false" ht="15" hidden="false" customHeight="false" outlineLevel="0" collapsed="false">
      <c r="A1680" s="57" t="s">
        <v>2217</v>
      </c>
      <c r="B1680" s="58" t="n">
        <v>45757</v>
      </c>
      <c r="C1680" s="57" t="n">
        <f aca="false">YEAR(B1680)</f>
        <v>2025</v>
      </c>
      <c r="D1680" s="57" t="n">
        <f aca="false">MONTH(B1680)</f>
        <v>4</v>
      </c>
      <c r="E1680" s="57" t="s">
        <v>95</v>
      </c>
      <c r="F1680" s="57" t="s">
        <v>75</v>
      </c>
      <c r="G1680" s="57" t="s">
        <v>50</v>
      </c>
      <c r="H1680" s="57" t="s">
        <v>51</v>
      </c>
      <c r="I1680" s="59" t="n">
        <v>2</v>
      </c>
      <c r="J1680" s="60" t="n">
        <v>69</v>
      </c>
      <c r="K1680" s="60" t="n">
        <v>29</v>
      </c>
      <c r="L1680" s="61" t="n">
        <f aca="false">I1680*J1680</f>
        <v>138</v>
      </c>
      <c r="M1680" s="61" t="n">
        <f aca="false">L1680-I1680*K1680</f>
        <v>80</v>
      </c>
      <c r="N1680" s="57" t="n">
        <f aca="false">IF(COUNTIFS(E$2:E1680,E1680,C$2:C1680,C1680)=1,1,0)</f>
        <v>0</v>
      </c>
      <c r="O1680" s="57" t="n">
        <f aca="false">IF(COUNTIFS(E$2:E1680,E1680,C$2:C1680,C1680,D$2:D1680,D1680)=1,1,0)</f>
        <v>1</v>
      </c>
      <c r="P1680" s="57" t="n">
        <f aca="false">IF(AND(C1680=Calc!$C$3,OR(Calc!$C$4=0,D1680=Calc!$C$4)),ROW(),0)</f>
        <v>1680</v>
      </c>
    </row>
    <row r="1681" customFormat="false" ht="15" hidden="false" customHeight="false" outlineLevel="0" collapsed="false">
      <c r="A1681" s="57" t="s">
        <v>2218</v>
      </c>
      <c r="B1681" s="58" t="n">
        <v>45758</v>
      </c>
      <c r="C1681" s="57" t="n">
        <f aca="false">YEAR(B1681)</f>
        <v>2025</v>
      </c>
      <c r="D1681" s="57" t="n">
        <f aca="false">MONTH(B1681)</f>
        <v>4</v>
      </c>
      <c r="E1681" s="57" t="s">
        <v>235</v>
      </c>
      <c r="F1681" s="57" t="s">
        <v>69</v>
      </c>
      <c r="G1681" s="57" t="s">
        <v>50</v>
      </c>
      <c r="H1681" s="57" t="s">
        <v>52</v>
      </c>
      <c r="I1681" s="59" t="n">
        <v>1</v>
      </c>
      <c r="J1681" s="60" t="n">
        <v>45</v>
      </c>
      <c r="K1681" s="60" t="n">
        <v>14</v>
      </c>
      <c r="L1681" s="61" t="n">
        <f aca="false">I1681*J1681</f>
        <v>45</v>
      </c>
      <c r="M1681" s="61" t="n">
        <f aca="false">L1681-I1681*K1681</f>
        <v>31</v>
      </c>
      <c r="N1681" s="57" t="n">
        <f aca="false">IF(COUNTIFS(E$2:E1681,E1681,C$2:C1681,C1681)=1,1,0)</f>
        <v>1</v>
      </c>
      <c r="O1681" s="57" t="n">
        <f aca="false">IF(COUNTIFS(E$2:E1681,E1681,C$2:C1681,C1681,D$2:D1681,D1681)=1,1,0)</f>
        <v>1</v>
      </c>
      <c r="P1681" s="57" t="n">
        <f aca="false">IF(AND(C1681=Calc!$C$3,OR(Calc!$C$4=0,D1681=Calc!$C$4)),ROW(),0)</f>
        <v>1681</v>
      </c>
    </row>
    <row r="1682" customFormat="false" ht="15" hidden="false" customHeight="false" outlineLevel="0" collapsed="false">
      <c r="A1682" s="57" t="s">
        <v>2219</v>
      </c>
      <c r="B1682" s="58" t="n">
        <v>45758</v>
      </c>
      <c r="C1682" s="57" t="n">
        <f aca="false">YEAR(B1682)</f>
        <v>2025</v>
      </c>
      <c r="D1682" s="57" t="n">
        <f aca="false">MONTH(B1682)</f>
        <v>4</v>
      </c>
      <c r="E1682" s="57" t="s">
        <v>2220</v>
      </c>
      <c r="F1682" s="57" t="s">
        <v>72</v>
      </c>
      <c r="G1682" s="57" t="s">
        <v>35</v>
      </c>
      <c r="H1682" s="57" t="s">
        <v>38</v>
      </c>
      <c r="I1682" s="59" t="n">
        <v>2</v>
      </c>
      <c r="J1682" s="60" t="n">
        <v>49</v>
      </c>
      <c r="K1682" s="60" t="n">
        <v>22</v>
      </c>
      <c r="L1682" s="61" t="n">
        <f aca="false">I1682*J1682</f>
        <v>98</v>
      </c>
      <c r="M1682" s="61" t="n">
        <f aca="false">L1682-I1682*K1682</f>
        <v>54</v>
      </c>
      <c r="N1682" s="57" t="n">
        <f aca="false">IF(COUNTIFS(E$2:E1682,E1682,C$2:C1682,C1682)=1,1,0)</f>
        <v>1</v>
      </c>
      <c r="O1682" s="57" t="n">
        <f aca="false">IF(COUNTIFS(E$2:E1682,E1682,C$2:C1682,C1682,D$2:D1682,D1682)=1,1,0)</f>
        <v>1</v>
      </c>
      <c r="P1682" s="57" t="n">
        <f aca="false">IF(AND(C1682=Calc!$C$3,OR(Calc!$C$4=0,D1682=Calc!$C$4)),ROW(),0)</f>
        <v>1682</v>
      </c>
    </row>
    <row r="1683" customFormat="false" ht="15" hidden="false" customHeight="false" outlineLevel="0" collapsed="false">
      <c r="A1683" s="57" t="s">
        <v>2221</v>
      </c>
      <c r="B1683" s="58" t="n">
        <v>45759</v>
      </c>
      <c r="C1683" s="57" t="n">
        <f aca="false">YEAR(B1683)</f>
        <v>2025</v>
      </c>
      <c r="D1683" s="57" t="n">
        <f aca="false">MONTH(B1683)</f>
        <v>4</v>
      </c>
      <c r="E1683" s="57" t="s">
        <v>843</v>
      </c>
      <c r="F1683" s="57" t="s">
        <v>75</v>
      </c>
      <c r="G1683" s="57" t="s">
        <v>35</v>
      </c>
      <c r="H1683" s="57" t="s">
        <v>36</v>
      </c>
      <c r="I1683" s="59" t="n">
        <v>1</v>
      </c>
      <c r="J1683" s="60" t="n">
        <v>179</v>
      </c>
      <c r="K1683" s="60" t="n">
        <v>92</v>
      </c>
      <c r="L1683" s="61" t="n">
        <f aca="false">I1683*J1683</f>
        <v>179</v>
      </c>
      <c r="M1683" s="61" t="n">
        <f aca="false">L1683-I1683*K1683</f>
        <v>87</v>
      </c>
      <c r="N1683" s="57" t="n">
        <f aca="false">IF(COUNTIFS(E$2:E1683,E1683,C$2:C1683,C1683)=1,1,0)</f>
        <v>0</v>
      </c>
      <c r="O1683" s="57" t="n">
        <f aca="false">IF(COUNTIFS(E$2:E1683,E1683,C$2:C1683,C1683,D$2:D1683,D1683)=1,1,0)</f>
        <v>1</v>
      </c>
      <c r="P1683" s="57" t="n">
        <f aca="false">IF(AND(C1683=Calc!$C$3,OR(Calc!$C$4=0,D1683=Calc!$C$4)),ROW(),0)</f>
        <v>1683</v>
      </c>
    </row>
    <row r="1684" customFormat="false" ht="15" hidden="false" customHeight="false" outlineLevel="0" collapsed="false">
      <c r="A1684" s="57" t="s">
        <v>2222</v>
      </c>
      <c r="B1684" s="58" t="n">
        <v>45759</v>
      </c>
      <c r="C1684" s="57" t="n">
        <f aca="false">YEAR(B1684)</f>
        <v>2025</v>
      </c>
      <c r="D1684" s="57" t="n">
        <f aca="false">MONTH(B1684)</f>
        <v>4</v>
      </c>
      <c r="E1684" s="57" t="s">
        <v>1313</v>
      </c>
      <c r="F1684" s="57" t="s">
        <v>75</v>
      </c>
      <c r="G1684" s="57" t="s">
        <v>40</v>
      </c>
      <c r="H1684" s="57" t="s">
        <v>41</v>
      </c>
      <c r="I1684" s="59" t="n">
        <v>2</v>
      </c>
      <c r="J1684" s="60" t="n">
        <v>46</v>
      </c>
      <c r="K1684" s="60" t="n">
        <v>16</v>
      </c>
      <c r="L1684" s="61" t="n">
        <f aca="false">I1684*J1684</f>
        <v>92</v>
      </c>
      <c r="M1684" s="61" t="n">
        <f aca="false">L1684-I1684*K1684</f>
        <v>60</v>
      </c>
      <c r="N1684" s="57" t="n">
        <f aca="false">IF(COUNTIFS(E$2:E1684,E1684,C$2:C1684,C1684)=1,1,0)</f>
        <v>0</v>
      </c>
      <c r="O1684" s="57" t="n">
        <f aca="false">IF(COUNTIFS(E$2:E1684,E1684,C$2:C1684,C1684,D$2:D1684,D1684)=1,1,0)</f>
        <v>1</v>
      </c>
      <c r="P1684" s="57" t="n">
        <f aca="false">IF(AND(C1684=Calc!$C$3,OR(Calc!$C$4=0,D1684=Calc!$C$4)),ROW(),0)</f>
        <v>1684</v>
      </c>
    </row>
    <row r="1685" customFormat="false" ht="15" hidden="false" customHeight="false" outlineLevel="0" collapsed="false">
      <c r="A1685" s="57" t="s">
        <v>2223</v>
      </c>
      <c r="B1685" s="58" t="n">
        <v>45759</v>
      </c>
      <c r="C1685" s="57" t="n">
        <f aca="false">YEAR(B1685)</f>
        <v>2025</v>
      </c>
      <c r="D1685" s="57" t="n">
        <f aca="false">MONTH(B1685)</f>
        <v>4</v>
      </c>
      <c r="E1685" s="57" t="s">
        <v>428</v>
      </c>
      <c r="F1685" s="57" t="s">
        <v>78</v>
      </c>
      <c r="G1685" s="57" t="s">
        <v>40</v>
      </c>
      <c r="H1685" s="57" t="s">
        <v>41</v>
      </c>
      <c r="I1685" s="59" t="n">
        <v>1</v>
      </c>
      <c r="J1685" s="60" t="n">
        <v>46</v>
      </c>
      <c r="K1685" s="60" t="n">
        <v>16</v>
      </c>
      <c r="L1685" s="61" t="n">
        <f aca="false">I1685*J1685</f>
        <v>46</v>
      </c>
      <c r="M1685" s="61" t="n">
        <f aca="false">L1685-I1685*K1685</f>
        <v>30</v>
      </c>
      <c r="N1685" s="57" t="n">
        <f aca="false">IF(COUNTIFS(E$2:E1685,E1685,C$2:C1685,C1685)=1,1,0)</f>
        <v>0</v>
      </c>
      <c r="O1685" s="57" t="n">
        <f aca="false">IF(COUNTIFS(E$2:E1685,E1685,C$2:C1685,C1685,D$2:D1685,D1685)=1,1,0)</f>
        <v>1</v>
      </c>
      <c r="P1685" s="57" t="n">
        <f aca="false">IF(AND(C1685=Calc!$C$3,OR(Calc!$C$4=0,D1685=Calc!$C$4)),ROW(),0)</f>
        <v>1685</v>
      </c>
    </row>
    <row r="1686" customFormat="false" ht="15" hidden="false" customHeight="false" outlineLevel="0" collapsed="false">
      <c r="A1686" s="57" t="s">
        <v>2224</v>
      </c>
      <c r="B1686" s="58" t="n">
        <v>45759</v>
      </c>
      <c r="C1686" s="57" t="n">
        <f aca="false">YEAR(B1686)</f>
        <v>2025</v>
      </c>
      <c r="D1686" s="57" t="n">
        <f aca="false">MONTH(B1686)</f>
        <v>4</v>
      </c>
      <c r="E1686" s="57" t="s">
        <v>313</v>
      </c>
      <c r="F1686" s="57" t="s">
        <v>75</v>
      </c>
      <c r="G1686" s="57" t="s">
        <v>54</v>
      </c>
      <c r="H1686" s="57" t="s">
        <v>53</v>
      </c>
      <c r="I1686" s="59" t="n">
        <v>1</v>
      </c>
      <c r="J1686" s="60" t="n">
        <v>39</v>
      </c>
      <c r="K1686" s="60" t="n">
        <v>13</v>
      </c>
      <c r="L1686" s="61" t="n">
        <f aca="false">I1686*J1686</f>
        <v>39</v>
      </c>
      <c r="M1686" s="61" t="n">
        <f aca="false">L1686-I1686*K1686</f>
        <v>26</v>
      </c>
      <c r="N1686" s="57" t="n">
        <f aca="false">IF(COUNTIFS(E$2:E1686,E1686,C$2:C1686,C1686)=1,1,0)</f>
        <v>0</v>
      </c>
      <c r="O1686" s="57" t="n">
        <f aca="false">IF(COUNTIFS(E$2:E1686,E1686,C$2:C1686,C1686,D$2:D1686,D1686)=1,1,0)</f>
        <v>1</v>
      </c>
      <c r="P1686" s="57" t="n">
        <f aca="false">IF(AND(C1686=Calc!$C$3,OR(Calc!$C$4=0,D1686=Calc!$C$4)),ROW(),0)</f>
        <v>1686</v>
      </c>
    </row>
    <row r="1687" customFormat="false" ht="15" hidden="false" customHeight="false" outlineLevel="0" collapsed="false">
      <c r="A1687" s="57" t="s">
        <v>2225</v>
      </c>
      <c r="B1687" s="58" t="n">
        <v>45760</v>
      </c>
      <c r="C1687" s="57" t="n">
        <f aca="false">YEAR(B1687)</f>
        <v>2025</v>
      </c>
      <c r="D1687" s="57" t="n">
        <f aca="false">MONTH(B1687)</f>
        <v>4</v>
      </c>
      <c r="E1687" s="57" t="s">
        <v>965</v>
      </c>
      <c r="F1687" s="57" t="s">
        <v>72</v>
      </c>
      <c r="G1687" s="57" t="s">
        <v>35</v>
      </c>
      <c r="H1687" s="57" t="s">
        <v>36</v>
      </c>
      <c r="I1687" s="59" t="n">
        <v>1</v>
      </c>
      <c r="J1687" s="60" t="n">
        <v>179</v>
      </c>
      <c r="K1687" s="60" t="n">
        <v>92</v>
      </c>
      <c r="L1687" s="61" t="n">
        <f aca="false">I1687*J1687</f>
        <v>179</v>
      </c>
      <c r="M1687" s="61" t="n">
        <f aca="false">L1687-I1687*K1687</f>
        <v>87</v>
      </c>
      <c r="N1687" s="57" t="n">
        <f aca="false">IF(COUNTIFS(E$2:E1687,E1687,C$2:C1687,C1687)=1,1,0)</f>
        <v>1</v>
      </c>
      <c r="O1687" s="57" t="n">
        <f aca="false">IF(COUNTIFS(E$2:E1687,E1687,C$2:C1687,C1687,D$2:D1687,D1687)=1,1,0)</f>
        <v>1</v>
      </c>
      <c r="P1687" s="57" t="n">
        <f aca="false">IF(AND(C1687=Calc!$C$3,OR(Calc!$C$4=0,D1687=Calc!$C$4)),ROW(),0)</f>
        <v>1687</v>
      </c>
    </row>
    <row r="1688" customFormat="false" ht="15" hidden="false" customHeight="false" outlineLevel="0" collapsed="false">
      <c r="A1688" s="57" t="s">
        <v>2226</v>
      </c>
      <c r="B1688" s="58" t="n">
        <v>45760</v>
      </c>
      <c r="C1688" s="57" t="n">
        <f aca="false">YEAR(B1688)</f>
        <v>2025</v>
      </c>
      <c r="D1688" s="57" t="n">
        <f aca="false">MONTH(B1688)</f>
        <v>4</v>
      </c>
      <c r="E1688" s="57" t="s">
        <v>2227</v>
      </c>
      <c r="F1688" s="57" t="s">
        <v>69</v>
      </c>
      <c r="G1688" s="57" t="s">
        <v>35</v>
      </c>
      <c r="H1688" s="57" t="s">
        <v>34</v>
      </c>
      <c r="I1688" s="59" t="n">
        <v>1</v>
      </c>
      <c r="J1688" s="60" t="n">
        <v>89</v>
      </c>
      <c r="K1688" s="60" t="n">
        <v>41</v>
      </c>
      <c r="L1688" s="61" t="n">
        <f aca="false">I1688*J1688</f>
        <v>89</v>
      </c>
      <c r="M1688" s="61" t="n">
        <f aca="false">L1688-I1688*K1688</f>
        <v>48</v>
      </c>
      <c r="N1688" s="57" t="n">
        <f aca="false">IF(COUNTIFS(E$2:E1688,E1688,C$2:C1688,C1688)=1,1,0)</f>
        <v>1</v>
      </c>
      <c r="O1688" s="57" t="n">
        <f aca="false">IF(COUNTIFS(E$2:E1688,E1688,C$2:C1688,C1688,D$2:D1688,D1688)=1,1,0)</f>
        <v>1</v>
      </c>
      <c r="P1688" s="57" t="n">
        <f aca="false">IF(AND(C1688=Calc!$C$3,OR(Calc!$C$4=0,D1688=Calc!$C$4)),ROW(),0)</f>
        <v>1688</v>
      </c>
    </row>
    <row r="1689" customFormat="false" ht="15" hidden="false" customHeight="false" outlineLevel="0" collapsed="false">
      <c r="A1689" s="57" t="s">
        <v>2228</v>
      </c>
      <c r="B1689" s="58" t="n">
        <v>45760</v>
      </c>
      <c r="C1689" s="57" t="n">
        <f aca="false">YEAR(B1689)</f>
        <v>2025</v>
      </c>
      <c r="D1689" s="57" t="n">
        <f aca="false">MONTH(B1689)</f>
        <v>4</v>
      </c>
      <c r="E1689" s="57" t="s">
        <v>446</v>
      </c>
      <c r="F1689" s="57" t="s">
        <v>75</v>
      </c>
      <c r="G1689" s="57" t="s">
        <v>35</v>
      </c>
      <c r="H1689" s="57" t="s">
        <v>37</v>
      </c>
      <c r="I1689" s="59" t="n">
        <v>1</v>
      </c>
      <c r="J1689" s="60" t="n">
        <v>59</v>
      </c>
      <c r="K1689" s="60" t="n">
        <v>27</v>
      </c>
      <c r="L1689" s="61" t="n">
        <f aca="false">I1689*J1689</f>
        <v>59</v>
      </c>
      <c r="M1689" s="61" t="n">
        <f aca="false">L1689-I1689*K1689</f>
        <v>32</v>
      </c>
      <c r="N1689" s="57" t="n">
        <f aca="false">IF(COUNTIFS(E$2:E1689,E1689,C$2:C1689,C1689)=1,1,0)</f>
        <v>0</v>
      </c>
      <c r="O1689" s="57" t="n">
        <f aca="false">IF(COUNTIFS(E$2:E1689,E1689,C$2:C1689,C1689,D$2:D1689,D1689)=1,1,0)</f>
        <v>1</v>
      </c>
      <c r="P1689" s="57" t="n">
        <f aca="false">IF(AND(C1689=Calc!$C$3,OR(Calc!$C$4=0,D1689=Calc!$C$4)),ROW(),0)</f>
        <v>1689</v>
      </c>
    </row>
    <row r="1690" customFormat="false" ht="15" hidden="false" customHeight="false" outlineLevel="0" collapsed="false">
      <c r="A1690" s="57" t="s">
        <v>2229</v>
      </c>
      <c r="B1690" s="58" t="n">
        <v>45760</v>
      </c>
      <c r="C1690" s="57" t="n">
        <f aca="false">YEAR(B1690)</f>
        <v>2025</v>
      </c>
      <c r="D1690" s="57" t="n">
        <f aca="false">MONTH(B1690)</f>
        <v>4</v>
      </c>
      <c r="E1690" s="57" t="s">
        <v>1234</v>
      </c>
      <c r="F1690" s="57" t="s">
        <v>78</v>
      </c>
      <c r="G1690" s="57" t="s">
        <v>40</v>
      </c>
      <c r="H1690" s="57" t="s">
        <v>42</v>
      </c>
      <c r="I1690" s="59" t="n">
        <v>1</v>
      </c>
      <c r="J1690" s="60" t="n">
        <v>79</v>
      </c>
      <c r="K1690" s="60" t="n">
        <v>31</v>
      </c>
      <c r="L1690" s="61" t="n">
        <f aca="false">I1690*J1690</f>
        <v>79</v>
      </c>
      <c r="M1690" s="61" t="n">
        <f aca="false">L1690-I1690*K1690</f>
        <v>48</v>
      </c>
      <c r="N1690" s="57" t="n">
        <f aca="false">IF(COUNTIFS(E$2:E1690,E1690,C$2:C1690,C1690)=1,1,0)</f>
        <v>0</v>
      </c>
      <c r="O1690" s="57" t="n">
        <f aca="false">IF(COUNTIFS(E$2:E1690,E1690,C$2:C1690,C1690,D$2:D1690,D1690)=1,1,0)</f>
        <v>1</v>
      </c>
      <c r="P1690" s="57" t="n">
        <f aca="false">IF(AND(C1690=Calc!$C$3,OR(Calc!$C$4=0,D1690=Calc!$C$4)),ROW(),0)</f>
        <v>1690</v>
      </c>
    </row>
    <row r="1691" customFormat="false" ht="15" hidden="false" customHeight="false" outlineLevel="0" collapsed="false">
      <c r="A1691" s="57" t="s">
        <v>2230</v>
      </c>
      <c r="B1691" s="58" t="n">
        <v>45760</v>
      </c>
      <c r="C1691" s="57" t="n">
        <f aca="false">YEAR(B1691)</f>
        <v>2025</v>
      </c>
      <c r="D1691" s="57" t="n">
        <f aca="false">MONTH(B1691)</f>
        <v>4</v>
      </c>
      <c r="E1691" s="57" t="s">
        <v>761</v>
      </c>
      <c r="F1691" s="57" t="s">
        <v>75</v>
      </c>
      <c r="G1691" s="57" t="s">
        <v>35</v>
      </c>
      <c r="H1691" s="57" t="s">
        <v>37</v>
      </c>
      <c r="I1691" s="59" t="n">
        <v>1</v>
      </c>
      <c r="J1691" s="60" t="n">
        <v>59</v>
      </c>
      <c r="K1691" s="60" t="n">
        <v>27</v>
      </c>
      <c r="L1691" s="61" t="n">
        <f aca="false">I1691*J1691</f>
        <v>59</v>
      </c>
      <c r="M1691" s="61" t="n">
        <f aca="false">L1691-I1691*K1691</f>
        <v>32</v>
      </c>
      <c r="N1691" s="57" t="n">
        <f aca="false">IF(COUNTIFS(E$2:E1691,E1691,C$2:C1691,C1691)=1,1,0)</f>
        <v>0</v>
      </c>
      <c r="O1691" s="57" t="n">
        <f aca="false">IF(COUNTIFS(E$2:E1691,E1691,C$2:C1691,C1691,D$2:D1691,D1691)=1,1,0)</f>
        <v>1</v>
      </c>
      <c r="P1691" s="57" t="n">
        <f aca="false">IF(AND(C1691=Calc!$C$3,OR(Calc!$C$4=0,D1691=Calc!$C$4)),ROW(),0)</f>
        <v>1691</v>
      </c>
    </row>
    <row r="1692" customFormat="false" ht="15" hidden="false" customHeight="false" outlineLevel="0" collapsed="false">
      <c r="A1692" s="57" t="s">
        <v>2231</v>
      </c>
      <c r="B1692" s="58" t="n">
        <v>45760</v>
      </c>
      <c r="C1692" s="57" t="n">
        <f aca="false">YEAR(B1692)</f>
        <v>2025</v>
      </c>
      <c r="D1692" s="57" t="n">
        <f aca="false">MONTH(B1692)</f>
        <v>4</v>
      </c>
      <c r="E1692" s="57" t="s">
        <v>1155</v>
      </c>
      <c r="F1692" s="57" t="s">
        <v>69</v>
      </c>
      <c r="G1692" s="57" t="s">
        <v>35</v>
      </c>
      <c r="H1692" s="57" t="s">
        <v>37</v>
      </c>
      <c r="I1692" s="59" t="n">
        <v>2</v>
      </c>
      <c r="J1692" s="60" t="n">
        <v>59</v>
      </c>
      <c r="K1692" s="60" t="n">
        <v>27</v>
      </c>
      <c r="L1692" s="61" t="n">
        <f aca="false">I1692*J1692</f>
        <v>118</v>
      </c>
      <c r="M1692" s="61" t="n">
        <f aca="false">L1692-I1692*K1692</f>
        <v>64</v>
      </c>
      <c r="N1692" s="57" t="n">
        <f aca="false">IF(COUNTIFS(E$2:E1692,E1692,C$2:C1692,C1692)=1,1,0)</f>
        <v>1</v>
      </c>
      <c r="O1692" s="57" t="n">
        <f aca="false">IF(COUNTIFS(E$2:E1692,E1692,C$2:C1692,C1692,D$2:D1692,D1692)=1,1,0)</f>
        <v>1</v>
      </c>
      <c r="P1692" s="57" t="n">
        <f aca="false">IF(AND(C1692=Calc!$C$3,OR(Calc!$C$4=0,D1692=Calc!$C$4)),ROW(),0)</f>
        <v>1692</v>
      </c>
    </row>
    <row r="1693" customFormat="false" ht="15" hidden="false" customHeight="false" outlineLevel="0" collapsed="false">
      <c r="A1693" s="57" t="s">
        <v>2232</v>
      </c>
      <c r="B1693" s="58" t="n">
        <v>45761</v>
      </c>
      <c r="C1693" s="57" t="n">
        <f aca="false">YEAR(B1693)</f>
        <v>2025</v>
      </c>
      <c r="D1693" s="57" t="n">
        <f aca="false">MONTH(B1693)</f>
        <v>4</v>
      </c>
      <c r="E1693" s="57" t="s">
        <v>746</v>
      </c>
      <c r="F1693" s="57" t="s">
        <v>69</v>
      </c>
      <c r="G1693" s="57" t="s">
        <v>45</v>
      </c>
      <c r="H1693" s="57" t="s">
        <v>48</v>
      </c>
      <c r="I1693" s="59" t="n">
        <v>1</v>
      </c>
      <c r="J1693" s="60" t="n">
        <v>99</v>
      </c>
      <c r="K1693" s="60" t="n">
        <v>38</v>
      </c>
      <c r="L1693" s="61" t="n">
        <f aca="false">I1693*J1693</f>
        <v>99</v>
      </c>
      <c r="M1693" s="61" t="n">
        <f aca="false">L1693-I1693*K1693</f>
        <v>61</v>
      </c>
      <c r="N1693" s="57" t="n">
        <f aca="false">IF(COUNTIFS(E$2:E1693,E1693,C$2:C1693,C1693)=1,1,0)</f>
        <v>1</v>
      </c>
      <c r="O1693" s="57" t="n">
        <f aca="false">IF(COUNTIFS(E$2:E1693,E1693,C$2:C1693,C1693,D$2:D1693,D1693)=1,1,0)</f>
        <v>1</v>
      </c>
      <c r="P1693" s="57" t="n">
        <f aca="false">IF(AND(C1693=Calc!$C$3,OR(Calc!$C$4=0,D1693=Calc!$C$4)),ROW(),0)</f>
        <v>1693</v>
      </c>
    </row>
    <row r="1694" customFormat="false" ht="15" hidden="false" customHeight="false" outlineLevel="0" collapsed="false">
      <c r="A1694" s="57" t="s">
        <v>2233</v>
      </c>
      <c r="B1694" s="58" t="n">
        <v>45761</v>
      </c>
      <c r="C1694" s="57" t="n">
        <f aca="false">YEAR(B1694)</f>
        <v>2025</v>
      </c>
      <c r="D1694" s="57" t="n">
        <f aca="false">MONTH(B1694)</f>
        <v>4</v>
      </c>
      <c r="E1694" s="57" t="s">
        <v>252</v>
      </c>
      <c r="F1694" s="57" t="s">
        <v>75</v>
      </c>
      <c r="G1694" s="57" t="s">
        <v>35</v>
      </c>
      <c r="H1694" s="57" t="s">
        <v>38</v>
      </c>
      <c r="I1694" s="59" t="n">
        <v>2</v>
      </c>
      <c r="J1694" s="60" t="n">
        <v>49</v>
      </c>
      <c r="K1694" s="60" t="n">
        <v>22</v>
      </c>
      <c r="L1694" s="61" t="n">
        <f aca="false">I1694*J1694</f>
        <v>98</v>
      </c>
      <c r="M1694" s="61" t="n">
        <f aca="false">L1694-I1694*K1694</f>
        <v>54</v>
      </c>
      <c r="N1694" s="57" t="n">
        <f aca="false">IF(COUNTIFS(E$2:E1694,E1694,C$2:C1694,C1694)=1,1,0)</f>
        <v>1</v>
      </c>
      <c r="O1694" s="57" t="n">
        <f aca="false">IF(COUNTIFS(E$2:E1694,E1694,C$2:C1694,C1694,D$2:D1694,D1694)=1,1,0)</f>
        <v>1</v>
      </c>
      <c r="P1694" s="57" t="n">
        <f aca="false">IF(AND(C1694=Calc!$C$3,OR(Calc!$C$4=0,D1694=Calc!$C$4)),ROW(),0)</f>
        <v>1694</v>
      </c>
    </row>
    <row r="1695" customFormat="false" ht="15" hidden="false" customHeight="false" outlineLevel="0" collapsed="false">
      <c r="A1695" s="57" t="s">
        <v>2234</v>
      </c>
      <c r="B1695" s="58" t="n">
        <v>45761</v>
      </c>
      <c r="C1695" s="57" t="n">
        <f aca="false">YEAR(B1695)</f>
        <v>2025</v>
      </c>
      <c r="D1695" s="57" t="n">
        <f aca="false">MONTH(B1695)</f>
        <v>4</v>
      </c>
      <c r="E1695" s="57" t="s">
        <v>1358</v>
      </c>
      <c r="F1695" s="57" t="s">
        <v>72</v>
      </c>
      <c r="G1695" s="57" t="s">
        <v>45</v>
      </c>
      <c r="H1695" s="57" t="s">
        <v>46</v>
      </c>
      <c r="I1695" s="59" t="n">
        <v>1</v>
      </c>
      <c r="J1695" s="60" t="n">
        <v>149</v>
      </c>
      <c r="K1695" s="60" t="n">
        <v>71</v>
      </c>
      <c r="L1695" s="61" t="n">
        <f aca="false">I1695*J1695</f>
        <v>149</v>
      </c>
      <c r="M1695" s="61" t="n">
        <f aca="false">L1695-I1695*K1695</f>
        <v>78</v>
      </c>
      <c r="N1695" s="57" t="n">
        <f aca="false">IF(COUNTIFS(E$2:E1695,E1695,C$2:C1695,C1695)=1,1,0)</f>
        <v>1</v>
      </c>
      <c r="O1695" s="57" t="n">
        <f aca="false">IF(COUNTIFS(E$2:E1695,E1695,C$2:C1695,C1695,D$2:D1695,D1695)=1,1,0)</f>
        <v>1</v>
      </c>
      <c r="P1695" s="57" t="n">
        <f aca="false">IF(AND(C1695=Calc!$C$3,OR(Calc!$C$4=0,D1695=Calc!$C$4)),ROW(),0)</f>
        <v>1695</v>
      </c>
    </row>
    <row r="1696" customFormat="false" ht="15" hidden="false" customHeight="false" outlineLevel="0" collapsed="false">
      <c r="A1696" s="57" t="s">
        <v>2235</v>
      </c>
      <c r="B1696" s="58" t="n">
        <v>45761</v>
      </c>
      <c r="C1696" s="57" t="n">
        <f aca="false">YEAR(B1696)</f>
        <v>2025</v>
      </c>
      <c r="D1696" s="57" t="n">
        <f aca="false">MONTH(B1696)</f>
        <v>4</v>
      </c>
      <c r="E1696" s="57" t="s">
        <v>152</v>
      </c>
      <c r="F1696" s="57" t="s">
        <v>72</v>
      </c>
      <c r="G1696" s="57" t="s">
        <v>40</v>
      </c>
      <c r="H1696" s="57" t="s">
        <v>43</v>
      </c>
      <c r="I1696" s="59" t="n">
        <v>2</v>
      </c>
      <c r="J1696" s="60" t="n">
        <v>29</v>
      </c>
      <c r="K1696" s="60" t="n">
        <v>9</v>
      </c>
      <c r="L1696" s="61" t="n">
        <f aca="false">I1696*J1696</f>
        <v>58</v>
      </c>
      <c r="M1696" s="61" t="n">
        <f aca="false">L1696-I1696*K1696</f>
        <v>40</v>
      </c>
      <c r="N1696" s="57" t="n">
        <f aca="false">IF(COUNTIFS(E$2:E1696,E1696,C$2:C1696,C1696)=1,1,0)</f>
        <v>0</v>
      </c>
      <c r="O1696" s="57" t="n">
        <f aca="false">IF(COUNTIFS(E$2:E1696,E1696,C$2:C1696,C1696,D$2:D1696,D1696)=1,1,0)</f>
        <v>1</v>
      </c>
      <c r="P1696" s="57" t="n">
        <f aca="false">IF(AND(C1696=Calc!$C$3,OR(Calc!$C$4=0,D1696=Calc!$C$4)),ROW(),0)</f>
        <v>1696</v>
      </c>
    </row>
    <row r="1697" customFormat="false" ht="15" hidden="false" customHeight="false" outlineLevel="0" collapsed="false">
      <c r="A1697" s="57" t="s">
        <v>2236</v>
      </c>
      <c r="B1697" s="58" t="n">
        <v>45761</v>
      </c>
      <c r="C1697" s="57" t="n">
        <f aca="false">YEAR(B1697)</f>
        <v>2025</v>
      </c>
      <c r="D1697" s="57" t="n">
        <f aca="false">MONTH(B1697)</f>
        <v>4</v>
      </c>
      <c r="E1697" s="57" t="s">
        <v>368</v>
      </c>
      <c r="F1697" s="57" t="s">
        <v>69</v>
      </c>
      <c r="G1697" s="57" t="s">
        <v>35</v>
      </c>
      <c r="H1697" s="57" t="s">
        <v>36</v>
      </c>
      <c r="I1697" s="59" t="n">
        <v>1</v>
      </c>
      <c r="J1697" s="60" t="n">
        <v>179</v>
      </c>
      <c r="K1697" s="60" t="n">
        <v>92</v>
      </c>
      <c r="L1697" s="61" t="n">
        <f aca="false">I1697*J1697</f>
        <v>179</v>
      </c>
      <c r="M1697" s="61" t="n">
        <f aca="false">L1697-I1697*K1697</f>
        <v>87</v>
      </c>
      <c r="N1697" s="57" t="n">
        <f aca="false">IF(COUNTIFS(E$2:E1697,E1697,C$2:C1697,C1697)=1,1,0)</f>
        <v>0</v>
      </c>
      <c r="O1697" s="57" t="n">
        <f aca="false">IF(COUNTIFS(E$2:E1697,E1697,C$2:C1697,C1697,D$2:D1697,D1697)=1,1,0)</f>
        <v>1</v>
      </c>
      <c r="P1697" s="57" t="n">
        <f aca="false">IF(AND(C1697=Calc!$C$3,OR(Calc!$C$4=0,D1697=Calc!$C$4)),ROW(),0)</f>
        <v>1697</v>
      </c>
    </row>
    <row r="1698" customFormat="false" ht="15" hidden="false" customHeight="false" outlineLevel="0" collapsed="false">
      <c r="A1698" s="57" t="s">
        <v>2237</v>
      </c>
      <c r="B1698" s="58" t="n">
        <v>45762</v>
      </c>
      <c r="C1698" s="57" t="n">
        <f aca="false">YEAR(B1698)</f>
        <v>2025</v>
      </c>
      <c r="D1698" s="57" t="n">
        <f aca="false">MONTH(B1698)</f>
        <v>4</v>
      </c>
      <c r="E1698" s="57" t="s">
        <v>158</v>
      </c>
      <c r="F1698" s="57" t="s">
        <v>81</v>
      </c>
      <c r="G1698" s="57" t="s">
        <v>35</v>
      </c>
      <c r="H1698" s="57" t="s">
        <v>36</v>
      </c>
      <c r="I1698" s="59" t="n">
        <v>1</v>
      </c>
      <c r="J1698" s="60" t="n">
        <v>179</v>
      </c>
      <c r="K1698" s="60" t="n">
        <v>92</v>
      </c>
      <c r="L1698" s="61" t="n">
        <f aca="false">I1698*J1698</f>
        <v>179</v>
      </c>
      <c r="M1698" s="61" t="n">
        <f aca="false">L1698-I1698*K1698</f>
        <v>87</v>
      </c>
      <c r="N1698" s="57" t="n">
        <f aca="false">IF(COUNTIFS(E$2:E1698,E1698,C$2:C1698,C1698)=1,1,0)</f>
        <v>1</v>
      </c>
      <c r="O1698" s="57" t="n">
        <f aca="false">IF(COUNTIFS(E$2:E1698,E1698,C$2:C1698,C1698,D$2:D1698,D1698)=1,1,0)</f>
        <v>1</v>
      </c>
      <c r="P1698" s="57" t="n">
        <f aca="false">IF(AND(C1698=Calc!$C$3,OR(Calc!$C$4=0,D1698=Calc!$C$4)),ROW(),0)</f>
        <v>1698</v>
      </c>
    </row>
    <row r="1699" customFormat="false" ht="15" hidden="false" customHeight="false" outlineLevel="0" collapsed="false">
      <c r="A1699" s="57" t="s">
        <v>2238</v>
      </c>
      <c r="B1699" s="58" t="n">
        <v>45762</v>
      </c>
      <c r="C1699" s="57" t="n">
        <f aca="false">YEAR(B1699)</f>
        <v>2025</v>
      </c>
      <c r="D1699" s="57" t="n">
        <f aca="false">MONTH(B1699)</f>
        <v>4</v>
      </c>
      <c r="E1699" s="57" t="s">
        <v>313</v>
      </c>
      <c r="F1699" s="57" t="s">
        <v>75</v>
      </c>
      <c r="G1699" s="57" t="s">
        <v>35</v>
      </c>
      <c r="H1699" s="57" t="s">
        <v>36</v>
      </c>
      <c r="I1699" s="59" t="n">
        <v>2</v>
      </c>
      <c r="J1699" s="60" t="n">
        <v>179</v>
      </c>
      <c r="K1699" s="60" t="n">
        <v>92</v>
      </c>
      <c r="L1699" s="61" t="n">
        <f aca="false">I1699*J1699</f>
        <v>358</v>
      </c>
      <c r="M1699" s="61" t="n">
        <f aca="false">L1699-I1699*K1699</f>
        <v>174</v>
      </c>
      <c r="N1699" s="57" t="n">
        <f aca="false">IF(COUNTIFS(E$2:E1699,E1699,C$2:C1699,C1699)=1,1,0)</f>
        <v>0</v>
      </c>
      <c r="O1699" s="57" t="n">
        <f aca="false">IF(COUNTIFS(E$2:E1699,E1699,C$2:C1699,C1699,D$2:D1699,D1699)=1,1,0)</f>
        <v>0</v>
      </c>
      <c r="P1699" s="57" t="n">
        <f aca="false">IF(AND(C1699=Calc!$C$3,OR(Calc!$C$4=0,D1699=Calc!$C$4)),ROW(),0)</f>
        <v>1699</v>
      </c>
    </row>
    <row r="1700" customFormat="false" ht="15" hidden="false" customHeight="false" outlineLevel="0" collapsed="false">
      <c r="A1700" s="57" t="s">
        <v>2239</v>
      </c>
      <c r="B1700" s="58" t="n">
        <v>45762</v>
      </c>
      <c r="C1700" s="57" t="n">
        <f aca="false">YEAR(B1700)</f>
        <v>2025</v>
      </c>
      <c r="D1700" s="57" t="n">
        <f aca="false">MONTH(B1700)</f>
        <v>4</v>
      </c>
      <c r="E1700" s="57" t="s">
        <v>1940</v>
      </c>
      <c r="F1700" s="57" t="s">
        <v>75</v>
      </c>
      <c r="G1700" s="57" t="s">
        <v>45</v>
      </c>
      <c r="H1700" s="57" t="s">
        <v>47</v>
      </c>
      <c r="I1700" s="59" t="n">
        <v>2</v>
      </c>
      <c r="J1700" s="60" t="n">
        <v>34</v>
      </c>
      <c r="K1700" s="60" t="n">
        <v>12</v>
      </c>
      <c r="L1700" s="61" t="n">
        <f aca="false">I1700*J1700</f>
        <v>68</v>
      </c>
      <c r="M1700" s="61" t="n">
        <f aca="false">L1700-I1700*K1700</f>
        <v>44</v>
      </c>
      <c r="N1700" s="57" t="n">
        <f aca="false">IF(COUNTIFS(E$2:E1700,E1700,C$2:C1700,C1700)=1,1,0)</f>
        <v>0</v>
      </c>
      <c r="O1700" s="57" t="n">
        <f aca="false">IF(COUNTIFS(E$2:E1700,E1700,C$2:C1700,C1700,D$2:D1700,D1700)=1,1,0)</f>
        <v>1</v>
      </c>
      <c r="P1700" s="57" t="n">
        <f aca="false">IF(AND(C1700=Calc!$C$3,OR(Calc!$C$4=0,D1700=Calc!$C$4)),ROW(),0)</f>
        <v>1700</v>
      </c>
    </row>
    <row r="1701" customFormat="false" ht="15" hidden="false" customHeight="false" outlineLevel="0" collapsed="false">
      <c r="A1701" s="57" t="s">
        <v>2240</v>
      </c>
      <c r="B1701" s="58" t="n">
        <v>45762</v>
      </c>
      <c r="C1701" s="57" t="n">
        <f aca="false">YEAR(B1701)</f>
        <v>2025</v>
      </c>
      <c r="D1701" s="57" t="n">
        <f aca="false">MONTH(B1701)</f>
        <v>4</v>
      </c>
      <c r="E1701" s="57" t="s">
        <v>430</v>
      </c>
      <c r="F1701" s="57" t="s">
        <v>72</v>
      </c>
      <c r="G1701" s="57" t="s">
        <v>40</v>
      </c>
      <c r="H1701" s="57" t="s">
        <v>42</v>
      </c>
      <c r="I1701" s="59" t="n">
        <v>1</v>
      </c>
      <c r="J1701" s="60" t="n">
        <v>79</v>
      </c>
      <c r="K1701" s="60" t="n">
        <v>31</v>
      </c>
      <c r="L1701" s="61" t="n">
        <f aca="false">I1701*J1701</f>
        <v>79</v>
      </c>
      <c r="M1701" s="61" t="n">
        <f aca="false">L1701-I1701*K1701</f>
        <v>48</v>
      </c>
      <c r="N1701" s="57" t="n">
        <f aca="false">IF(COUNTIFS(E$2:E1701,E1701,C$2:C1701,C1701)=1,1,0)</f>
        <v>1</v>
      </c>
      <c r="O1701" s="57" t="n">
        <f aca="false">IF(COUNTIFS(E$2:E1701,E1701,C$2:C1701,C1701,D$2:D1701,D1701)=1,1,0)</f>
        <v>1</v>
      </c>
      <c r="P1701" s="57" t="n">
        <f aca="false">IF(AND(C1701=Calc!$C$3,OR(Calc!$C$4=0,D1701=Calc!$C$4)),ROW(),0)</f>
        <v>1701</v>
      </c>
    </row>
    <row r="1702" customFormat="false" ht="15" hidden="false" customHeight="false" outlineLevel="0" collapsed="false">
      <c r="A1702" s="57" t="s">
        <v>2241</v>
      </c>
      <c r="B1702" s="58" t="n">
        <v>45763</v>
      </c>
      <c r="C1702" s="57" t="n">
        <f aca="false">YEAR(B1702)</f>
        <v>2025</v>
      </c>
      <c r="D1702" s="57" t="n">
        <f aca="false">MONTH(B1702)</f>
        <v>4</v>
      </c>
      <c r="E1702" s="57" t="s">
        <v>363</v>
      </c>
      <c r="F1702" s="57" t="s">
        <v>81</v>
      </c>
      <c r="G1702" s="57" t="s">
        <v>35</v>
      </c>
      <c r="H1702" s="57" t="s">
        <v>34</v>
      </c>
      <c r="I1702" s="59" t="n">
        <v>1</v>
      </c>
      <c r="J1702" s="60" t="n">
        <v>89</v>
      </c>
      <c r="K1702" s="60" t="n">
        <v>41</v>
      </c>
      <c r="L1702" s="61" t="n">
        <f aca="false">I1702*J1702</f>
        <v>89</v>
      </c>
      <c r="M1702" s="61" t="n">
        <f aca="false">L1702-I1702*K1702</f>
        <v>48</v>
      </c>
      <c r="N1702" s="57" t="n">
        <f aca="false">IF(COUNTIFS(E$2:E1702,E1702,C$2:C1702,C1702)=1,1,0)</f>
        <v>1</v>
      </c>
      <c r="O1702" s="57" t="n">
        <f aca="false">IF(COUNTIFS(E$2:E1702,E1702,C$2:C1702,C1702,D$2:D1702,D1702)=1,1,0)</f>
        <v>1</v>
      </c>
      <c r="P1702" s="57" t="n">
        <f aca="false">IF(AND(C1702=Calc!$C$3,OR(Calc!$C$4=0,D1702=Calc!$C$4)),ROW(),0)</f>
        <v>1702</v>
      </c>
    </row>
    <row r="1703" customFormat="false" ht="15" hidden="false" customHeight="false" outlineLevel="0" collapsed="false">
      <c r="A1703" s="57" t="s">
        <v>2242</v>
      </c>
      <c r="B1703" s="58" t="n">
        <v>45763</v>
      </c>
      <c r="C1703" s="57" t="n">
        <f aca="false">YEAR(B1703)</f>
        <v>2025</v>
      </c>
      <c r="D1703" s="57" t="n">
        <f aca="false">MONTH(B1703)</f>
        <v>4</v>
      </c>
      <c r="E1703" s="57" t="s">
        <v>148</v>
      </c>
      <c r="F1703" s="57" t="s">
        <v>78</v>
      </c>
      <c r="G1703" s="57" t="s">
        <v>45</v>
      </c>
      <c r="H1703" s="57" t="s">
        <v>47</v>
      </c>
      <c r="I1703" s="59" t="n">
        <v>1</v>
      </c>
      <c r="J1703" s="60" t="n">
        <v>34</v>
      </c>
      <c r="K1703" s="60" t="n">
        <v>12</v>
      </c>
      <c r="L1703" s="61" t="n">
        <f aca="false">I1703*J1703</f>
        <v>34</v>
      </c>
      <c r="M1703" s="61" t="n">
        <f aca="false">L1703-I1703*K1703</f>
        <v>22</v>
      </c>
      <c r="N1703" s="57" t="n">
        <f aca="false">IF(COUNTIFS(E$2:E1703,E1703,C$2:C1703,C1703)=1,1,0)</f>
        <v>1</v>
      </c>
      <c r="O1703" s="57" t="n">
        <f aca="false">IF(COUNTIFS(E$2:E1703,E1703,C$2:C1703,C1703,D$2:D1703,D1703)=1,1,0)</f>
        <v>1</v>
      </c>
      <c r="P1703" s="57" t="n">
        <f aca="false">IF(AND(C1703=Calc!$C$3,OR(Calc!$C$4=0,D1703=Calc!$C$4)),ROW(),0)</f>
        <v>1703</v>
      </c>
    </row>
    <row r="1704" customFormat="false" ht="15" hidden="false" customHeight="false" outlineLevel="0" collapsed="false">
      <c r="A1704" s="57" t="s">
        <v>2243</v>
      </c>
      <c r="B1704" s="58" t="n">
        <v>45763</v>
      </c>
      <c r="C1704" s="57" t="n">
        <f aca="false">YEAR(B1704)</f>
        <v>2025</v>
      </c>
      <c r="D1704" s="57" t="n">
        <f aca="false">MONTH(B1704)</f>
        <v>4</v>
      </c>
      <c r="E1704" s="57" t="s">
        <v>1553</v>
      </c>
      <c r="F1704" s="57" t="s">
        <v>81</v>
      </c>
      <c r="G1704" s="57" t="s">
        <v>35</v>
      </c>
      <c r="H1704" s="57" t="s">
        <v>34</v>
      </c>
      <c r="I1704" s="59" t="n">
        <v>2</v>
      </c>
      <c r="J1704" s="60" t="n">
        <v>89</v>
      </c>
      <c r="K1704" s="60" t="n">
        <v>41</v>
      </c>
      <c r="L1704" s="61" t="n">
        <f aca="false">I1704*J1704</f>
        <v>178</v>
      </c>
      <c r="M1704" s="61" t="n">
        <f aca="false">L1704-I1704*K1704</f>
        <v>96</v>
      </c>
      <c r="N1704" s="57" t="n">
        <f aca="false">IF(COUNTIFS(E$2:E1704,E1704,C$2:C1704,C1704)=1,1,0)</f>
        <v>1</v>
      </c>
      <c r="O1704" s="57" t="n">
        <f aca="false">IF(COUNTIFS(E$2:E1704,E1704,C$2:C1704,C1704,D$2:D1704,D1704)=1,1,0)</f>
        <v>1</v>
      </c>
      <c r="P1704" s="57" t="n">
        <f aca="false">IF(AND(C1704=Calc!$C$3,OR(Calc!$C$4=0,D1704=Calc!$C$4)),ROW(),0)</f>
        <v>1704</v>
      </c>
    </row>
    <row r="1705" customFormat="false" ht="15" hidden="false" customHeight="false" outlineLevel="0" collapsed="false">
      <c r="A1705" s="57" t="s">
        <v>2244</v>
      </c>
      <c r="B1705" s="58" t="n">
        <v>45763</v>
      </c>
      <c r="C1705" s="57" t="n">
        <f aca="false">YEAR(B1705)</f>
        <v>2025</v>
      </c>
      <c r="D1705" s="57" t="n">
        <f aca="false">MONTH(B1705)</f>
        <v>4</v>
      </c>
      <c r="E1705" s="57" t="s">
        <v>269</v>
      </c>
      <c r="F1705" s="57" t="s">
        <v>81</v>
      </c>
      <c r="G1705" s="57" t="s">
        <v>40</v>
      </c>
      <c r="H1705" s="57" t="s">
        <v>42</v>
      </c>
      <c r="I1705" s="59" t="n">
        <v>2</v>
      </c>
      <c r="J1705" s="60" t="n">
        <v>79</v>
      </c>
      <c r="K1705" s="60" t="n">
        <v>31</v>
      </c>
      <c r="L1705" s="61" t="n">
        <f aca="false">I1705*J1705</f>
        <v>158</v>
      </c>
      <c r="M1705" s="61" t="n">
        <f aca="false">L1705-I1705*K1705</f>
        <v>96</v>
      </c>
      <c r="N1705" s="57" t="n">
        <f aca="false">IF(COUNTIFS(E$2:E1705,E1705,C$2:C1705,C1705)=1,1,0)</f>
        <v>1</v>
      </c>
      <c r="O1705" s="57" t="n">
        <f aca="false">IF(COUNTIFS(E$2:E1705,E1705,C$2:C1705,C1705,D$2:D1705,D1705)=1,1,0)</f>
        <v>1</v>
      </c>
      <c r="P1705" s="57" t="n">
        <f aca="false">IF(AND(C1705=Calc!$C$3,OR(Calc!$C$4=0,D1705=Calc!$C$4)),ROW(),0)</f>
        <v>1705</v>
      </c>
    </row>
    <row r="1706" customFormat="false" ht="15" hidden="false" customHeight="false" outlineLevel="0" collapsed="false">
      <c r="A1706" s="57" t="s">
        <v>2245</v>
      </c>
      <c r="B1706" s="58" t="n">
        <v>45763</v>
      </c>
      <c r="C1706" s="57" t="n">
        <f aca="false">YEAR(B1706)</f>
        <v>2025</v>
      </c>
      <c r="D1706" s="57" t="n">
        <f aca="false">MONTH(B1706)</f>
        <v>4</v>
      </c>
      <c r="E1706" s="57" t="s">
        <v>95</v>
      </c>
      <c r="F1706" s="57" t="s">
        <v>75</v>
      </c>
      <c r="G1706" s="57" t="s">
        <v>35</v>
      </c>
      <c r="H1706" s="57" t="s">
        <v>34</v>
      </c>
      <c r="I1706" s="59" t="n">
        <v>1</v>
      </c>
      <c r="J1706" s="60" t="n">
        <v>89</v>
      </c>
      <c r="K1706" s="60" t="n">
        <v>41</v>
      </c>
      <c r="L1706" s="61" t="n">
        <f aca="false">I1706*J1706</f>
        <v>89</v>
      </c>
      <c r="M1706" s="61" t="n">
        <f aca="false">L1706-I1706*K1706</f>
        <v>48</v>
      </c>
      <c r="N1706" s="57" t="n">
        <f aca="false">IF(COUNTIFS(E$2:E1706,E1706,C$2:C1706,C1706)=1,1,0)</f>
        <v>0</v>
      </c>
      <c r="O1706" s="57" t="n">
        <f aca="false">IF(COUNTIFS(E$2:E1706,E1706,C$2:C1706,C1706,D$2:D1706,D1706)=1,1,0)</f>
        <v>0</v>
      </c>
      <c r="P1706" s="57" t="n">
        <f aca="false">IF(AND(C1706=Calc!$C$3,OR(Calc!$C$4=0,D1706=Calc!$C$4)),ROW(),0)</f>
        <v>1706</v>
      </c>
    </row>
    <row r="1707" customFormat="false" ht="15" hidden="false" customHeight="false" outlineLevel="0" collapsed="false">
      <c r="A1707" s="57" t="s">
        <v>2246</v>
      </c>
      <c r="B1707" s="58" t="n">
        <v>45764</v>
      </c>
      <c r="C1707" s="57" t="n">
        <f aca="false">YEAR(B1707)</f>
        <v>2025</v>
      </c>
      <c r="D1707" s="57" t="n">
        <f aca="false">MONTH(B1707)</f>
        <v>4</v>
      </c>
      <c r="E1707" s="57" t="s">
        <v>470</v>
      </c>
      <c r="F1707" s="57" t="s">
        <v>75</v>
      </c>
      <c r="G1707" s="57" t="s">
        <v>45</v>
      </c>
      <c r="H1707" s="57" t="s">
        <v>48</v>
      </c>
      <c r="I1707" s="59" t="n">
        <v>1</v>
      </c>
      <c r="J1707" s="60" t="n">
        <v>99</v>
      </c>
      <c r="K1707" s="60" t="n">
        <v>38</v>
      </c>
      <c r="L1707" s="61" t="n">
        <f aca="false">I1707*J1707</f>
        <v>99</v>
      </c>
      <c r="M1707" s="61" t="n">
        <f aca="false">L1707-I1707*K1707</f>
        <v>61</v>
      </c>
      <c r="N1707" s="57" t="n">
        <f aca="false">IF(COUNTIFS(E$2:E1707,E1707,C$2:C1707,C1707)=1,1,0)</f>
        <v>0</v>
      </c>
      <c r="O1707" s="57" t="n">
        <f aca="false">IF(COUNTIFS(E$2:E1707,E1707,C$2:C1707,C1707,D$2:D1707,D1707)=1,1,0)</f>
        <v>1</v>
      </c>
      <c r="P1707" s="57" t="n">
        <f aca="false">IF(AND(C1707=Calc!$C$3,OR(Calc!$C$4=0,D1707=Calc!$C$4)),ROW(),0)</f>
        <v>1707</v>
      </c>
    </row>
    <row r="1708" customFormat="false" ht="15" hidden="false" customHeight="false" outlineLevel="0" collapsed="false">
      <c r="A1708" s="57" t="s">
        <v>2247</v>
      </c>
      <c r="B1708" s="58" t="n">
        <v>45764</v>
      </c>
      <c r="C1708" s="57" t="n">
        <f aca="false">YEAR(B1708)</f>
        <v>2025</v>
      </c>
      <c r="D1708" s="57" t="n">
        <f aca="false">MONTH(B1708)</f>
        <v>4</v>
      </c>
      <c r="E1708" s="57" t="s">
        <v>622</v>
      </c>
      <c r="F1708" s="57" t="s">
        <v>69</v>
      </c>
      <c r="G1708" s="57" t="s">
        <v>54</v>
      </c>
      <c r="H1708" s="57" t="s">
        <v>55</v>
      </c>
      <c r="I1708" s="59" t="n">
        <v>1</v>
      </c>
      <c r="J1708" s="60" t="n">
        <v>64</v>
      </c>
      <c r="K1708" s="60" t="n">
        <v>25</v>
      </c>
      <c r="L1708" s="61" t="n">
        <f aca="false">I1708*J1708</f>
        <v>64</v>
      </c>
      <c r="M1708" s="61" t="n">
        <f aca="false">L1708-I1708*K1708</f>
        <v>39</v>
      </c>
      <c r="N1708" s="57" t="n">
        <f aca="false">IF(COUNTIFS(E$2:E1708,E1708,C$2:C1708,C1708)=1,1,0)</f>
        <v>1</v>
      </c>
      <c r="O1708" s="57" t="n">
        <f aca="false">IF(COUNTIFS(E$2:E1708,E1708,C$2:C1708,C1708,D$2:D1708,D1708)=1,1,0)</f>
        <v>1</v>
      </c>
      <c r="P1708" s="57" t="n">
        <f aca="false">IF(AND(C1708=Calc!$C$3,OR(Calc!$C$4=0,D1708=Calc!$C$4)),ROW(),0)</f>
        <v>1708</v>
      </c>
    </row>
    <row r="1709" customFormat="false" ht="15" hidden="false" customHeight="false" outlineLevel="0" collapsed="false">
      <c r="A1709" s="57" t="s">
        <v>2248</v>
      </c>
      <c r="B1709" s="58" t="n">
        <v>45764</v>
      </c>
      <c r="C1709" s="57" t="n">
        <f aca="false">YEAR(B1709)</f>
        <v>2025</v>
      </c>
      <c r="D1709" s="57" t="n">
        <f aca="false">MONTH(B1709)</f>
        <v>4</v>
      </c>
      <c r="E1709" s="57" t="s">
        <v>2249</v>
      </c>
      <c r="F1709" s="57" t="s">
        <v>81</v>
      </c>
      <c r="G1709" s="57" t="s">
        <v>35</v>
      </c>
      <c r="H1709" s="57" t="s">
        <v>38</v>
      </c>
      <c r="I1709" s="59" t="n">
        <v>1</v>
      </c>
      <c r="J1709" s="60" t="n">
        <v>49</v>
      </c>
      <c r="K1709" s="60" t="n">
        <v>22</v>
      </c>
      <c r="L1709" s="61" t="n">
        <f aca="false">I1709*J1709</f>
        <v>49</v>
      </c>
      <c r="M1709" s="61" t="n">
        <f aca="false">L1709-I1709*K1709</f>
        <v>27</v>
      </c>
      <c r="N1709" s="57" t="n">
        <f aca="false">IF(COUNTIFS(E$2:E1709,E1709,C$2:C1709,C1709)=1,1,0)</f>
        <v>1</v>
      </c>
      <c r="O1709" s="57" t="n">
        <f aca="false">IF(COUNTIFS(E$2:E1709,E1709,C$2:C1709,C1709,D$2:D1709,D1709)=1,1,0)</f>
        <v>1</v>
      </c>
      <c r="P1709" s="57" t="n">
        <f aca="false">IF(AND(C1709=Calc!$C$3,OR(Calc!$C$4=0,D1709=Calc!$C$4)),ROW(),0)</f>
        <v>1709</v>
      </c>
    </row>
    <row r="1710" customFormat="false" ht="15" hidden="false" customHeight="false" outlineLevel="0" collapsed="false">
      <c r="A1710" s="57" t="s">
        <v>2250</v>
      </c>
      <c r="B1710" s="58" t="n">
        <v>45765</v>
      </c>
      <c r="C1710" s="57" t="n">
        <f aca="false">YEAR(B1710)</f>
        <v>2025</v>
      </c>
      <c r="D1710" s="57" t="n">
        <f aca="false">MONTH(B1710)</f>
        <v>4</v>
      </c>
      <c r="E1710" s="57" t="s">
        <v>223</v>
      </c>
      <c r="F1710" s="57" t="s">
        <v>69</v>
      </c>
      <c r="G1710" s="57" t="s">
        <v>40</v>
      </c>
      <c r="H1710" s="57" t="s">
        <v>39</v>
      </c>
      <c r="I1710" s="59" t="n">
        <v>2</v>
      </c>
      <c r="J1710" s="60" t="n">
        <v>54</v>
      </c>
      <c r="K1710" s="60" t="n">
        <v>19</v>
      </c>
      <c r="L1710" s="61" t="n">
        <f aca="false">I1710*J1710</f>
        <v>108</v>
      </c>
      <c r="M1710" s="61" t="n">
        <f aca="false">L1710-I1710*K1710</f>
        <v>70</v>
      </c>
      <c r="N1710" s="57" t="n">
        <f aca="false">IF(COUNTIFS(E$2:E1710,E1710,C$2:C1710,C1710)=1,1,0)</f>
        <v>1</v>
      </c>
      <c r="O1710" s="57" t="n">
        <f aca="false">IF(COUNTIFS(E$2:E1710,E1710,C$2:C1710,C1710,D$2:D1710,D1710)=1,1,0)</f>
        <v>1</v>
      </c>
      <c r="P1710" s="57" t="n">
        <f aca="false">IF(AND(C1710=Calc!$C$3,OR(Calc!$C$4=0,D1710=Calc!$C$4)),ROW(),0)</f>
        <v>1710</v>
      </c>
    </row>
    <row r="1711" customFormat="false" ht="15" hidden="false" customHeight="false" outlineLevel="0" collapsed="false">
      <c r="A1711" s="57" t="s">
        <v>2251</v>
      </c>
      <c r="B1711" s="58" t="n">
        <v>45765</v>
      </c>
      <c r="C1711" s="57" t="n">
        <f aca="false">YEAR(B1711)</f>
        <v>2025</v>
      </c>
      <c r="D1711" s="57" t="n">
        <f aca="false">MONTH(B1711)</f>
        <v>4</v>
      </c>
      <c r="E1711" s="57" t="s">
        <v>2252</v>
      </c>
      <c r="F1711" s="57" t="s">
        <v>72</v>
      </c>
      <c r="G1711" s="57" t="s">
        <v>40</v>
      </c>
      <c r="H1711" s="57" t="s">
        <v>39</v>
      </c>
      <c r="I1711" s="59" t="n">
        <v>1</v>
      </c>
      <c r="J1711" s="60" t="n">
        <v>54</v>
      </c>
      <c r="K1711" s="60" t="n">
        <v>19</v>
      </c>
      <c r="L1711" s="61" t="n">
        <f aca="false">I1711*J1711</f>
        <v>54</v>
      </c>
      <c r="M1711" s="61" t="n">
        <f aca="false">L1711-I1711*K1711</f>
        <v>35</v>
      </c>
      <c r="N1711" s="57" t="n">
        <f aca="false">IF(COUNTIFS(E$2:E1711,E1711,C$2:C1711,C1711)=1,1,0)</f>
        <v>1</v>
      </c>
      <c r="O1711" s="57" t="n">
        <f aca="false">IF(COUNTIFS(E$2:E1711,E1711,C$2:C1711,C1711,D$2:D1711,D1711)=1,1,0)</f>
        <v>1</v>
      </c>
      <c r="P1711" s="57" t="n">
        <f aca="false">IF(AND(C1711=Calc!$C$3,OR(Calc!$C$4=0,D1711=Calc!$C$4)),ROW(),0)</f>
        <v>1711</v>
      </c>
    </row>
    <row r="1712" customFormat="false" ht="15" hidden="false" customHeight="false" outlineLevel="0" collapsed="false">
      <c r="A1712" s="57" t="s">
        <v>2253</v>
      </c>
      <c r="B1712" s="58" t="n">
        <v>45765</v>
      </c>
      <c r="C1712" s="57" t="n">
        <f aca="false">YEAR(B1712)</f>
        <v>2025</v>
      </c>
      <c r="D1712" s="57" t="n">
        <f aca="false">MONTH(B1712)</f>
        <v>4</v>
      </c>
      <c r="E1712" s="57" t="s">
        <v>976</v>
      </c>
      <c r="F1712" s="57" t="s">
        <v>75</v>
      </c>
      <c r="G1712" s="57" t="s">
        <v>50</v>
      </c>
      <c r="H1712" s="57" t="s">
        <v>51</v>
      </c>
      <c r="I1712" s="59" t="n">
        <v>1</v>
      </c>
      <c r="J1712" s="60" t="n">
        <v>69</v>
      </c>
      <c r="K1712" s="60" t="n">
        <v>29</v>
      </c>
      <c r="L1712" s="61" t="n">
        <f aca="false">I1712*J1712</f>
        <v>69</v>
      </c>
      <c r="M1712" s="61" t="n">
        <f aca="false">L1712-I1712*K1712</f>
        <v>40</v>
      </c>
      <c r="N1712" s="57" t="n">
        <f aca="false">IF(COUNTIFS(E$2:E1712,E1712,C$2:C1712,C1712)=1,1,0)</f>
        <v>0</v>
      </c>
      <c r="O1712" s="57" t="n">
        <f aca="false">IF(COUNTIFS(E$2:E1712,E1712,C$2:C1712,C1712,D$2:D1712,D1712)=1,1,0)</f>
        <v>1</v>
      </c>
      <c r="P1712" s="57" t="n">
        <f aca="false">IF(AND(C1712=Calc!$C$3,OR(Calc!$C$4=0,D1712=Calc!$C$4)),ROW(),0)</f>
        <v>1712</v>
      </c>
    </row>
    <row r="1713" customFormat="false" ht="15" hidden="false" customHeight="false" outlineLevel="0" collapsed="false">
      <c r="A1713" s="57" t="s">
        <v>2254</v>
      </c>
      <c r="B1713" s="58" t="n">
        <v>45765</v>
      </c>
      <c r="C1713" s="57" t="n">
        <f aca="false">YEAR(B1713)</f>
        <v>2025</v>
      </c>
      <c r="D1713" s="57" t="n">
        <f aca="false">MONTH(B1713)</f>
        <v>4</v>
      </c>
      <c r="E1713" s="57" t="s">
        <v>372</v>
      </c>
      <c r="F1713" s="57" t="s">
        <v>81</v>
      </c>
      <c r="G1713" s="57" t="s">
        <v>45</v>
      </c>
      <c r="H1713" s="57" t="s">
        <v>48</v>
      </c>
      <c r="I1713" s="59" t="n">
        <v>1</v>
      </c>
      <c r="J1713" s="60" t="n">
        <v>99</v>
      </c>
      <c r="K1713" s="60" t="n">
        <v>38</v>
      </c>
      <c r="L1713" s="61" t="n">
        <f aca="false">I1713*J1713</f>
        <v>99</v>
      </c>
      <c r="M1713" s="61" t="n">
        <f aca="false">L1713-I1713*K1713</f>
        <v>61</v>
      </c>
      <c r="N1713" s="57" t="n">
        <f aca="false">IF(COUNTIFS(E$2:E1713,E1713,C$2:C1713,C1713)=1,1,0)</f>
        <v>0</v>
      </c>
      <c r="O1713" s="57" t="n">
        <f aca="false">IF(COUNTIFS(E$2:E1713,E1713,C$2:C1713,C1713,D$2:D1713,D1713)=1,1,0)</f>
        <v>1</v>
      </c>
      <c r="P1713" s="57" t="n">
        <f aca="false">IF(AND(C1713=Calc!$C$3,OR(Calc!$C$4=0,D1713=Calc!$C$4)),ROW(),0)</f>
        <v>1713</v>
      </c>
    </row>
    <row r="1714" customFormat="false" ht="15" hidden="false" customHeight="false" outlineLevel="0" collapsed="false">
      <c r="A1714" s="57" t="s">
        <v>2255</v>
      </c>
      <c r="B1714" s="58" t="n">
        <v>45766</v>
      </c>
      <c r="C1714" s="57" t="n">
        <f aca="false">YEAR(B1714)</f>
        <v>2025</v>
      </c>
      <c r="D1714" s="57" t="n">
        <f aca="false">MONTH(B1714)</f>
        <v>4</v>
      </c>
      <c r="E1714" s="57" t="s">
        <v>498</v>
      </c>
      <c r="F1714" s="57" t="s">
        <v>78</v>
      </c>
      <c r="G1714" s="57" t="s">
        <v>45</v>
      </c>
      <c r="H1714" s="57" t="s">
        <v>44</v>
      </c>
      <c r="I1714" s="59" t="n">
        <v>1</v>
      </c>
      <c r="J1714" s="60" t="n">
        <v>119</v>
      </c>
      <c r="K1714" s="60" t="n">
        <v>63</v>
      </c>
      <c r="L1714" s="61" t="n">
        <f aca="false">I1714*J1714</f>
        <v>119</v>
      </c>
      <c r="M1714" s="61" t="n">
        <f aca="false">L1714-I1714*K1714</f>
        <v>56</v>
      </c>
      <c r="N1714" s="57" t="n">
        <f aca="false">IF(COUNTIFS(E$2:E1714,E1714,C$2:C1714,C1714)=1,1,0)</f>
        <v>0</v>
      </c>
      <c r="O1714" s="57" t="n">
        <f aca="false">IF(COUNTIFS(E$2:E1714,E1714,C$2:C1714,C1714,D$2:D1714,D1714)=1,1,0)</f>
        <v>1</v>
      </c>
      <c r="P1714" s="57" t="n">
        <f aca="false">IF(AND(C1714=Calc!$C$3,OR(Calc!$C$4=0,D1714=Calc!$C$4)),ROW(),0)</f>
        <v>1714</v>
      </c>
    </row>
    <row r="1715" customFormat="false" ht="15" hidden="false" customHeight="false" outlineLevel="0" collapsed="false">
      <c r="A1715" s="57" t="s">
        <v>2256</v>
      </c>
      <c r="B1715" s="58" t="n">
        <v>45766</v>
      </c>
      <c r="C1715" s="57" t="n">
        <f aca="false">YEAR(B1715)</f>
        <v>2025</v>
      </c>
      <c r="D1715" s="57" t="n">
        <f aca="false">MONTH(B1715)</f>
        <v>4</v>
      </c>
      <c r="E1715" s="57" t="s">
        <v>2102</v>
      </c>
      <c r="F1715" s="57" t="s">
        <v>78</v>
      </c>
      <c r="G1715" s="57" t="s">
        <v>35</v>
      </c>
      <c r="H1715" s="57" t="s">
        <v>36</v>
      </c>
      <c r="I1715" s="59" t="n">
        <v>2</v>
      </c>
      <c r="J1715" s="60" t="n">
        <v>179</v>
      </c>
      <c r="K1715" s="60" t="n">
        <v>92</v>
      </c>
      <c r="L1715" s="61" t="n">
        <f aca="false">I1715*J1715</f>
        <v>358</v>
      </c>
      <c r="M1715" s="61" t="n">
        <f aca="false">L1715-I1715*K1715</f>
        <v>174</v>
      </c>
      <c r="N1715" s="57" t="n">
        <f aca="false">IF(COUNTIFS(E$2:E1715,E1715,C$2:C1715,C1715)=1,1,0)</f>
        <v>0</v>
      </c>
      <c r="O1715" s="57" t="n">
        <f aca="false">IF(COUNTIFS(E$2:E1715,E1715,C$2:C1715,C1715,D$2:D1715,D1715)=1,1,0)</f>
        <v>1</v>
      </c>
      <c r="P1715" s="57" t="n">
        <f aca="false">IF(AND(C1715=Calc!$C$3,OR(Calc!$C$4=0,D1715=Calc!$C$4)),ROW(),0)</f>
        <v>1715</v>
      </c>
    </row>
    <row r="1716" customFormat="false" ht="15" hidden="false" customHeight="false" outlineLevel="0" collapsed="false">
      <c r="A1716" s="57" t="s">
        <v>2257</v>
      </c>
      <c r="B1716" s="58" t="n">
        <v>45766</v>
      </c>
      <c r="C1716" s="57" t="n">
        <f aca="false">YEAR(B1716)</f>
        <v>2025</v>
      </c>
      <c r="D1716" s="57" t="n">
        <f aca="false">MONTH(B1716)</f>
        <v>4</v>
      </c>
      <c r="E1716" s="57" t="s">
        <v>382</v>
      </c>
      <c r="F1716" s="57" t="s">
        <v>69</v>
      </c>
      <c r="G1716" s="57" t="s">
        <v>40</v>
      </c>
      <c r="H1716" s="57" t="s">
        <v>41</v>
      </c>
      <c r="I1716" s="59" t="n">
        <v>1</v>
      </c>
      <c r="J1716" s="60" t="n">
        <v>46</v>
      </c>
      <c r="K1716" s="60" t="n">
        <v>16</v>
      </c>
      <c r="L1716" s="61" t="n">
        <f aca="false">I1716*J1716</f>
        <v>46</v>
      </c>
      <c r="M1716" s="61" t="n">
        <f aca="false">L1716-I1716*K1716</f>
        <v>30</v>
      </c>
      <c r="N1716" s="57" t="n">
        <f aca="false">IF(COUNTIFS(E$2:E1716,E1716,C$2:C1716,C1716)=1,1,0)</f>
        <v>1</v>
      </c>
      <c r="O1716" s="57" t="n">
        <f aca="false">IF(COUNTIFS(E$2:E1716,E1716,C$2:C1716,C1716,D$2:D1716,D1716)=1,1,0)</f>
        <v>1</v>
      </c>
      <c r="P1716" s="57" t="n">
        <f aca="false">IF(AND(C1716=Calc!$C$3,OR(Calc!$C$4=0,D1716=Calc!$C$4)),ROW(),0)</f>
        <v>1716</v>
      </c>
    </row>
    <row r="1717" customFormat="false" ht="15" hidden="false" customHeight="false" outlineLevel="0" collapsed="false">
      <c r="A1717" s="57" t="s">
        <v>2258</v>
      </c>
      <c r="B1717" s="58" t="n">
        <v>45766</v>
      </c>
      <c r="C1717" s="57" t="n">
        <f aca="false">YEAR(B1717)</f>
        <v>2025</v>
      </c>
      <c r="D1717" s="57" t="n">
        <f aca="false">MONTH(B1717)</f>
        <v>4</v>
      </c>
      <c r="E1717" s="57" t="s">
        <v>998</v>
      </c>
      <c r="F1717" s="57" t="s">
        <v>81</v>
      </c>
      <c r="G1717" s="57" t="s">
        <v>54</v>
      </c>
      <c r="H1717" s="57" t="s">
        <v>55</v>
      </c>
      <c r="I1717" s="59" t="n">
        <v>1</v>
      </c>
      <c r="J1717" s="60" t="n">
        <v>64</v>
      </c>
      <c r="K1717" s="60" t="n">
        <v>25</v>
      </c>
      <c r="L1717" s="61" t="n">
        <f aca="false">I1717*J1717</f>
        <v>64</v>
      </c>
      <c r="M1717" s="61" t="n">
        <f aca="false">L1717-I1717*K1717</f>
        <v>39</v>
      </c>
      <c r="N1717" s="57" t="n">
        <f aca="false">IF(COUNTIFS(E$2:E1717,E1717,C$2:C1717,C1717)=1,1,0)</f>
        <v>1</v>
      </c>
      <c r="O1717" s="57" t="n">
        <f aca="false">IF(COUNTIFS(E$2:E1717,E1717,C$2:C1717,C1717,D$2:D1717,D1717)=1,1,0)</f>
        <v>1</v>
      </c>
      <c r="P1717" s="57" t="n">
        <f aca="false">IF(AND(C1717=Calc!$C$3,OR(Calc!$C$4=0,D1717=Calc!$C$4)),ROW(),0)</f>
        <v>1717</v>
      </c>
    </row>
    <row r="1718" customFormat="false" ht="15" hidden="false" customHeight="false" outlineLevel="0" collapsed="false">
      <c r="A1718" s="57" t="s">
        <v>2259</v>
      </c>
      <c r="B1718" s="58" t="n">
        <v>45766</v>
      </c>
      <c r="C1718" s="57" t="n">
        <f aca="false">YEAR(B1718)</f>
        <v>2025</v>
      </c>
      <c r="D1718" s="57" t="n">
        <f aca="false">MONTH(B1718)</f>
        <v>4</v>
      </c>
      <c r="E1718" s="57" t="s">
        <v>91</v>
      </c>
      <c r="F1718" s="57" t="s">
        <v>69</v>
      </c>
      <c r="G1718" s="57" t="s">
        <v>40</v>
      </c>
      <c r="H1718" s="57" t="s">
        <v>43</v>
      </c>
      <c r="I1718" s="59" t="n">
        <v>1</v>
      </c>
      <c r="J1718" s="60" t="n">
        <v>29</v>
      </c>
      <c r="K1718" s="60" t="n">
        <v>9</v>
      </c>
      <c r="L1718" s="61" t="n">
        <f aca="false">I1718*J1718</f>
        <v>29</v>
      </c>
      <c r="M1718" s="61" t="n">
        <f aca="false">L1718-I1718*K1718</f>
        <v>20</v>
      </c>
      <c r="N1718" s="57" t="n">
        <f aca="false">IF(COUNTIFS(E$2:E1718,E1718,C$2:C1718,C1718)=1,1,0)</f>
        <v>1</v>
      </c>
      <c r="O1718" s="57" t="n">
        <f aca="false">IF(COUNTIFS(E$2:E1718,E1718,C$2:C1718,C1718,D$2:D1718,D1718)=1,1,0)</f>
        <v>1</v>
      </c>
      <c r="P1718" s="57" t="n">
        <f aca="false">IF(AND(C1718=Calc!$C$3,OR(Calc!$C$4=0,D1718=Calc!$C$4)),ROW(),0)</f>
        <v>1718</v>
      </c>
    </row>
    <row r="1719" customFormat="false" ht="15" hidden="false" customHeight="false" outlineLevel="0" collapsed="false">
      <c r="A1719" s="57" t="s">
        <v>2260</v>
      </c>
      <c r="B1719" s="58" t="n">
        <v>45767</v>
      </c>
      <c r="C1719" s="57" t="n">
        <f aca="false">YEAR(B1719)</f>
        <v>2025</v>
      </c>
      <c r="D1719" s="57" t="n">
        <f aca="false">MONTH(B1719)</f>
        <v>4</v>
      </c>
      <c r="E1719" s="57" t="s">
        <v>170</v>
      </c>
      <c r="F1719" s="57" t="s">
        <v>69</v>
      </c>
      <c r="G1719" s="57" t="s">
        <v>40</v>
      </c>
      <c r="H1719" s="57" t="s">
        <v>43</v>
      </c>
      <c r="I1719" s="59" t="n">
        <v>1</v>
      </c>
      <c r="J1719" s="60" t="n">
        <v>29</v>
      </c>
      <c r="K1719" s="60" t="n">
        <v>9</v>
      </c>
      <c r="L1719" s="61" t="n">
        <f aca="false">I1719*J1719</f>
        <v>29</v>
      </c>
      <c r="M1719" s="61" t="n">
        <f aca="false">L1719-I1719*K1719</f>
        <v>20</v>
      </c>
      <c r="N1719" s="57" t="n">
        <f aca="false">IF(COUNTIFS(E$2:E1719,E1719,C$2:C1719,C1719)=1,1,0)</f>
        <v>0</v>
      </c>
      <c r="O1719" s="57" t="n">
        <f aca="false">IF(COUNTIFS(E$2:E1719,E1719,C$2:C1719,C1719,D$2:D1719,D1719)=1,1,0)</f>
        <v>1</v>
      </c>
      <c r="P1719" s="57" t="n">
        <f aca="false">IF(AND(C1719=Calc!$C$3,OR(Calc!$C$4=0,D1719=Calc!$C$4)),ROW(),0)</f>
        <v>1719</v>
      </c>
    </row>
    <row r="1720" customFormat="false" ht="15" hidden="false" customHeight="false" outlineLevel="0" collapsed="false">
      <c r="A1720" s="57" t="s">
        <v>2261</v>
      </c>
      <c r="B1720" s="58" t="n">
        <v>45767</v>
      </c>
      <c r="C1720" s="57" t="n">
        <f aca="false">YEAR(B1720)</f>
        <v>2025</v>
      </c>
      <c r="D1720" s="57" t="n">
        <f aca="false">MONTH(B1720)</f>
        <v>4</v>
      </c>
      <c r="E1720" s="57" t="s">
        <v>1218</v>
      </c>
      <c r="F1720" s="57" t="s">
        <v>81</v>
      </c>
      <c r="G1720" s="57" t="s">
        <v>50</v>
      </c>
      <c r="H1720" s="57" t="s">
        <v>52</v>
      </c>
      <c r="I1720" s="59" t="n">
        <v>2</v>
      </c>
      <c r="J1720" s="60" t="n">
        <v>45</v>
      </c>
      <c r="K1720" s="60" t="n">
        <v>14</v>
      </c>
      <c r="L1720" s="61" t="n">
        <f aca="false">I1720*J1720</f>
        <v>90</v>
      </c>
      <c r="M1720" s="61" t="n">
        <f aca="false">L1720-I1720*K1720</f>
        <v>62</v>
      </c>
      <c r="N1720" s="57" t="n">
        <f aca="false">IF(COUNTIFS(E$2:E1720,E1720,C$2:C1720,C1720)=1,1,0)</f>
        <v>0</v>
      </c>
      <c r="O1720" s="57" t="n">
        <f aca="false">IF(COUNTIFS(E$2:E1720,E1720,C$2:C1720,C1720,D$2:D1720,D1720)=1,1,0)</f>
        <v>0</v>
      </c>
      <c r="P1720" s="57" t="n">
        <f aca="false">IF(AND(C1720=Calc!$C$3,OR(Calc!$C$4=0,D1720=Calc!$C$4)),ROW(),0)</f>
        <v>1720</v>
      </c>
    </row>
    <row r="1721" customFormat="false" ht="15" hidden="false" customHeight="false" outlineLevel="0" collapsed="false">
      <c r="A1721" s="57" t="s">
        <v>2262</v>
      </c>
      <c r="B1721" s="58" t="n">
        <v>45767</v>
      </c>
      <c r="C1721" s="57" t="n">
        <f aca="false">YEAR(B1721)</f>
        <v>2025</v>
      </c>
      <c r="D1721" s="57" t="n">
        <f aca="false">MONTH(B1721)</f>
        <v>4</v>
      </c>
      <c r="E1721" s="57" t="s">
        <v>347</v>
      </c>
      <c r="F1721" s="57" t="s">
        <v>72</v>
      </c>
      <c r="G1721" s="57" t="s">
        <v>45</v>
      </c>
      <c r="H1721" s="57" t="s">
        <v>47</v>
      </c>
      <c r="I1721" s="59" t="n">
        <v>1</v>
      </c>
      <c r="J1721" s="60" t="n">
        <v>34</v>
      </c>
      <c r="K1721" s="60" t="n">
        <v>12</v>
      </c>
      <c r="L1721" s="61" t="n">
        <f aca="false">I1721*J1721</f>
        <v>34</v>
      </c>
      <c r="M1721" s="61" t="n">
        <f aca="false">L1721-I1721*K1721</f>
        <v>22</v>
      </c>
      <c r="N1721" s="57" t="n">
        <f aca="false">IF(COUNTIFS(E$2:E1721,E1721,C$2:C1721,C1721)=1,1,0)</f>
        <v>1</v>
      </c>
      <c r="O1721" s="57" t="n">
        <f aca="false">IF(COUNTIFS(E$2:E1721,E1721,C$2:C1721,C1721,D$2:D1721,D1721)=1,1,0)</f>
        <v>1</v>
      </c>
      <c r="P1721" s="57" t="n">
        <f aca="false">IF(AND(C1721=Calc!$C$3,OR(Calc!$C$4=0,D1721=Calc!$C$4)),ROW(),0)</f>
        <v>1721</v>
      </c>
    </row>
    <row r="1722" customFormat="false" ht="15" hidden="false" customHeight="false" outlineLevel="0" collapsed="false">
      <c r="A1722" s="57" t="s">
        <v>2263</v>
      </c>
      <c r="B1722" s="58" t="n">
        <v>45767</v>
      </c>
      <c r="C1722" s="57" t="n">
        <f aca="false">YEAR(B1722)</f>
        <v>2025</v>
      </c>
      <c r="D1722" s="57" t="n">
        <f aca="false">MONTH(B1722)</f>
        <v>4</v>
      </c>
      <c r="E1722" s="57" t="s">
        <v>1449</v>
      </c>
      <c r="F1722" s="57" t="s">
        <v>78</v>
      </c>
      <c r="G1722" s="57" t="s">
        <v>35</v>
      </c>
      <c r="H1722" s="57" t="s">
        <v>34</v>
      </c>
      <c r="I1722" s="59" t="n">
        <v>2</v>
      </c>
      <c r="J1722" s="60" t="n">
        <v>89</v>
      </c>
      <c r="K1722" s="60" t="n">
        <v>41</v>
      </c>
      <c r="L1722" s="61" t="n">
        <f aca="false">I1722*J1722</f>
        <v>178</v>
      </c>
      <c r="M1722" s="61" t="n">
        <f aca="false">L1722-I1722*K1722</f>
        <v>96</v>
      </c>
      <c r="N1722" s="57" t="n">
        <f aca="false">IF(COUNTIFS(E$2:E1722,E1722,C$2:C1722,C1722)=1,1,0)</f>
        <v>0</v>
      </c>
      <c r="O1722" s="57" t="n">
        <f aca="false">IF(COUNTIFS(E$2:E1722,E1722,C$2:C1722,C1722,D$2:D1722,D1722)=1,1,0)</f>
        <v>1</v>
      </c>
      <c r="P1722" s="57" t="n">
        <f aca="false">IF(AND(C1722=Calc!$C$3,OR(Calc!$C$4=0,D1722=Calc!$C$4)),ROW(),0)</f>
        <v>1722</v>
      </c>
    </row>
    <row r="1723" customFormat="false" ht="15" hidden="false" customHeight="false" outlineLevel="0" collapsed="false">
      <c r="A1723" s="57" t="s">
        <v>2264</v>
      </c>
      <c r="B1723" s="58" t="n">
        <v>45767</v>
      </c>
      <c r="C1723" s="57" t="n">
        <f aca="false">YEAR(B1723)</f>
        <v>2025</v>
      </c>
      <c r="D1723" s="57" t="n">
        <f aca="false">MONTH(B1723)</f>
        <v>4</v>
      </c>
      <c r="E1723" s="57" t="s">
        <v>116</v>
      </c>
      <c r="F1723" s="57" t="s">
        <v>75</v>
      </c>
      <c r="G1723" s="57" t="s">
        <v>35</v>
      </c>
      <c r="H1723" s="57" t="s">
        <v>37</v>
      </c>
      <c r="I1723" s="59" t="n">
        <v>2</v>
      </c>
      <c r="J1723" s="60" t="n">
        <v>59</v>
      </c>
      <c r="K1723" s="60" t="n">
        <v>27</v>
      </c>
      <c r="L1723" s="61" t="n">
        <f aca="false">I1723*J1723</f>
        <v>118</v>
      </c>
      <c r="M1723" s="61" t="n">
        <f aca="false">L1723-I1723*K1723</f>
        <v>64</v>
      </c>
      <c r="N1723" s="57" t="n">
        <f aca="false">IF(COUNTIFS(E$2:E1723,E1723,C$2:C1723,C1723)=1,1,0)</f>
        <v>0</v>
      </c>
      <c r="O1723" s="57" t="n">
        <f aca="false">IF(COUNTIFS(E$2:E1723,E1723,C$2:C1723,C1723,D$2:D1723,D1723)=1,1,0)</f>
        <v>0</v>
      </c>
      <c r="P1723" s="57" t="n">
        <f aca="false">IF(AND(C1723=Calc!$C$3,OR(Calc!$C$4=0,D1723=Calc!$C$4)),ROW(),0)</f>
        <v>1723</v>
      </c>
    </row>
    <row r="1724" customFormat="false" ht="15" hidden="false" customHeight="false" outlineLevel="0" collapsed="false">
      <c r="A1724" s="57" t="s">
        <v>2265</v>
      </c>
      <c r="B1724" s="58" t="n">
        <v>45768</v>
      </c>
      <c r="C1724" s="57" t="n">
        <f aca="false">YEAR(B1724)</f>
        <v>2025</v>
      </c>
      <c r="D1724" s="57" t="n">
        <f aca="false">MONTH(B1724)</f>
        <v>4</v>
      </c>
      <c r="E1724" s="57" t="s">
        <v>1107</v>
      </c>
      <c r="F1724" s="57" t="s">
        <v>78</v>
      </c>
      <c r="G1724" s="57" t="s">
        <v>35</v>
      </c>
      <c r="H1724" s="57" t="s">
        <v>38</v>
      </c>
      <c r="I1724" s="59" t="n">
        <v>1</v>
      </c>
      <c r="J1724" s="60" t="n">
        <v>49</v>
      </c>
      <c r="K1724" s="60" t="n">
        <v>22</v>
      </c>
      <c r="L1724" s="61" t="n">
        <f aca="false">I1724*J1724</f>
        <v>49</v>
      </c>
      <c r="M1724" s="61" t="n">
        <f aca="false">L1724-I1724*K1724</f>
        <v>27</v>
      </c>
      <c r="N1724" s="57" t="n">
        <f aca="false">IF(COUNTIFS(E$2:E1724,E1724,C$2:C1724,C1724)=1,1,0)</f>
        <v>1</v>
      </c>
      <c r="O1724" s="57" t="n">
        <f aca="false">IF(COUNTIFS(E$2:E1724,E1724,C$2:C1724,C1724,D$2:D1724,D1724)=1,1,0)</f>
        <v>1</v>
      </c>
      <c r="P1724" s="57" t="n">
        <f aca="false">IF(AND(C1724=Calc!$C$3,OR(Calc!$C$4=0,D1724=Calc!$C$4)),ROW(),0)</f>
        <v>1724</v>
      </c>
    </row>
    <row r="1725" customFormat="false" ht="15" hidden="false" customHeight="false" outlineLevel="0" collapsed="false">
      <c r="A1725" s="57" t="s">
        <v>2266</v>
      </c>
      <c r="B1725" s="58" t="n">
        <v>45768</v>
      </c>
      <c r="C1725" s="57" t="n">
        <f aca="false">YEAR(B1725)</f>
        <v>2025</v>
      </c>
      <c r="D1725" s="57" t="n">
        <f aca="false">MONTH(B1725)</f>
        <v>4</v>
      </c>
      <c r="E1725" s="57" t="s">
        <v>1022</v>
      </c>
      <c r="F1725" s="57" t="s">
        <v>75</v>
      </c>
      <c r="G1725" s="57" t="s">
        <v>35</v>
      </c>
      <c r="H1725" s="57" t="s">
        <v>36</v>
      </c>
      <c r="I1725" s="59" t="n">
        <v>1</v>
      </c>
      <c r="J1725" s="60" t="n">
        <v>179</v>
      </c>
      <c r="K1725" s="60" t="n">
        <v>92</v>
      </c>
      <c r="L1725" s="61" t="n">
        <f aca="false">I1725*J1725</f>
        <v>179</v>
      </c>
      <c r="M1725" s="61" t="n">
        <f aca="false">L1725-I1725*K1725</f>
        <v>87</v>
      </c>
      <c r="N1725" s="57" t="n">
        <f aca="false">IF(COUNTIFS(E$2:E1725,E1725,C$2:C1725,C1725)=1,1,0)</f>
        <v>0</v>
      </c>
      <c r="O1725" s="57" t="n">
        <f aca="false">IF(COUNTIFS(E$2:E1725,E1725,C$2:C1725,C1725,D$2:D1725,D1725)=1,1,0)</f>
        <v>1</v>
      </c>
      <c r="P1725" s="57" t="n">
        <f aca="false">IF(AND(C1725=Calc!$C$3,OR(Calc!$C$4=0,D1725=Calc!$C$4)),ROW(),0)</f>
        <v>1725</v>
      </c>
    </row>
    <row r="1726" customFormat="false" ht="15" hidden="false" customHeight="false" outlineLevel="0" collapsed="false">
      <c r="A1726" s="57" t="s">
        <v>2267</v>
      </c>
      <c r="B1726" s="58" t="n">
        <v>45768</v>
      </c>
      <c r="C1726" s="57" t="n">
        <f aca="false">YEAR(B1726)</f>
        <v>2025</v>
      </c>
      <c r="D1726" s="57" t="n">
        <f aca="false">MONTH(B1726)</f>
        <v>4</v>
      </c>
      <c r="E1726" s="57" t="s">
        <v>773</v>
      </c>
      <c r="F1726" s="57" t="s">
        <v>69</v>
      </c>
      <c r="G1726" s="57" t="s">
        <v>40</v>
      </c>
      <c r="H1726" s="57" t="s">
        <v>43</v>
      </c>
      <c r="I1726" s="59" t="n">
        <v>1</v>
      </c>
      <c r="J1726" s="60" t="n">
        <v>29</v>
      </c>
      <c r="K1726" s="60" t="n">
        <v>9</v>
      </c>
      <c r="L1726" s="61" t="n">
        <f aca="false">I1726*J1726</f>
        <v>29</v>
      </c>
      <c r="M1726" s="61" t="n">
        <f aca="false">L1726-I1726*K1726</f>
        <v>20</v>
      </c>
      <c r="N1726" s="57" t="n">
        <f aca="false">IF(COUNTIFS(E$2:E1726,E1726,C$2:C1726,C1726)=1,1,0)</f>
        <v>1</v>
      </c>
      <c r="O1726" s="57" t="n">
        <f aca="false">IF(COUNTIFS(E$2:E1726,E1726,C$2:C1726,C1726,D$2:D1726,D1726)=1,1,0)</f>
        <v>1</v>
      </c>
      <c r="P1726" s="57" t="n">
        <f aca="false">IF(AND(C1726=Calc!$C$3,OR(Calc!$C$4=0,D1726=Calc!$C$4)),ROW(),0)</f>
        <v>1726</v>
      </c>
    </row>
    <row r="1727" customFormat="false" ht="15" hidden="false" customHeight="false" outlineLevel="0" collapsed="false">
      <c r="A1727" s="57" t="s">
        <v>2268</v>
      </c>
      <c r="B1727" s="58" t="n">
        <v>45768</v>
      </c>
      <c r="C1727" s="57" t="n">
        <f aca="false">YEAR(B1727)</f>
        <v>2025</v>
      </c>
      <c r="D1727" s="57" t="n">
        <f aca="false">MONTH(B1727)</f>
        <v>4</v>
      </c>
      <c r="E1727" s="57" t="s">
        <v>461</v>
      </c>
      <c r="F1727" s="57" t="s">
        <v>78</v>
      </c>
      <c r="G1727" s="57" t="s">
        <v>40</v>
      </c>
      <c r="H1727" s="57" t="s">
        <v>42</v>
      </c>
      <c r="I1727" s="59" t="n">
        <v>1</v>
      </c>
      <c r="J1727" s="60" t="n">
        <v>79</v>
      </c>
      <c r="K1727" s="60" t="n">
        <v>31</v>
      </c>
      <c r="L1727" s="61" t="n">
        <f aca="false">I1727*J1727</f>
        <v>79</v>
      </c>
      <c r="M1727" s="61" t="n">
        <f aca="false">L1727-I1727*K1727</f>
        <v>48</v>
      </c>
      <c r="N1727" s="57" t="n">
        <f aca="false">IF(COUNTIFS(E$2:E1727,E1727,C$2:C1727,C1727)=1,1,0)</f>
        <v>0</v>
      </c>
      <c r="O1727" s="57" t="n">
        <f aca="false">IF(COUNTIFS(E$2:E1727,E1727,C$2:C1727,C1727,D$2:D1727,D1727)=1,1,0)</f>
        <v>0</v>
      </c>
      <c r="P1727" s="57" t="n">
        <f aca="false">IF(AND(C1727=Calc!$C$3,OR(Calc!$C$4=0,D1727=Calc!$C$4)),ROW(),0)</f>
        <v>1727</v>
      </c>
    </row>
    <row r="1728" customFormat="false" ht="15" hidden="false" customHeight="false" outlineLevel="0" collapsed="false">
      <c r="A1728" s="57" t="s">
        <v>2269</v>
      </c>
      <c r="B1728" s="58" t="n">
        <v>45769</v>
      </c>
      <c r="C1728" s="57" t="n">
        <f aca="false">YEAR(B1728)</f>
        <v>2025</v>
      </c>
      <c r="D1728" s="57" t="n">
        <f aca="false">MONTH(B1728)</f>
        <v>4</v>
      </c>
      <c r="E1728" s="57" t="s">
        <v>937</v>
      </c>
      <c r="F1728" s="57" t="s">
        <v>81</v>
      </c>
      <c r="G1728" s="57" t="s">
        <v>45</v>
      </c>
      <c r="H1728" s="57" t="s">
        <v>46</v>
      </c>
      <c r="I1728" s="59" t="n">
        <v>1</v>
      </c>
      <c r="J1728" s="60" t="n">
        <v>149</v>
      </c>
      <c r="K1728" s="60" t="n">
        <v>71</v>
      </c>
      <c r="L1728" s="61" t="n">
        <f aca="false">I1728*J1728</f>
        <v>149</v>
      </c>
      <c r="M1728" s="61" t="n">
        <f aca="false">L1728-I1728*K1728</f>
        <v>78</v>
      </c>
      <c r="N1728" s="57" t="n">
        <f aca="false">IF(COUNTIFS(E$2:E1728,E1728,C$2:C1728,C1728)=1,1,0)</f>
        <v>1</v>
      </c>
      <c r="O1728" s="57" t="n">
        <f aca="false">IF(COUNTIFS(E$2:E1728,E1728,C$2:C1728,C1728,D$2:D1728,D1728)=1,1,0)</f>
        <v>1</v>
      </c>
      <c r="P1728" s="57" t="n">
        <f aca="false">IF(AND(C1728=Calc!$C$3,OR(Calc!$C$4=0,D1728=Calc!$C$4)),ROW(),0)</f>
        <v>1728</v>
      </c>
    </row>
    <row r="1729" customFormat="false" ht="15" hidden="false" customHeight="false" outlineLevel="0" collapsed="false">
      <c r="A1729" s="57" t="s">
        <v>2270</v>
      </c>
      <c r="B1729" s="58" t="n">
        <v>45769</v>
      </c>
      <c r="C1729" s="57" t="n">
        <f aca="false">YEAR(B1729)</f>
        <v>2025</v>
      </c>
      <c r="D1729" s="57" t="n">
        <f aca="false">MONTH(B1729)</f>
        <v>4</v>
      </c>
      <c r="E1729" s="57" t="s">
        <v>196</v>
      </c>
      <c r="F1729" s="57" t="s">
        <v>69</v>
      </c>
      <c r="G1729" s="57" t="s">
        <v>45</v>
      </c>
      <c r="H1729" s="57" t="s">
        <v>44</v>
      </c>
      <c r="I1729" s="59" t="n">
        <v>1</v>
      </c>
      <c r="J1729" s="60" t="n">
        <v>119</v>
      </c>
      <c r="K1729" s="60" t="n">
        <v>63</v>
      </c>
      <c r="L1729" s="61" t="n">
        <f aca="false">I1729*J1729</f>
        <v>119</v>
      </c>
      <c r="M1729" s="61" t="n">
        <f aca="false">L1729-I1729*K1729</f>
        <v>56</v>
      </c>
      <c r="N1729" s="57" t="n">
        <f aca="false">IF(COUNTIFS(E$2:E1729,E1729,C$2:C1729,C1729)=1,1,0)</f>
        <v>0</v>
      </c>
      <c r="O1729" s="57" t="n">
        <f aca="false">IF(COUNTIFS(E$2:E1729,E1729,C$2:C1729,C1729,D$2:D1729,D1729)=1,1,0)</f>
        <v>1</v>
      </c>
      <c r="P1729" s="57" t="n">
        <f aca="false">IF(AND(C1729=Calc!$C$3,OR(Calc!$C$4=0,D1729=Calc!$C$4)),ROW(),0)</f>
        <v>1729</v>
      </c>
    </row>
    <row r="1730" customFormat="false" ht="15" hidden="false" customHeight="false" outlineLevel="0" collapsed="false">
      <c r="A1730" s="57" t="s">
        <v>2271</v>
      </c>
      <c r="B1730" s="58" t="n">
        <v>45769</v>
      </c>
      <c r="C1730" s="57" t="n">
        <f aca="false">YEAR(B1730)</f>
        <v>2025</v>
      </c>
      <c r="D1730" s="57" t="n">
        <f aca="false">MONTH(B1730)</f>
        <v>4</v>
      </c>
      <c r="E1730" s="57" t="s">
        <v>584</v>
      </c>
      <c r="F1730" s="57" t="s">
        <v>75</v>
      </c>
      <c r="G1730" s="57" t="s">
        <v>35</v>
      </c>
      <c r="H1730" s="57" t="s">
        <v>37</v>
      </c>
      <c r="I1730" s="59" t="n">
        <v>1</v>
      </c>
      <c r="J1730" s="60" t="n">
        <v>59</v>
      </c>
      <c r="K1730" s="60" t="n">
        <v>27</v>
      </c>
      <c r="L1730" s="61" t="n">
        <f aca="false">I1730*J1730</f>
        <v>59</v>
      </c>
      <c r="M1730" s="61" t="n">
        <f aca="false">L1730-I1730*K1730</f>
        <v>32</v>
      </c>
      <c r="N1730" s="57" t="n">
        <f aca="false">IF(COUNTIFS(E$2:E1730,E1730,C$2:C1730,C1730)=1,1,0)</f>
        <v>1</v>
      </c>
      <c r="O1730" s="57" t="n">
        <f aca="false">IF(COUNTIFS(E$2:E1730,E1730,C$2:C1730,C1730,D$2:D1730,D1730)=1,1,0)</f>
        <v>1</v>
      </c>
      <c r="P1730" s="57" t="n">
        <f aca="false">IF(AND(C1730=Calc!$C$3,OR(Calc!$C$4=0,D1730=Calc!$C$4)),ROW(),0)</f>
        <v>1730</v>
      </c>
    </row>
    <row r="1731" customFormat="false" ht="15" hidden="false" customHeight="false" outlineLevel="0" collapsed="false">
      <c r="A1731" s="57" t="s">
        <v>2272</v>
      </c>
      <c r="B1731" s="58" t="n">
        <v>45769</v>
      </c>
      <c r="C1731" s="57" t="n">
        <f aca="false">YEAR(B1731)</f>
        <v>2025</v>
      </c>
      <c r="D1731" s="57" t="n">
        <f aca="false">MONTH(B1731)</f>
        <v>4</v>
      </c>
      <c r="E1731" s="57" t="s">
        <v>450</v>
      </c>
      <c r="F1731" s="57" t="s">
        <v>81</v>
      </c>
      <c r="G1731" s="57" t="s">
        <v>50</v>
      </c>
      <c r="H1731" s="57" t="s">
        <v>52</v>
      </c>
      <c r="I1731" s="59" t="n">
        <v>1</v>
      </c>
      <c r="J1731" s="60" t="n">
        <v>45</v>
      </c>
      <c r="K1731" s="60" t="n">
        <v>14</v>
      </c>
      <c r="L1731" s="61" t="n">
        <f aca="false">I1731*J1731</f>
        <v>45</v>
      </c>
      <c r="M1731" s="61" t="n">
        <f aca="false">L1731-I1731*K1731</f>
        <v>31</v>
      </c>
      <c r="N1731" s="57" t="n">
        <f aca="false">IF(COUNTIFS(E$2:E1731,E1731,C$2:C1731,C1731)=1,1,0)</f>
        <v>1</v>
      </c>
      <c r="O1731" s="57" t="n">
        <f aca="false">IF(COUNTIFS(E$2:E1731,E1731,C$2:C1731,C1731,D$2:D1731,D1731)=1,1,0)</f>
        <v>1</v>
      </c>
      <c r="P1731" s="57" t="n">
        <f aca="false">IF(AND(C1731=Calc!$C$3,OR(Calc!$C$4=0,D1731=Calc!$C$4)),ROW(),0)</f>
        <v>1731</v>
      </c>
    </row>
    <row r="1732" customFormat="false" ht="15" hidden="false" customHeight="false" outlineLevel="0" collapsed="false">
      <c r="A1732" s="57" t="s">
        <v>2273</v>
      </c>
      <c r="B1732" s="58" t="n">
        <v>45770</v>
      </c>
      <c r="C1732" s="57" t="n">
        <f aca="false">YEAR(B1732)</f>
        <v>2025</v>
      </c>
      <c r="D1732" s="57" t="n">
        <f aca="false">MONTH(B1732)</f>
        <v>4</v>
      </c>
      <c r="E1732" s="57" t="s">
        <v>315</v>
      </c>
      <c r="F1732" s="57" t="s">
        <v>69</v>
      </c>
      <c r="G1732" s="57" t="s">
        <v>35</v>
      </c>
      <c r="H1732" s="57" t="s">
        <v>37</v>
      </c>
      <c r="I1732" s="59" t="n">
        <v>3</v>
      </c>
      <c r="J1732" s="60" t="n">
        <v>59</v>
      </c>
      <c r="K1732" s="60" t="n">
        <v>27</v>
      </c>
      <c r="L1732" s="61" t="n">
        <f aca="false">I1732*J1732</f>
        <v>177</v>
      </c>
      <c r="M1732" s="61" t="n">
        <f aca="false">L1732-I1732*K1732</f>
        <v>96</v>
      </c>
      <c r="N1732" s="57" t="n">
        <f aca="false">IF(COUNTIFS(E$2:E1732,E1732,C$2:C1732,C1732)=1,1,0)</f>
        <v>1</v>
      </c>
      <c r="O1732" s="57" t="n">
        <f aca="false">IF(COUNTIFS(E$2:E1732,E1732,C$2:C1732,C1732,D$2:D1732,D1732)=1,1,0)</f>
        <v>1</v>
      </c>
      <c r="P1732" s="57" t="n">
        <f aca="false">IF(AND(C1732=Calc!$C$3,OR(Calc!$C$4=0,D1732=Calc!$C$4)),ROW(),0)</f>
        <v>1732</v>
      </c>
    </row>
    <row r="1733" customFormat="false" ht="15" hidden="false" customHeight="false" outlineLevel="0" collapsed="false">
      <c r="A1733" s="57" t="s">
        <v>2274</v>
      </c>
      <c r="B1733" s="58" t="n">
        <v>45770</v>
      </c>
      <c r="C1733" s="57" t="n">
        <f aca="false">YEAR(B1733)</f>
        <v>2025</v>
      </c>
      <c r="D1733" s="57" t="n">
        <f aca="false">MONTH(B1733)</f>
        <v>4</v>
      </c>
      <c r="E1733" s="57" t="s">
        <v>319</v>
      </c>
      <c r="F1733" s="57" t="s">
        <v>75</v>
      </c>
      <c r="G1733" s="57" t="s">
        <v>35</v>
      </c>
      <c r="H1733" s="57" t="s">
        <v>38</v>
      </c>
      <c r="I1733" s="59" t="n">
        <v>1</v>
      </c>
      <c r="J1733" s="60" t="n">
        <v>49</v>
      </c>
      <c r="K1733" s="60" t="n">
        <v>22</v>
      </c>
      <c r="L1733" s="61" t="n">
        <f aca="false">I1733*J1733</f>
        <v>49</v>
      </c>
      <c r="M1733" s="61" t="n">
        <f aca="false">L1733-I1733*K1733</f>
        <v>27</v>
      </c>
      <c r="N1733" s="57" t="n">
        <f aca="false">IF(COUNTIFS(E$2:E1733,E1733,C$2:C1733,C1733)=1,1,0)</f>
        <v>0</v>
      </c>
      <c r="O1733" s="57" t="n">
        <f aca="false">IF(COUNTIFS(E$2:E1733,E1733,C$2:C1733,C1733,D$2:D1733,D1733)=1,1,0)</f>
        <v>1</v>
      </c>
      <c r="P1733" s="57" t="n">
        <f aca="false">IF(AND(C1733=Calc!$C$3,OR(Calc!$C$4=0,D1733=Calc!$C$4)),ROW(),0)</f>
        <v>1733</v>
      </c>
    </row>
    <row r="1734" customFormat="false" ht="15" hidden="false" customHeight="false" outlineLevel="0" collapsed="false">
      <c r="A1734" s="57" t="s">
        <v>2275</v>
      </c>
      <c r="B1734" s="58" t="n">
        <v>45770</v>
      </c>
      <c r="C1734" s="57" t="n">
        <f aca="false">YEAR(B1734)</f>
        <v>2025</v>
      </c>
      <c r="D1734" s="57" t="n">
        <f aca="false">MONTH(B1734)</f>
        <v>4</v>
      </c>
      <c r="E1734" s="57" t="s">
        <v>486</v>
      </c>
      <c r="F1734" s="57" t="s">
        <v>75</v>
      </c>
      <c r="G1734" s="57" t="s">
        <v>40</v>
      </c>
      <c r="H1734" s="57" t="s">
        <v>43</v>
      </c>
      <c r="I1734" s="59" t="n">
        <v>2</v>
      </c>
      <c r="J1734" s="60" t="n">
        <v>29</v>
      </c>
      <c r="K1734" s="60" t="n">
        <v>9</v>
      </c>
      <c r="L1734" s="61" t="n">
        <f aca="false">I1734*J1734</f>
        <v>58</v>
      </c>
      <c r="M1734" s="61" t="n">
        <f aca="false">L1734-I1734*K1734</f>
        <v>40</v>
      </c>
      <c r="N1734" s="57" t="n">
        <f aca="false">IF(COUNTIFS(E$2:E1734,E1734,C$2:C1734,C1734)=1,1,0)</f>
        <v>0</v>
      </c>
      <c r="O1734" s="57" t="n">
        <f aca="false">IF(COUNTIFS(E$2:E1734,E1734,C$2:C1734,C1734,D$2:D1734,D1734)=1,1,0)</f>
        <v>1</v>
      </c>
      <c r="P1734" s="57" t="n">
        <f aca="false">IF(AND(C1734=Calc!$C$3,OR(Calc!$C$4=0,D1734=Calc!$C$4)),ROW(),0)</f>
        <v>1734</v>
      </c>
    </row>
    <row r="1735" customFormat="false" ht="15" hidden="false" customHeight="false" outlineLevel="0" collapsed="false">
      <c r="A1735" s="57" t="s">
        <v>2276</v>
      </c>
      <c r="B1735" s="58" t="n">
        <v>45770</v>
      </c>
      <c r="C1735" s="57" t="n">
        <f aca="false">YEAR(B1735)</f>
        <v>2025</v>
      </c>
      <c r="D1735" s="57" t="n">
        <f aca="false">MONTH(B1735)</f>
        <v>4</v>
      </c>
      <c r="E1735" s="57" t="s">
        <v>193</v>
      </c>
      <c r="F1735" s="57" t="s">
        <v>78</v>
      </c>
      <c r="G1735" s="57" t="s">
        <v>35</v>
      </c>
      <c r="H1735" s="57" t="s">
        <v>37</v>
      </c>
      <c r="I1735" s="59" t="n">
        <v>1</v>
      </c>
      <c r="J1735" s="60" t="n">
        <v>59</v>
      </c>
      <c r="K1735" s="60" t="n">
        <v>27</v>
      </c>
      <c r="L1735" s="61" t="n">
        <f aca="false">I1735*J1735</f>
        <v>59</v>
      </c>
      <c r="M1735" s="61" t="n">
        <f aca="false">L1735-I1735*K1735</f>
        <v>32</v>
      </c>
      <c r="N1735" s="57" t="n">
        <f aca="false">IF(COUNTIFS(E$2:E1735,E1735,C$2:C1735,C1735)=1,1,0)</f>
        <v>0</v>
      </c>
      <c r="O1735" s="57" t="n">
        <f aca="false">IF(COUNTIFS(E$2:E1735,E1735,C$2:C1735,C1735,D$2:D1735,D1735)=1,1,0)</f>
        <v>1</v>
      </c>
      <c r="P1735" s="57" t="n">
        <f aca="false">IF(AND(C1735=Calc!$C$3,OR(Calc!$C$4=0,D1735=Calc!$C$4)),ROW(),0)</f>
        <v>1735</v>
      </c>
    </row>
    <row r="1736" customFormat="false" ht="15" hidden="false" customHeight="false" outlineLevel="0" collapsed="false">
      <c r="A1736" s="57" t="s">
        <v>2277</v>
      </c>
      <c r="B1736" s="58" t="n">
        <v>45770</v>
      </c>
      <c r="C1736" s="57" t="n">
        <f aca="false">YEAR(B1736)</f>
        <v>2025</v>
      </c>
      <c r="D1736" s="57" t="n">
        <f aca="false">MONTH(B1736)</f>
        <v>4</v>
      </c>
      <c r="E1736" s="57" t="s">
        <v>1392</v>
      </c>
      <c r="F1736" s="57" t="s">
        <v>78</v>
      </c>
      <c r="G1736" s="57" t="s">
        <v>35</v>
      </c>
      <c r="H1736" s="57" t="s">
        <v>34</v>
      </c>
      <c r="I1736" s="59" t="n">
        <v>1</v>
      </c>
      <c r="J1736" s="60" t="n">
        <v>89</v>
      </c>
      <c r="K1736" s="60" t="n">
        <v>41</v>
      </c>
      <c r="L1736" s="61" t="n">
        <f aca="false">I1736*J1736</f>
        <v>89</v>
      </c>
      <c r="M1736" s="61" t="n">
        <f aca="false">L1736-I1736*K1736</f>
        <v>48</v>
      </c>
      <c r="N1736" s="57" t="n">
        <f aca="false">IF(COUNTIFS(E$2:E1736,E1736,C$2:C1736,C1736)=1,1,0)</f>
        <v>1</v>
      </c>
      <c r="O1736" s="57" t="n">
        <f aca="false">IF(COUNTIFS(E$2:E1736,E1736,C$2:C1736,C1736,D$2:D1736,D1736)=1,1,0)</f>
        <v>1</v>
      </c>
      <c r="P1736" s="57" t="n">
        <f aca="false">IF(AND(C1736=Calc!$C$3,OR(Calc!$C$4=0,D1736=Calc!$C$4)),ROW(),0)</f>
        <v>1736</v>
      </c>
    </row>
    <row r="1737" customFormat="false" ht="15" hidden="false" customHeight="false" outlineLevel="0" collapsed="false">
      <c r="A1737" s="57" t="s">
        <v>2278</v>
      </c>
      <c r="B1737" s="58" t="n">
        <v>45771</v>
      </c>
      <c r="C1737" s="57" t="n">
        <f aca="false">YEAR(B1737)</f>
        <v>2025</v>
      </c>
      <c r="D1737" s="57" t="n">
        <f aca="false">MONTH(B1737)</f>
        <v>4</v>
      </c>
      <c r="E1737" s="57" t="s">
        <v>1172</v>
      </c>
      <c r="F1737" s="57" t="s">
        <v>75</v>
      </c>
      <c r="G1737" s="57" t="s">
        <v>35</v>
      </c>
      <c r="H1737" s="57" t="s">
        <v>36</v>
      </c>
      <c r="I1737" s="59" t="n">
        <v>1</v>
      </c>
      <c r="J1737" s="60" t="n">
        <v>179</v>
      </c>
      <c r="K1737" s="60" t="n">
        <v>92</v>
      </c>
      <c r="L1737" s="61" t="n">
        <f aca="false">I1737*J1737</f>
        <v>179</v>
      </c>
      <c r="M1737" s="61" t="n">
        <f aca="false">L1737-I1737*K1737</f>
        <v>87</v>
      </c>
      <c r="N1737" s="57" t="n">
        <f aca="false">IF(COUNTIFS(E$2:E1737,E1737,C$2:C1737,C1737)=1,1,0)</f>
        <v>1</v>
      </c>
      <c r="O1737" s="57" t="n">
        <f aca="false">IF(COUNTIFS(E$2:E1737,E1737,C$2:C1737,C1737,D$2:D1737,D1737)=1,1,0)</f>
        <v>1</v>
      </c>
      <c r="P1737" s="57" t="n">
        <f aca="false">IF(AND(C1737=Calc!$C$3,OR(Calc!$C$4=0,D1737=Calc!$C$4)),ROW(),0)</f>
        <v>1737</v>
      </c>
    </row>
    <row r="1738" customFormat="false" ht="15" hidden="false" customHeight="false" outlineLevel="0" collapsed="false">
      <c r="A1738" s="57" t="s">
        <v>2279</v>
      </c>
      <c r="B1738" s="58" t="n">
        <v>45771</v>
      </c>
      <c r="C1738" s="57" t="n">
        <f aca="false">YEAR(B1738)</f>
        <v>2025</v>
      </c>
      <c r="D1738" s="57" t="n">
        <f aca="false">MONTH(B1738)</f>
        <v>4</v>
      </c>
      <c r="E1738" s="57" t="s">
        <v>1114</v>
      </c>
      <c r="F1738" s="57" t="s">
        <v>75</v>
      </c>
      <c r="G1738" s="57" t="s">
        <v>35</v>
      </c>
      <c r="H1738" s="57" t="s">
        <v>38</v>
      </c>
      <c r="I1738" s="59" t="n">
        <v>1</v>
      </c>
      <c r="J1738" s="60" t="n">
        <v>49</v>
      </c>
      <c r="K1738" s="60" t="n">
        <v>22</v>
      </c>
      <c r="L1738" s="61" t="n">
        <f aca="false">I1738*J1738</f>
        <v>49</v>
      </c>
      <c r="M1738" s="61" t="n">
        <f aca="false">L1738-I1738*K1738</f>
        <v>27</v>
      </c>
      <c r="N1738" s="57" t="n">
        <f aca="false">IF(COUNTIFS(E$2:E1738,E1738,C$2:C1738,C1738)=1,1,0)</f>
        <v>0</v>
      </c>
      <c r="O1738" s="57" t="n">
        <f aca="false">IF(COUNTIFS(E$2:E1738,E1738,C$2:C1738,C1738,D$2:D1738,D1738)=1,1,0)</f>
        <v>0</v>
      </c>
      <c r="P1738" s="57" t="n">
        <f aca="false">IF(AND(C1738=Calc!$C$3,OR(Calc!$C$4=0,D1738=Calc!$C$4)),ROW(),0)</f>
        <v>1738</v>
      </c>
    </row>
    <row r="1739" customFormat="false" ht="15" hidden="false" customHeight="false" outlineLevel="0" collapsed="false">
      <c r="A1739" s="57" t="s">
        <v>2280</v>
      </c>
      <c r="B1739" s="58" t="n">
        <v>45771</v>
      </c>
      <c r="C1739" s="57" t="n">
        <f aca="false">YEAR(B1739)</f>
        <v>2025</v>
      </c>
      <c r="D1739" s="57" t="n">
        <f aca="false">MONTH(B1739)</f>
        <v>4</v>
      </c>
      <c r="E1739" s="57" t="s">
        <v>108</v>
      </c>
      <c r="F1739" s="57" t="s">
        <v>75</v>
      </c>
      <c r="G1739" s="57" t="s">
        <v>50</v>
      </c>
      <c r="H1739" s="57" t="s">
        <v>49</v>
      </c>
      <c r="I1739" s="59" t="n">
        <v>1</v>
      </c>
      <c r="J1739" s="60" t="n">
        <v>32</v>
      </c>
      <c r="K1739" s="60" t="n">
        <v>7</v>
      </c>
      <c r="L1739" s="61" t="n">
        <f aca="false">I1739*J1739</f>
        <v>32</v>
      </c>
      <c r="M1739" s="61" t="n">
        <f aca="false">L1739-I1739*K1739</f>
        <v>25</v>
      </c>
      <c r="N1739" s="57" t="n">
        <f aca="false">IF(COUNTIFS(E$2:E1739,E1739,C$2:C1739,C1739)=1,1,0)</f>
        <v>1</v>
      </c>
      <c r="O1739" s="57" t="n">
        <f aca="false">IF(COUNTIFS(E$2:E1739,E1739,C$2:C1739,C1739,D$2:D1739,D1739)=1,1,0)</f>
        <v>1</v>
      </c>
      <c r="P1739" s="57" t="n">
        <f aca="false">IF(AND(C1739=Calc!$C$3,OR(Calc!$C$4=0,D1739=Calc!$C$4)),ROW(),0)</f>
        <v>1739</v>
      </c>
    </row>
    <row r="1740" customFormat="false" ht="15" hidden="false" customHeight="false" outlineLevel="0" collapsed="false">
      <c r="A1740" s="57" t="s">
        <v>2281</v>
      </c>
      <c r="B1740" s="58" t="n">
        <v>45771</v>
      </c>
      <c r="C1740" s="57" t="n">
        <f aca="false">YEAR(B1740)</f>
        <v>2025</v>
      </c>
      <c r="D1740" s="57" t="n">
        <f aca="false">MONTH(B1740)</f>
        <v>4</v>
      </c>
      <c r="E1740" s="57" t="s">
        <v>761</v>
      </c>
      <c r="F1740" s="57" t="s">
        <v>75</v>
      </c>
      <c r="G1740" s="57" t="s">
        <v>50</v>
      </c>
      <c r="H1740" s="57" t="s">
        <v>52</v>
      </c>
      <c r="I1740" s="59" t="n">
        <v>1</v>
      </c>
      <c r="J1740" s="60" t="n">
        <v>45</v>
      </c>
      <c r="K1740" s="60" t="n">
        <v>14</v>
      </c>
      <c r="L1740" s="61" t="n">
        <f aca="false">I1740*J1740</f>
        <v>45</v>
      </c>
      <c r="M1740" s="61" t="n">
        <f aca="false">L1740-I1740*K1740</f>
        <v>31</v>
      </c>
      <c r="N1740" s="57" t="n">
        <f aca="false">IF(COUNTIFS(E$2:E1740,E1740,C$2:C1740,C1740)=1,1,0)</f>
        <v>0</v>
      </c>
      <c r="O1740" s="57" t="n">
        <f aca="false">IF(COUNTIFS(E$2:E1740,E1740,C$2:C1740,C1740,D$2:D1740,D1740)=1,1,0)</f>
        <v>0</v>
      </c>
      <c r="P1740" s="57" t="n">
        <f aca="false">IF(AND(C1740=Calc!$C$3,OR(Calc!$C$4=0,D1740=Calc!$C$4)),ROW(),0)</f>
        <v>1740</v>
      </c>
    </row>
    <row r="1741" customFormat="false" ht="15" hidden="false" customHeight="false" outlineLevel="0" collapsed="false">
      <c r="A1741" s="57" t="s">
        <v>2282</v>
      </c>
      <c r="B1741" s="58" t="n">
        <v>45772</v>
      </c>
      <c r="C1741" s="57" t="n">
        <f aca="false">YEAR(B1741)</f>
        <v>2025</v>
      </c>
      <c r="D1741" s="57" t="n">
        <f aca="false">MONTH(B1741)</f>
        <v>4</v>
      </c>
      <c r="E1741" s="57" t="s">
        <v>349</v>
      </c>
      <c r="F1741" s="57" t="s">
        <v>72</v>
      </c>
      <c r="G1741" s="57" t="s">
        <v>40</v>
      </c>
      <c r="H1741" s="57" t="s">
        <v>43</v>
      </c>
      <c r="I1741" s="59" t="n">
        <v>1</v>
      </c>
      <c r="J1741" s="60" t="n">
        <v>29</v>
      </c>
      <c r="K1741" s="60" t="n">
        <v>9</v>
      </c>
      <c r="L1741" s="61" t="n">
        <f aca="false">I1741*J1741</f>
        <v>29</v>
      </c>
      <c r="M1741" s="61" t="n">
        <f aca="false">L1741-I1741*K1741</f>
        <v>20</v>
      </c>
      <c r="N1741" s="57" t="n">
        <f aca="false">IF(COUNTIFS(E$2:E1741,E1741,C$2:C1741,C1741)=1,1,0)</f>
        <v>1</v>
      </c>
      <c r="O1741" s="57" t="n">
        <f aca="false">IF(COUNTIFS(E$2:E1741,E1741,C$2:C1741,C1741,D$2:D1741,D1741)=1,1,0)</f>
        <v>1</v>
      </c>
      <c r="P1741" s="57" t="n">
        <f aca="false">IF(AND(C1741=Calc!$C$3,OR(Calc!$C$4=0,D1741=Calc!$C$4)),ROW(),0)</f>
        <v>1741</v>
      </c>
    </row>
    <row r="1742" customFormat="false" ht="15" hidden="false" customHeight="false" outlineLevel="0" collapsed="false">
      <c r="A1742" s="57" t="s">
        <v>2283</v>
      </c>
      <c r="B1742" s="58" t="n">
        <v>45772</v>
      </c>
      <c r="C1742" s="57" t="n">
        <f aca="false">YEAR(B1742)</f>
        <v>2025</v>
      </c>
      <c r="D1742" s="57" t="n">
        <f aca="false">MONTH(B1742)</f>
        <v>4</v>
      </c>
      <c r="E1742" s="57" t="s">
        <v>827</v>
      </c>
      <c r="F1742" s="57" t="s">
        <v>69</v>
      </c>
      <c r="G1742" s="57" t="s">
        <v>45</v>
      </c>
      <c r="H1742" s="57" t="s">
        <v>44</v>
      </c>
      <c r="I1742" s="59" t="n">
        <v>1</v>
      </c>
      <c r="J1742" s="60" t="n">
        <v>119</v>
      </c>
      <c r="K1742" s="60" t="n">
        <v>63</v>
      </c>
      <c r="L1742" s="61" t="n">
        <f aca="false">I1742*J1742</f>
        <v>119</v>
      </c>
      <c r="M1742" s="61" t="n">
        <f aca="false">L1742-I1742*K1742</f>
        <v>56</v>
      </c>
      <c r="N1742" s="57" t="n">
        <f aca="false">IF(COUNTIFS(E$2:E1742,E1742,C$2:C1742,C1742)=1,1,0)</f>
        <v>1</v>
      </c>
      <c r="O1742" s="57" t="n">
        <f aca="false">IF(COUNTIFS(E$2:E1742,E1742,C$2:C1742,C1742,D$2:D1742,D1742)=1,1,0)</f>
        <v>1</v>
      </c>
      <c r="P1742" s="57" t="n">
        <f aca="false">IF(AND(C1742=Calc!$C$3,OR(Calc!$C$4=0,D1742=Calc!$C$4)),ROW(),0)</f>
        <v>1742</v>
      </c>
    </row>
    <row r="1743" customFormat="false" ht="15" hidden="false" customHeight="false" outlineLevel="0" collapsed="false">
      <c r="A1743" s="57" t="s">
        <v>2284</v>
      </c>
      <c r="B1743" s="58" t="n">
        <v>45772</v>
      </c>
      <c r="C1743" s="57" t="n">
        <f aca="false">YEAR(B1743)</f>
        <v>2025</v>
      </c>
      <c r="D1743" s="57" t="n">
        <f aca="false">MONTH(B1743)</f>
        <v>4</v>
      </c>
      <c r="E1743" s="57" t="s">
        <v>1553</v>
      </c>
      <c r="F1743" s="57" t="s">
        <v>81</v>
      </c>
      <c r="G1743" s="57" t="s">
        <v>35</v>
      </c>
      <c r="H1743" s="57" t="s">
        <v>34</v>
      </c>
      <c r="I1743" s="59" t="n">
        <v>1</v>
      </c>
      <c r="J1743" s="60" t="n">
        <v>89</v>
      </c>
      <c r="K1743" s="60" t="n">
        <v>41</v>
      </c>
      <c r="L1743" s="61" t="n">
        <f aca="false">I1743*J1743</f>
        <v>89</v>
      </c>
      <c r="M1743" s="61" t="n">
        <f aca="false">L1743-I1743*K1743</f>
        <v>48</v>
      </c>
      <c r="N1743" s="57" t="n">
        <f aca="false">IF(COUNTIFS(E$2:E1743,E1743,C$2:C1743,C1743)=1,1,0)</f>
        <v>0</v>
      </c>
      <c r="O1743" s="57" t="n">
        <f aca="false">IF(COUNTIFS(E$2:E1743,E1743,C$2:C1743,C1743,D$2:D1743,D1743)=1,1,0)</f>
        <v>0</v>
      </c>
      <c r="P1743" s="57" t="n">
        <f aca="false">IF(AND(C1743=Calc!$C$3,OR(Calc!$C$4=0,D1743=Calc!$C$4)),ROW(),0)</f>
        <v>1743</v>
      </c>
    </row>
    <row r="1744" customFormat="false" ht="15" hidden="false" customHeight="false" outlineLevel="0" collapsed="false">
      <c r="A1744" s="57" t="s">
        <v>2285</v>
      </c>
      <c r="B1744" s="58" t="n">
        <v>45772</v>
      </c>
      <c r="C1744" s="57" t="n">
        <f aca="false">YEAR(B1744)</f>
        <v>2025</v>
      </c>
      <c r="D1744" s="57" t="n">
        <f aca="false">MONTH(B1744)</f>
        <v>4</v>
      </c>
      <c r="E1744" s="57" t="s">
        <v>1553</v>
      </c>
      <c r="F1744" s="57" t="s">
        <v>81</v>
      </c>
      <c r="G1744" s="57" t="s">
        <v>35</v>
      </c>
      <c r="H1744" s="57" t="s">
        <v>36</v>
      </c>
      <c r="I1744" s="59" t="n">
        <v>1</v>
      </c>
      <c r="J1744" s="60" t="n">
        <v>179</v>
      </c>
      <c r="K1744" s="60" t="n">
        <v>92</v>
      </c>
      <c r="L1744" s="61" t="n">
        <f aca="false">I1744*J1744</f>
        <v>179</v>
      </c>
      <c r="M1744" s="61" t="n">
        <f aca="false">L1744-I1744*K1744</f>
        <v>87</v>
      </c>
      <c r="N1744" s="57" t="n">
        <f aca="false">IF(COUNTIFS(E$2:E1744,E1744,C$2:C1744,C1744)=1,1,0)</f>
        <v>0</v>
      </c>
      <c r="O1744" s="57" t="n">
        <f aca="false">IF(COUNTIFS(E$2:E1744,E1744,C$2:C1744,C1744,D$2:D1744,D1744)=1,1,0)</f>
        <v>0</v>
      </c>
      <c r="P1744" s="57" t="n">
        <f aca="false">IF(AND(C1744=Calc!$C$3,OR(Calc!$C$4=0,D1744=Calc!$C$4)),ROW(),0)</f>
        <v>1744</v>
      </c>
    </row>
    <row r="1745" customFormat="false" ht="15" hidden="false" customHeight="false" outlineLevel="0" collapsed="false">
      <c r="A1745" s="57" t="s">
        <v>2286</v>
      </c>
      <c r="B1745" s="58" t="n">
        <v>45773</v>
      </c>
      <c r="C1745" s="57" t="n">
        <f aca="false">YEAR(B1745)</f>
        <v>2025</v>
      </c>
      <c r="D1745" s="57" t="n">
        <f aca="false">MONTH(B1745)</f>
        <v>4</v>
      </c>
      <c r="E1745" s="57" t="s">
        <v>277</v>
      </c>
      <c r="F1745" s="57" t="s">
        <v>75</v>
      </c>
      <c r="G1745" s="57" t="s">
        <v>35</v>
      </c>
      <c r="H1745" s="57" t="s">
        <v>36</v>
      </c>
      <c r="I1745" s="59" t="n">
        <v>1</v>
      </c>
      <c r="J1745" s="60" t="n">
        <v>179</v>
      </c>
      <c r="K1745" s="60" t="n">
        <v>92</v>
      </c>
      <c r="L1745" s="61" t="n">
        <f aca="false">I1745*J1745</f>
        <v>179</v>
      </c>
      <c r="M1745" s="61" t="n">
        <f aca="false">L1745-I1745*K1745</f>
        <v>87</v>
      </c>
      <c r="N1745" s="57" t="n">
        <f aca="false">IF(COUNTIFS(E$2:E1745,E1745,C$2:C1745,C1745)=1,1,0)</f>
        <v>0</v>
      </c>
      <c r="O1745" s="57" t="n">
        <f aca="false">IF(COUNTIFS(E$2:E1745,E1745,C$2:C1745,C1745,D$2:D1745,D1745)=1,1,0)</f>
        <v>1</v>
      </c>
      <c r="P1745" s="57" t="n">
        <f aca="false">IF(AND(C1745=Calc!$C$3,OR(Calc!$C$4=0,D1745=Calc!$C$4)),ROW(),0)</f>
        <v>1745</v>
      </c>
    </row>
    <row r="1746" customFormat="false" ht="15" hidden="false" customHeight="false" outlineLevel="0" collapsed="false">
      <c r="A1746" s="57" t="s">
        <v>2287</v>
      </c>
      <c r="B1746" s="58" t="n">
        <v>45773</v>
      </c>
      <c r="C1746" s="57" t="n">
        <f aca="false">YEAR(B1746)</f>
        <v>2025</v>
      </c>
      <c r="D1746" s="57" t="n">
        <f aca="false">MONTH(B1746)</f>
        <v>4</v>
      </c>
      <c r="E1746" s="57" t="s">
        <v>2252</v>
      </c>
      <c r="F1746" s="57" t="s">
        <v>72</v>
      </c>
      <c r="G1746" s="57" t="s">
        <v>45</v>
      </c>
      <c r="H1746" s="57" t="s">
        <v>44</v>
      </c>
      <c r="I1746" s="59" t="n">
        <v>1</v>
      </c>
      <c r="J1746" s="60" t="n">
        <v>119</v>
      </c>
      <c r="K1746" s="60" t="n">
        <v>63</v>
      </c>
      <c r="L1746" s="61" t="n">
        <f aca="false">I1746*J1746</f>
        <v>119</v>
      </c>
      <c r="M1746" s="61" t="n">
        <f aca="false">L1746-I1746*K1746</f>
        <v>56</v>
      </c>
      <c r="N1746" s="57" t="n">
        <f aca="false">IF(COUNTIFS(E$2:E1746,E1746,C$2:C1746,C1746)=1,1,0)</f>
        <v>0</v>
      </c>
      <c r="O1746" s="57" t="n">
        <f aca="false">IF(COUNTIFS(E$2:E1746,E1746,C$2:C1746,C1746,D$2:D1746,D1746)=1,1,0)</f>
        <v>0</v>
      </c>
      <c r="P1746" s="57" t="n">
        <f aca="false">IF(AND(C1746=Calc!$C$3,OR(Calc!$C$4=0,D1746=Calc!$C$4)),ROW(),0)</f>
        <v>1746</v>
      </c>
    </row>
    <row r="1747" customFormat="false" ht="15" hidden="false" customHeight="false" outlineLevel="0" collapsed="false">
      <c r="A1747" s="57" t="s">
        <v>2288</v>
      </c>
      <c r="B1747" s="58" t="n">
        <v>45773</v>
      </c>
      <c r="C1747" s="57" t="n">
        <f aca="false">YEAR(B1747)</f>
        <v>2025</v>
      </c>
      <c r="D1747" s="57" t="n">
        <f aca="false">MONTH(B1747)</f>
        <v>4</v>
      </c>
      <c r="E1747" s="57" t="s">
        <v>323</v>
      </c>
      <c r="F1747" s="57" t="s">
        <v>75</v>
      </c>
      <c r="G1747" s="57" t="s">
        <v>40</v>
      </c>
      <c r="H1747" s="57" t="s">
        <v>41</v>
      </c>
      <c r="I1747" s="59" t="n">
        <v>2</v>
      </c>
      <c r="J1747" s="60" t="n">
        <v>46</v>
      </c>
      <c r="K1747" s="60" t="n">
        <v>16</v>
      </c>
      <c r="L1747" s="61" t="n">
        <f aca="false">I1747*J1747</f>
        <v>92</v>
      </c>
      <c r="M1747" s="61" t="n">
        <f aca="false">L1747-I1747*K1747</f>
        <v>60</v>
      </c>
      <c r="N1747" s="57" t="n">
        <f aca="false">IF(COUNTIFS(E$2:E1747,E1747,C$2:C1747,C1747)=1,1,0)</f>
        <v>0</v>
      </c>
      <c r="O1747" s="57" t="n">
        <f aca="false">IF(COUNTIFS(E$2:E1747,E1747,C$2:C1747,C1747,D$2:D1747,D1747)=1,1,0)</f>
        <v>1</v>
      </c>
      <c r="P1747" s="57" t="n">
        <f aca="false">IF(AND(C1747=Calc!$C$3,OR(Calc!$C$4=0,D1747=Calc!$C$4)),ROW(),0)</f>
        <v>1747</v>
      </c>
    </row>
    <row r="1748" customFormat="false" ht="15" hidden="false" customHeight="false" outlineLevel="0" collapsed="false">
      <c r="A1748" s="57" t="s">
        <v>2289</v>
      </c>
      <c r="B1748" s="58" t="n">
        <v>45773</v>
      </c>
      <c r="C1748" s="57" t="n">
        <f aca="false">YEAR(B1748)</f>
        <v>2025</v>
      </c>
      <c r="D1748" s="57" t="n">
        <f aca="false">MONTH(B1748)</f>
        <v>4</v>
      </c>
      <c r="E1748" s="57" t="s">
        <v>488</v>
      </c>
      <c r="F1748" s="57" t="s">
        <v>69</v>
      </c>
      <c r="G1748" s="57" t="s">
        <v>40</v>
      </c>
      <c r="H1748" s="57" t="s">
        <v>43</v>
      </c>
      <c r="I1748" s="59" t="n">
        <v>2</v>
      </c>
      <c r="J1748" s="60" t="n">
        <v>29</v>
      </c>
      <c r="K1748" s="60" t="n">
        <v>9</v>
      </c>
      <c r="L1748" s="61" t="n">
        <f aca="false">I1748*J1748</f>
        <v>58</v>
      </c>
      <c r="M1748" s="61" t="n">
        <f aca="false">L1748-I1748*K1748</f>
        <v>40</v>
      </c>
      <c r="N1748" s="57" t="n">
        <f aca="false">IF(COUNTIFS(E$2:E1748,E1748,C$2:C1748,C1748)=1,1,0)</f>
        <v>1</v>
      </c>
      <c r="O1748" s="57" t="n">
        <f aca="false">IF(COUNTIFS(E$2:E1748,E1748,C$2:C1748,C1748,D$2:D1748,D1748)=1,1,0)</f>
        <v>1</v>
      </c>
      <c r="P1748" s="57" t="n">
        <f aca="false">IF(AND(C1748=Calc!$C$3,OR(Calc!$C$4=0,D1748=Calc!$C$4)),ROW(),0)</f>
        <v>1748</v>
      </c>
    </row>
    <row r="1749" customFormat="false" ht="15" hidden="false" customHeight="false" outlineLevel="0" collapsed="false">
      <c r="A1749" s="57" t="s">
        <v>2290</v>
      </c>
      <c r="B1749" s="58" t="n">
        <v>45774</v>
      </c>
      <c r="C1749" s="57" t="n">
        <f aca="false">YEAR(B1749)</f>
        <v>2025</v>
      </c>
      <c r="D1749" s="57" t="n">
        <f aca="false">MONTH(B1749)</f>
        <v>4</v>
      </c>
      <c r="E1749" s="57" t="s">
        <v>131</v>
      </c>
      <c r="F1749" s="57" t="s">
        <v>72</v>
      </c>
      <c r="G1749" s="57" t="s">
        <v>35</v>
      </c>
      <c r="H1749" s="57" t="s">
        <v>37</v>
      </c>
      <c r="I1749" s="59" t="n">
        <v>1</v>
      </c>
      <c r="J1749" s="60" t="n">
        <v>59</v>
      </c>
      <c r="K1749" s="60" t="n">
        <v>27</v>
      </c>
      <c r="L1749" s="61" t="n">
        <f aca="false">I1749*J1749</f>
        <v>59</v>
      </c>
      <c r="M1749" s="61" t="n">
        <f aca="false">L1749-I1749*K1749</f>
        <v>32</v>
      </c>
      <c r="N1749" s="57" t="n">
        <f aca="false">IF(COUNTIFS(E$2:E1749,E1749,C$2:C1749,C1749)=1,1,0)</f>
        <v>1</v>
      </c>
      <c r="O1749" s="57" t="n">
        <f aca="false">IF(COUNTIFS(E$2:E1749,E1749,C$2:C1749,C1749,D$2:D1749,D1749)=1,1,0)</f>
        <v>1</v>
      </c>
      <c r="P1749" s="57" t="n">
        <f aca="false">IF(AND(C1749=Calc!$C$3,OR(Calc!$C$4=0,D1749=Calc!$C$4)),ROW(),0)</f>
        <v>1749</v>
      </c>
    </row>
    <row r="1750" customFormat="false" ht="15" hidden="false" customHeight="false" outlineLevel="0" collapsed="false">
      <c r="A1750" s="57" t="s">
        <v>2291</v>
      </c>
      <c r="B1750" s="58" t="n">
        <v>45774</v>
      </c>
      <c r="C1750" s="57" t="n">
        <f aca="false">YEAR(B1750)</f>
        <v>2025</v>
      </c>
      <c r="D1750" s="57" t="n">
        <f aca="false">MONTH(B1750)</f>
        <v>4</v>
      </c>
      <c r="E1750" s="57" t="s">
        <v>191</v>
      </c>
      <c r="F1750" s="57" t="s">
        <v>78</v>
      </c>
      <c r="G1750" s="57" t="s">
        <v>50</v>
      </c>
      <c r="H1750" s="57" t="s">
        <v>52</v>
      </c>
      <c r="I1750" s="59" t="n">
        <v>1</v>
      </c>
      <c r="J1750" s="60" t="n">
        <v>45</v>
      </c>
      <c r="K1750" s="60" t="n">
        <v>14</v>
      </c>
      <c r="L1750" s="61" t="n">
        <f aca="false">I1750*J1750</f>
        <v>45</v>
      </c>
      <c r="M1750" s="61" t="n">
        <f aca="false">L1750-I1750*K1750</f>
        <v>31</v>
      </c>
      <c r="N1750" s="57" t="n">
        <f aca="false">IF(COUNTIFS(E$2:E1750,E1750,C$2:C1750,C1750)=1,1,0)</f>
        <v>1</v>
      </c>
      <c r="O1750" s="57" t="n">
        <f aca="false">IF(COUNTIFS(E$2:E1750,E1750,C$2:C1750,C1750,D$2:D1750,D1750)=1,1,0)</f>
        <v>1</v>
      </c>
      <c r="P1750" s="57" t="n">
        <f aca="false">IF(AND(C1750=Calc!$C$3,OR(Calc!$C$4=0,D1750=Calc!$C$4)),ROW(),0)</f>
        <v>1750</v>
      </c>
    </row>
    <row r="1751" customFormat="false" ht="15" hidden="false" customHeight="false" outlineLevel="0" collapsed="false">
      <c r="A1751" s="57" t="s">
        <v>2292</v>
      </c>
      <c r="B1751" s="58" t="n">
        <v>45774</v>
      </c>
      <c r="C1751" s="57" t="n">
        <f aca="false">YEAR(B1751)</f>
        <v>2025</v>
      </c>
      <c r="D1751" s="57" t="n">
        <f aca="false">MONTH(B1751)</f>
        <v>4</v>
      </c>
      <c r="E1751" s="57" t="s">
        <v>374</v>
      </c>
      <c r="F1751" s="57" t="s">
        <v>69</v>
      </c>
      <c r="G1751" s="57" t="s">
        <v>54</v>
      </c>
      <c r="H1751" s="57" t="s">
        <v>56</v>
      </c>
      <c r="I1751" s="59" t="n">
        <v>3</v>
      </c>
      <c r="J1751" s="60" t="n">
        <v>42</v>
      </c>
      <c r="K1751" s="60" t="n">
        <v>17</v>
      </c>
      <c r="L1751" s="61" t="n">
        <f aca="false">I1751*J1751</f>
        <v>126</v>
      </c>
      <c r="M1751" s="61" t="n">
        <f aca="false">L1751-I1751*K1751</f>
        <v>75</v>
      </c>
      <c r="N1751" s="57" t="n">
        <f aca="false">IF(COUNTIFS(E$2:E1751,E1751,C$2:C1751,C1751)=1,1,0)</f>
        <v>1</v>
      </c>
      <c r="O1751" s="57" t="n">
        <f aca="false">IF(COUNTIFS(E$2:E1751,E1751,C$2:C1751,C1751,D$2:D1751,D1751)=1,1,0)</f>
        <v>1</v>
      </c>
      <c r="P1751" s="57" t="n">
        <f aca="false">IF(AND(C1751=Calc!$C$3,OR(Calc!$C$4=0,D1751=Calc!$C$4)),ROW(),0)</f>
        <v>1751</v>
      </c>
    </row>
    <row r="1752" customFormat="false" ht="15" hidden="false" customHeight="false" outlineLevel="0" collapsed="false">
      <c r="A1752" s="57" t="s">
        <v>2293</v>
      </c>
      <c r="B1752" s="58" t="n">
        <v>45775</v>
      </c>
      <c r="C1752" s="57" t="n">
        <f aca="false">YEAR(B1752)</f>
        <v>2025</v>
      </c>
      <c r="D1752" s="57" t="n">
        <f aca="false">MONTH(B1752)</f>
        <v>4</v>
      </c>
      <c r="E1752" s="57" t="s">
        <v>323</v>
      </c>
      <c r="F1752" s="57" t="s">
        <v>75</v>
      </c>
      <c r="G1752" s="57" t="s">
        <v>35</v>
      </c>
      <c r="H1752" s="57" t="s">
        <v>36</v>
      </c>
      <c r="I1752" s="59" t="n">
        <v>1</v>
      </c>
      <c r="J1752" s="60" t="n">
        <v>179</v>
      </c>
      <c r="K1752" s="60" t="n">
        <v>92</v>
      </c>
      <c r="L1752" s="61" t="n">
        <f aca="false">I1752*J1752</f>
        <v>179</v>
      </c>
      <c r="M1752" s="61" t="n">
        <f aca="false">L1752-I1752*K1752</f>
        <v>87</v>
      </c>
      <c r="N1752" s="57" t="n">
        <f aca="false">IF(COUNTIFS(E$2:E1752,E1752,C$2:C1752,C1752)=1,1,0)</f>
        <v>0</v>
      </c>
      <c r="O1752" s="57" t="n">
        <f aca="false">IF(COUNTIFS(E$2:E1752,E1752,C$2:C1752,C1752,D$2:D1752,D1752)=1,1,0)</f>
        <v>0</v>
      </c>
      <c r="P1752" s="57" t="n">
        <f aca="false">IF(AND(C1752=Calc!$C$3,OR(Calc!$C$4=0,D1752=Calc!$C$4)),ROW(),0)</f>
        <v>1752</v>
      </c>
    </row>
    <row r="1753" customFormat="false" ht="15" hidden="false" customHeight="false" outlineLevel="0" collapsed="false">
      <c r="A1753" s="57" t="s">
        <v>2294</v>
      </c>
      <c r="B1753" s="58" t="n">
        <v>45775</v>
      </c>
      <c r="C1753" s="57" t="n">
        <f aca="false">YEAR(B1753)</f>
        <v>2025</v>
      </c>
      <c r="D1753" s="57" t="n">
        <f aca="false">MONTH(B1753)</f>
        <v>4</v>
      </c>
      <c r="E1753" s="57" t="s">
        <v>986</v>
      </c>
      <c r="F1753" s="57" t="s">
        <v>75</v>
      </c>
      <c r="G1753" s="57" t="s">
        <v>50</v>
      </c>
      <c r="H1753" s="57" t="s">
        <v>51</v>
      </c>
      <c r="I1753" s="59" t="n">
        <v>1</v>
      </c>
      <c r="J1753" s="60" t="n">
        <v>69</v>
      </c>
      <c r="K1753" s="60" t="n">
        <v>29</v>
      </c>
      <c r="L1753" s="61" t="n">
        <f aca="false">I1753*J1753</f>
        <v>69</v>
      </c>
      <c r="M1753" s="61" t="n">
        <f aca="false">L1753-I1753*K1753</f>
        <v>40</v>
      </c>
      <c r="N1753" s="57" t="n">
        <f aca="false">IF(COUNTIFS(E$2:E1753,E1753,C$2:C1753,C1753)=1,1,0)</f>
        <v>0</v>
      </c>
      <c r="O1753" s="57" t="n">
        <f aca="false">IF(COUNTIFS(E$2:E1753,E1753,C$2:C1753,C1753,D$2:D1753,D1753)=1,1,0)</f>
        <v>1</v>
      </c>
      <c r="P1753" s="57" t="n">
        <f aca="false">IF(AND(C1753=Calc!$C$3,OR(Calc!$C$4=0,D1753=Calc!$C$4)),ROW(),0)</f>
        <v>1753</v>
      </c>
    </row>
    <row r="1754" customFormat="false" ht="15" hidden="false" customHeight="false" outlineLevel="0" collapsed="false">
      <c r="A1754" s="57" t="s">
        <v>2295</v>
      </c>
      <c r="B1754" s="58" t="n">
        <v>45775</v>
      </c>
      <c r="C1754" s="57" t="n">
        <f aca="false">YEAR(B1754)</f>
        <v>2025</v>
      </c>
      <c r="D1754" s="57" t="n">
        <f aca="false">MONTH(B1754)</f>
        <v>4</v>
      </c>
      <c r="E1754" s="57" t="s">
        <v>296</v>
      </c>
      <c r="F1754" s="57" t="s">
        <v>75</v>
      </c>
      <c r="G1754" s="57" t="s">
        <v>45</v>
      </c>
      <c r="H1754" s="57" t="s">
        <v>48</v>
      </c>
      <c r="I1754" s="59" t="n">
        <v>3</v>
      </c>
      <c r="J1754" s="60" t="n">
        <v>99</v>
      </c>
      <c r="K1754" s="60" t="n">
        <v>38</v>
      </c>
      <c r="L1754" s="61" t="n">
        <f aca="false">I1754*J1754</f>
        <v>297</v>
      </c>
      <c r="M1754" s="61" t="n">
        <f aca="false">L1754-I1754*K1754</f>
        <v>183</v>
      </c>
      <c r="N1754" s="57" t="n">
        <f aca="false">IF(COUNTIFS(E$2:E1754,E1754,C$2:C1754,C1754)=1,1,0)</f>
        <v>0</v>
      </c>
      <c r="O1754" s="57" t="n">
        <f aca="false">IF(COUNTIFS(E$2:E1754,E1754,C$2:C1754,C1754,D$2:D1754,D1754)=1,1,0)</f>
        <v>1</v>
      </c>
      <c r="P1754" s="57" t="n">
        <f aca="false">IF(AND(C1754=Calc!$C$3,OR(Calc!$C$4=0,D1754=Calc!$C$4)),ROW(),0)</f>
        <v>1754</v>
      </c>
    </row>
    <row r="1755" customFormat="false" ht="15" hidden="false" customHeight="false" outlineLevel="0" collapsed="false">
      <c r="A1755" s="57" t="s">
        <v>2296</v>
      </c>
      <c r="B1755" s="58" t="n">
        <v>45776</v>
      </c>
      <c r="C1755" s="57" t="n">
        <f aca="false">YEAR(B1755)</f>
        <v>2025</v>
      </c>
      <c r="D1755" s="57" t="n">
        <f aca="false">MONTH(B1755)</f>
        <v>4</v>
      </c>
      <c r="E1755" s="57" t="s">
        <v>466</v>
      </c>
      <c r="F1755" s="57" t="s">
        <v>72</v>
      </c>
      <c r="G1755" s="57" t="s">
        <v>45</v>
      </c>
      <c r="H1755" s="57" t="s">
        <v>44</v>
      </c>
      <c r="I1755" s="59" t="n">
        <v>1</v>
      </c>
      <c r="J1755" s="60" t="n">
        <v>119</v>
      </c>
      <c r="K1755" s="60" t="n">
        <v>63</v>
      </c>
      <c r="L1755" s="61" t="n">
        <f aca="false">I1755*J1755</f>
        <v>119</v>
      </c>
      <c r="M1755" s="61" t="n">
        <f aca="false">L1755-I1755*K1755</f>
        <v>56</v>
      </c>
      <c r="N1755" s="57" t="n">
        <f aca="false">IF(COUNTIFS(E$2:E1755,E1755,C$2:C1755,C1755)=1,1,0)</f>
        <v>0</v>
      </c>
      <c r="O1755" s="57" t="n">
        <f aca="false">IF(COUNTIFS(E$2:E1755,E1755,C$2:C1755,C1755,D$2:D1755,D1755)=1,1,0)</f>
        <v>1</v>
      </c>
      <c r="P1755" s="57" t="n">
        <f aca="false">IF(AND(C1755=Calc!$C$3,OR(Calc!$C$4=0,D1755=Calc!$C$4)),ROW(),0)</f>
        <v>1755</v>
      </c>
    </row>
    <row r="1756" customFormat="false" ht="15" hidden="false" customHeight="false" outlineLevel="0" collapsed="false">
      <c r="A1756" s="57" t="s">
        <v>2297</v>
      </c>
      <c r="B1756" s="58" t="n">
        <v>45776</v>
      </c>
      <c r="C1756" s="57" t="n">
        <f aca="false">YEAR(B1756)</f>
        <v>2025</v>
      </c>
      <c r="D1756" s="57" t="n">
        <f aca="false">MONTH(B1756)</f>
        <v>4</v>
      </c>
      <c r="E1756" s="57" t="s">
        <v>553</v>
      </c>
      <c r="F1756" s="57" t="s">
        <v>72</v>
      </c>
      <c r="G1756" s="57" t="s">
        <v>35</v>
      </c>
      <c r="H1756" s="57" t="s">
        <v>34</v>
      </c>
      <c r="I1756" s="59" t="n">
        <v>2</v>
      </c>
      <c r="J1756" s="60" t="n">
        <v>89</v>
      </c>
      <c r="K1756" s="60" t="n">
        <v>41</v>
      </c>
      <c r="L1756" s="61" t="n">
        <f aca="false">I1756*J1756</f>
        <v>178</v>
      </c>
      <c r="M1756" s="61" t="n">
        <f aca="false">L1756-I1756*K1756</f>
        <v>96</v>
      </c>
      <c r="N1756" s="57" t="n">
        <f aca="false">IF(COUNTIFS(E$2:E1756,E1756,C$2:C1756,C1756)=1,1,0)</f>
        <v>1</v>
      </c>
      <c r="O1756" s="57" t="n">
        <f aca="false">IF(COUNTIFS(E$2:E1756,E1756,C$2:C1756,C1756,D$2:D1756,D1756)=1,1,0)</f>
        <v>1</v>
      </c>
      <c r="P1756" s="57" t="n">
        <f aca="false">IF(AND(C1756=Calc!$C$3,OR(Calc!$C$4=0,D1756=Calc!$C$4)),ROW(),0)</f>
        <v>1756</v>
      </c>
    </row>
    <row r="1757" customFormat="false" ht="15" hidden="false" customHeight="false" outlineLevel="0" collapsed="false">
      <c r="A1757" s="57" t="s">
        <v>2298</v>
      </c>
      <c r="B1757" s="58" t="n">
        <v>45776</v>
      </c>
      <c r="C1757" s="57" t="n">
        <f aca="false">YEAR(B1757)</f>
        <v>2025</v>
      </c>
      <c r="D1757" s="57" t="n">
        <f aca="false">MONTH(B1757)</f>
        <v>4</v>
      </c>
      <c r="E1757" s="57" t="s">
        <v>361</v>
      </c>
      <c r="F1757" s="57" t="s">
        <v>69</v>
      </c>
      <c r="G1757" s="57" t="s">
        <v>35</v>
      </c>
      <c r="H1757" s="57" t="s">
        <v>37</v>
      </c>
      <c r="I1757" s="59" t="n">
        <v>2</v>
      </c>
      <c r="J1757" s="60" t="n">
        <v>59</v>
      </c>
      <c r="K1757" s="60" t="n">
        <v>27</v>
      </c>
      <c r="L1757" s="61" t="n">
        <f aca="false">I1757*J1757</f>
        <v>118</v>
      </c>
      <c r="M1757" s="61" t="n">
        <f aca="false">L1757-I1757*K1757</f>
        <v>64</v>
      </c>
      <c r="N1757" s="57" t="n">
        <f aca="false">IF(COUNTIFS(E$2:E1757,E1757,C$2:C1757,C1757)=1,1,0)</f>
        <v>0</v>
      </c>
      <c r="O1757" s="57" t="n">
        <f aca="false">IF(COUNTIFS(E$2:E1757,E1757,C$2:C1757,C1757,D$2:D1757,D1757)=1,1,0)</f>
        <v>1</v>
      </c>
      <c r="P1757" s="57" t="n">
        <f aca="false">IF(AND(C1757=Calc!$C$3,OR(Calc!$C$4=0,D1757=Calc!$C$4)),ROW(),0)</f>
        <v>1757</v>
      </c>
    </row>
    <row r="1758" customFormat="false" ht="15" hidden="false" customHeight="false" outlineLevel="0" collapsed="false">
      <c r="A1758" s="57" t="s">
        <v>2299</v>
      </c>
      <c r="B1758" s="58" t="n">
        <v>45777</v>
      </c>
      <c r="C1758" s="57" t="n">
        <f aca="false">YEAR(B1758)</f>
        <v>2025</v>
      </c>
      <c r="D1758" s="57" t="n">
        <f aca="false">MONTH(B1758)</f>
        <v>4</v>
      </c>
      <c r="E1758" s="57" t="s">
        <v>1032</v>
      </c>
      <c r="F1758" s="57" t="s">
        <v>75</v>
      </c>
      <c r="G1758" s="57" t="s">
        <v>35</v>
      </c>
      <c r="H1758" s="57" t="s">
        <v>37</v>
      </c>
      <c r="I1758" s="59" t="n">
        <v>1</v>
      </c>
      <c r="J1758" s="60" t="n">
        <v>59</v>
      </c>
      <c r="K1758" s="60" t="n">
        <v>27</v>
      </c>
      <c r="L1758" s="61" t="n">
        <f aca="false">I1758*J1758</f>
        <v>59</v>
      </c>
      <c r="M1758" s="61" t="n">
        <f aca="false">L1758-I1758*K1758</f>
        <v>32</v>
      </c>
      <c r="N1758" s="57" t="n">
        <f aca="false">IF(COUNTIFS(E$2:E1758,E1758,C$2:C1758,C1758)=1,1,0)</f>
        <v>1</v>
      </c>
      <c r="O1758" s="57" t="n">
        <f aca="false">IF(COUNTIFS(E$2:E1758,E1758,C$2:C1758,C1758,D$2:D1758,D1758)=1,1,0)</f>
        <v>1</v>
      </c>
      <c r="P1758" s="57" t="n">
        <f aca="false">IF(AND(C1758=Calc!$C$3,OR(Calc!$C$4=0,D1758=Calc!$C$4)),ROW(),0)</f>
        <v>1758</v>
      </c>
    </row>
    <row r="1759" customFormat="false" ht="15" hidden="false" customHeight="false" outlineLevel="0" collapsed="false">
      <c r="A1759" s="57" t="s">
        <v>2300</v>
      </c>
      <c r="B1759" s="58" t="n">
        <v>45777</v>
      </c>
      <c r="C1759" s="57" t="n">
        <f aca="false">YEAR(B1759)</f>
        <v>2025</v>
      </c>
      <c r="D1759" s="57" t="n">
        <f aca="false">MONTH(B1759)</f>
        <v>4</v>
      </c>
      <c r="E1759" s="57" t="s">
        <v>965</v>
      </c>
      <c r="F1759" s="57" t="s">
        <v>72</v>
      </c>
      <c r="G1759" s="57" t="s">
        <v>54</v>
      </c>
      <c r="H1759" s="57" t="s">
        <v>56</v>
      </c>
      <c r="I1759" s="59" t="n">
        <v>1</v>
      </c>
      <c r="J1759" s="60" t="n">
        <v>42</v>
      </c>
      <c r="K1759" s="60" t="n">
        <v>17</v>
      </c>
      <c r="L1759" s="61" t="n">
        <f aca="false">I1759*J1759</f>
        <v>42</v>
      </c>
      <c r="M1759" s="61" t="n">
        <f aca="false">L1759-I1759*K1759</f>
        <v>25</v>
      </c>
      <c r="N1759" s="57" t="n">
        <f aca="false">IF(COUNTIFS(E$2:E1759,E1759,C$2:C1759,C1759)=1,1,0)</f>
        <v>0</v>
      </c>
      <c r="O1759" s="57" t="n">
        <f aca="false">IF(COUNTIFS(E$2:E1759,E1759,C$2:C1759,C1759,D$2:D1759,D1759)=1,1,0)</f>
        <v>0</v>
      </c>
      <c r="P1759" s="57" t="n">
        <f aca="false">IF(AND(C1759=Calc!$C$3,OR(Calc!$C$4=0,D1759=Calc!$C$4)),ROW(),0)</f>
        <v>1759</v>
      </c>
    </row>
    <row r="1760" customFormat="false" ht="15" hidden="false" customHeight="false" outlineLevel="0" collapsed="false">
      <c r="A1760" s="57" t="s">
        <v>2301</v>
      </c>
      <c r="B1760" s="58" t="n">
        <v>45777</v>
      </c>
      <c r="C1760" s="57" t="n">
        <f aca="false">YEAR(B1760)</f>
        <v>2025</v>
      </c>
      <c r="D1760" s="57" t="n">
        <f aca="false">MONTH(B1760)</f>
        <v>4</v>
      </c>
      <c r="E1760" s="57" t="s">
        <v>409</v>
      </c>
      <c r="F1760" s="57" t="s">
        <v>75</v>
      </c>
      <c r="G1760" s="57" t="s">
        <v>45</v>
      </c>
      <c r="H1760" s="57" t="s">
        <v>44</v>
      </c>
      <c r="I1760" s="59" t="n">
        <v>1</v>
      </c>
      <c r="J1760" s="60" t="n">
        <v>119</v>
      </c>
      <c r="K1760" s="60" t="n">
        <v>63</v>
      </c>
      <c r="L1760" s="61" t="n">
        <f aca="false">I1760*J1760</f>
        <v>119</v>
      </c>
      <c r="M1760" s="61" t="n">
        <f aca="false">L1760-I1760*K1760</f>
        <v>56</v>
      </c>
      <c r="N1760" s="57" t="n">
        <f aca="false">IF(COUNTIFS(E$2:E1760,E1760,C$2:C1760,C1760)=1,1,0)</f>
        <v>0</v>
      </c>
      <c r="O1760" s="57" t="n">
        <f aca="false">IF(COUNTIFS(E$2:E1760,E1760,C$2:C1760,C1760,D$2:D1760,D1760)=1,1,0)</f>
        <v>1</v>
      </c>
      <c r="P1760" s="57" t="n">
        <f aca="false">IF(AND(C1760=Calc!$C$3,OR(Calc!$C$4=0,D1760=Calc!$C$4)),ROW(),0)</f>
        <v>1760</v>
      </c>
    </row>
    <row r="1761" customFormat="false" ht="15" hidden="false" customHeight="false" outlineLevel="0" collapsed="false">
      <c r="A1761" s="57" t="s">
        <v>2302</v>
      </c>
      <c r="B1761" s="58" t="n">
        <v>45777</v>
      </c>
      <c r="C1761" s="57" t="n">
        <f aca="false">YEAR(B1761)</f>
        <v>2025</v>
      </c>
      <c r="D1761" s="57" t="n">
        <f aca="false">MONTH(B1761)</f>
        <v>4</v>
      </c>
      <c r="E1761" s="57" t="s">
        <v>142</v>
      </c>
      <c r="F1761" s="57" t="s">
        <v>78</v>
      </c>
      <c r="G1761" s="57" t="s">
        <v>40</v>
      </c>
      <c r="H1761" s="57" t="s">
        <v>41</v>
      </c>
      <c r="I1761" s="59" t="n">
        <v>1</v>
      </c>
      <c r="J1761" s="60" t="n">
        <v>46</v>
      </c>
      <c r="K1761" s="60" t="n">
        <v>16</v>
      </c>
      <c r="L1761" s="61" t="n">
        <f aca="false">I1761*J1761</f>
        <v>46</v>
      </c>
      <c r="M1761" s="61" t="n">
        <f aca="false">L1761-I1761*K1761</f>
        <v>30</v>
      </c>
      <c r="N1761" s="57" t="n">
        <f aca="false">IF(COUNTIFS(E$2:E1761,E1761,C$2:C1761,C1761)=1,1,0)</f>
        <v>0</v>
      </c>
      <c r="O1761" s="57" t="n">
        <f aca="false">IF(COUNTIFS(E$2:E1761,E1761,C$2:C1761,C1761,D$2:D1761,D1761)=1,1,0)</f>
        <v>0</v>
      </c>
      <c r="P1761" s="57" t="n">
        <f aca="false">IF(AND(C1761=Calc!$C$3,OR(Calc!$C$4=0,D1761=Calc!$C$4)),ROW(),0)</f>
        <v>1761</v>
      </c>
    </row>
    <row r="1762" customFormat="false" ht="15" hidden="false" customHeight="false" outlineLevel="0" collapsed="false">
      <c r="A1762" s="57" t="s">
        <v>2303</v>
      </c>
      <c r="B1762" s="58" t="n">
        <v>45777</v>
      </c>
      <c r="C1762" s="57" t="n">
        <f aca="false">YEAR(B1762)</f>
        <v>2025</v>
      </c>
      <c r="D1762" s="57" t="n">
        <f aca="false">MONTH(B1762)</f>
        <v>4</v>
      </c>
      <c r="E1762" s="57" t="s">
        <v>1478</v>
      </c>
      <c r="F1762" s="57" t="s">
        <v>69</v>
      </c>
      <c r="G1762" s="57" t="s">
        <v>45</v>
      </c>
      <c r="H1762" s="57" t="s">
        <v>47</v>
      </c>
      <c r="I1762" s="59" t="n">
        <v>1</v>
      </c>
      <c r="J1762" s="60" t="n">
        <v>34</v>
      </c>
      <c r="K1762" s="60" t="n">
        <v>12</v>
      </c>
      <c r="L1762" s="61" t="n">
        <f aca="false">I1762*J1762</f>
        <v>34</v>
      </c>
      <c r="M1762" s="61" t="n">
        <f aca="false">L1762-I1762*K1762</f>
        <v>22</v>
      </c>
      <c r="N1762" s="57" t="n">
        <f aca="false">IF(COUNTIFS(E$2:E1762,E1762,C$2:C1762,C1762)=1,1,0)</f>
        <v>0</v>
      </c>
      <c r="O1762" s="57" t="n">
        <f aca="false">IF(COUNTIFS(E$2:E1762,E1762,C$2:C1762,C1762,D$2:D1762,D1762)=1,1,0)</f>
        <v>1</v>
      </c>
      <c r="P1762" s="57" t="n">
        <f aca="false">IF(AND(C1762=Calc!$C$3,OR(Calc!$C$4=0,D1762=Calc!$C$4)),ROW(),0)</f>
        <v>1762</v>
      </c>
    </row>
    <row r="1763" customFormat="false" ht="15" hidden="false" customHeight="false" outlineLevel="0" collapsed="false">
      <c r="A1763" s="57" t="s">
        <v>2304</v>
      </c>
      <c r="B1763" s="58" t="n">
        <v>45778</v>
      </c>
      <c r="C1763" s="57" t="n">
        <f aca="false">YEAR(B1763)</f>
        <v>2025</v>
      </c>
      <c r="D1763" s="57" t="n">
        <f aca="false">MONTH(B1763)</f>
        <v>5</v>
      </c>
      <c r="E1763" s="57" t="s">
        <v>386</v>
      </c>
      <c r="F1763" s="57" t="s">
        <v>78</v>
      </c>
      <c r="G1763" s="57" t="s">
        <v>35</v>
      </c>
      <c r="H1763" s="57" t="s">
        <v>34</v>
      </c>
      <c r="I1763" s="59" t="n">
        <v>2</v>
      </c>
      <c r="J1763" s="60" t="n">
        <v>89</v>
      </c>
      <c r="K1763" s="60" t="n">
        <v>41</v>
      </c>
      <c r="L1763" s="61" t="n">
        <f aca="false">I1763*J1763</f>
        <v>178</v>
      </c>
      <c r="M1763" s="61" t="n">
        <f aca="false">L1763-I1763*K1763</f>
        <v>96</v>
      </c>
      <c r="N1763" s="57" t="n">
        <f aca="false">IF(COUNTIFS(E$2:E1763,E1763,C$2:C1763,C1763)=1,1,0)</f>
        <v>0</v>
      </c>
      <c r="O1763" s="57" t="n">
        <f aca="false">IF(COUNTIFS(E$2:E1763,E1763,C$2:C1763,C1763,D$2:D1763,D1763)=1,1,0)</f>
        <v>1</v>
      </c>
      <c r="P1763" s="57" t="n">
        <f aca="false">IF(AND(C1763=Calc!$C$3,OR(Calc!$C$4=0,D1763=Calc!$C$4)),ROW(),0)</f>
        <v>1763</v>
      </c>
    </row>
    <row r="1764" customFormat="false" ht="15" hidden="false" customHeight="false" outlineLevel="0" collapsed="false">
      <c r="A1764" s="57" t="s">
        <v>2305</v>
      </c>
      <c r="B1764" s="58" t="n">
        <v>45778</v>
      </c>
      <c r="C1764" s="57" t="n">
        <f aca="false">YEAR(B1764)</f>
        <v>2025</v>
      </c>
      <c r="D1764" s="57" t="n">
        <f aca="false">MONTH(B1764)</f>
        <v>5</v>
      </c>
      <c r="E1764" s="57" t="s">
        <v>183</v>
      </c>
      <c r="F1764" s="57" t="s">
        <v>72</v>
      </c>
      <c r="G1764" s="57" t="s">
        <v>40</v>
      </c>
      <c r="H1764" s="57" t="s">
        <v>43</v>
      </c>
      <c r="I1764" s="59" t="n">
        <v>2</v>
      </c>
      <c r="J1764" s="60" t="n">
        <v>29</v>
      </c>
      <c r="K1764" s="60" t="n">
        <v>9</v>
      </c>
      <c r="L1764" s="61" t="n">
        <f aca="false">I1764*J1764</f>
        <v>58</v>
      </c>
      <c r="M1764" s="61" t="n">
        <f aca="false">L1764-I1764*K1764</f>
        <v>40</v>
      </c>
      <c r="N1764" s="57" t="n">
        <f aca="false">IF(COUNTIFS(E$2:E1764,E1764,C$2:C1764,C1764)=1,1,0)</f>
        <v>0</v>
      </c>
      <c r="O1764" s="57" t="n">
        <f aca="false">IF(COUNTIFS(E$2:E1764,E1764,C$2:C1764,C1764,D$2:D1764,D1764)=1,1,0)</f>
        <v>1</v>
      </c>
      <c r="P1764" s="57" t="n">
        <f aca="false">IF(AND(C1764=Calc!$C$3,OR(Calc!$C$4=0,D1764=Calc!$C$4)),ROW(),0)</f>
        <v>1764</v>
      </c>
    </row>
    <row r="1765" customFormat="false" ht="15" hidden="false" customHeight="false" outlineLevel="0" collapsed="false">
      <c r="A1765" s="57" t="s">
        <v>2306</v>
      </c>
      <c r="B1765" s="58" t="n">
        <v>45778</v>
      </c>
      <c r="C1765" s="57" t="n">
        <f aca="false">YEAR(B1765)</f>
        <v>2025</v>
      </c>
      <c r="D1765" s="57" t="n">
        <f aca="false">MONTH(B1765)</f>
        <v>5</v>
      </c>
      <c r="E1765" s="57" t="s">
        <v>2307</v>
      </c>
      <c r="F1765" s="57" t="s">
        <v>72</v>
      </c>
      <c r="G1765" s="57" t="s">
        <v>40</v>
      </c>
      <c r="H1765" s="57" t="s">
        <v>43</v>
      </c>
      <c r="I1765" s="59" t="n">
        <v>1</v>
      </c>
      <c r="J1765" s="60" t="n">
        <v>29</v>
      </c>
      <c r="K1765" s="60" t="n">
        <v>9</v>
      </c>
      <c r="L1765" s="61" t="n">
        <f aca="false">I1765*J1765</f>
        <v>29</v>
      </c>
      <c r="M1765" s="61" t="n">
        <f aca="false">L1765-I1765*K1765</f>
        <v>20</v>
      </c>
      <c r="N1765" s="57" t="n">
        <f aca="false">IF(COUNTIFS(E$2:E1765,E1765,C$2:C1765,C1765)=1,1,0)</f>
        <v>1</v>
      </c>
      <c r="O1765" s="57" t="n">
        <f aca="false">IF(COUNTIFS(E$2:E1765,E1765,C$2:C1765,C1765,D$2:D1765,D1765)=1,1,0)</f>
        <v>1</v>
      </c>
      <c r="P1765" s="57" t="n">
        <f aca="false">IF(AND(C1765=Calc!$C$3,OR(Calc!$C$4=0,D1765=Calc!$C$4)),ROW(),0)</f>
        <v>1765</v>
      </c>
    </row>
    <row r="1766" customFormat="false" ht="15" hidden="false" customHeight="false" outlineLevel="0" collapsed="false">
      <c r="A1766" s="57" t="s">
        <v>2308</v>
      </c>
      <c r="B1766" s="58" t="n">
        <v>45778</v>
      </c>
      <c r="C1766" s="57" t="n">
        <f aca="false">YEAR(B1766)</f>
        <v>2025</v>
      </c>
      <c r="D1766" s="57" t="n">
        <f aca="false">MONTH(B1766)</f>
        <v>5</v>
      </c>
      <c r="E1766" s="57" t="s">
        <v>206</v>
      </c>
      <c r="F1766" s="57" t="s">
        <v>78</v>
      </c>
      <c r="G1766" s="57" t="s">
        <v>40</v>
      </c>
      <c r="H1766" s="57" t="s">
        <v>42</v>
      </c>
      <c r="I1766" s="59" t="n">
        <v>1</v>
      </c>
      <c r="J1766" s="60" t="n">
        <v>79</v>
      </c>
      <c r="K1766" s="60" t="n">
        <v>31</v>
      </c>
      <c r="L1766" s="61" t="n">
        <f aca="false">I1766*J1766</f>
        <v>79</v>
      </c>
      <c r="M1766" s="61" t="n">
        <f aca="false">L1766-I1766*K1766</f>
        <v>48</v>
      </c>
      <c r="N1766" s="57" t="n">
        <f aca="false">IF(COUNTIFS(E$2:E1766,E1766,C$2:C1766,C1766)=1,1,0)</f>
        <v>0</v>
      </c>
      <c r="O1766" s="57" t="n">
        <f aca="false">IF(COUNTIFS(E$2:E1766,E1766,C$2:C1766,C1766,D$2:D1766,D1766)=1,1,0)</f>
        <v>1</v>
      </c>
      <c r="P1766" s="57" t="n">
        <f aca="false">IF(AND(C1766=Calc!$C$3,OR(Calc!$C$4=0,D1766=Calc!$C$4)),ROW(),0)</f>
        <v>1766</v>
      </c>
    </row>
    <row r="1767" customFormat="false" ht="15" hidden="false" customHeight="false" outlineLevel="0" collapsed="false">
      <c r="A1767" s="57" t="s">
        <v>2309</v>
      </c>
      <c r="B1767" s="58" t="n">
        <v>45778</v>
      </c>
      <c r="C1767" s="57" t="n">
        <f aca="false">YEAR(B1767)</f>
        <v>2025</v>
      </c>
      <c r="D1767" s="57" t="n">
        <f aca="false">MONTH(B1767)</f>
        <v>5</v>
      </c>
      <c r="E1767" s="57" t="s">
        <v>973</v>
      </c>
      <c r="F1767" s="57" t="s">
        <v>78</v>
      </c>
      <c r="G1767" s="57" t="s">
        <v>35</v>
      </c>
      <c r="H1767" s="57" t="s">
        <v>36</v>
      </c>
      <c r="I1767" s="59" t="n">
        <v>1</v>
      </c>
      <c r="J1767" s="60" t="n">
        <v>179</v>
      </c>
      <c r="K1767" s="60" t="n">
        <v>92</v>
      </c>
      <c r="L1767" s="61" t="n">
        <f aca="false">I1767*J1767</f>
        <v>179</v>
      </c>
      <c r="M1767" s="61" t="n">
        <f aca="false">L1767-I1767*K1767</f>
        <v>87</v>
      </c>
      <c r="N1767" s="57" t="n">
        <f aca="false">IF(COUNTIFS(E$2:E1767,E1767,C$2:C1767,C1767)=1,1,0)</f>
        <v>0</v>
      </c>
      <c r="O1767" s="57" t="n">
        <f aca="false">IF(COUNTIFS(E$2:E1767,E1767,C$2:C1767,C1767,D$2:D1767,D1767)=1,1,0)</f>
        <v>1</v>
      </c>
      <c r="P1767" s="57" t="n">
        <f aca="false">IF(AND(C1767=Calc!$C$3,OR(Calc!$C$4=0,D1767=Calc!$C$4)),ROW(),0)</f>
        <v>1767</v>
      </c>
    </row>
    <row r="1768" customFormat="false" ht="15" hidden="false" customHeight="false" outlineLevel="0" collapsed="false">
      <c r="A1768" s="57" t="s">
        <v>2310</v>
      </c>
      <c r="B1768" s="58" t="n">
        <v>45779</v>
      </c>
      <c r="C1768" s="57" t="n">
        <f aca="false">YEAR(B1768)</f>
        <v>2025</v>
      </c>
      <c r="D1768" s="57" t="n">
        <f aca="false">MONTH(B1768)</f>
        <v>5</v>
      </c>
      <c r="E1768" s="57" t="s">
        <v>355</v>
      </c>
      <c r="F1768" s="57" t="s">
        <v>78</v>
      </c>
      <c r="G1768" s="57" t="s">
        <v>40</v>
      </c>
      <c r="H1768" s="57" t="s">
        <v>41</v>
      </c>
      <c r="I1768" s="59" t="n">
        <v>1</v>
      </c>
      <c r="J1768" s="60" t="n">
        <v>46</v>
      </c>
      <c r="K1768" s="60" t="n">
        <v>16</v>
      </c>
      <c r="L1768" s="61" t="n">
        <f aca="false">I1768*J1768</f>
        <v>46</v>
      </c>
      <c r="M1768" s="61" t="n">
        <f aca="false">L1768-I1768*K1768</f>
        <v>30</v>
      </c>
      <c r="N1768" s="57" t="n">
        <f aca="false">IF(COUNTIFS(E$2:E1768,E1768,C$2:C1768,C1768)=1,1,0)</f>
        <v>1</v>
      </c>
      <c r="O1768" s="57" t="n">
        <f aca="false">IF(COUNTIFS(E$2:E1768,E1768,C$2:C1768,C1768,D$2:D1768,D1768)=1,1,0)</f>
        <v>1</v>
      </c>
      <c r="P1768" s="57" t="n">
        <f aca="false">IF(AND(C1768=Calc!$C$3,OR(Calc!$C$4=0,D1768=Calc!$C$4)),ROW(),0)</f>
        <v>1768</v>
      </c>
    </row>
    <row r="1769" customFormat="false" ht="15" hidden="false" customHeight="false" outlineLevel="0" collapsed="false">
      <c r="A1769" s="57" t="s">
        <v>2311</v>
      </c>
      <c r="B1769" s="58" t="n">
        <v>45779</v>
      </c>
      <c r="C1769" s="57" t="n">
        <f aca="false">YEAR(B1769)</f>
        <v>2025</v>
      </c>
      <c r="D1769" s="57" t="n">
        <f aca="false">MONTH(B1769)</f>
        <v>5</v>
      </c>
      <c r="E1769" s="57" t="s">
        <v>450</v>
      </c>
      <c r="F1769" s="57" t="s">
        <v>81</v>
      </c>
      <c r="G1769" s="57" t="s">
        <v>35</v>
      </c>
      <c r="H1769" s="57" t="s">
        <v>36</v>
      </c>
      <c r="I1769" s="59" t="n">
        <v>1</v>
      </c>
      <c r="J1769" s="60" t="n">
        <v>179</v>
      </c>
      <c r="K1769" s="60" t="n">
        <v>92</v>
      </c>
      <c r="L1769" s="61" t="n">
        <f aca="false">I1769*J1769</f>
        <v>179</v>
      </c>
      <c r="M1769" s="61" t="n">
        <f aca="false">L1769-I1769*K1769</f>
        <v>87</v>
      </c>
      <c r="N1769" s="57" t="n">
        <f aca="false">IF(COUNTIFS(E$2:E1769,E1769,C$2:C1769,C1769)=1,1,0)</f>
        <v>0</v>
      </c>
      <c r="O1769" s="57" t="n">
        <f aca="false">IF(COUNTIFS(E$2:E1769,E1769,C$2:C1769,C1769,D$2:D1769,D1769)=1,1,0)</f>
        <v>1</v>
      </c>
      <c r="P1769" s="57" t="n">
        <f aca="false">IF(AND(C1769=Calc!$C$3,OR(Calc!$C$4=0,D1769=Calc!$C$4)),ROW(),0)</f>
        <v>1769</v>
      </c>
    </row>
    <row r="1770" customFormat="false" ht="15" hidden="false" customHeight="false" outlineLevel="0" collapsed="false">
      <c r="A1770" s="57" t="s">
        <v>2312</v>
      </c>
      <c r="B1770" s="58" t="n">
        <v>45779</v>
      </c>
      <c r="C1770" s="57" t="n">
        <f aca="false">YEAR(B1770)</f>
        <v>2025</v>
      </c>
      <c r="D1770" s="57" t="n">
        <f aca="false">MONTH(B1770)</f>
        <v>5</v>
      </c>
      <c r="E1770" s="57" t="s">
        <v>181</v>
      </c>
      <c r="F1770" s="57" t="s">
        <v>69</v>
      </c>
      <c r="G1770" s="57" t="s">
        <v>45</v>
      </c>
      <c r="H1770" s="57" t="s">
        <v>47</v>
      </c>
      <c r="I1770" s="59" t="n">
        <v>2</v>
      </c>
      <c r="J1770" s="60" t="n">
        <v>34</v>
      </c>
      <c r="K1770" s="60" t="n">
        <v>12</v>
      </c>
      <c r="L1770" s="61" t="n">
        <f aca="false">I1770*J1770</f>
        <v>68</v>
      </c>
      <c r="M1770" s="61" t="n">
        <f aca="false">L1770-I1770*K1770</f>
        <v>44</v>
      </c>
      <c r="N1770" s="57" t="n">
        <f aca="false">IF(COUNTIFS(E$2:E1770,E1770,C$2:C1770,C1770)=1,1,0)</f>
        <v>0</v>
      </c>
      <c r="O1770" s="57" t="n">
        <f aca="false">IF(COUNTIFS(E$2:E1770,E1770,C$2:C1770,C1770,D$2:D1770,D1770)=1,1,0)</f>
        <v>1</v>
      </c>
      <c r="P1770" s="57" t="n">
        <f aca="false">IF(AND(C1770=Calc!$C$3,OR(Calc!$C$4=0,D1770=Calc!$C$4)),ROW(),0)</f>
        <v>1770</v>
      </c>
    </row>
    <row r="1771" customFormat="false" ht="15" hidden="false" customHeight="false" outlineLevel="0" collapsed="false">
      <c r="A1771" s="57" t="s">
        <v>2313</v>
      </c>
      <c r="B1771" s="58" t="n">
        <v>45780</v>
      </c>
      <c r="C1771" s="57" t="n">
        <f aca="false">YEAR(B1771)</f>
        <v>2025</v>
      </c>
      <c r="D1771" s="57" t="n">
        <f aca="false">MONTH(B1771)</f>
        <v>5</v>
      </c>
      <c r="E1771" s="57" t="s">
        <v>390</v>
      </c>
      <c r="F1771" s="57" t="s">
        <v>72</v>
      </c>
      <c r="G1771" s="57" t="s">
        <v>40</v>
      </c>
      <c r="H1771" s="57" t="s">
        <v>39</v>
      </c>
      <c r="I1771" s="59" t="n">
        <v>1</v>
      </c>
      <c r="J1771" s="60" t="n">
        <v>54</v>
      </c>
      <c r="K1771" s="60" t="n">
        <v>19</v>
      </c>
      <c r="L1771" s="61" t="n">
        <f aca="false">I1771*J1771</f>
        <v>54</v>
      </c>
      <c r="M1771" s="61" t="n">
        <f aca="false">L1771-I1771*K1771</f>
        <v>35</v>
      </c>
      <c r="N1771" s="57" t="n">
        <f aca="false">IF(COUNTIFS(E$2:E1771,E1771,C$2:C1771,C1771)=1,1,0)</f>
        <v>0</v>
      </c>
      <c r="O1771" s="57" t="n">
        <f aca="false">IF(COUNTIFS(E$2:E1771,E1771,C$2:C1771,C1771,D$2:D1771,D1771)=1,1,0)</f>
        <v>1</v>
      </c>
      <c r="P1771" s="57" t="n">
        <f aca="false">IF(AND(C1771=Calc!$C$3,OR(Calc!$C$4=0,D1771=Calc!$C$4)),ROW(),0)</f>
        <v>1771</v>
      </c>
    </row>
    <row r="1772" customFormat="false" ht="15" hidden="false" customHeight="false" outlineLevel="0" collapsed="false">
      <c r="A1772" s="57" t="s">
        <v>2314</v>
      </c>
      <c r="B1772" s="58" t="n">
        <v>45780</v>
      </c>
      <c r="C1772" s="57" t="n">
        <f aca="false">YEAR(B1772)</f>
        <v>2025</v>
      </c>
      <c r="D1772" s="57" t="n">
        <f aca="false">MONTH(B1772)</f>
        <v>5</v>
      </c>
      <c r="E1772" s="57" t="s">
        <v>256</v>
      </c>
      <c r="F1772" s="57" t="s">
        <v>69</v>
      </c>
      <c r="G1772" s="57" t="s">
        <v>50</v>
      </c>
      <c r="H1772" s="57" t="s">
        <v>49</v>
      </c>
      <c r="I1772" s="59" t="n">
        <v>1</v>
      </c>
      <c r="J1772" s="60" t="n">
        <v>32</v>
      </c>
      <c r="K1772" s="60" t="n">
        <v>7</v>
      </c>
      <c r="L1772" s="61" t="n">
        <f aca="false">I1772*J1772</f>
        <v>32</v>
      </c>
      <c r="M1772" s="61" t="n">
        <f aca="false">L1772-I1772*K1772</f>
        <v>25</v>
      </c>
      <c r="N1772" s="57" t="n">
        <f aca="false">IF(COUNTIFS(E$2:E1772,E1772,C$2:C1772,C1772)=1,1,0)</f>
        <v>0</v>
      </c>
      <c r="O1772" s="57" t="n">
        <f aca="false">IF(COUNTIFS(E$2:E1772,E1772,C$2:C1772,C1772,D$2:D1772,D1772)=1,1,0)</f>
        <v>1</v>
      </c>
      <c r="P1772" s="57" t="n">
        <f aca="false">IF(AND(C1772=Calc!$C$3,OR(Calc!$C$4=0,D1772=Calc!$C$4)),ROW(),0)</f>
        <v>1772</v>
      </c>
    </row>
    <row r="1773" customFormat="false" ht="15" hidden="false" customHeight="false" outlineLevel="0" collapsed="false">
      <c r="A1773" s="57" t="s">
        <v>2315</v>
      </c>
      <c r="B1773" s="58" t="n">
        <v>45780</v>
      </c>
      <c r="C1773" s="57" t="n">
        <f aca="false">YEAR(B1773)</f>
        <v>2025</v>
      </c>
      <c r="D1773" s="57" t="n">
        <f aca="false">MONTH(B1773)</f>
        <v>5</v>
      </c>
      <c r="E1773" s="57" t="s">
        <v>311</v>
      </c>
      <c r="F1773" s="57" t="s">
        <v>69</v>
      </c>
      <c r="G1773" s="57" t="s">
        <v>40</v>
      </c>
      <c r="H1773" s="57" t="s">
        <v>41</v>
      </c>
      <c r="I1773" s="59" t="n">
        <v>2</v>
      </c>
      <c r="J1773" s="60" t="n">
        <v>46</v>
      </c>
      <c r="K1773" s="60" t="n">
        <v>16</v>
      </c>
      <c r="L1773" s="61" t="n">
        <f aca="false">I1773*J1773</f>
        <v>92</v>
      </c>
      <c r="M1773" s="61" t="n">
        <f aca="false">L1773-I1773*K1773</f>
        <v>60</v>
      </c>
      <c r="N1773" s="57" t="n">
        <f aca="false">IF(COUNTIFS(E$2:E1773,E1773,C$2:C1773,C1773)=1,1,0)</f>
        <v>1</v>
      </c>
      <c r="O1773" s="57" t="n">
        <f aca="false">IF(COUNTIFS(E$2:E1773,E1773,C$2:C1773,C1773,D$2:D1773,D1773)=1,1,0)</f>
        <v>1</v>
      </c>
      <c r="P1773" s="57" t="n">
        <f aca="false">IF(AND(C1773=Calc!$C$3,OR(Calc!$C$4=0,D1773=Calc!$C$4)),ROW(),0)</f>
        <v>1773</v>
      </c>
    </row>
    <row r="1774" customFormat="false" ht="15" hidden="false" customHeight="false" outlineLevel="0" collapsed="false">
      <c r="A1774" s="57" t="s">
        <v>2316</v>
      </c>
      <c r="B1774" s="58" t="n">
        <v>45781</v>
      </c>
      <c r="C1774" s="57" t="n">
        <f aca="false">YEAR(B1774)</f>
        <v>2025</v>
      </c>
      <c r="D1774" s="57" t="n">
        <f aca="false">MONTH(B1774)</f>
        <v>5</v>
      </c>
      <c r="E1774" s="57" t="s">
        <v>601</v>
      </c>
      <c r="F1774" s="57" t="s">
        <v>78</v>
      </c>
      <c r="G1774" s="57" t="s">
        <v>40</v>
      </c>
      <c r="H1774" s="57" t="s">
        <v>43</v>
      </c>
      <c r="I1774" s="59" t="n">
        <v>2</v>
      </c>
      <c r="J1774" s="60" t="n">
        <v>29</v>
      </c>
      <c r="K1774" s="60" t="n">
        <v>9</v>
      </c>
      <c r="L1774" s="61" t="n">
        <f aca="false">I1774*J1774</f>
        <v>58</v>
      </c>
      <c r="M1774" s="61" t="n">
        <f aca="false">L1774-I1774*K1774</f>
        <v>40</v>
      </c>
      <c r="N1774" s="57" t="n">
        <f aca="false">IF(COUNTIFS(E$2:E1774,E1774,C$2:C1774,C1774)=1,1,0)</f>
        <v>0</v>
      </c>
      <c r="O1774" s="57" t="n">
        <f aca="false">IF(COUNTIFS(E$2:E1774,E1774,C$2:C1774,C1774,D$2:D1774,D1774)=1,1,0)</f>
        <v>1</v>
      </c>
      <c r="P1774" s="57" t="n">
        <f aca="false">IF(AND(C1774=Calc!$C$3,OR(Calc!$C$4=0,D1774=Calc!$C$4)),ROW(),0)</f>
        <v>1774</v>
      </c>
    </row>
    <row r="1775" customFormat="false" ht="15" hidden="false" customHeight="false" outlineLevel="0" collapsed="false">
      <c r="A1775" s="57" t="s">
        <v>2317</v>
      </c>
      <c r="B1775" s="58" t="n">
        <v>45781</v>
      </c>
      <c r="C1775" s="57" t="n">
        <f aca="false">YEAR(B1775)</f>
        <v>2025</v>
      </c>
      <c r="D1775" s="57" t="n">
        <f aca="false">MONTH(B1775)</f>
        <v>5</v>
      </c>
      <c r="E1775" s="57" t="s">
        <v>326</v>
      </c>
      <c r="F1775" s="57" t="s">
        <v>78</v>
      </c>
      <c r="G1775" s="57" t="s">
        <v>50</v>
      </c>
      <c r="H1775" s="57" t="s">
        <v>49</v>
      </c>
      <c r="I1775" s="59" t="n">
        <v>1</v>
      </c>
      <c r="J1775" s="60" t="n">
        <v>32</v>
      </c>
      <c r="K1775" s="60" t="n">
        <v>7</v>
      </c>
      <c r="L1775" s="61" t="n">
        <f aca="false">I1775*J1775</f>
        <v>32</v>
      </c>
      <c r="M1775" s="61" t="n">
        <f aca="false">L1775-I1775*K1775</f>
        <v>25</v>
      </c>
      <c r="N1775" s="57" t="n">
        <f aca="false">IF(COUNTIFS(E$2:E1775,E1775,C$2:C1775,C1775)=1,1,0)</f>
        <v>1</v>
      </c>
      <c r="O1775" s="57" t="n">
        <f aca="false">IF(COUNTIFS(E$2:E1775,E1775,C$2:C1775,C1775,D$2:D1775,D1775)=1,1,0)</f>
        <v>1</v>
      </c>
      <c r="P1775" s="57" t="n">
        <f aca="false">IF(AND(C1775=Calc!$C$3,OR(Calc!$C$4=0,D1775=Calc!$C$4)),ROW(),0)</f>
        <v>1775</v>
      </c>
    </row>
    <row r="1776" customFormat="false" ht="15" hidden="false" customHeight="false" outlineLevel="0" collapsed="false">
      <c r="A1776" s="57" t="s">
        <v>2318</v>
      </c>
      <c r="B1776" s="58" t="n">
        <v>45781</v>
      </c>
      <c r="C1776" s="57" t="n">
        <f aca="false">YEAR(B1776)</f>
        <v>2025</v>
      </c>
      <c r="D1776" s="57" t="n">
        <f aca="false">MONTH(B1776)</f>
        <v>5</v>
      </c>
      <c r="E1776" s="57" t="s">
        <v>871</v>
      </c>
      <c r="F1776" s="57" t="s">
        <v>72</v>
      </c>
      <c r="G1776" s="57" t="s">
        <v>45</v>
      </c>
      <c r="H1776" s="57" t="s">
        <v>46</v>
      </c>
      <c r="I1776" s="59" t="n">
        <v>1</v>
      </c>
      <c r="J1776" s="60" t="n">
        <v>149</v>
      </c>
      <c r="K1776" s="60" t="n">
        <v>71</v>
      </c>
      <c r="L1776" s="61" t="n">
        <f aca="false">I1776*J1776</f>
        <v>149</v>
      </c>
      <c r="M1776" s="61" t="n">
        <f aca="false">L1776-I1776*K1776</f>
        <v>78</v>
      </c>
      <c r="N1776" s="57" t="n">
        <f aca="false">IF(COUNTIFS(E$2:E1776,E1776,C$2:C1776,C1776)=1,1,0)</f>
        <v>0</v>
      </c>
      <c r="O1776" s="57" t="n">
        <f aca="false">IF(COUNTIFS(E$2:E1776,E1776,C$2:C1776,C1776,D$2:D1776,D1776)=1,1,0)</f>
        <v>1</v>
      </c>
      <c r="P1776" s="57" t="n">
        <f aca="false">IF(AND(C1776=Calc!$C$3,OR(Calc!$C$4=0,D1776=Calc!$C$4)),ROW(),0)</f>
        <v>1776</v>
      </c>
    </row>
    <row r="1777" customFormat="false" ht="15" hidden="false" customHeight="false" outlineLevel="0" collapsed="false">
      <c r="A1777" s="57" t="s">
        <v>2319</v>
      </c>
      <c r="B1777" s="58" t="n">
        <v>45781</v>
      </c>
      <c r="C1777" s="57" t="n">
        <f aca="false">YEAR(B1777)</f>
        <v>2025</v>
      </c>
      <c r="D1777" s="57" t="n">
        <f aca="false">MONTH(B1777)</f>
        <v>5</v>
      </c>
      <c r="E1777" s="57" t="s">
        <v>613</v>
      </c>
      <c r="F1777" s="57" t="s">
        <v>72</v>
      </c>
      <c r="G1777" s="57" t="s">
        <v>40</v>
      </c>
      <c r="H1777" s="57" t="s">
        <v>42</v>
      </c>
      <c r="I1777" s="59" t="n">
        <v>1</v>
      </c>
      <c r="J1777" s="60" t="n">
        <v>79</v>
      </c>
      <c r="K1777" s="60" t="n">
        <v>31</v>
      </c>
      <c r="L1777" s="61" t="n">
        <f aca="false">I1777*J1777</f>
        <v>79</v>
      </c>
      <c r="M1777" s="61" t="n">
        <f aca="false">L1777-I1777*K1777</f>
        <v>48</v>
      </c>
      <c r="N1777" s="57" t="n">
        <f aca="false">IF(COUNTIFS(E$2:E1777,E1777,C$2:C1777,C1777)=1,1,0)</f>
        <v>0</v>
      </c>
      <c r="O1777" s="57" t="n">
        <f aca="false">IF(COUNTIFS(E$2:E1777,E1777,C$2:C1777,C1777,D$2:D1777,D1777)=1,1,0)</f>
        <v>1</v>
      </c>
      <c r="P1777" s="57" t="n">
        <f aca="false">IF(AND(C1777=Calc!$C$3,OR(Calc!$C$4=0,D1777=Calc!$C$4)),ROW(),0)</f>
        <v>1777</v>
      </c>
    </row>
    <row r="1778" customFormat="false" ht="15" hidden="false" customHeight="false" outlineLevel="0" collapsed="false">
      <c r="A1778" s="57" t="s">
        <v>2320</v>
      </c>
      <c r="B1778" s="58" t="n">
        <v>45781</v>
      </c>
      <c r="C1778" s="57" t="n">
        <f aca="false">YEAR(B1778)</f>
        <v>2025</v>
      </c>
      <c r="D1778" s="57" t="n">
        <f aca="false">MONTH(B1778)</f>
        <v>5</v>
      </c>
      <c r="E1778" s="57" t="s">
        <v>653</v>
      </c>
      <c r="F1778" s="57" t="s">
        <v>69</v>
      </c>
      <c r="G1778" s="57" t="s">
        <v>35</v>
      </c>
      <c r="H1778" s="57" t="s">
        <v>37</v>
      </c>
      <c r="I1778" s="59" t="n">
        <v>1</v>
      </c>
      <c r="J1778" s="60" t="n">
        <v>59</v>
      </c>
      <c r="K1778" s="60" t="n">
        <v>27</v>
      </c>
      <c r="L1778" s="61" t="n">
        <f aca="false">I1778*J1778</f>
        <v>59</v>
      </c>
      <c r="M1778" s="61" t="n">
        <f aca="false">L1778-I1778*K1778</f>
        <v>32</v>
      </c>
      <c r="N1778" s="57" t="n">
        <f aca="false">IF(COUNTIFS(E$2:E1778,E1778,C$2:C1778,C1778)=1,1,0)</f>
        <v>1</v>
      </c>
      <c r="O1778" s="57" t="n">
        <f aca="false">IF(COUNTIFS(E$2:E1778,E1778,C$2:C1778,C1778,D$2:D1778,D1778)=1,1,0)</f>
        <v>1</v>
      </c>
      <c r="P1778" s="57" t="n">
        <f aca="false">IF(AND(C1778=Calc!$C$3,OR(Calc!$C$4=0,D1778=Calc!$C$4)),ROW(),0)</f>
        <v>1778</v>
      </c>
    </row>
    <row r="1779" customFormat="false" ht="15" hidden="false" customHeight="false" outlineLevel="0" collapsed="false">
      <c r="A1779" s="57" t="s">
        <v>2321</v>
      </c>
      <c r="B1779" s="58" t="n">
        <v>45782</v>
      </c>
      <c r="C1779" s="57" t="n">
        <f aca="false">YEAR(B1779)</f>
        <v>2025</v>
      </c>
      <c r="D1779" s="57" t="n">
        <f aca="false">MONTH(B1779)</f>
        <v>5</v>
      </c>
      <c r="E1779" s="57" t="s">
        <v>1884</v>
      </c>
      <c r="F1779" s="57" t="s">
        <v>78</v>
      </c>
      <c r="G1779" s="57" t="s">
        <v>35</v>
      </c>
      <c r="H1779" s="57" t="s">
        <v>38</v>
      </c>
      <c r="I1779" s="59" t="n">
        <v>1</v>
      </c>
      <c r="J1779" s="60" t="n">
        <v>49</v>
      </c>
      <c r="K1779" s="60" t="n">
        <v>22</v>
      </c>
      <c r="L1779" s="61" t="n">
        <f aca="false">I1779*J1779</f>
        <v>49</v>
      </c>
      <c r="M1779" s="61" t="n">
        <f aca="false">L1779-I1779*K1779</f>
        <v>27</v>
      </c>
      <c r="N1779" s="57" t="n">
        <f aca="false">IF(COUNTIFS(E$2:E1779,E1779,C$2:C1779,C1779)=1,1,0)</f>
        <v>0</v>
      </c>
      <c r="O1779" s="57" t="n">
        <f aca="false">IF(COUNTIFS(E$2:E1779,E1779,C$2:C1779,C1779,D$2:D1779,D1779)=1,1,0)</f>
        <v>1</v>
      </c>
      <c r="P1779" s="57" t="n">
        <f aca="false">IF(AND(C1779=Calc!$C$3,OR(Calc!$C$4=0,D1779=Calc!$C$4)),ROW(),0)</f>
        <v>1779</v>
      </c>
    </row>
    <row r="1780" customFormat="false" ht="15" hidden="false" customHeight="false" outlineLevel="0" collapsed="false">
      <c r="A1780" s="57" t="s">
        <v>2322</v>
      </c>
      <c r="B1780" s="58" t="n">
        <v>45782</v>
      </c>
      <c r="C1780" s="57" t="n">
        <f aca="false">YEAR(B1780)</f>
        <v>2025</v>
      </c>
      <c r="D1780" s="57" t="n">
        <f aca="false">MONTH(B1780)</f>
        <v>5</v>
      </c>
      <c r="E1780" s="57" t="s">
        <v>292</v>
      </c>
      <c r="F1780" s="57" t="s">
        <v>72</v>
      </c>
      <c r="G1780" s="57" t="s">
        <v>40</v>
      </c>
      <c r="H1780" s="57" t="s">
        <v>39</v>
      </c>
      <c r="I1780" s="59" t="n">
        <v>1</v>
      </c>
      <c r="J1780" s="60" t="n">
        <v>54</v>
      </c>
      <c r="K1780" s="60" t="n">
        <v>19</v>
      </c>
      <c r="L1780" s="61" t="n">
        <f aca="false">I1780*J1780</f>
        <v>54</v>
      </c>
      <c r="M1780" s="61" t="n">
        <f aca="false">L1780-I1780*K1780</f>
        <v>35</v>
      </c>
      <c r="N1780" s="57" t="n">
        <f aca="false">IF(COUNTIFS(E$2:E1780,E1780,C$2:C1780,C1780)=1,1,0)</f>
        <v>0</v>
      </c>
      <c r="O1780" s="57" t="n">
        <f aca="false">IF(COUNTIFS(E$2:E1780,E1780,C$2:C1780,C1780,D$2:D1780,D1780)=1,1,0)</f>
        <v>1</v>
      </c>
      <c r="P1780" s="57" t="n">
        <f aca="false">IF(AND(C1780=Calc!$C$3,OR(Calc!$C$4=0,D1780=Calc!$C$4)),ROW(),0)</f>
        <v>1780</v>
      </c>
    </row>
    <row r="1781" customFormat="false" ht="15" hidden="false" customHeight="false" outlineLevel="0" collapsed="false">
      <c r="A1781" s="57" t="s">
        <v>2323</v>
      </c>
      <c r="B1781" s="58" t="n">
        <v>45782</v>
      </c>
      <c r="C1781" s="57" t="n">
        <f aca="false">YEAR(B1781)</f>
        <v>2025</v>
      </c>
      <c r="D1781" s="57" t="n">
        <f aca="false">MONTH(B1781)</f>
        <v>5</v>
      </c>
      <c r="E1781" s="57" t="s">
        <v>122</v>
      </c>
      <c r="F1781" s="57" t="s">
        <v>81</v>
      </c>
      <c r="G1781" s="57" t="s">
        <v>45</v>
      </c>
      <c r="H1781" s="57" t="s">
        <v>44</v>
      </c>
      <c r="I1781" s="59" t="n">
        <v>1</v>
      </c>
      <c r="J1781" s="60" t="n">
        <v>119</v>
      </c>
      <c r="K1781" s="60" t="n">
        <v>63</v>
      </c>
      <c r="L1781" s="61" t="n">
        <f aca="false">I1781*J1781</f>
        <v>119</v>
      </c>
      <c r="M1781" s="61" t="n">
        <f aca="false">L1781-I1781*K1781</f>
        <v>56</v>
      </c>
      <c r="N1781" s="57" t="n">
        <f aca="false">IF(COUNTIFS(E$2:E1781,E1781,C$2:C1781,C1781)=1,1,0)</f>
        <v>0</v>
      </c>
      <c r="O1781" s="57" t="n">
        <f aca="false">IF(COUNTIFS(E$2:E1781,E1781,C$2:C1781,C1781,D$2:D1781,D1781)=1,1,0)</f>
        <v>1</v>
      </c>
      <c r="P1781" s="57" t="n">
        <f aca="false">IF(AND(C1781=Calc!$C$3,OR(Calc!$C$4=0,D1781=Calc!$C$4)),ROW(),0)</f>
        <v>1781</v>
      </c>
    </row>
    <row r="1782" customFormat="false" ht="15" hidden="false" customHeight="false" outlineLevel="0" collapsed="false">
      <c r="A1782" s="57" t="s">
        <v>2324</v>
      </c>
      <c r="B1782" s="58" t="n">
        <v>45782</v>
      </c>
      <c r="C1782" s="57" t="n">
        <f aca="false">YEAR(B1782)</f>
        <v>2025</v>
      </c>
      <c r="D1782" s="57" t="n">
        <f aca="false">MONTH(B1782)</f>
        <v>5</v>
      </c>
      <c r="E1782" s="57" t="s">
        <v>1929</v>
      </c>
      <c r="F1782" s="57" t="s">
        <v>75</v>
      </c>
      <c r="G1782" s="57" t="s">
        <v>40</v>
      </c>
      <c r="H1782" s="57" t="s">
        <v>41</v>
      </c>
      <c r="I1782" s="59" t="n">
        <v>2</v>
      </c>
      <c r="J1782" s="60" t="n">
        <v>46</v>
      </c>
      <c r="K1782" s="60" t="n">
        <v>16</v>
      </c>
      <c r="L1782" s="61" t="n">
        <f aca="false">I1782*J1782</f>
        <v>92</v>
      </c>
      <c r="M1782" s="61" t="n">
        <f aca="false">L1782-I1782*K1782</f>
        <v>60</v>
      </c>
      <c r="N1782" s="57" t="n">
        <f aca="false">IF(COUNTIFS(E$2:E1782,E1782,C$2:C1782,C1782)=1,1,0)</f>
        <v>0</v>
      </c>
      <c r="O1782" s="57" t="n">
        <f aca="false">IF(COUNTIFS(E$2:E1782,E1782,C$2:C1782,C1782,D$2:D1782,D1782)=1,1,0)</f>
        <v>1</v>
      </c>
      <c r="P1782" s="57" t="n">
        <f aca="false">IF(AND(C1782=Calc!$C$3,OR(Calc!$C$4=0,D1782=Calc!$C$4)),ROW(),0)</f>
        <v>1782</v>
      </c>
    </row>
    <row r="1783" customFormat="false" ht="15" hidden="false" customHeight="false" outlineLevel="0" collapsed="false">
      <c r="A1783" s="57" t="s">
        <v>2325</v>
      </c>
      <c r="B1783" s="58" t="n">
        <v>45783</v>
      </c>
      <c r="C1783" s="57" t="n">
        <f aca="false">YEAR(B1783)</f>
        <v>2025</v>
      </c>
      <c r="D1783" s="57" t="n">
        <f aca="false">MONTH(B1783)</f>
        <v>5</v>
      </c>
      <c r="E1783" s="57" t="s">
        <v>452</v>
      </c>
      <c r="F1783" s="57" t="s">
        <v>75</v>
      </c>
      <c r="G1783" s="57" t="s">
        <v>35</v>
      </c>
      <c r="H1783" s="57" t="s">
        <v>34</v>
      </c>
      <c r="I1783" s="59" t="n">
        <v>1</v>
      </c>
      <c r="J1783" s="60" t="n">
        <v>89</v>
      </c>
      <c r="K1783" s="60" t="n">
        <v>41</v>
      </c>
      <c r="L1783" s="61" t="n">
        <f aca="false">I1783*J1783</f>
        <v>89</v>
      </c>
      <c r="M1783" s="61" t="n">
        <f aca="false">L1783-I1783*K1783</f>
        <v>48</v>
      </c>
      <c r="N1783" s="57" t="n">
        <f aca="false">IF(COUNTIFS(E$2:E1783,E1783,C$2:C1783,C1783)=1,1,0)</f>
        <v>1</v>
      </c>
      <c r="O1783" s="57" t="n">
        <f aca="false">IF(COUNTIFS(E$2:E1783,E1783,C$2:C1783,C1783,D$2:D1783,D1783)=1,1,0)</f>
        <v>1</v>
      </c>
      <c r="P1783" s="57" t="n">
        <f aca="false">IF(AND(C1783=Calc!$C$3,OR(Calc!$C$4=0,D1783=Calc!$C$4)),ROW(),0)</f>
        <v>1783</v>
      </c>
    </row>
    <row r="1784" customFormat="false" ht="15" hidden="false" customHeight="false" outlineLevel="0" collapsed="false">
      <c r="A1784" s="57" t="s">
        <v>2326</v>
      </c>
      <c r="B1784" s="58" t="n">
        <v>45783</v>
      </c>
      <c r="C1784" s="57" t="n">
        <f aca="false">YEAR(B1784)</f>
        <v>2025</v>
      </c>
      <c r="D1784" s="57" t="n">
        <f aca="false">MONTH(B1784)</f>
        <v>5</v>
      </c>
      <c r="E1784" s="57" t="s">
        <v>562</v>
      </c>
      <c r="F1784" s="57" t="s">
        <v>69</v>
      </c>
      <c r="G1784" s="57" t="s">
        <v>50</v>
      </c>
      <c r="H1784" s="57" t="s">
        <v>51</v>
      </c>
      <c r="I1784" s="59" t="n">
        <v>1</v>
      </c>
      <c r="J1784" s="60" t="n">
        <v>69</v>
      </c>
      <c r="K1784" s="60" t="n">
        <v>29</v>
      </c>
      <c r="L1784" s="61" t="n">
        <f aca="false">I1784*J1784</f>
        <v>69</v>
      </c>
      <c r="M1784" s="61" t="n">
        <f aca="false">L1784-I1784*K1784</f>
        <v>40</v>
      </c>
      <c r="N1784" s="57" t="n">
        <f aca="false">IF(COUNTIFS(E$2:E1784,E1784,C$2:C1784,C1784)=1,1,0)</f>
        <v>1</v>
      </c>
      <c r="O1784" s="57" t="n">
        <f aca="false">IF(COUNTIFS(E$2:E1784,E1784,C$2:C1784,C1784,D$2:D1784,D1784)=1,1,0)</f>
        <v>1</v>
      </c>
      <c r="P1784" s="57" t="n">
        <f aca="false">IF(AND(C1784=Calc!$C$3,OR(Calc!$C$4=0,D1784=Calc!$C$4)),ROW(),0)</f>
        <v>1784</v>
      </c>
    </row>
    <row r="1785" customFormat="false" ht="15" hidden="false" customHeight="false" outlineLevel="0" collapsed="false">
      <c r="A1785" s="57" t="s">
        <v>2327</v>
      </c>
      <c r="B1785" s="58" t="n">
        <v>45783</v>
      </c>
      <c r="C1785" s="57" t="n">
        <f aca="false">YEAR(B1785)</f>
        <v>2025</v>
      </c>
      <c r="D1785" s="57" t="n">
        <f aca="false">MONTH(B1785)</f>
        <v>5</v>
      </c>
      <c r="E1785" s="57" t="s">
        <v>304</v>
      </c>
      <c r="F1785" s="57" t="s">
        <v>69</v>
      </c>
      <c r="G1785" s="57" t="s">
        <v>40</v>
      </c>
      <c r="H1785" s="57" t="s">
        <v>42</v>
      </c>
      <c r="I1785" s="59" t="n">
        <v>1</v>
      </c>
      <c r="J1785" s="60" t="n">
        <v>79</v>
      </c>
      <c r="K1785" s="60" t="n">
        <v>31</v>
      </c>
      <c r="L1785" s="61" t="n">
        <f aca="false">I1785*J1785</f>
        <v>79</v>
      </c>
      <c r="M1785" s="61" t="n">
        <f aca="false">L1785-I1785*K1785</f>
        <v>48</v>
      </c>
      <c r="N1785" s="57" t="n">
        <f aca="false">IF(COUNTIFS(E$2:E1785,E1785,C$2:C1785,C1785)=1,1,0)</f>
        <v>0</v>
      </c>
      <c r="O1785" s="57" t="n">
        <f aca="false">IF(COUNTIFS(E$2:E1785,E1785,C$2:C1785,C1785,D$2:D1785,D1785)=1,1,0)</f>
        <v>1</v>
      </c>
      <c r="P1785" s="57" t="n">
        <f aca="false">IF(AND(C1785=Calc!$C$3,OR(Calc!$C$4=0,D1785=Calc!$C$4)),ROW(),0)</f>
        <v>1785</v>
      </c>
    </row>
    <row r="1786" customFormat="false" ht="15" hidden="false" customHeight="false" outlineLevel="0" collapsed="false">
      <c r="A1786" s="57" t="s">
        <v>2328</v>
      </c>
      <c r="B1786" s="58" t="n">
        <v>45783</v>
      </c>
      <c r="C1786" s="57" t="n">
        <f aca="false">YEAR(B1786)</f>
        <v>2025</v>
      </c>
      <c r="D1786" s="57" t="n">
        <f aca="false">MONTH(B1786)</f>
        <v>5</v>
      </c>
      <c r="E1786" s="57" t="s">
        <v>368</v>
      </c>
      <c r="F1786" s="57" t="s">
        <v>69</v>
      </c>
      <c r="G1786" s="57" t="s">
        <v>40</v>
      </c>
      <c r="H1786" s="57" t="s">
        <v>41</v>
      </c>
      <c r="I1786" s="59" t="n">
        <v>1</v>
      </c>
      <c r="J1786" s="60" t="n">
        <v>46</v>
      </c>
      <c r="K1786" s="60" t="n">
        <v>16</v>
      </c>
      <c r="L1786" s="61" t="n">
        <f aca="false">I1786*J1786</f>
        <v>46</v>
      </c>
      <c r="M1786" s="61" t="n">
        <f aca="false">L1786-I1786*K1786</f>
        <v>30</v>
      </c>
      <c r="N1786" s="57" t="n">
        <f aca="false">IF(COUNTIFS(E$2:E1786,E1786,C$2:C1786,C1786)=1,1,0)</f>
        <v>0</v>
      </c>
      <c r="O1786" s="57" t="n">
        <f aca="false">IF(COUNTIFS(E$2:E1786,E1786,C$2:C1786,C1786,D$2:D1786,D1786)=1,1,0)</f>
        <v>1</v>
      </c>
      <c r="P1786" s="57" t="n">
        <f aca="false">IF(AND(C1786=Calc!$C$3,OR(Calc!$C$4=0,D1786=Calc!$C$4)),ROW(),0)</f>
        <v>1786</v>
      </c>
    </row>
    <row r="1787" customFormat="false" ht="15" hidden="false" customHeight="false" outlineLevel="0" collapsed="false">
      <c r="A1787" s="57" t="s">
        <v>2329</v>
      </c>
      <c r="B1787" s="58" t="n">
        <v>45783</v>
      </c>
      <c r="C1787" s="57" t="n">
        <f aca="false">YEAR(B1787)</f>
        <v>2025</v>
      </c>
      <c r="D1787" s="57" t="n">
        <f aca="false">MONTH(B1787)</f>
        <v>5</v>
      </c>
      <c r="E1787" s="57" t="s">
        <v>245</v>
      </c>
      <c r="F1787" s="57" t="s">
        <v>72</v>
      </c>
      <c r="G1787" s="57" t="s">
        <v>35</v>
      </c>
      <c r="H1787" s="57" t="s">
        <v>36</v>
      </c>
      <c r="I1787" s="59" t="n">
        <v>1</v>
      </c>
      <c r="J1787" s="60" t="n">
        <v>179</v>
      </c>
      <c r="K1787" s="60" t="n">
        <v>92</v>
      </c>
      <c r="L1787" s="61" t="n">
        <f aca="false">I1787*J1787</f>
        <v>179</v>
      </c>
      <c r="M1787" s="61" t="n">
        <f aca="false">L1787-I1787*K1787</f>
        <v>87</v>
      </c>
      <c r="N1787" s="57" t="n">
        <f aca="false">IF(COUNTIFS(E$2:E1787,E1787,C$2:C1787,C1787)=1,1,0)</f>
        <v>1</v>
      </c>
      <c r="O1787" s="57" t="n">
        <f aca="false">IF(COUNTIFS(E$2:E1787,E1787,C$2:C1787,C1787,D$2:D1787,D1787)=1,1,0)</f>
        <v>1</v>
      </c>
      <c r="P1787" s="57" t="n">
        <f aca="false">IF(AND(C1787=Calc!$C$3,OR(Calc!$C$4=0,D1787=Calc!$C$4)),ROW(),0)</f>
        <v>1787</v>
      </c>
    </row>
    <row r="1788" customFormat="false" ht="15" hidden="false" customHeight="false" outlineLevel="0" collapsed="false">
      <c r="A1788" s="57" t="s">
        <v>2330</v>
      </c>
      <c r="B1788" s="58" t="n">
        <v>45784</v>
      </c>
      <c r="C1788" s="57" t="n">
        <f aca="false">YEAR(B1788)</f>
        <v>2025</v>
      </c>
      <c r="D1788" s="57" t="n">
        <f aca="false">MONTH(B1788)</f>
        <v>5</v>
      </c>
      <c r="E1788" s="57" t="s">
        <v>326</v>
      </c>
      <c r="F1788" s="57" t="s">
        <v>78</v>
      </c>
      <c r="G1788" s="57" t="s">
        <v>35</v>
      </c>
      <c r="H1788" s="57" t="s">
        <v>38</v>
      </c>
      <c r="I1788" s="59" t="n">
        <v>1</v>
      </c>
      <c r="J1788" s="60" t="n">
        <v>49</v>
      </c>
      <c r="K1788" s="60" t="n">
        <v>22</v>
      </c>
      <c r="L1788" s="61" t="n">
        <f aca="false">I1788*J1788</f>
        <v>49</v>
      </c>
      <c r="M1788" s="61" t="n">
        <f aca="false">L1788-I1788*K1788</f>
        <v>27</v>
      </c>
      <c r="N1788" s="57" t="n">
        <f aca="false">IF(COUNTIFS(E$2:E1788,E1788,C$2:C1788,C1788)=1,1,0)</f>
        <v>0</v>
      </c>
      <c r="O1788" s="57" t="n">
        <f aca="false">IF(COUNTIFS(E$2:E1788,E1788,C$2:C1788,C1788,D$2:D1788,D1788)=1,1,0)</f>
        <v>0</v>
      </c>
      <c r="P1788" s="57" t="n">
        <f aca="false">IF(AND(C1788=Calc!$C$3,OR(Calc!$C$4=0,D1788=Calc!$C$4)),ROW(),0)</f>
        <v>1788</v>
      </c>
    </row>
    <row r="1789" customFormat="false" ht="15" hidden="false" customHeight="false" outlineLevel="0" collapsed="false">
      <c r="A1789" s="57" t="s">
        <v>2331</v>
      </c>
      <c r="B1789" s="58" t="n">
        <v>45784</v>
      </c>
      <c r="C1789" s="57" t="n">
        <f aca="false">YEAR(B1789)</f>
        <v>2025</v>
      </c>
      <c r="D1789" s="57" t="n">
        <f aca="false">MONTH(B1789)</f>
        <v>5</v>
      </c>
      <c r="E1789" s="57" t="s">
        <v>553</v>
      </c>
      <c r="F1789" s="57" t="s">
        <v>72</v>
      </c>
      <c r="G1789" s="57" t="s">
        <v>40</v>
      </c>
      <c r="H1789" s="57" t="s">
        <v>41</v>
      </c>
      <c r="I1789" s="59" t="n">
        <v>1</v>
      </c>
      <c r="J1789" s="60" t="n">
        <v>46</v>
      </c>
      <c r="K1789" s="60" t="n">
        <v>16</v>
      </c>
      <c r="L1789" s="61" t="n">
        <f aca="false">I1789*J1789</f>
        <v>46</v>
      </c>
      <c r="M1789" s="61" t="n">
        <f aca="false">L1789-I1789*K1789</f>
        <v>30</v>
      </c>
      <c r="N1789" s="57" t="n">
        <f aca="false">IF(COUNTIFS(E$2:E1789,E1789,C$2:C1789,C1789)=1,1,0)</f>
        <v>0</v>
      </c>
      <c r="O1789" s="57" t="n">
        <f aca="false">IF(COUNTIFS(E$2:E1789,E1789,C$2:C1789,C1789,D$2:D1789,D1789)=1,1,0)</f>
        <v>1</v>
      </c>
      <c r="P1789" s="57" t="n">
        <f aca="false">IF(AND(C1789=Calc!$C$3,OR(Calc!$C$4=0,D1789=Calc!$C$4)),ROW(),0)</f>
        <v>1789</v>
      </c>
    </row>
    <row r="1790" customFormat="false" ht="15" hidden="false" customHeight="false" outlineLevel="0" collapsed="false">
      <c r="A1790" s="57" t="s">
        <v>2332</v>
      </c>
      <c r="B1790" s="58" t="n">
        <v>45784</v>
      </c>
      <c r="C1790" s="57" t="n">
        <f aca="false">YEAR(B1790)</f>
        <v>2025</v>
      </c>
      <c r="D1790" s="57" t="n">
        <f aca="false">MONTH(B1790)</f>
        <v>5</v>
      </c>
      <c r="E1790" s="57" t="s">
        <v>504</v>
      </c>
      <c r="F1790" s="57" t="s">
        <v>72</v>
      </c>
      <c r="G1790" s="57" t="s">
        <v>35</v>
      </c>
      <c r="H1790" s="57" t="s">
        <v>34</v>
      </c>
      <c r="I1790" s="59" t="n">
        <v>1</v>
      </c>
      <c r="J1790" s="60" t="n">
        <v>89</v>
      </c>
      <c r="K1790" s="60" t="n">
        <v>41</v>
      </c>
      <c r="L1790" s="61" t="n">
        <f aca="false">I1790*J1790</f>
        <v>89</v>
      </c>
      <c r="M1790" s="61" t="n">
        <f aca="false">L1790-I1790*K1790</f>
        <v>48</v>
      </c>
      <c r="N1790" s="57" t="n">
        <f aca="false">IF(COUNTIFS(E$2:E1790,E1790,C$2:C1790,C1790)=1,1,0)</f>
        <v>0</v>
      </c>
      <c r="O1790" s="57" t="n">
        <f aca="false">IF(COUNTIFS(E$2:E1790,E1790,C$2:C1790,C1790,D$2:D1790,D1790)=1,1,0)</f>
        <v>1</v>
      </c>
      <c r="P1790" s="57" t="n">
        <f aca="false">IF(AND(C1790=Calc!$C$3,OR(Calc!$C$4=0,D1790=Calc!$C$4)),ROW(),0)</f>
        <v>1790</v>
      </c>
    </row>
    <row r="1791" customFormat="false" ht="15" hidden="false" customHeight="false" outlineLevel="0" collapsed="false">
      <c r="A1791" s="57" t="s">
        <v>2333</v>
      </c>
      <c r="B1791" s="58" t="n">
        <v>45784</v>
      </c>
      <c r="C1791" s="57" t="n">
        <f aca="false">YEAR(B1791)</f>
        <v>2025</v>
      </c>
      <c r="D1791" s="57" t="n">
        <f aca="false">MONTH(B1791)</f>
        <v>5</v>
      </c>
      <c r="E1791" s="57" t="s">
        <v>233</v>
      </c>
      <c r="F1791" s="57" t="s">
        <v>78</v>
      </c>
      <c r="G1791" s="57" t="s">
        <v>45</v>
      </c>
      <c r="H1791" s="57" t="s">
        <v>47</v>
      </c>
      <c r="I1791" s="59" t="n">
        <v>2</v>
      </c>
      <c r="J1791" s="60" t="n">
        <v>34</v>
      </c>
      <c r="K1791" s="60" t="n">
        <v>12</v>
      </c>
      <c r="L1791" s="61" t="n">
        <f aca="false">I1791*J1791</f>
        <v>68</v>
      </c>
      <c r="M1791" s="61" t="n">
        <f aca="false">L1791-I1791*K1791</f>
        <v>44</v>
      </c>
      <c r="N1791" s="57" t="n">
        <f aca="false">IF(COUNTIFS(E$2:E1791,E1791,C$2:C1791,C1791)=1,1,0)</f>
        <v>1</v>
      </c>
      <c r="O1791" s="57" t="n">
        <f aca="false">IF(COUNTIFS(E$2:E1791,E1791,C$2:C1791,C1791,D$2:D1791,D1791)=1,1,0)</f>
        <v>1</v>
      </c>
      <c r="P1791" s="57" t="n">
        <f aca="false">IF(AND(C1791=Calc!$C$3,OR(Calc!$C$4=0,D1791=Calc!$C$4)),ROW(),0)</f>
        <v>1791</v>
      </c>
    </row>
    <row r="1792" customFormat="false" ht="15" hidden="false" customHeight="false" outlineLevel="0" collapsed="false">
      <c r="A1792" s="57" t="s">
        <v>2334</v>
      </c>
      <c r="B1792" s="58" t="n">
        <v>45785</v>
      </c>
      <c r="C1792" s="57" t="n">
        <f aca="false">YEAR(B1792)</f>
        <v>2025</v>
      </c>
      <c r="D1792" s="57" t="n">
        <f aca="false">MONTH(B1792)</f>
        <v>5</v>
      </c>
      <c r="E1792" s="57" t="s">
        <v>122</v>
      </c>
      <c r="F1792" s="57" t="s">
        <v>81</v>
      </c>
      <c r="G1792" s="57" t="s">
        <v>50</v>
      </c>
      <c r="H1792" s="57" t="s">
        <v>49</v>
      </c>
      <c r="I1792" s="59" t="n">
        <v>1</v>
      </c>
      <c r="J1792" s="60" t="n">
        <v>32</v>
      </c>
      <c r="K1792" s="60" t="n">
        <v>7</v>
      </c>
      <c r="L1792" s="61" t="n">
        <f aca="false">I1792*J1792</f>
        <v>32</v>
      </c>
      <c r="M1792" s="61" t="n">
        <f aca="false">L1792-I1792*K1792</f>
        <v>25</v>
      </c>
      <c r="N1792" s="57" t="n">
        <f aca="false">IF(COUNTIFS(E$2:E1792,E1792,C$2:C1792,C1792)=1,1,0)</f>
        <v>0</v>
      </c>
      <c r="O1792" s="57" t="n">
        <f aca="false">IF(COUNTIFS(E$2:E1792,E1792,C$2:C1792,C1792,D$2:D1792,D1792)=1,1,0)</f>
        <v>0</v>
      </c>
      <c r="P1792" s="57" t="n">
        <f aca="false">IF(AND(C1792=Calc!$C$3,OR(Calc!$C$4=0,D1792=Calc!$C$4)),ROW(),0)</f>
        <v>1792</v>
      </c>
    </row>
    <row r="1793" customFormat="false" ht="15" hidden="false" customHeight="false" outlineLevel="0" collapsed="false">
      <c r="A1793" s="57" t="s">
        <v>2335</v>
      </c>
      <c r="B1793" s="58" t="n">
        <v>45785</v>
      </c>
      <c r="C1793" s="57" t="n">
        <f aca="false">YEAR(B1793)</f>
        <v>2025</v>
      </c>
      <c r="D1793" s="57" t="n">
        <f aca="false">MONTH(B1793)</f>
        <v>5</v>
      </c>
      <c r="E1793" s="57" t="s">
        <v>611</v>
      </c>
      <c r="F1793" s="57" t="s">
        <v>78</v>
      </c>
      <c r="G1793" s="57" t="s">
        <v>35</v>
      </c>
      <c r="H1793" s="57" t="s">
        <v>34</v>
      </c>
      <c r="I1793" s="59" t="n">
        <v>1</v>
      </c>
      <c r="J1793" s="60" t="n">
        <v>89</v>
      </c>
      <c r="K1793" s="60" t="n">
        <v>41</v>
      </c>
      <c r="L1793" s="61" t="n">
        <f aca="false">I1793*J1793</f>
        <v>89</v>
      </c>
      <c r="M1793" s="61" t="n">
        <f aca="false">L1793-I1793*K1793</f>
        <v>48</v>
      </c>
      <c r="N1793" s="57" t="n">
        <f aca="false">IF(COUNTIFS(E$2:E1793,E1793,C$2:C1793,C1793)=1,1,0)</f>
        <v>1</v>
      </c>
      <c r="O1793" s="57" t="n">
        <f aca="false">IF(COUNTIFS(E$2:E1793,E1793,C$2:C1793,C1793,D$2:D1793,D1793)=1,1,0)</f>
        <v>1</v>
      </c>
      <c r="P1793" s="57" t="n">
        <f aca="false">IF(AND(C1793=Calc!$C$3,OR(Calc!$C$4=0,D1793=Calc!$C$4)),ROW(),0)</f>
        <v>1793</v>
      </c>
    </row>
    <row r="1794" customFormat="false" ht="15" hidden="false" customHeight="false" outlineLevel="0" collapsed="false">
      <c r="A1794" s="57" t="s">
        <v>2336</v>
      </c>
      <c r="B1794" s="58" t="n">
        <v>45785</v>
      </c>
      <c r="C1794" s="57" t="n">
        <f aca="false">YEAR(B1794)</f>
        <v>2025</v>
      </c>
      <c r="D1794" s="57" t="n">
        <f aca="false">MONTH(B1794)</f>
        <v>5</v>
      </c>
      <c r="E1794" s="57" t="s">
        <v>2337</v>
      </c>
      <c r="F1794" s="57" t="s">
        <v>72</v>
      </c>
      <c r="G1794" s="57" t="s">
        <v>40</v>
      </c>
      <c r="H1794" s="57" t="s">
        <v>41</v>
      </c>
      <c r="I1794" s="59" t="n">
        <v>3</v>
      </c>
      <c r="J1794" s="60" t="n">
        <v>46</v>
      </c>
      <c r="K1794" s="60" t="n">
        <v>16</v>
      </c>
      <c r="L1794" s="61" t="n">
        <f aca="false">I1794*J1794</f>
        <v>138</v>
      </c>
      <c r="M1794" s="61" t="n">
        <f aca="false">L1794-I1794*K1794</f>
        <v>90</v>
      </c>
      <c r="N1794" s="57" t="n">
        <f aca="false">IF(COUNTIFS(E$2:E1794,E1794,C$2:C1794,C1794)=1,1,0)</f>
        <v>1</v>
      </c>
      <c r="O1794" s="57" t="n">
        <f aca="false">IF(COUNTIFS(E$2:E1794,E1794,C$2:C1794,C1794,D$2:D1794,D1794)=1,1,0)</f>
        <v>1</v>
      </c>
      <c r="P1794" s="57" t="n">
        <f aca="false">IF(AND(C1794=Calc!$C$3,OR(Calc!$C$4=0,D1794=Calc!$C$4)),ROW(),0)</f>
        <v>1794</v>
      </c>
    </row>
    <row r="1795" customFormat="false" ht="15" hidden="false" customHeight="false" outlineLevel="0" collapsed="false">
      <c r="A1795" s="57" t="s">
        <v>2338</v>
      </c>
      <c r="B1795" s="58" t="n">
        <v>45785</v>
      </c>
      <c r="C1795" s="57" t="n">
        <f aca="false">YEAR(B1795)</f>
        <v>2025</v>
      </c>
      <c r="D1795" s="57" t="n">
        <f aca="false">MONTH(B1795)</f>
        <v>5</v>
      </c>
      <c r="E1795" s="57" t="s">
        <v>97</v>
      </c>
      <c r="F1795" s="57" t="s">
        <v>78</v>
      </c>
      <c r="G1795" s="57" t="s">
        <v>35</v>
      </c>
      <c r="H1795" s="57" t="s">
        <v>36</v>
      </c>
      <c r="I1795" s="59" t="n">
        <v>2</v>
      </c>
      <c r="J1795" s="60" t="n">
        <v>179</v>
      </c>
      <c r="K1795" s="60" t="n">
        <v>92</v>
      </c>
      <c r="L1795" s="61" t="n">
        <f aca="false">I1795*J1795</f>
        <v>358</v>
      </c>
      <c r="M1795" s="61" t="n">
        <f aca="false">L1795-I1795*K1795</f>
        <v>174</v>
      </c>
      <c r="N1795" s="57" t="n">
        <f aca="false">IF(COUNTIFS(E$2:E1795,E1795,C$2:C1795,C1795)=1,1,0)</f>
        <v>0</v>
      </c>
      <c r="O1795" s="57" t="n">
        <f aca="false">IF(COUNTIFS(E$2:E1795,E1795,C$2:C1795,C1795,D$2:D1795,D1795)=1,1,0)</f>
        <v>1</v>
      </c>
      <c r="P1795" s="57" t="n">
        <f aca="false">IF(AND(C1795=Calc!$C$3,OR(Calc!$C$4=0,D1795=Calc!$C$4)),ROW(),0)</f>
        <v>1795</v>
      </c>
    </row>
    <row r="1796" customFormat="false" ht="15" hidden="false" customHeight="false" outlineLevel="0" collapsed="false">
      <c r="A1796" s="57" t="s">
        <v>2339</v>
      </c>
      <c r="B1796" s="58" t="n">
        <v>45786</v>
      </c>
      <c r="C1796" s="57" t="n">
        <f aca="false">YEAR(B1796)</f>
        <v>2025</v>
      </c>
      <c r="D1796" s="57" t="n">
        <f aca="false">MONTH(B1796)</f>
        <v>5</v>
      </c>
      <c r="E1796" s="57" t="s">
        <v>983</v>
      </c>
      <c r="F1796" s="57" t="s">
        <v>72</v>
      </c>
      <c r="G1796" s="57" t="s">
        <v>45</v>
      </c>
      <c r="H1796" s="57" t="s">
        <v>44</v>
      </c>
      <c r="I1796" s="59" t="n">
        <v>1</v>
      </c>
      <c r="J1796" s="60" t="n">
        <v>119</v>
      </c>
      <c r="K1796" s="60" t="n">
        <v>63</v>
      </c>
      <c r="L1796" s="61" t="n">
        <f aca="false">I1796*J1796</f>
        <v>119</v>
      </c>
      <c r="M1796" s="61" t="n">
        <f aca="false">L1796-I1796*K1796</f>
        <v>56</v>
      </c>
      <c r="N1796" s="57" t="n">
        <f aca="false">IF(COUNTIFS(E$2:E1796,E1796,C$2:C1796,C1796)=1,1,0)</f>
        <v>0</v>
      </c>
      <c r="O1796" s="57" t="n">
        <f aca="false">IF(COUNTIFS(E$2:E1796,E1796,C$2:C1796,C1796,D$2:D1796,D1796)=1,1,0)</f>
        <v>1</v>
      </c>
      <c r="P1796" s="57" t="n">
        <f aca="false">IF(AND(C1796=Calc!$C$3,OR(Calc!$C$4=0,D1796=Calc!$C$4)),ROW(),0)</f>
        <v>1796</v>
      </c>
    </row>
    <row r="1797" customFormat="false" ht="15" hidden="false" customHeight="false" outlineLevel="0" collapsed="false">
      <c r="A1797" s="57" t="s">
        <v>2340</v>
      </c>
      <c r="B1797" s="58" t="n">
        <v>45786</v>
      </c>
      <c r="C1797" s="57" t="n">
        <f aca="false">YEAR(B1797)</f>
        <v>2025</v>
      </c>
      <c r="D1797" s="57" t="n">
        <f aca="false">MONTH(B1797)</f>
        <v>5</v>
      </c>
      <c r="E1797" s="57" t="s">
        <v>238</v>
      </c>
      <c r="F1797" s="57" t="s">
        <v>78</v>
      </c>
      <c r="G1797" s="57" t="s">
        <v>35</v>
      </c>
      <c r="H1797" s="57" t="s">
        <v>36</v>
      </c>
      <c r="I1797" s="59" t="n">
        <v>1</v>
      </c>
      <c r="J1797" s="60" t="n">
        <v>179</v>
      </c>
      <c r="K1797" s="60" t="n">
        <v>92</v>
      </c>
      <c r="L1797" s="61" t="n">
        <f aca="false">I1797*J1797</f>
        <v>179</v>
      </c>
      <c r="M1797" s="61" t="n">
        <f aca="false">L1797-I1797*K1797</f>
        <v>87</v>
      </c>
      <c r="N1797" s="57" t="n">
        <f aca="false">IF(COUNTIFS(E$2:E1797,E1797,C$2:C1797,C1797)=1,1,0)</f>
        <v>1</v>
      </c>
      <c r="O1797" s="57" t="n">
        <f aca="false">IF(COUNTIFS(E$2:E1797,E1797,C$2:C1797,C1797,D$2:D1797,D1797)=1,1,0)</f>
        <v>1</v>
      </c>
      <c r="P1797" s="57" t="n">
        <f aca="false">IF(AND(C1797=Calc!$C$3,OR(Calc!$C$4=0,D1797=Calc!$C$4)),ROW(),0)</f>
        <v>1797</v>
      </c>
    </row>
    <row r="1798" customFormat="false" ht="15" hidden="false" customHeight="false" outlineLevel="0" collapsed="false">
      <c r="A1798" s="57" t="s">
        <v>2341</v>
      </c>
      <c r="B1798" s="58" t="n">
        <v>45786</v>
      </c>
      <c r="C1798" s="57" t="n">
        <f aca="false">YEAR(B1798)</f>
        <v>2025</v>
      </c>
      <c r="D1798" s="57" t="n">
        <f aca="false">MONTH(B1798)</f>
        <v>5</v>
      </c>
      <c r="E1798" s="57" t="s">
        <v>393</v>
      </c>
      <c r="F1798" s="57" t="s">
        <v>78</v>
      </c>
      <c r="G1798" s="57" t="s">
        <v>35</v>
      </c>
      <c r="H1798" s="57" t="s">
        <v>38</v>
      </c>
      <c r="I1798" s="59" t="n">
        <v>2</v>
      </c>
      <c r="J1798" s="60" t="n">
        <v>49</v>
      </c>
      <c r="K1798" s="60" t="n">
        <v>22</v>
      </c>
      <c r="L1798" s="61" t="n">
        <f aca="false">I1798*J1798</f>
        <v>98</v>
      </c>
      <c r="M1798" s="61" t="n">
        <f aca="false">L1798-I1798*K1798</f>
        <v>54</v>
      </c>
      <c r="N1798" s="57" t="n">
        <f aca="false">IF(COUNTIFS(E$2:E1798,E1798,C$2:C1798,C1798)=1,1,0)</f>
        <v>1</v>
      </c>
      <c r="O1798" s="57" t="n">
        <f aca="false">IF(COUNTIFS(E$2:E1798,E1798,C$2:C1798,C1798,D$2:D1798,D1798)=1,1,0)</f>
        <v>1</v>
      </c>
      <c r="P1798" s="57" t="n">
        <f aca="false">IF(AND(C1798=Calc!$C$3,OR(Calc!$C$4=0,D1798=Calc!$C$4)),ROW(),0)</f>
        <v>1798</v>
      </c>
    </row>
    <row r="1799" customFormat="false" ht="15" hidden="false" customHeight="false" outlineLevel="0" collapsed="false">
      <c r="A1799" s="57" t="s">
        <v>2342</v>
      </c>
      <c r="B1799" s="58" t="n">
        <v>45787</v>
      </c>
      <c r="C1799" s="57" t="n">
        <f aca="false">YEAR(B1799)</f>
        <v>2025</v>
      </c>
      <c r="D1799" s="57" t="n">
        <f aca="false">MONTH(B1799)</f>
        <v>5</v>
      </c>
      <c r="E1799" s="57" t="s">
        <v>461</v>
      </c>
      <c r="F1799" s="57" t="s">
        <v>78</v>
      </c>
      <c r="G1799" s="57" t="s">
        <v>40</v>
      </c>
      <c r="H1799" s="57" t="s">
        <v>42</v>
      </c>
      <c r="I1799" s="59" t="n">
        <v>1</v>
      </c>
      <c r="J1799" s="60" t="n">
        <v>79</v>
      </c>
      <c r="K1799" s="60" t="n">
        <v>31</v>
      </c>
      <c r="L1799" s="61" t="n">
        <f aca="false">I1799*J1799</f>
        <v>79</v>
      </c>
      <c r="M1799" s="61" t="n">
        <f aca="false">L1799-I1799*K1799</f>
        <v>48</v>
      </c>
      <c r="N1799" s="57" t="n">
        <f aca="false">IF(COUNTIFS(E$2:E1799,E1799,C$2:C1799,C1799)=1,1,0)</f>
        <v>0</v>
      </c>
      <c r="O1799" s="57" t="n">
        <f aca="false">IF(COUNTIFS(E$2:E1799,E1799,C$2:C1799,C1799,D$2:D1799,D1799)=1,1,0)</f>
        <v>1</v>
      </c>
      <c r="P1799" s="57" t="n">
        <f aca="false">IF(AND(C1799=Calc!$C$3,OR(Calc!$C$4=0,D1799=Calc!$C$4)),ROW(),0)</f>
        <v>1799</v>
      </c>
    </row>
    <row r="1800" customFormat="false" ht="15" hidden="false" customHeight="false" outlineLevel="0" collapsed="false">
      <c r="A1800" s="57" t="s">
        <v>2343</v>
      </c>
      <c r="B1800" s="58" t="n">
        <v>45787</v>
      </c>
      <c r="C1800" s="57" t="n">
        <f aca="false">YEAR(B1800)</f>
        <v>2025</v>
      </c>
      <c r="D1800" s="57" t="n">
        <f aca="false">MONTH(B1800)</f>
        <v>5</v>
      </c>
      <c r="E1800" s="57" t="s">
        <v>108</v>
      </c>
      <c r="F1800" s="57" t="s">
        <v>75</v>
      </c>
      <c r="G1800" s="57" t="s">
        <v>40</v>
      </c>
      <c r="H1800" s="57" t="s">
        <v>43</v>
      </c>
      <c r="I1800" s="59" t="n">
        <v>1</v>
      </c>
      <c r="J1800" s="60" t="n">
        <v>29</v>
      </c>
      <c r="K1800" s="60" t="n">
        <v>9</v>
      </c>
      <c r="L1800" s="61" t="n">
        <f aca="false">I1800*J1800</f>
        <v>29</v>
      </c>
      <c r="M1800" s="61" t="n">
        <f aca="false">L1800-I1800*K1800</f>
        <v>20</v>
      </c>
      <c r="N1800" s="57" t="n">
        <f aca="false">IF(COUNTIFS(E$2:E1800,E1800,C$2:C1800,C1800)=1,1,0)</f>
        <v>0</v>
      </c>
      <c r="O1800" s="57" t="n">
        <f aca="false">IF(COUNTIFS(E$2:E1800,E1800,C$2:C1800,C1800,D$2:D1800,D1800)=1,1,0)</f>
        <v>1</v>
      </c>
      <c r="P1800" s="57" t="n">
        <f aca="false">IF(AND(C1800=Calc!$C$3,OR(Calc!$C$4=0,D1800=Calc!$C$4)),ROW(),0)</f>
        <v>1800</v>
      </c>
    </row>
    <row r="1801" customFormat="false" ht="15" hidden="false" customHeight="false" outlineLevel="0" collapsed="false">
      <c r="A1801" s="57" t="s">
        <v>2344</v>
      </c>
      <c r="B1801" s="58" t="n">
        <v>45787</v>
      </c>
      <c r="C1801" s="57" t="n">
        <f aca="false">YEAR(B1801)</f>
        <v>2025</v>
      </c>
      <c r="D1801" s="57" t="n">
        <f aca="false">MONTH(B1801)</f>
        <v>5</v>
      </c>
      <c r="E1801" s="57" t="s">
        <v>361</v>
      </c>
      <c r="F1801" s="57" t="s">
        <v>69</v>
      </c>
      <c r="G1801" s="57" t="s">
        <v>35</v>
      </c>
      <c r="H1801" s="57" t="s">
        <v>37</v>
      </c>
      <c r="I1801" s="59" t="n">
        <v>1</v>
      </c>
      <c r="J1801" s="60" t="n">
        <v>59</v>
      </c>
      <c r="K1801" s="60" t="n">
        <v>27</v>
      </c>
      <c r="L1801" s="61" t="n">
        <f aca="false">I1801*J1801</f>
        <v>59</v>
      </c>
      <c r="M1801" s="61" t="n">
        <f aca="false">L1801-I1801*K1801</f>
        <v>32</v>
      </c>
      <c r="N1801" s="57" t="n">
        <f aca="false">IF(COUNTIFS(E$2:E1801,E1801,C$2:C1801,C1801)=1,1,0)</f>
        <v>0</v>
      </c>
      <c r="O1801" s="57" t="n">
        <f aca="false">IF(COUNTIFS(E$2:E1801,E1801,C$2:C1801,C1801,D$2:D1801,D1801)=1,1,0)</f>
        <v>1</v>
      </c>
      <c r="P1801" s="57" t="n">
        <f aca="false">IF(AND(C1801=Calc!$C$3,OR(Calc!$C$4=0,D1801=Calc!$C$4)),ROW(),0)</f>
        <v>1801</v>
      </c>
    </row>
    <row r="1802" customFormat="false" ht="15" hidden="false" customHeight="false" outlineLevel="0" collapsed="false">
      <c r="A1802" s="57" t="s">
        <v>2345</v>
      </c>
      <c r="B1802" s="58" t="n">
        <v>45787</v>
      </c>
      <c r="C1802" s="57" t="n">
        <f aca="false">YEAR(B1802)</f>
        <v>2025</v>
      </c>
      <c r="D1802" s="57" t="n">
        <f aca="false">MONTH(B1802)</f>
        <v>5</v>
      </c>
      <c r="E1802" s="57" t="s">
        <v>1929</v>
      </c>
      <c r="F1802" s="57" t="s">
        <v>75</v>
      </c>
      <c r="G1802" s="57" t="s">
        <v>40</v>
      </c>
      <c r="H1802" s="57" t="s">
        <v>42</v>
      </c>
      <c r="I1802" s="59" t="n">
        <v>2</v>
      </c>
      <c r="J1802" s="60" t="n">
        <v>79</v>
      </c>
      <c r="K1802" s="60" t="n">
        <v>31</v>
      </c>
      <c r="L1802" s="61" t="n">
        <f aca="false">I1802*J1802</f>
        <v>158</v>
      </c>
      <c r="M1802" s="61" t="n">
        <f aca="false">L1802-I1802*K1802</f>
        <v>96</v>
      </c>
      <c r="N1802" s="57" t="n">
        <f aca="false">IF(COUNTIFS(E$2:E1802,E1802,C$2:C1802,C1802)=1,1,0)</f>
        <v>0</v>
      </c>
      <c r="O1802" s="57" t="n">
        <f aca="false">IF(COUNTIFS(E$2:E1802,E1802,C$2:C1802,C1802,D$2:D1802,D1802)=1,1,0)</f>
        <v>0</v>
      </c>
      <c r="P1802" s="57" t="n">
        <f aca="false">IF(AND(C1802=Calc!$C$3,OR(Calc!$C$4=0,D1802=Calc!$C$4)),ROW(),0)</f>
        <v>1802</v>
      </c>
    </row>
    <row r="1803" customFormat="false" ht="15" hidden="false" customHeight="false" outlineLevel="0" collapsed="false">
      <c r="A1803" s="57" t="s">
        <v>2346</v>
      </c>
      <c r="B1803" s="58" t="n">
        <v>45787</v>
      </c>
      <c r="C1803" s="57" t="n">
        <f aca="false">YEAR(B1803)</f>
        <v>2025</v>
      </c>
      <c r="D1803" s="57" t="n">
        <f aca="false">MONTH(B1803)</f>
        <v>5</v>
      </c>
      <c r="E1803" s="57" t="s">
        <v>146</v>
      </c>
      <c r="F1803" s="57" t="s">
        <v>78</v>
      </c>
      <c r="G1803" s="57" t="s">
        <v>45</v>
      </c>
      <c r="H1803" s="57" t="s">
        <v>46</v>
      </c>
      <c r="I1803" s="59" t="n">
        <v>1</v>
      </c>
      <c r="J1803" s="60" t="n">
        <v>149</v>
      </c>
      <c r="K1803" s="60" t="n">
        <v>71</v>
      </c>
      <c r="L1803" s="61" t="n">
        <f aca="false">I1803*J1803</f>
        <v>149</v>
      </c>
      <c r="M1803" s="61" t="n">
        <f aca="false">L1803-I1803*K1803</f>
        <v>78</v>
      </c>
      <c r="N1803" s="57" t="n">
        <f aca="false">IF(COUNTIFS(E$2:E1803,E1803,C$2:C1803,C1803)=1,1,0)</f>
        <v>0</v>
      </c>
      <c r="O1803" s="57" t="n">
        <f aca="false">IF(COUNTIFS(E$2:E1803,E1803,C$2:C1803,C1803,D$2:D1803,D1803)=1,1,0)</f>
        <v>1</v>
      </c>
      <c r="P1803" s="57" t="n">
        <f aca="false">IF(AND(C1803=Calc!$C$3,OR(Calc!$C$4=0,D1803=Calc!$C$4)),ROW(),0)</f>
        <v>1803</v>
      </c>
    </row>
    <row r="1804" customFormat="false" ht="15" hidden="false" customHeight="false" outlineLevel="0" collapsed="false">
      <c r="A1804" s="57" t="s">
        <v>2347</v>
      </c>
      <c r="B1804" s="58" t="n">
        <v>45787</v>
      </c>
      <c r="C1804" s="57" t="n">
        <f aca="false">YEAR(B1804)</f>
        <v>2025</v>
      </c>
      <c r="D1804" s="57" t="n">
        <f aca="false">MONTH(B1804)</f>
        <v>5</v>
      </c>
      <c r="E1804" s="57" t="s">
        <v>418</v>
      </c>
      <c r="F1804" s="57" t="s">
        <v>78</v>
      </c>
      <c r="G1804" s="57" t="s">
        <v>35</v>
      </c>
      <c r="H1804" s="57" t="s">
        <v>38</v>
      </c>
      <c r="I1804" s="59" t="n">
        <v>1</v>
      </c>
      <c r="J1804" s="60" t="n">
        <v>49</v>
      </c>
      <c r="K1804" s="60" t="n">
        <v>22</v>
      </c>
      <c r="L1804" s="61" t="n">
        <f aca="false">I1804*J1804</f>
        <v>49</v>
      </c>
      <c r="M1804" s="61" t="n">
        <f aca="false">L1804-I1804*K1804</f>
        <v>27</v>
      </c>
      <c r="N1804" s="57" t="n">
        <f aca="false">IF(COUNTIFS(E$2:E1804,E1804,C$2:C1804,C1804)=1,1,0)</f>
        <v>1</v>
      </c>
      <c r="O1804" s="57" t="n">
        <f aca="false">IF(COUNTIFS(E$2:E1804,E1804,C$2:C1804,C1804,D$2:D1804,D1804)=1,1,0)</f>
        <v>1</v>
      </c>
      <c r="P1804" s="57" t="n">
        <f aca="false">IF(AND(C1804=Calc!$C$3,OR(Calc!$C$4=0,D1804=Calc!$C$4)),ROW(),0)</f>
        <v>1804</v>
      </c>
    </row>
    <row r="1805" customFormat="false" ht="15" hidden="false" customHeight="false" outlineLevel="0" collapsed="false">
      <c r="A1805" s="57" t="s">
        <v>2348</v>
      </c>
      <c r="B1805" s="58" t="n">
        <v>45788</v>
      </c>
      <c r="C1805" s="57" t="n">
        <f aca="false">YEAR(B1805)</f>
        <v>2025</v>
      </c>
      <c r="D1805" s="57" t="n">
        <f aca="false">MONTH(B1805)</f>
        <v>5</v>
      </c>
      <c r="E1805" s="57" t="s">
        <v>140</v>
      </c>
      <c r="F1805" s="57" t="s">
        <v>75</v>
      </c>
      <c r="G1805" s="57" t="s">
        <v>40</v>
      </c>
      <c r="H1805" s="57" t="s">
        <v>42</v>
      </c>
      <c r="I1805" s="59" t="n">
        <v>1</v>
      </c>
      <c r="J1805" s="60" t="n">
        <v>79</v>
      </c>
      <c r="K1805" s="60" t="n">
        <v>31</v>
      </c>
      <c r="L1805" s="61" t="n">
        <f aca="false">I1805*J1805</f>
        <v>79</v>
      </c>
      <c r="M1805" s="61" t="n">
        <f aca="false">L1805-I1805*K1805</f>
        <v>48</v>
      </c>
      <c r="N1805" s="57" t="n">
        <f aca="false">IF(COUNTIFS(E$2:E1805,E1805,C$2:C1805,C1805)=1,1,0)</f>
        <v>1</v>
      </c>
      <c r="O1805" s="57" t="n">
        <f aca="false">IF(COUNTIFS(E$2:E1805,E1805,C$2:C1805,C1805,D$2:D1805,D1805)=1,1,0)</f>
        <v>1</v>
      </c>
      <c r="P1805" s="57" t="n">
        <f aca="false">IF(AND(C1805=Calc!$C$3,OR(Calc!$C$4=0,D1805=Calc!$C$4)),ROW(),0)</f>
        <v>1805</v>
      </c>
    </row>
    <row r="1806" customFormat="false" ht="15" hidden="false" customHeight="false" outlineLevel="0" collapsed="false">
      <c r="A1806" s="57" t="s">
        <v>2349</v>
      </c>
      <c r="B1806" s="58" t="n">
        <v>45788</v>
      </c>
      <c r="C1806" s="57" t="n">
        <f aca="false">YEAR(B1806)</f>
        <v>2025</v>
      </c>
      <c r="D1806" s="57" t="n">
        <f aca="false">MONTH(B1806)</f>
        <v>5</v>
      </c>
      <c r="E1806" s="57" t="s">
        <v>248</v>
      </c>
      <c r="F1806" s="57" t="s">
        <v>81</v>
      </c>
      <c r="G1806" s="57" t="s">
        <v>50</v>
      </c>
      <c r="H1806" s="57" t="s">
        <v>52</v>
      </c>
      <c r="I1806" s="59" t="n">
        <v>2</v>
      </c>
      <c r="J1806" s="60" t="n">
        <v>45</v>
      </c>
      <c r="K1806" s="60" t="n">
        <v>14</v>
      </c>
      <c r="L1806" s="61" t="n">
        <f aca="false">I1806*J1806</f>
        <v>90</v>
      </c>
      <c r="M1806" s="61" t="n">
        <f aca="false">L1806-I1806*K1806</f>
        <v>62</v>
      </c>
      <c r="N1806" s="57" t="n">
        <f aca="false">IF(COUNTIFS(E$2:E1806,E1806,C$2:C1806,C1806)=1,1,0)</f>
        <v>0</v>
      </c>
      <c r="O1806" s="57" t="n">
        <f aca="false">IF(COUNTIFS(E$2:E1806,E1806,C$2:C1806,C1806,D$2:D1806,D1806)=1,1,0)</f>
        <v>1</v>
      </c>
      <c r="P1806" s="57" t="n">
        <f aca="false">IF(AND(C1806=Calc!$C$3,OR(Calc!$C$4=0,D1806=Calc!$C$4)),ROW(),0)</f>
        <v>1806</v>
      </c>
    </row>
    <row r="1807" customFormat="false" ht="15" hidden="false" customHeight="false" outlineLevel="0" collapsed="false">
      <c r="A1807" s="57" t="s">
        <v>2350</v>
      </c>
      <c r="B1807" s="58" t="n">
        <v>45788</v>
      </c>
      <c r="C1807" s="57" t="n">
        <f aca="false">YEAR(B1807)</f>
        <v>2025</v>
      </c>
      <c r="D1807" s="57" t="n">
        <f aca="false">MONTH(B1807)</f>
        <v>5</v>
      </c>
      <c r="E1807" s="57" t="s">
        <v>85</v>
      </c>
      <c r="F1807" s="57" t="s">
        <v>69</v>
      </c>
      <c r="G1807" s="57" t="s">
        <v>40</v>
      </c>
      <c r="H1807" s="57" t="s">
        <v>42</v>
      </c>
      <c r="I1807" s="59" t="n">
        <v>2</v>
      </c>
      <c r="J1807" s="60" t="n">
        <v>79</v>
      </c>
      <c r="K1807" s="60" t="n">
        <v>31</v>
      </c>
      <c r="L1807" s="61" t="n">
        <f aca="false">I1807*J1807</f>
        <v>158</v>
      </c>
      <c r="M1807" s="61" t="n">
        <f aca="false">L1807-I1807*K1807</f>
        <v>96</v>
      </c>
      <c r="N1807" s="57" t="n">
        <f aca="false">IF(COUNTIFS(E$2:E1807,E1807,C$2:C1807,C1807)=1,1,0)</f>
        <v>0</v>
      </c>
      <c r="O1807" s="57" t="n">
        <f aca="false">IF(COUNTIFS(E$2:E1807,E1807,C$2:C1807,C1807,D$2:D1807,D1807)=1,1,0)</f>
        <v>1</v>
      </c>
      <c r="P1807" s="57" t="n">
        <f aca="false">IF(AND(C1807=Calc!$C$3,OR(Calc!$C$4=0,D1807=Calc!$C$4)),ROW(),0)</f>
        <v>1807</v>
      </c>
    </row>
    <row r="1808" customFormat="false" ht="15" hidden="false" customHeight="false" outlineLevel="0" collapsed="false">
      <c r="A1808" s="57" t="s">
        <v>2351</v>
      </c>
      <c r="B1808" s="58" t="n">
        <v>45788</v>
      </c>
      <c r="C1808" s="57" t="n">
        <f aca="false">YEAR(B1808)</f>
        <v>2025</v>
      </c>
      <c r="D1808" s="57" t="n">
        <f aca="false">MONTH(B1808)</f>
        <v>5</v>
      </c>
      <c r="E1808" s="57" t="s">
        <v>1437</v>
      </c>
      <c r="F1808" s="57" t="s">
        <v>69</v>
      </c>
      <c r="G1808" s="57" t="s">
        <v>40</v>
      </c>
      <c r="H1808" s="57" t="s">
        <v>42</v>
      </c>
      <c r="I1808" s="59" t="n">
        <v>1</v>
      </c>
      <c r="J1808" s="60" t="n">
        <v>79</v>
      </c>
      <c r="K1808" s="60" t="n">
        <v>31</v>
      </c>
      <c r="L1808" s="61" t="n">
        <f aca="false">I1808*J1808</f>
        <v>79</v>
      </c>
      <c r="M1808" s="61" t="n">
        <f aca="false">L1808-I1808*K1808</f>
        <v>48</v>
      </c>
      <c r="N1808" s="57" t="n">
        <f aca="false">IF(COUNTIFS(E$2:E1808,E1808,C$2:C1808,C1808)=1,1,0)</f>
        <v>1</v>
      </c>
      <c r="O1808" s="57" t="n">
        <f aca="false">IF(COUNTIFS(E$2:E1808,E1808,C$2:C1808,C1808,D$2:D1808,D1808)=1,1,0)</f>
        <v>1</v>
      </c>
      <c r="P1808" s="57" t="n">
        <f aca="false">IF(AND(C1808=Calc!$C$3,OR(Calc!$C$4=0,D1808=Calc!$C$4)),ROW(),0)</f>
        <v>1808</v>
      </c>
    </row>
    <row r="1809" customFormat="false" ht="15" hidden="false" customHeight="false" outlineLevel="0" collapsed="false">
      <c r="A1809" s="57" t="s">
        <v>2352</v>
      </c>
      <c r="B1809" s="58" t="n">
        <v>45788</v>
      </c>
      <c r="C1809" s="57" t="n">
        <f aca="false">YEAR(B1809)</f>
        <v>2025</v>
      </c>
      <c r="D1809" s="57" t="n">
        <f aca="false">MONTH(B1809)</f>
        <v>5</v>
      </c>
      <c r="E1809" s="57" t="s">
        <v>85</v>
      </c>
      <c r="F1809" s="57" t="s">
        <v>69</v>
      </c>
      <c r="G1809" s="57" t="s">
        <v>45</v>
      </c>
      <c r="H1809" s="57" t="s">
        <v>48</v>
      </c>
      <c r="I1809" s="59" t="n">
        <v>2</v>
      </c>
      <c r="J1809" s="60" t="n">
        <v>99</v>
      </c>
      <c r="K1809" s="60" t="n">
        <v>38</v>
      </c>
      <c r="L1809" s="61" t="n">
        <f aca="false">I1809*J1809</f>
        <v>198</v>
      </c>
      <c r="M1809" s="61" t="n">
        <f aca="false">L1809-I1809*K1809</f>
        <v>122</v>
      </c>
      <c r="N1809" s="57" t="n">
        <f aca="false">IF(COUNTIFS(E$2:E1809,E1809,C$2:C1809,C1809)=1,1,0)</f>
        <v>0</v>
      </c>
      <c r="O1809" s="57" t="n">
        <f aca="false">IF(COUNTIFS(E$2:E1809,E1809,C$2:C1809,C1809,D$2:D1809,D1809)=1,1,0)</f>
        <v>0</v>
      </c>
      <c r="P1809" s="57" t="n">
        <f aca="false">IF(AND(C1809=Calc!$C$3,OR(Calc!$C$4=0,D1809=Calc!$C$4)),ROW(),0)</f>
        <v>1809</v>
      </c>
    </row>
    <row r="1810" customFormat="false" ht="15" hidden="false" customHeight="false" outlineLevel="0" collapsed="false">
      <c r="A1810" s="57" t="s">
        <v>2353</v>
      </c>
      <c r="B1810" s="58" t="n">
        <v>45789</v>
      </c>
      <c r="C1810" s="57" t="n">
        <f aca="false">YEAR(B1810)</f>
        <v>2025</v>
      </c>
      <c r="D1810" s="57" t="n">
        <f aca="false">MONTH(B1810)</f>
        <v>5</v>
      </c>
      <c r="E1810" s="57" t="s">
        <v>556</v>
      </c>
      <c r="F1810" s="57" t="s">
        <v>78</v>
      </c>
      <c r="G1810" s="57" t="s">
        <v>40</v>
      </c>
      <c r="H1810" s="57" t="s">
        <v>41</v>
      </c>
      <c r="I1810" s="59" t="n">
        <v>1</v>
      </c>
      <c r="J1810" s="60" t="n">
        <v>46</v>
      </c>
      <c r="K1810" s="60" t="n">
        <v>16</v>
      </c>
      <c r="L1810" s="61" t="n">
        <f aca="false">I1810*J1810</f>
        <v>46</v>
      </c>
      <c r="M1810" s="61" t="n">
        <f aca="false">L1810-I1810*K1810</f>
        <v>30</v>
      </c>
      <c r="N1810" s="57" t="n">
        <f aca="false">IF(COUNTIFS(E$2:E1810,E1810,C$2:C1810,C1810)=1,1,0)</f>
        <v>0</v>
      </c>
      <c r="O1810" s="57" t="n">
        <f aca="false">IF(COUNTIFS(E$2:E1810,E1810,C$2:C1810,C1810,D$2:D1810,D1810)=1,1,0)</f>
        <v>1</v>
      </c>
      <c r="P1810" s="57" t="n">
        <f aca="false">IF(AND(C1810=Calc!$C$3,OR(Calc!$C$4=0,D1810=Calc!$C$4)),ROW(),0)</f>
        <v>1810</v>
      </c>
    </row>
    <row r="1811" customFormat="false" ht="15" hidden="false" customHeight="false" outlineLevel="0" collapsed="false">
      <c r="A1811" s="57" t="s">
        <v>2354</v>
      </c>
      <c r="B1811" s="58" t="n">
        <v>45789</v>
      </c>
      <c r="C1811" s="57" t="n">
        <f aca="false">YEAR(B1811)</f>
        <v>2025</v>
      </c>
      <c r="D1811" s="57" t="n">
        <f aca="false">MONTH(B1811)</f>
        <v>5</v>
      </c>
      <c r="E1811" s="57" t="s">
        <v>580</v>
      </c>
      <c r="F1811" s="57" t="s">
        <v>75</v>
      </c>
      <c r="G1811" s="57" t="s">
        <v>35</v>
      </c>
      <c r="H1811" s="57" t="s">
        <v>38</v>
      </c>
      <c r="I1811" s="59" t="n">
        <v>2</v>
      </c>
      <c r="J1811" s="60" t="n">
        <v>49</v>
      </c>
      <c r="K1811" s="60" t="n">
        <v>22</v>
      </c>
      <c r="L1811" s="61" t="n">
        <f aca="false">I1811*J1811</f>
        <v>98</v>
      </c>
      <c r="M1811" s="61" t="n">
        <f aca="false">L1811-I1811*K1811</f>
        <v>54</v>
      </c>
      <c r="N1811" s="57" t="n">
        <f aca="false">IF(COUNTIFS(E$2:E1811,E1811,C$2:C1811,C1811)=1,1,0)</f>
        <v>0</v>
      </c>
      <c r="O1811" s="57" t="n">
        <f aca="false">IF(COUNTIFS(E$2:E1811,E1811,C$2:C1811,C1811,D$2:D1811,D1811)=1,1,0)</f>
        <v>1</v>
      </c>
      <c r="P1811" s="57" t="n">
        <f aca="false">IF(AND(C1811=Calc!$C$3,OR(Calc!$C$4=0,D1811=Calc!$C$4)),ROW(),0)</f>
        <v>1811</v>
      </c>
    </row>
    <row r="1812" customFormat="false" ht="15" hidden="false" customHeight="false" outlineLevel="0" collapsed="false">
      <c r="A1812" s="57" t="s">
        <v>2355</v>
      </c>
      <c r="B1812" s="58" t="n">
        <v>45789</v>
      </c>
      <c r="C1812" s="57" t="n">
        <f aca="false">YEAR(B1812)</f>
        <v>2025</v>
      </c>
      <c r="D1812" s="57" t="n">
        <f aca="false">MONTH(B1812)</f>
        <v>5</v>
      </c>
      <c r="E1812" s="57" t="s">
        <v>347</v>
      </c>
      <c r="F1812" s="57" t="s">
        <v>72</v>
      </c>
      <c r="G1812" s="57" t="s">
        <v>45</v>
      </c>
      <c r="H1812" s="57" t="s">
        <v>48</v>
      </c>
      <c r="I1812" s="59" t="n">
        <v>2</v>
      </c>
      <c r="J1812" s="60" t="n">
        <v>99</v>
      </c>
      <c r="K1812" s="60" t="n">
        <v>38</v>
      </c>
      <c r="L1812" s="61" t="n">
        <f aca="false">I1812*J1812</f>
        <v>198</v>
      </c>
      <c r="M1812" s="61" t="n">
        <f aca="false">L1812-I1812*K1812</f>
        <v>122</v>
      </c>
      <c r="N1812" s="57" t="n">
        <f aca="false">IF(COUNTIFS(E$2:E1812,E1812,C$2:C1812,C1812)=1,1,0)</f>
        <v>0</v>
      </c>
      <c r="O1812" s="57" t="n">
        <f aca="false">IF(COUNTIFS(E$2:E1812,E1812,C$2:C1812,C1812,D$2:D1812,D1812)=1,1,0)</f>
        <v>1</v>
      </c>
      <c r="P1812" s="57" t="n">
        <f aca="false">IF(AND(C1812=Calc!$C$3,OR(Calc!$C$4=0,D1812=Calc!$C$4)),ROW(),0)</f>
        <v>1812</v>
      </c>
    </row>
    <row r="1813" customFormat="false" ht="15" hidden="false" customHeight="false" outlineLevel="0" collapsed="false">
      <c r="A1813" s="57" t="s">
        <v>2356</v>
      </c>
      <c r="B1813" s="58" t="n">
        <v>45790</v>
      </c>
      <c r="C1813" s="57" t="n">
        <f aca="false">YEAR(B1813)</f>
        <v>2025</v>
      </c>
      <c r="D1813" s="57" t="n">
        <f aca="false">MONTH(B1813)</f>
        <v>5</v>
      </c>
      <c r="E1813" s="57" t="s">
        <v>685</v>
      </c>
      <c r="F1813" s="57" t="s">
        <v>78</v>
      </c>
      <c r="G1813" s="57" t="s">
        <v>45</v>
      </c>
      <c r="H1813" s="57" t="s">
        <v>47</v>
      </c>
      <c r="I1813" s="59" t="n">
        <v>3</v>
      </c>
      <c r="J1813" s="60" t="n">
        <v>34</v>
      </c>
      <c r="K1813" s="60" t="n">
        <v>12</v>
      </c>
      <c r="L1813" s="61" t="n">
        <f aca="false">I1813*J1813</f>
        <v>102</v>
      </c>
      <c r="M1813" s="61" t="n">
        <f aca="false">L1813-I1813*K1813</f>
        <v>66</v>
      </c>
      <c r="N1813" s="57" t="n">
        <f aca="false">IF(COUNTIFS(E$2:E1813,E1813,C$2:C1813,C1813)=1,1,0)</f>
        <v>1</v>
      </c>
      <c r="O1813" s="57" t="n">
        <f aca="false">IF(COUNTIFS(E$2:E1813,E1813,C$2:C1813,C1813,D$2:D1813,D1813)=1,1,0)</f>
        <v>1</v>
      </c>
      <c r="P1813" s="57" t="n">
        <f aca="false">IF(AND(C1813=Calc!$C$3,OR(Calc!$C$4=0,D1813=Calc!$C$4)),ROW(),0)</f>
        <v>1813</v>
      </c>
    </row>
    <row r="1814" customFormat="false" ht="15" hidden="false" customHeight="false" outlineLevel="0" collapsed="false">
      <c r="A1814" s="57" t="s">
        <v>2357</v>
      </c>
      <c r="B1814" s="58" t="n">
        <v>45790</v>
      </c>
      <c r="C1814" s="57" t="n">
        <f aca="false">YEAR(B1814)</f>
        <v>2025</v>
      </c>
      <c r="D1814" s="57" t="n">
        <f aca="false">MONTH(B1814)</f>
        <v>5</v>
      </c>
      <c r="E1814" s="57" t="s">
        <v>580</v>
      </c>
      <c r="F1814" s="57" t="s">
        <v>75</v>
      </c>
      <c r="G1814" s="57" t="s">
        <v>54</v>
      </c>
      <c r="H1814" s="57" t="s">
        <v>56</v>
      </c>
      <c r="I1814" s="59" t="n">
        <v>1</v>
      </c>
      <c r="J1814" s="60" t="n">
        <v>42</v>
      </c>
      <c r="K1814" s="60" t="n">
        <v>17</v>
      </c>
      <c r="L1814" s="61" t="n">
        <f aca="false">I1814*J1814</f>
        <v>42</v>
      </c>
      <c r="M1814" s="61" t="n">
        <f aca="false">L1814-I1814*K1814</f>
        <v>25</v>
      </c>
      <c r="N1814" s="57" t="n">
        <f aca="false">IF(COUNTIFS(E$2:E1814,E1814,C$2:C1814,C1814)=1,1,0)</f>
        <v>0</v>
      </c>
      <c r="O1814" s="57" t="n">
        <f aca="false">IF(COUNTIFS(E$2:E1814,E1814,C$2:C1814,C1814,D$2:D1814,D1814)=1,1,0)</f>
        <v>0</v>
      </c>
      <c r="P1814" s="57" t="n">
        <f aca="false">IF(AND(C1814=Calc!$C$3,OR(Calc!$C$4=0,D1814=Calc!$C$4)),ROW(),0)</f>
        <v>1814</v>
      </c>
    </row>
    <row r="1815" customFormat="false" ht="15" hidden="false" customHeight="false" outlineLevel="0" collapsed="false">
      <c r="A1815" s="57" t="s">
        <v>2358</v>
      </c>
      <c r="B1815" s="58" t="n">
        <v>45790</v>
      </c>
      <c r="C1815" s="57" t="n">
        <f aca="false">YEAR(B1815)</f>
        <v>2025</v>
      </c>
      <c r="D1815" s="57" t="n">
        <f aca="false">MONTH(B1815)</f>
        <v>5</v>
      </c>
      <c r="E1815" s="57" t="s">
        <v>344</v>
      </c>
      <c r="F1815" s="57" t="s">
        <v>81</v>
      </c>
      <c r="G1815" s="57" t="s">
        <v>50</v>
      </c>
      <c r="H1815" s="57" t="s">
        <v>52</v>
      </c>
      <c r="I1815" s="59" t="n">
        <v>3</v>
      </c>
      <c r="J1815" s="60" t="n">
        <v>45</v>
      </c>
      <c r="K1815" s="60" t="n">
        <v>14</v>
      </c>
      <c r="L1815" s="61" t="n">
        <f aca="false">I1815*J1815</f>
        <v>135</v>
      </c>
      <c r="M1815" s="61" t="n">
        <f aca="false">L1815-I1815*K1815</f>
        <v>93</v>
      </c>
      <c r="N1815" s="57" t="n">
        <f aca="false">IF(COUNTIFS(E$2:E1815,E1815,C$2:C1815,C1815)=1,1,0)</f>
        <v>1</v>
      </c>
      <c r="O1815" s="57" t="n">
        <f aca="false">IF(COUNTIFS(E$2:E1815,E1815,C$2:C1815,C1815,D$2:D1815,D1815)=1,1,0)</f>
        <v>1</v>
      </c>
      <c r="P1815" s="57" t="n">
        <f aca="false">IF(AND(C1815=Calc!$C$3,OR(Calc!$C$4=0,D1815=Calc!$C$4)),ROW(),0)</f>
        <v>1815</v>
      </c>
    </row>
    <row r="1816" customFormat="false" ht="15" hidden="false" customHeight="false" outlineLevel="0" collapsed="false">
      <c r="A1816" s="57" t="s">
        <v>2359</v>
      </c>
      <c r="B1816" s="58" t="n">
        <v>45790</v>
      </c>
      <c r="C1816" s="57" t="n">
        <f aca="false">YEAR(B1816)</f>
        <v>2025</v>
      </c>
      <c r="D1816" s="57" t="n">
        <f aca="false">MONTH(B1816)</f>
        <v>5</v>
      </c>
      <c r="E1816" s="57" t="s">
        <v>245</v>
      </c>
      <c r="F1816" s="57" t="s">
        <v>72</v>
      </c>
      <c r="G1816" s="57" t="s">
        <v>45</v>
      </c>
      <c r="H1816" s="57" t="s">
        <v>48</v>
      </c>
      <c r="I1816" s="59" t="n">
        <v>1</v>
      </c>
      <c r="J1816" s="60" t="n">
        <v>99</v>
      </c>
      <c r="K1816" s="60" t="n">
        <v>38</v>
      </c>
      <c r="L1816" s="61" t="n">
        <f aca="false">I1816*J1816</f>
        <v>99</v>
      </c>
      <c r="M1816" s="61" t="n">
        <f aca="false">L1816-I1816*K1816</f>
        <v>61</v>
      </c>
      <c r="N1816" s="57" t="n">
        <f aca="false">IF(COUNTIFS(E$2:E1816,E1816,C$2:C1816,C1816)=1,1,0)</f>
        <v>0</v>
      </c>
      <c r="O1816" s="57" t="n">
        <f aca="false">IF(COUNTIFS(E$2:E1816,E1816,C$2:C1816,C1816,D$2:D1816,D1816)=1,1,0)</f>
        <v>0</v>
      </c>
      <c r="P1816" s="57" t="n">
        <f aca="false">IF(AND(C1816=Calc!$C$3,OR(Calc!$C$4=0,D1816=Calc!$C$4)),ROW(),0)</f>
        <v>1816</v>
      </c>
    </row>
    <row r="1817" customFormat="false" ht="15" hidden="false" customHeight="false" outlineLevel="0" collapsed="false">
      <c r="A1817" s="57" t="s">
        <v>2360</v>
      </c>
      <c r="B1817" s="58" t="n">
        <v>45790</v>
      </c>
      <c r="C1817" s="57" t="n">
        <f aca="false">YEAR(B1817)</f>
        <v>2025</v>
      </c>
      <c r="D1817" s="57" t="n">
        <f aca="false">MONTH(B1817)</f>
        <v>5</v>
      </c>
      <c r="E1817" s="57" t="s">
        <v>1792</v>
      </c>
      <c r="F1817" s="57" t="s">
        <v>75</v>
      </c>
      <c r="G1817" s="57" t="s">
        <v>54</v>
      </c>
      <c r="H1817" s="57" t="s">
        <v>55</v>
      </c>
      <c r="I1817" s="59" t="n">
        <v>2</v>
      </c>
      <c r="J1817" s="60" t="n">
        <v>64</v>
      </c>
      <c r="K1817" s="60" t="n">
        <v>25</v>
      </c>
      <c r="L1817" s="61" t="n">
        <f aca="false">I1817*J1817</f>
        <v>128</v>
      </c>
      <c r="M1817" s="61" t="n">
        <f aca="false">L1817-I1817*K1817</f>
        <v>78</v>
      </c>
      <c r="N1817" s="57" t="n">
        <f aca="false">IF(COUNTIFS(E$2:E1817,E1817,C$2:C1817,C1817)=1,1,0)</f>
        <v>0</v>
      </c>
      <c r="O1817" s="57" t="n">
        <f aca="false">IF(COUNTIFS(E$2:E1817,E1817,C$2:C1817,C1817,D$2:D1817,D1817)=1,1,0)</f>
        <v>1</v>
      </c>
      <c r="P1817" s="57" t="n">
        <f aca="false">IF(AND(C1817=Calc!$C$3,OR(Calc!$C$4=0,D1817=Calc!$C$4)),ROW(),0)</f>
        <v>1817</v>
      </c>
    </row>
    <row r="1818" customFormat="false" ht="15" hidden="false" customHeight="false" outlineLevel="0" collapsed="false">
      <c r="A1818" s="57" t="s">
        <v>2361</v>
      </c>
      <c r="B1818" s="58" t="n">
        <v>45791</v>
      </c>
      <c r="C1818" s="57" t="n">
        <f aca="false">YEAR(B1818)</f>
        <v>2025</v>
      </c>
      <c r="D1818" s="57" t="n">
        <f aca="false">MONTH(B1818)</f>
        <v>5</v>
      </c>
      <c r="E1818" s="57" t="s">
        <v>494</v>
      </c>
      <c r="F1818" s="57" t="s">
        <v>78</v>
      </c>
      <c r="G1818" s="57" t="s">
        <v>35</v>
      </c>
      <c r="H1818" s="57" t="s">
        <v>34</v>
      </c>
      <c r="I1818" s="59" t="n">
        <v>1</v>
      </c>
      <c r="J1818" s="60" t="n">
        <v>89</v>
      </c>
      <c r="K1818" s="60" t="n">
        <v>41</v>
      </c>
      <c r="L1818" s="61" t="n">
        <f aca="false">I1818*J1818</f>
        <v>89</v>
      </c>
      <c r="M1818" s="61" t="n">
        <f aca="false">L1818-I1818*K1818</f>
        <v>48</v>
      </c>
      <c r="N1818" s="57" t="n">
        <f aca="false">IF(COUNTIFS(E$2:E1818,E1818,C$2:C1818,C1818)=1,1,0)</f>
        <v>0</v>
      </c>
      <c r="O1818" s="57" t="n">
        <f aca="false">IF(COUNTIFS(E$2:E1818,E1818,C$2:C1818,C1818,D$2:D1818,D1818)=1,1,0)</f>
        <v>1</v>
      </c>
      <c r="P1818" s="57" t="n">
        <f aca="false">IF(AND(C1818=Calc!$C$3,OR(Calc!$C$4=0,D1818=Calc!$C$4)),ROW(),0)</f>
        <v>1818</v>
      </c>
    </row>
    <row r="1819" customFormat="false" ht="15" hidden="false" customHeight="false" outlineLevel="0" collapsed="false">
      <c r="A1819" s="57" t="s">
        <v>2362</v>
      </c>
      <c r="B1819" s="58" t="n">
        <v>45791</v>
      </c>
      <c r="C1819" s="57" t="n">
        <f aca="false">YEAR(B1819)</f>
        <v>2025</v>
      </c>
      <c r="D1819" s="57" t="n">
        <f aca="false">MONTH(B1819)</f>
        <v>5</v>
      </c>
      <c r="E1819" s="57" t="s">
        <v>666</v>
      </c>
      <c r="F1819" s="57" t="s">
        <v>69</v>
      </c>
      <c r="G1819" s="57" t="s">
        <v>45</v>
      </c>
      <c r="H1819" s="57" t="s">
        <v>48</v>
      </c>
      <c r="I1819" s="59" t="n">
        <v>1</v>
      </c>
      <c r="J1819" s="60" t="n">
        <v>99</v>
      </c>
      <c r="K1819" s="60" t="n">
        <v>38</v>
      </c>
      <c r="L1819" s="61" t="n">
        <f aca="false">I1819*J1819</f>
        <v>99</v>
      </c>
      <c r="M1819" s="61" t="n">
        <f aca="false">L1819-I1819*K1819</f>
        <v>61</v>
      </c>
      <c r="N1819" s="57" t="n">
        <f aca="false">IF(COUNTIFS(E$2:E1819,E1819,C$2:C1819,C1819)=1,1,0)</f>
        <v>1</v>
      </c>
      <c r="O1819" s="57" t="n">
        <f aca="false">IF(COUNTIFS(E$2:E1819,E1819,C$2:C1819,C1819,D$2:D1819,D1819)=1,1,0)</f>
        <v>1</v>
      </c>
      <c r="P1819" s="57" t="n">
        <f aca="false">IF(AND(C1819=Calc!$C$3,OR(Calc!$C$4=0,D1819=Calc!$C$4)),ROW(),0)</f>
        <v>1819</v>
      </c>
    </row>
    <row r="1820" customFormat="false" ht="15" hidden="false" customHeight="false" outlineLevel="0" collapsed="false">
      <c r="A1820" s="57" t="s">
        <v>2363</v>
      </c>
      <c r="B1820" s="58" t="n">
        <v>45791</v>
      </c>
      <c r="C1820" s="57" t="n">
        <f aca="false">YEAR(B1820)</f>
        <v>2025</v>
      </c>
      <c r="D1820" s="57" t="n">
        <f aca="false">MONTH(B1820)</f>
        <v>5</v>
      </c>
      <c r="E1820" s="57" t="s">
        <v>537</v>
      </c>
      <c r="F1820" s="57" t="s">
        <v>75</v>
      </c>
      <c r="G1820" s="57" t="s">
        <v>35</v>
      </c>
      <c r="H1820" s="57" t="s">
        <v>34</v>
      </c>
      <c r="I1820" s="59" t="n">
        <v>1</v>
      </c>
      <c r="J1820" s="60" t="n">
        <v>89</v>
      </c>
      <c r="K1820" s="60" t="n">
        <v>41</v>
      </c>
      <c r="L1820" s="61" t="n">
        <f aca="false">I1820*J1820</f>
        <v>89</v>
      </c>
      <c r="M1820" s="61" t="n">
        <f aca="false">L1820-I1820*K1820</f>
        <v>48</v>
      </c>
      <c r="N1820" s="57" t="n">
        <f aca="false">IF(COUNTIFS(E$2:E1820,E1820,C$2:C1820,C1820)=1,1,0)</f>
        <v>1</v>
      </c>
      <c r="O1820" s="57" t="n">
        <f aca="false">IF(COUNTIFS(E$2:E1820,E1820,C$2:C1820,C1820,D$2:D1820,D1820)=1,1,0)</f>
        <v>1</v>
      </c>
      <c r="P1820" s="57" t="n">
        <f aca="false">IF(AND(C1820=Calc!$C$3,OR(Calc!$C$4=0,D1820=Calc!$C$4)),ROW(),0)</f>
        <v>1820</v>
      </c>
    </row>
    <row r="1821" customFormat="false" ht="15" hidden="false" customHeight="false" outlineLevel="0" collapsed="false">
      <c r="A1821" s="57" t="s">
        <v>2364</v>
      </c>
      <c r="B1821" s="58" t="n">
        <v>45791</v>
      </c>
      <c r="C1821" s="57" t="n">
        <f aca="false">YEAR(B1821)</f>
        <v>2025</v>
      </c>
      <c r="D1821" s="57" t="n">
        <f aca="false">MONTH(B1821)</f>
        <v>5</v>
      </c>
      <c r="E1821" s="57" t="s">
        <v>2050</v>
      </c>
      <c r="F1821" s="57" t="s">
        <v>72</v>
      </c>
      <c r="G1821" s="57" t="s">
        <v>35</v>
      </c>
      <c r="H1821" s="57" t="s">
        <v>36</v>
      </c>
      <c r="I1821" s="59" t="n">
        <v>1</v>
      </c>
      <c r="J1821" s="60" t="n">
        <v>179</v>
      </c>
      <c r="K1821" s="60" t="n">
        <v>92</v>
      </c>
      <c r="L1821" s="61" t="n">
        <f aca="false">I1821*J1821</f>
        <v>179</v>
      </c>
      <c r="M1821" s="61" t="n">
        <f aca="false">L1821-I1821*K1821</f>
        <v>87</v>
      </c>
      <c r="N1821" s="57" t="n">
        <f aca="false">IF(COUNTIFS(E$2:E1821,E1821,C$2:C1821,C1821)=1,1,0)</f>
        <v>0</v>
      </c>
      <c r="O1821" s="57" t="n">
        <f aca="false">IF(COUNTIFS(E$2:E1821,E1821,C$2:C1821,C1821,D$2:D1821,D1821)=1,1,0)</f>
        <v>1</v>
      </c>
      <c r="P1821" s="57" t="n">
        <f aca="false">IF(AND(C1821=Calc!$C$3,OR(Calc!$C$4=0,D1821=Calc!$C$4)),ROW(),0)</f>
        <v>1821</v>
      </c>
    </row>
    <row r="1822" customFormat="false" ht="15" hidden="false" customHeight="false" outlineLevel="0" collapsed="false">
      <c r="A1822" s="57" t="s">
        <v>2365</v>
      </c>
      <c r="B1822" s="58" t="n">
        <v>45791</v>
      </c>
      <c r="C1822" s="57" t="n">
        <f aca="false">YEAR(B1822)</f>
        <v>2025</v>
      </c>
      <c r="D1822" s="57" t="n">
        <f aca="false">MONTH(B1822)</f>
        <v>5</v>
      </c>
      <c r="E1822" s="57" t="s">
        <v>1218</v>
      </c>
      <c r="F1822" s="57" t="s">
        <v>81</v>
      </c>
      <c r="G1822" s="57" t="s">
        <v>54</v>
      </c>
      <c r="H1822" s="57" t="s">
        <v>56</v>
      </c>
      <c r="I1822" s="59" t="n">
        <v>1</v>
      </c>
      <c r="J1822" s="60" t="n">
        <v>42</v>
      </c>
      <c r="K1822" s="60" t="n">
        <v>17</v>
      </c>
      <c r="L1822" s="61" t="n">
        <f aca="false">I1822*J1822</f>
        <v>42</v>
      </c>
      <c r="M1822" s="61" t="n">
        <f aca="false">L1822-I1822*K1822</f>
        <v>25</v>
      </c>
      <c r="N1822" s="57" t="n">
        <f aca="false">IF(COUNTIFS(E$2:E1822,E1822,C$2:C1822,C1822)=1,1,0)</f>
        <v>0</v>
      </c>
      <c r="O1822" s="57" t="n">
        <f aca="false">IF(COUNTIFS(E$2:E1822,E1822,C$2:C1822,C1822,D$2:D1822,D1822)=1,1,0)</f>
        <v>1</v>
      </c>
      <c r="P1822" s="57" t="n">
        <f aca="false">IF(AND(C1822=Calc!$C$3,OR(Calc!$C$4=0,D1822=Calc!$C$4)),ROW(),0)</f>
        <v>1822</v>
      </c>
    </row>
    <row r="1823" customFormat="false" ht="15" hidden="false" customHeight="false" outlineLevel="0" collapsed="false">
      <c r="A1823" s="57" t="s">
        <v>2366</v>
      </c>
      <c r="B1823" s="58" t="n">
        <v>45792</v>
      </c>
      <c r="C1823" s="57" t="n">
        <f aca="false">YEAR(B1823)</f>
        <v>2025</v>
      </c>
      <c r="D1823" s="57" t="n">
        <f aca="false">MONTH(B1823)</f>
        <v>5</v>
      </c>
      <c r="E1823" s="57" t="s">
        <v>1493</v>
      </c>
      <c r="F1823" s="57" t="s">
        <v>69</v>
      </c>
      <c r="G1823" s="57" t="s">
        <v>40</v>
      </c>
      <c r="H1823" s="57" t="s">
        <v>43</v>
      </c>
      <c r="I1823" s="59" t="n">
        <v>1</v>
      </c>
      <c r="J1823" s="60" t="n">
        <v>29</v>
      </c>
      <c r="K1823" s="60" t="n">
        <v>9</v>
      </c>
      <c r="L1823" s="61" t="n">
        <f aca="false">I1823*J1823</f>
        <v>29</v>
      </c>
      <c r="M1823" s="61" t="n">
        <f aca="false">L1823-I1823*K1823</f>
        <v>20</v>
      </c>
      <c r="N1823" s="57" t="n">
        <f aca="false">IF(COUNTIFS(E$2:E1823,E1823,C$2:C1823,C1823)=1,1,0)</f>
        <v>1</v>
      </c>
      <c r="O1823" s="57" t="n">
        <f aca="false">IF(COUNTIFS(E$2:E1823,E1823,C$2:C1823,C1823,D$2:D1823,D1823)=1,1,0)</f>
        <v>1</v>
      </c>
      <c r="P1823" s="57" t="n">
        <f aca="false">IF(AND(C1823=Calc!$C$3,OR(Calc!$C$4=0,D1823=Calc!$C$4)),ROW(),0)</f>
        <v>1823</v>
      </c>
    </row>
    <row r="1824" customFormat="false" ht="15" hidden="false" customHeight="false" outlineLevel="0" collapsed="false">
      <c r="A1824" s="57" t="s">
        <v>2367</v>
      </c>
      <c r="B1824" s="58" t="n">
        <v>45792</v>
      </c>
      <c r="C1824" s="57" t="n">
        <f aca="false">YEAR(B1824)</f>
        <v>2025</v>
      </c>
      <c r="D1824" s="57" t="n">
        <f aca="false">MONTH(B1824)</f>
        <v>5</v>
      </c>
      <c r="E1824" s="57" t="s">
        <v>1728</v>
      </c>
      <c r="F1824" s="57" t="s">
        <v>75</v>
      </c>
      <c r="G1824" s="57" t="s">
        <v>35</v>
      </c>
      <c r="H1824" s="57" t="s">
        <v>34</v>
      </c>
      <c r="I1824" s="59" t="n">
        <v>1</v>
      </c>
      <c r="J1824" s="60" t="n">
        <v>89</v>
      </c>
      <c r="K1824" s="60" t="n">
        <v>41</v>
      </c>
      <c r="L1824" s="61" t="n">
        <f aca="false">I1824*J1824</f>
        <v>89</v>
      </c>
      <c r="M1824" s="61" t="n">
        <f aca="false">L1824-I1824*K1824</f>
        <v>48</v>
      </c>
      <c r="N1824" s="57" t="n">
        <f aca="false">IF(COUNTIFS(E$2:E1824,E1824,C$2:C1824,C1824)=1,1,0)</f>
        <v>0</v>
      </c>
      <c r="O1824" s="57" t="n">
        <f aca="false">IF(COUNTIFS(E$2:E1824,E1824,C$2:C1824,C1824,D$2:D1824,D1824)=1,1,0)</f>
        <v>1</v>
      </c>
      <c r="P1824" s="57" t="n">
        <f aca="false">IF(AND(C1824=Calc!$C$3,OR(Calc!$C$4=0,D1824=Calc!$C$4)),ROW(),0)</f>
        <v>1824</v>
      </c>
    </row>
    <row r="1825" customFormat="false" ht="15" hidden="false" customHeight="false" outlineLevel="0" collapsed="false">
      <c r="A1825" s="57" t="s">
        <v>2368</v>
      </c>
      <c r="B1825" s="58" t="n">
        <v>45792</v>
      </c>
      <c r="C1825" s="57" t="n">
        <f aca="false">YEAR(B1825)</f>
        <v>2025</v>
      </c>
      <c r="D1825" s="57" t="n">
        <f aca="false">MONTH(B1825)</f>
        <v>5</v>
      </c>
      <c r="E1825" s="57" t="s">
        <v>510</v>
      </c>
      <c r="F1825" s="57" t="s">
        <v>78</v>
      </c>
      <c r="G1825" s="57" t="s">
        <v>45</v>
      </c>
      <c r="H1825" s="57" t="s">
        <v>46</v>
      </c>
      <c r="I1825" s="59" t="n">
        <v>1</v>
      </c>
      <c r="J1825" s="60" t="n">
        <v>149</v>
      </c>
      <c r="K1825" s="60" t="n">
        <v>71</v>
      </c>
      <c r="L1825" s="61" t="n">
        <f aca="false">I1825*J1825</f>
        <v>149</v>
      </c>
      <c r="M1825" s="61" t="n">
        <f aca="false">L1825-I1825*K1825</f>
        <v>78</v>
      </c>
      <c r="N1825" s="57" t="n">
        <f aca="false">IF(COUNTIFS(E$2:E1825,E1825,C$2:C1825,C1825)=1,1,0)</f>
        <v>0</v>
      </c>
      <c r="O1825" s="57" t="n">
        <f aca="false">IF(COUNTIFS(E$2:E1825,E1825,C$2:C1825,C1825,D$2:D1825,D1825)=1,1,0)</f>
        <v>1</v>
      </c>
      <c r="P1825" s="57" t="n">
        <f aca="false">IF(AND(C1825=Calc!$C$3,OR(Calc!$C$4=0,D1825=Calc!$C$4)),ROW(),0)</f>
        <v>1825</v>
      </c>
    </row>
    <row r="1826" customFormat="false" ht="15" hidden="false" customHeight="false" outlineLevel="0" collapsed="false">
      <c r="A1826" s="57" t="s">
        <v>2369</v>
      </c>
      <c r="B1826" s="58" t="n">
        <v>45792</v>
      </c>
      <c r="C1826" s="57" t="n">
        <f aca="false">YEAR(B1826)</f>
        <v>2025</v>
      </c>
      <c r="D1826" s="57" t="n">
        <f aca="false">MONTH(B1826)</f>
        <v>5</v>
      </c>
      <c r="E1826" s="57" t="s">
        <v>1475</v>
      </c>
      <c r="F1826" s="57" t="s">
        <v>78</v>
      </c>
      <c r="G1826" s="57" t="s">
        <v>40</v>
      </c>
      <c r="H1826" s="57" t="s">
        <v>43</v>
      </c>
      <c r="I1826" s="59" t="n">
        <v>1</v>
      </c>
      <c r="J1826" s="60" t="n">
        <v>29</v>
      </c>
      <c r="K1826" s="60" t="n">
        <v>9</v>
      </c>
      <c r="L1826" s="61" t="n">
        <f aca="false">I1826*J1826</f>
        <v>29</v>
      </c>
      <c r="M1826" s="61" t="n">
        <f aca="false">L1826-I1826*K1826</f>
        <v>20</v>
      </c>
      <c r="N1826" s="57" t="n">
        <f aca="false">IF(COUNTIFS(E$2:E1826,E1826,C$2:C1826,C1826)=1,1,0)</f>
        <v>1</v>
      </c>
      <c r="O1826" s="57" t="n">
        <f aca="false">IF(COUNTIFS(E$2:E1826,E1826,C$2:C1826,C1826,D$2:D1826,D1826)=1,1,0)</f>
        <v>1</v>
      </c>
      <c r="P1826" s="57" t="n">
        <f aca="false">IF(AND(C1826=Calc!$C$3,OR(Calc!$C$4=0,D1826=Calc!$C$4)),ROW(),0)</f>
        <v>1826</v>
      </c>
    </row>
    <row r="1827" customFormat="false" ht="15" hidden="false" customHeight="false" outlineLevel="0" collapsed="false">
      <c r="A1827" s="57" t="s">
        <v>2370</v>
      </c>
      <c r="B1827" s="58" t="n">
        <v>45793</v>
      </c>
      <c r="C1827" s="57" t="n">
        <f aca="false">YEAR(B1827)</f>
        <v>2025</v>
      </c>
      <c r="D1827" s="57" t="n">
        <f aca="false">MONTH(B1827)</f>
        <v>5</v>
      </c>
      <c r="E1827" s="57" t="s">
        <v>148</v>
      </c>
      <c r="F1827" s="57" t="s">
        <v>78</v>
      </c>
      <c r="G1827" s="57" t="s">
        <v>50</v>
      </c>
      <c r="H1827" s="57" t="s">
        <v>52</v>
      </c>
      <c r="I1827" s="59" t="n">
        <v>1</v>
      </c>
      <c r="J1827" s="60" t="n">
        <v>45</v>
      </c>
      <c r="K1827" s="60" t="n">
        <v>14</v>
      </c>
      <c r="L1827" s="61" t="n">
        <f aca="false">I1827*J1827</f>
        <v>45</v>
      </c>
      <c r="M1827" s="61" t="n">
        <f aca="false">L1827-I1827*K1827</f>
        <v>31</v>
      </c>
      <c r="N1827" s="57" t="n">
        <f aca="false">IF(COUNTIFS(E$2:E1827,E1827,C$2:C1827,C1827)=1,1,0)</f>
        <v>0</v>
      </c>
      <c r="O1827" s="57" t="n">
        <f aca="false">IF(COUNTIFS(E$2:E1827,E1827,C$2:C1827,C1827,D$2:D1827,D1827)=1,1,0)</f>
        <v>1</v>
      </c>
      <c r="P1827" s="57" t="n">
        <f aca="false">IF(AND(C1827=Calc!$C$3,OR(Calc!$C$4=0,D1827=Calc!$C$4)),ROW(),0)</f>
        <v>1827</v>
      </c>
    </row>
    <row r="1828" customFormat="false" ht="15" hidden="false" customHeight="false" outlineLevel="0" collapsed="false">
      <c r="A1828" s="57" t="s">
        <v>2371</v>
      </c>
      <c r="B1828" s="58" t="n">
        <v>45793</v>
      </c>
      <c r="C1828" s="57" t="n">
        <f aca="false">YEAR(B1828)</f>
        <v>2025</v>
      </c>
      <c r="D1828" s="57" t="n">
        <f aca="false">MONTH(B1828)</f>
        <v>5</v>
      </c>
      <c r="E1828" s="57" t="s">
        <v>386</v>
      </c>
      <c r="F1828" s="57" t="s">
        <v>78</v>
      </c>
      <c r="G1828" s="57" t="s">
        <v>40</v>
      </c>
      <c r="H1828" s="57" t="s">
        <v>39</v>
      </c>
      <c r="I1828" s="59" t="n">
        <v>1</v>
      </c>
      <c r="J1828" s="60" t="n">
        <v>54</v>
      </c>
      <c r="K1828" s="60" t="n">
        <v>19</v>
      </c>
      <c r="L1828" s="61" t="n">
        <f aca="false">I1828*J1828</f>
        <v>54</v>
      </c>
      <c r="M1828" s="61" t="n">
        <f aca="false">L1828-I1828*K1828</f>
        <v>35</v>
      </c>
      <c r="N1828" s="57" t="n">
        <f aca="false">IF(COUNTIFS(E$2:E1828,E1828,C$2:C1828,C1828)=1,1,0)</f>
        <v>0</v>
      </c>
      <c r="O1828" s="57" t="n">
        <f aca="false">IF(COUNTIFS(E$2:E1828,E1828,C$2:C1828,C1828,D$2:D1828,D1828)=1,1,0)</f>
        <v>0</v>
      </c>
      <c r="P1828" s="57" t="n">
        <f aca="false">IF(AND(C1828=Calc!$C$3,OR(Calc!$C$4=0,D1828=Calc!$C$4)),ROW(),0)</f>
        <v>1828</v>
      </c>
    </row>
    <row r="1829" customFormat="false" ht="15" hidden="false" customHeight="false" outlineLevel="0" collapsed="false">
      <c r="A1829" s="57" t="s">
        <v>2372</v>
      </c>
      <c r="B1829" s="58" t="n">
        <v>45794</v>
      </c>
      <c r="C1829" s="57" t="n">
        <f aca="false">YEAR(B1829)</f>
        <v>2025</v>
      </c>
      <c r="D1829" s="57" t="n">
        <f aca="false">MONTH(B1829)</f>
        <v>5</v>
      </c>
      <c r="E1829" s="57" t="s">
        <v>2227</v>
      </c>
      <c r="F1829" s="57" t="s">
        <v>69</v>
      </c>
      <c r="G1829" s="57" t="s">
        <v>35</v>
      </c>
      <c r="H1829" s="57" t="s">
        <v>34</v>
      </c>
      <c r="I1829" s="59" t="n">
        <v>1</v>
      </c>
      <c r="J1829" s="60" t="n">
        <v>89</v>
      </c>
      <c r="K1829" s="60" t="n">
        <v>41</v>
      </c>
      <c r="L1829" s="61" t="n">
        <f aca="false">I1829*J1829</f>
        <v>89</v>
      </c>
      <c r="M1829" s="61" t="n">
        <f aca="false">L1829-I1829*K1829</f>
        <v>48</v>
      </c>
      <c r="N1829" s="57" t="n">
        <f aca="false">IF(COUNTIFS(E$2:E1829,E1829,C$2:C1829,C1829)=1,1,0)</f>
        <v>0</v>
      </c>
      <c r="O1829" s="57" t="n">
        <f aca="false">IF(COUNTIFS(E$2:E1829,E1829,C$2:C1829,C1829,D$2:D1829,D1829)=1,1,0)</f>
        <v>1</v>
      </c>
      <c r="P1829" s="57" t="n">
        <f aca="false">IF(AND(C1829=Calc!$C$3,OR(Calc!$C$4=0,D1829=Calc!$C$4)),ROW(),0)</f>
        <v>1829</v>
      </c>
    </row>
    <row r="1830" customFormat="false" ht="15" hidden="false" customHeight="false" outlineLevel="0" collapsed="false">
      <c r="A1830" s="57" t="s">
        <v>2373</v>
      </c>
      <c r="B1830" s="58" t="n">
        <v>45794</v>
      </c>
      <c r="C1830" s="57" t="n">
        <f aca="false">YEAR(B1830)</f>
        <v>2025</v>
      </c>
      <c r="D1830" s="57" t="n">
        <f aca="false">MONTH(B1830)</f>
        <v>5</v>
      </c>
      <c r="E1830" s="57" t="s">
        <v>304</v>
      </c>
      <c r="F1830" s="57" t="s">
        <v>69</v>
      </c>
      <c r="G1830" s="57" t="s">
        <v>35</v>
      </c>
      <c r="H1830" s="57" t="s">
        <v>37</v>
      </c>
      <c r="I1830" s="59" t="n">
        <v>1</v>
      </c>
      <c r="J1830" s="60" t="n">
        <v>59</v>
      </c>
      <c r="K1830" s="60" t="n">
        <v>27</v>
      </c>
      <c r="L1830" s="61" t="n">
        <f aca="false">I1830*J1830</f>
        <v>59</v>
      </c>
      <c r="M1830" s="61" t="n">
        <f aca="false">L1830-I1830*K1830</f>
        <v>32</v>
      </c>
      <c r="N1830" s="57" t="n">
        <f aca="false">IF(COUNTIFS(E$2:E1830,E1830,C$2:C1830,C1830)=1,1,0)</f>
        <v>0</v>
      </c>
      <c r="O1830" s="57" t="n">
        <f aca="false">IF(COUNTIFS(E$2:E1830,E1830,C$2:C1830,C1830,D$2:D1830,D1830)=1,1,0)</f>
        <v>0</v>
      </c>
      <c r="P1830" s="57" t="n">
        <f aca="false">IF(AND(C1830=Calc!$C$3,OR(Calc!$C$4=0,D1830=Calc!$C$4)),ROW(),0)</f>
        <v>1830</v>
      </c>
    </row>
    <row r="1831" customFormat="false" ht="15" hidden="false" customHeight="false" outlineLevel="0" collapsed="false">
      <c r="A1831" s="57" t="s">
        <v>2374</v>
      </c>
      <c r="B1831" s="58" t="n">
        <v>45794</v>
      </c>
      <c r="C1831" s="57" t="n">
        <f aca="false">YEAR(B1831)</f>
        <v>2025</v>
      </c>
      <c r="D1831" s="57" t="n">
        <f aca="false">MONTH(B1831)</f>
        <v>5</v>
      </c>
      <c r="E1831" s="57" t="s">
        <v>687</v>
      </c>
      <c r="F1831" s="57" t="s">
        <v>75</v>
      </c>
      <c r="G1831" s="57" t="s">
        <v>45</v>
      </c>
      <c r="H1831" s="57" t="s">
        <v>46</v>
      </c>
      <c r="I1831" s="59" t="n">
        <v>2</v>
      </c>
      <c r="J1831" s="60" t="n">
        <v>149</v>
      </c>
      <c r="K1831" s="60" t="n">
        <v>71</v>
      </c>
      <c r="L1831" s="61" t="n">
        <f aca="false">I1831*J1831</f>
        <v>298</v>
      </c>
      <c r="M1831" s="61" t="n">
        <f aca="false">L1831-I1831*K1831</f>
        <v>156</v>
      </c>
      <c r="N1831" s="57" t="n">
        <f aca="false">IF(COUNTIFS(E$2:E1831,E1831,C$2:C1831,C1831)=1,1,0)</f>
        <v>1</v>
      </c>
      <c r="O1831" s="57" t="n">
        <f aca="false">IF(COUNTIFS(E$2:E1831,E1831,C$2:C1831,C1831,D$2:D1831,D1831)=1,1,0)</f>
        <v>1</v>
      </c>
      <c r="P1831" s="57" t="n">
        <f aca="false">IF(AND(C1831=Calc!$C$3,OR(Calc!$C$4=0,D1831=Calc!$C$4)),ROW(),0)</f>
        <v>1831</v>
      </c>
    </row>
    <row r="1832" customFormat="false" ht="15" hidden="false" customHeight="false" outlineLevel="0" collapsed="false">
      <c r="A1832" s="57" t="s">
        <v>2375</v>
      </c>
      <c r="B1832" s="58" t="n">
        <v>45794</v>
      </c>
      <c r="C1832" s="57" t="n">
        <f aca="false">YEAR(B1832)</f>
        <v>2025</v>
      </c>
      <c r="D1832" s="57" t="n">
        <f aca="false">MONTH(B1832)</f>
        <v>5</v>
      </c>
      <c r="E1832" s="57" t="s">
        <v>580</v>
      </c>
      <c r="F1832" s="57" t="s">
        <v>75</v>
      </c>
      <c r="G1832" s="57" t="s">
        <v>45</v>
      </c>
      <c r="H1832" s="57" t="s">
        <v>47</v>
      </c>
      <c r="I1832" s="59" t="n">
        <v>1</v>
      </c>
      <c r="J1832" s="60" t="n">
        <v>34</v>
      </c>
      <c r="K1832" s="60" t="n">
        <v>12</v>
      </c>
      <c r="L1832" s="61" t="n">
        <f aca="false">I1832*J1832</f>
        <v>34</v>
      </c>
      <c r="M1832" s="61" t="n">
        <f aca="false">L1832-I1832*K1832</f>
        <v>22</v>
      </c>
      <c r="N1832" s="57" t="n">
        <f aca="false">IF(COUNTIFS(E$2:E1832,E1832,C$2:C1832,C1832)=1,1,0)</f>
        <v>0</v>
      </c>
      <c r="O1832" s="57" t="n">
        <f aca="false">IF(COUNTIFS(E$2:E1832,E1832,C$2:C1832,C1832,D$2:D1832,D1832)=1,1,0)</f>
        <v>0</v>
      </c>
      <c r="P1832" s="57" t="n">
        <f aca="false">IF(AND(C1832=Calc!$C$3,OR(Calc!$C$4=0,D1832=Calc!$C$4)),ROW(),0)</f>
        <v>1832</v>
      </c>
    </row>
    <row r="1833" customFormat="false" ht="15" hidden="false" customHeight="false" outlineLevel="0" collapsed="false">
      <c r="A1833" s="57" t="s">
        <v>2376</v>
      </c>
      <c r="B1833" s="58" t="n">
        <v>45795</v>
      </c>
      <c r="C1833" s="57" t="n">
        <f aca="false">YEAR(B1833)</f>
        <v>2025</v>
      </c>
      <c r="D1833" s="57" t="n">
        <f aca="false">MONTH(B1833)</f>
        <v>5</v>
      </c>
      <c r="E1833" s="57" t="s">
        <v>261</v>
      </c>
      <c r="F1833" s="57" t="s">
        <v>75</v>
      </c>
      <c r="G1833" s="57" t="s">
        <v>35</v>
      </c>
      <c r="H1833" s="57" t="s">
        <v>38</v>
      </c>
      <c r="I1833" s="59" t="n">
        <v>1</v>
      </c>
      <c r="J1833" s="60" t="n">
        <v>49</v>
      </c>
      <c r="K1833" s="60" t="n">
        <v>22</v>
      </c>
      <c r="L1833" s="61" t="n">
        <f aca="false">I1833*J1833</f>
        <v>49</v>
      </c>
      <c r="M1833" s="61" t="n">
        <f aca="false">L1833-I1833*K1833</f>
        <v>27</v>
      </c>
      <c r="N1833" s="57" t="n">
        <f aca="false">IF(COUNTIFS(E$2:E1833,E1833,C$2:C1833,C1833)=1,1,0)</f>
        <v>0</v>
      </c>
      <c r="O1833" s="57" t="n">
        <f aca="false">IF(COUNTIFS(E$2:E1833,E1833,C$2:C1833,C1833,D$2:D1833,D1833)=1,1,0)</f>
        <v>1</v>
      </c>
      <c r="P1833" s="57" t="n">
        <f aca="false">IF(AND(C1833=Calc!$C$3,OR(Calc!$C$4=0,D1833=Calc!$C$4)),ROW(),0)</f>
        <v>1833</v>
      </c>
    </row>
    <row r="1834" customFormat="false" ht="15" hidden="false" customHeight="false" outlineLevel="0" collapsed="false">
      <c r="A1834" s="57" t="s">
        <v>2377</v>
      </c>
      <c r="B1834" s="58" t="n">
        <v>45795</v>
      </c>
      <c r="C1834" s="57" t="n">
        <f aca="false">YEAR(B1834)</f>
        <v>2025</v>
      </c>
      <c r="D1834" s="57" t="n">
        <f aca="false">MONTH(B1834)</f>
        <v>5</v>
      </c>
      <c r="E1834" s="57" t="s">
        <v>1014</v>
      </c>
      <c r="F1834" s="57" t="s">
        <v>69</v>
      </c>
      <c r="G1834" s="57" t="s">
        <v>50</v>
      </c>
      <c r="H1834" s="57" t="s">
        <v>49</v>
      </c>
      <c r="I1834" s="59" t="n">
        <v>2</v>
      </c>
      <c r="J1834" s="60" t="n">
        <v>32</v>
      </c>
      <c r="K1834" s="60" t="n">
        <v>7</v>
      </c>
      <c r="L1834" s="61" t="n">
        <f aca="false">I1834*J1834</f>
        <v>64</v>
      </c>
      <c r="M1834" s="61" t="n">
        <f aca="false">L1834-I1834*K1834</f>
        <v>50</v>
      </c>
      <c r="N1834" s="57" t="n">
        <f aca="false">IF(COUNTIFS(E$2:E1834,E1834,C$2:C1834,C1834)=1,1,0)</f>
        <v>0</v>
      </c>
      <c r="O1834" s="57" t="n">
        <f aca="false">IF(COUNTIFS(E$2:E1834,E1834,C$2:C1834,C1834,D$2:D1834,D1834)=1,1,0)</f>
        <v>1</v>
      </c>
      <c r="P1834" s="57" t="n">
        <f aca="false">IF(AND(C1834=Calc!$C$3,OR(Calc!$C$4=0,D1834=Calc!$C$4)),ROW(),0)</f>
        <v>1834</v>
      </c>
    </row>
    <row r="1835" customFormat="false" ht="15" hidden="false" customHeight="false" outlineLevel="0" collapsed="false">
      <c r="A1835" s="57" t="s">
        <v>2378</v>
      </c>
      <c r="B1835" s="58" t="n">
        <v>45796</v>
      </c>
      <c r="C1835" s="57" t="n">
        <f aca="false">YEAR(B1835)</f>
        <v>2025</v>
      </c>
      <c r="D1835" s="57" t="n">
        <f aca="false">MONTH(B1835)</f>
        <v>5</v>
      </c>
      <c r="E1835" s="57" t="s">
        <v>164</v>
      </c>
      <c r="F1835" s="57" t="s">
        <v>69</v>
      </c>
      <c r="G1835" s="57" t="s">
        <v>35</v>
      </c>
      <c r="H1835" s="57" t="s">
        <v>37</v>
      </c>
      <c r="I1835" s="59" t="n">
        <v>1</v>
      </c>
      <c r="J1835" s="60" t="n">
        <v>59</v>
      </c>
      <c r="K1835" s="60" t="n">
        <v>27</v>
      </c>
      <c r="L1835" s="61" t="n">
        <f aca="false">I1835*J1835</f>
        <v>59</v>
      </c>
      <c r="M1835" s="61" t="n">
        <f aca="false">L1835-I1835*K1835</f>
        <v>32</v>
      </c>
      <c r="N1835" s="57" t="n">
        <f aca="false">IF(COUNTIFS(E$2:E1835,E1835,C$2:C1835,C1835)=1,1,0)</f>
        <v>0</v>
      </c>
      <c r="O1835" s="57" t="n">
        <f aca="false">IF(COUNTIFS(E$2:E1835,E1835,C$2:C1835,C1835,D$2:D1835,D1835)=1,1,0)</f>
        <v>1</v>
      </c>
      <c r="P1835" s="57" t="n">
        <f aca="false">IF(AND(C1835=Calc!$C$3,OR(Calc!$C$4=0,D1835=Calc!$C$4)),ROW(),0)</f>
        <v>1835</v>
      </c>
    </row>
    <row r="1836" customFormat="false" ht="15" hidden="false" customHeight="false" outlineLevel="0" collapsed="false">
      <c r="A1836" s="57" t="s">
        <v>2379</v>
      </c>
      <c r="B1836" s="58" t="n">
        <v>45796</v>
      </c>
      <c r="C1836" s="57" t="n">
        <f aca="false">YEAR(B1836)</f>
        <v>2025</v>
      </c>
      <c r="D1836" s="57" t="n">
        <f aca="false">MONTH(B1836)</f>
        <v>5</v>
      </c>
      <c r="E1836" s="57" t="s">
        <v>2190</v>
      </c>
      <c r="F1836" s="57" t="s">
        <v>81</v>
      </c>
      <c r="G1836" s="57" t="s">
        <v>40</v>
      </c>
      <c r="H1836" s="57" t="s">
        <v>42</v>
      </c>
      <c r="I1836" s="59" t="n">
        <v>2</v>
      </c>
      <c r="J1836" s="60" t="n">
        <v>79</v>
      </c>
      <c r="K1836" s="60" t="n">
        <v>31</v>
      </c>
      <c r="L1836" s="61" t="n">
        <f aca="false">I1836*J1836</f>
        <v>158</v>
      </c>
      <c r="M1836" s="61" t="n">
        <f aca="false">L1836-I1836*K1836</f>
        <v>96</v>
      </c>
      <c r="N1836" s="57" t="n">
        <f aca="false">IF(COUNTIFS(E$2:E1836,E1836,C$2:C1836,C1836)=1,1,0)</f>
        <v>0</v>
      </c>
      <c r="O1836" s="57" t="n">
        <f aca="false">IF(COUNTIFS(E$2:E1836,E1836,C$2:C1836,C1836,D$2:D1836,D1836)=1,1,0)</f>
        <v>1</v>
      </c>
      <c r="P1836" s="57" t="n">
        <f aca="false">IF(AND(C1836=Calc!$C$3,OR(Calc!$C$4=0,D1836=Calc!$C$4)),ROW(),0)</f>
        <v>1836</v>
      </c>
    </row>
    <row r="1837" customFormat="false" ht="15" hidden="false" customHeight="false" outlineLevel="0" collapsed="false">
      <c r="A1837" s="57" t="s">
        <v>2380</v>
      </c>
      <c r="B1837" s="58" t="n">
        <v>45796</v>
      </c>
      <c r="C1837" s="57" t="n">
        <f aca="false">YEAR(B1837)</f>
        <v>2025</v>
      </c>
      <c r="D1837" s="57" t="n">
        <f aca="false">MONTH(B1837)</f>
        <v>5</v>
      </c>
      <c r="E1837" s="57" t="s">
        <v>2141</v>
      </c>
      <c r="F1837" s="57" t="s">
        <v>75</v>
      </c>
      <c r="G1837" s="57" t="s">
        <v>40</v>
      </c>
      <c r="H1837" s="57" t="s">
        <v>43</v>
      </c>
      <c r="I1837" s="59" t="n">
        <v>2</v>
      </c>
      <c r="J1837" s="60" t="n">
        <v>29</v>
      </c>
      <c r="K1837" s="60" t="n">
        <v>9</v>
      </c>
      <c r="L1837" s="61" t="n">
        <f aca="false">I1837*J1837</f>
        <v>58</v>
      </c>
      <c r="M1837" s="61" t="n">
        <f aca="false">L1837-I1837*K1837</f>
        <v>40</v>
      </c>
      <c r="N1837" s="57" t="n">
        <f aca="false">IF(COUNTIFS(E$2:E1837,E1837,C$2:C1837,C1837)=1,1,0)</f>
        <v>0</v>
      </c>
      <c r="O1837" s="57" t="n">
        <f aca="false">IF(COUNTIFS(E$2:E1837,E1837,C$2:C1837,C1837,D$2:D1837,D1837)=1,1,0)</f>
        <v>1</v>
      </c>
      <c r="P1837" s="57" t="n">
        <f aca="false">IF(AND(C1837=Calc!$C$3,OR(Calc!$C$4=0,D1837=Calc!$C$4)),ROW(),0)</f>
        <v>1837</v>
      </c>
    </row>
    <row r="1838" customFormat="false" ht="15" hidden="false" customHeight="false" outlineLevel="0" collapsed="false">
      <c r="A1838" s="57" t="s">
        <v>2381</v>
      </c>
      <c r="B1838" s="58" t="n">
        <v>45796</v>
      </c>
      <c r="C1838" s="57" t="n">
        <f aca="false">YEAR(B1838)</f>
        <v>2025</v>
      </c>
      <c r="D1838" s="57" t="n">
        <f aca="false">MONTH(B1838)</f>
        <v>5</v>
      </c>
      <c r="E1838" s="57" t="s">
        <v>382</v>
      </c>
      <c r="F1838" s="57" t="s">
        <v>69</v>
      </c>
      <c r="G1838" s="57" t="s">
        <v>40</v>
      </c>
      <c r="H1838" s="57" t="s">
        <v>39</v>
      </c>
      <c r="I1838" s="59" t="n">
        <v>1</v>
      </c>
      <c r="J1838" s="60" t="n">
        <v>54</v>
      </c>
      <c r="K1838" s="60" t="n">
        <v>19</v>
      </c>
      <c r="L1838" s="61" t="n">
        <f aca="false">I1838*J1838</f>
        <v>54</v>
      </c>
      <c r="M1838" s="61" t="n">
        <f aca="false">L1838-I1838*K1838</f>
        <v>35</v>
      </c>
      <c r="N1838" s="57" t="n">
        <f aca="false">IF(COUNTIFS(E$2:E1838,E1838,C$2:C1838,C1838)=1,1,0)</f>
        <v>0</v>
      </c>
      <c r="O1838" s="57" t="n">
        <f aca="false">IF(COUNTIFS(E$2:E1838,E1838,C$2:C1838,C1838,D$2:D1838,D1838)=1,1,0)</f>
        <v>1</v>
      </c>
      <c r="P1838" s="57" t="n">
        <f aca="false">IF(AND(C1838=Calc!$C$3,OR(Calc!$C$4=0,D1838=Calc!$C$4)),ROW(),0)</f>
        <v>1838</v>
      </c>
    </row>
    <row r="1839" customFormat="false" ht="15" hidden="false" customHeight="false" outlineLevel="0" collapsed="false">
      <c r="A1839" s="57" t="s">
        <v>2382</v>
      </c>
      <c r="B1839" s="58" t="n">
        <v>45796</v>
      </c>
      <c r="C1839" s="57" t="n">
        <f aca="false">YEAR(B1839)</f>
        <v>2025</v>
      </c>
      <c r="D1839" s="57" t="n">
        <f aca="false">MONTH(B1839)</f>
        <v>5</v>
      </c>
      <c r="E1839" s="57" t="s">
        <v>1218</v>
      </c>
      <c r="F1839" s="57" t="s">
        <v>81</v>
      </c>
      <c r="G1839" s="57" t="s">
        <v>54</v>
      </c>
      <c r="H1839" s="57" t="s">
        <v>55</v>
      </c>
      <c r="I1839" s="59" t="n">
        <v>1</v>
      </c>
      <c r="J1839" s="60" t="n">
        <v>64</v>
      </c>
      <c r="K1839" s="60" t="n">
        <v>25</v>
      </c>
      <c r="L1839" s="61" t="n">
        <f aca="false">I1839*J1839</f>
        <v>64</v>
      </c>
      <c r="M1839" s="61" t="n">
        <f aca="false">L1839-I1839*K1839</f>
        <v>39</v>
      </c>
      <c r="N1839" s="57" t="n">
        <f aca="false">IF(COUNTIFS(E$2:E1839,E1839,C$2:C1839,C1839)=1,1,0)</f>
        <v>0</v>
      </c>
      <c r="O1839" s="57" t="n">
        <f aca="false">IF(COUNTIFS(E$2:E1839,E1839,C$2:C1839,C1839,D$2:D1839,D1839)=1,1,0)</f>
        <v>0</v>
      </c>
      <c r="P1839" s="57" t="n">
        <f aca="false">IF(AND(C1839=Calc!$C$3,OR(Calc!$C$4=0,D1839=Calc!$C$4)),ROW(),0)</f>
        <v>1839</v>
      </c>
    </row>
    <row r="1840" customFormat="false" ht="15" hidden="false" customHeight="false" outlineLevel="0" collapsed="false">
      <c r="A1840" s="57" t="s">
        <v>2383</v>
      </c>
      <c r="B1840" s="58" t="n">
        <v>45796</v>
      </c>
      <c r="C1840" s="57" t="n">
        <f aca="false">YEAR(B1840)</f>
        <v>2025</v>
      </c>
      <c r="D1840" s="57" t="n">
        <f aca="false">MONTH(B1840)</f>
        <v>5</v>
      </c>
      <c r="E1840" s="57" t="s">
        <v>2147</v>
      </c>
      <c r="F1840" s="57" t="s">
        <v>81</v>
      </c>
      <c r="G1840" s="57" t="s">
        <v>35</v>
      </c>
      <c r="H1840" s="57" t="s">
        <v>34</v>
      </c>
      <c r="I1840" s="59" t="n">
        <v>3</v>
      </c>
      <c r="J1840" s="60" t="n">
        <v>89</v>
      </c>
      <c r="K1840" s="60" t="n">
        <v>41</v>
      </c>
      <c r="L1840" s="61" t="n">
        <f aca="false">I1840*J1840</f>
        <v>267</v>
      </c>
      <c r="M1840" s="61" t="n">
        <f aca="false">L1840-I1840*K1840</f>
        <v>144</v>
      </c>
      <c r="N1840" s="57" t="n">
        <f aca="false">IF(COUNTIFS(E$2:E1840,E1840,C$2:C1840,C1840)=1,1,0)</f>
        <v>0</v>
      </c>
      <c r="O1840" s="57" t="n">
        <f aca="false">IF(COUNTIFS(E$2:E1840,E1840,C$2:C1840,C1840,D$2:D1840,D1840)=1,1,0)</f>
        <v>1</v>
      </c>
      <c r="P1840" s="57" t="n">
        <f aca="false">IF(AND(C1840=Calc!$C$3,OR(Calc!$C$4=0,D1840=Calc!$C$4)),ROW(),0)</f>
        <v>1840</v>
      </c>
    </row>
    <row r="1841" customFormat="false" ht="15" hidden="false" customHeight="false" outlineLevel="0" collapsed="false">
      <c r="A1841" s="57" t="s">
        <v>2384</v>
      </c>
      <c r="B1841" s="58" t="n">
        <v>45797</v>
      </c>
      <c r="C1841" s="57" t="n">
        <f aca="false">YEAR(B1841)</f>
        <v>2025</v>
      </c>
      <c r="D1841" s="57" t="n">
        <f aca="false">MONTH(B1841)</f>
        <v>5</v>
      </c>
      <c r="E1841" s="57" t="s">
        <v>344</v>
      </c>
      <c r="F1841" s="57" t="s">
        <v>81</v>
      </c>
      <c r="G1841" s="57" t="s">
        <v>35</v>
      </c>
      <c r="H1841" s="57" t="s">
        <v>34</v>
      </c>
      <c r="I1841" s="59" t="n">
        <v>2</v>
      </c>
      <c r="J1841" s="60" t="n">
        <v>89</v>
      </c>
      <c r="K1841" s="60" t="n">
        <v>41</v>
      </c>
      <c r="L1841" s="61" t="n">
        <f aca="false">I1841*J1841</f>
        <v>178</v>
      </c>
      <c r="M1841" s="61" t="n">
        <f aca="false">L1841-I1841*K1841</f>
        <v>96</v>
      </c>
      <c r="N1841" s="57" t="n">
        <f aca="false">IF(COUNTIFS(E$2:E1841,E1841,C$2:C1841,C1841)=1,1,0)</f>
        <v>0</v>
      </c>
      <c r="O1841" s="57" t="n">
        <f aca="false">IF(COUNTIFS(E$2:E1841,E1841,C$2:C1841,C1841,D$2:D1841,D1841)=1,1,0)</f>
        <v>0</v>
      </c>
      <c r="P1841" s="57" t="n">
        <f aca="false">IF(AND(C1841=Calc!$C$3,OR(Calc!$C$4=0,D1841=Calc!$C$4)),ROW(),0)</f>
        <v>1841</v>
      </c>
    </row>
    <row r="1842" customFormat="false" ht="15" hidden="false" customHeight="false" outlineLevel="0" collapsed="false">
      <c r="A1842" s="57" t="s">
        <v>2385</v>
      </c>
      <c r="B1842" s="58" t="n">
        <v>45797</v>
      </c>
      <c r="C1842" s="57" t="n">
        <f aca="false">YEAR(B1842)</f>
        <v>2025</v>
      </c>
      <c r="D1842" s="57" t="n">
        <f aca="false">MONTH(B1842)</f>
        <v>5</v>
      </c>
      <c r="E1842" s="57" t="s">
        <v>110</v>
      </c>
      <c r="F1842" s="57" t="s">
        <v>78</v>
      </c>
      <c r="G1842" s="57" t="s">
        <v>45</v>
      </c>
      <c r="H1842" s="57" t="s">
        <v>46</v>
      </c>
      <c r="I1842" s="59" t="n">
        <v>1</v>
      </c>
      <c r="J1842" s="60" t="n">
        <v>149</v>
      </c>
      <c r="K1842" s="60" t="n">
        <v>71</v>
      </c>
      <c r="L1842" s="61" t="n">
        <f aca="false">I1842*J1842</f>
        <v>149</v>
      </c>
      <c r="M1842" s="61" t="n">
        <f aca="false">L1842-I1842*K1842</f>
        <v>78</v>
      </c>
      <c r="N1842" s="57" t="n">
        <f aca="false">IF(COUNTIFS(E$2:E1842,E1842,C$2:C1842,C1842)=1,1,0)</f>
        <v>0</v>
      </c>
      <c r="O1842" s="57" t="n">
        <f aca="false">IF(COUNTIFS(E$2:E1842,E1842,C$2:C1842,C1842,D$2:D1842,D1842)=1,1,0)</f>
        <v>1</v>
      </c>
      <c r="P1842" s="57" t="n">
        <f aca="false">IF(AND(C1842=Calc!$C$3,OR(Calc!$C$4=0,D1842=Calc!$C$4)),ROW(),0)</f>
        <v>1842</v>
      </c>
    </row>
    <row r="1843" customFormat="false" ht="15" hidden="false" customHeight="false" outlineLevel="0" collapsed="false">
      <c r="A1843" s="57" t="s">
        <v>2386</v>
      </c>
      <c r="B1843" s="58" t="n">
        <v>45797</v>
      </c>
      <c r="C1843" s="57" t="n">
        <f aca="false">YEAR(B1843)</f>
        <v>2025</v>
      </c>
      <c r="D1843" s="57" t="n">
        <f aca="false">MONTH(B1843)</f>
        <v>5</v>
      </c>
      <c r="E1843" s="57" t="s">
        <v>277</v>
      </c>
      <c r="F1843" s="57" t="s">
        <v>75</v>
      </c>
      <c r="G1843" s="57" t="s">
        <v>35</v>
      </c>
      <c r="H1843" s="57" t="s">
        <v>34</v>
      </c>
      <c r="I1843" s="59" t="n">
        <v>1</v>
      </c>
      <c r="J1843" s="60" t="n">
        <v>89</v>
      </c>
      <c r="K1843" s="60" t="n">
        <v>41</v>
      </c>
      <c r="L1843" s="61" t="n">
        <f aca="false">I1843*J1843</f>
        <v>89</v>
      </c>
      <c r="M1843" s="61" t="n">
        <f aca="false">L1843-I1843*K1843</f>
        <v>48</v>
      </c>
      <c r="N1843" s="57" t="n">
        <f aca="false">IF(COUNTIFS(E$2:E1843,E1843,C$2:C1843,C1843)=1,1,0)</f>
        <v>0</v>
      </c>
      <c r="O1843" s="57" t="n">
        <f aca="false">IF(COUNTIFS(E$2:E1843,E1843,C$2:C1843,C1843,D$2:D1843,D1843)=1,1,0)</f>
        <v>1</v>
      </c>
      <c r="P1843" s="57" t="n">
        <f aca="false">IF(AND(C1843=Calc!$C$3,OR(Calc!$C$4=0,D1843=Calc!$C$4)),ROW(),0)</f>
        <v>1843</v>
      </c>
    </row>
    <row r="1844" customFormat="false" ht="15" hidden="false" customHeight="false" outlineLevel="0" collapsed="false">
      <c r="A1844" s="57" t="s">
        <v>2387</v>
      </c>
      <c r="B1844" s="58" t="n">
        <v>45797</v>
      </c>
      <c r="C1844" s="57" t="n">
        <f aca="false">YEAR(B1844)</f>
        <v>2025</v>
      </c>
      <c r="D1844" s="57" t="n">
        <f aca="false">MONTH(B1844)</f>
        <v>5</v>
      </c>
      <c r="E1844" s="57" t="s">
        <v>1014</v>
      </c>
      <c r="F1844" s="57" t="s">
        <v>69</v>
      </c>
      <c r="G1844" s="57" t="s">
        <v>45</v>
      </c>
      <c r="H1844" s="57" t="s">
        <v>44</v>
      </c>
      <c r="I1844" s="59" t="n">
        <v>1</v>
      </c>
      <c r="J1844" s="60" t="n">
        <v>119</v>
      </c>
      <c r="K1844" s="60" t="n">
        <v>63</v>
      </c>
      <c r="L1844" s="61" t="n">
        <f aca="false">I1844*J1844</f>
        <v>119</v>
      </c>
      <c r="M1844" s="61" t="n">
        <f aca="false">L1844-I1844*K1844</f>
        <v>56</v>
      </c>
      <c r="N1844" s="57" t="n">
        <f aca="false">IF(COUNTIFS(E$2:E1844,E1844,C$2:C1844,C1844)=1,1,0)</f>
        <v>0</v>
      </c>
      <c r="O1844" s="57" t="n">
        <f aca="false">IF(COUNTIFS(E$2:E1844,E1844,C$2:C1844,C1844,D$2:D1844,D1844)=1,1,0)</f>
        <v>0</v>
      </c>
      <c r="P1844" s="57" t="n">
        <f aca="false">IF(AND(C1844=Calc!$C$3,OR(Calc!$C$4=0,D1844=Calc!$C$4)),ROW(),0)</f>
        <v>1844</v>
      </c>
    </row>
    <row r="1845" customFormat="false" ht="15" hidden="false" customHeight="false" outlineLevel="0" collapsed="false">
      <c r="A1845" s="57" t="s">
        <v>2388</v>
      </c>
      <c r="B1845" s="58" t="n">
        <v>45797</v>
      </c>
      <c r="C1845" s="57" t="n">
        <f aca="false">YEAR(B1845)</f>
        <v>2025</v>
      </c>
      <c r="D1845" s="57" t="n">
        <f aca="false">MONTH(B1845)</f>
        <v>5</v>
      </c>
      <c r="E1845" s="57" t="s">
        <v>761</v>
      </c>
      <c r="F1845" s="57" t="s">
        <v>75</v>
      </c>
      <c r="G1845" s="57" t="s">
        <v>45</v>
      </c>
      <c r="H1845" s="57" t="s">
        <v>46</v>
      </c>
      <c r="I1845" s="59" t="n">
        <v>1</v>
      </c>
      <c r="J1845" s="60" t="n">
        <v>149</v>
      </c>
      <c r="K1845" s="60" t="n">
        <v>71</v>
      </c>
      <c r="L1845" s="61" t="n">
        <f aca="false">I1845*J1845</f>
        <v>149</v>
      </c>
      <c r="M1845" s="61" t="n">
        <f aca="false">L1845-I1845*K1845</f>
        <v>78</v>
      </c>
      <c r="N1845" s="57" t="n">
        <f aca="false">IF(COUNTIFS(E$2:E1845,E1845,C$2:C1845,C1845)=1,1,0)</f>
        <v>0</v>
      </c>
      <c r="O1845" s="57" t="n">
        <f aca="false">IF(COUNTIFS(E$2:E1845,E1845,C$2:C1845,C1845,D$2:D1845,D1845)=1,1,0)</f>
        <v>1</v>
      </c>
      <c r="P1845" s="57" t="n">
        <f aca="false">IF(AND(C1845=Calc!$C$3,OR(Calc!$C$4=0,D1845=Calc!$C$4)),ROW(),0)</f>
        <v>1845</v>
      </c>
    </row>
    <row r="1846" customFormat="false" ht="15" hidden="false" customHeight="false" outlineLevel="0" collapsed="false">
      <c r="A1846" s="57" t="s">
        <v>2389</v>
      </c>
      <c r="B1846" s="58" t="n">
        <v>45797</v>
      </c>
      <c r="C1846" s="57" t="n">
        <f aca="false">YEAR(B1846)</f>
        <v>2025</v>
      </c>
      <c r="D1846" s="57" t="n">
        <f aca="false">MONTH(B1846)</f>
        <v>5</v>
      </c>
      <c r="E1846" s="57" t="s">
        <v>193</v>
      </c>
      <c r="F1846" s="57" t="s">
        <v>78</v>
      </c>
      <c r="G1846" s="57" t="s">
        <v>54</v>
      </c>
      <c r="H1846" s="57" t="s">
        <v>56</v>
      </c>
      <c r="I1846" s="59" t="n">
        <v>2</v>
      </c>
      <c r="J1846" s="60" t="n">
        <v>42</v>
      </c>
      <c r="K1846" s="60" t="n">
        <v>17</v>
      </c>
      <c r="L1846" s="61" t="n">
        <f aca="false">I1846*J1846</f>
        <v>84</v>
      </c>
      <c r="M1846" s="61" t="n">
        <f aca="false">L1846-I1846*K1846</f>
        <v>50</v>
      </c>
      <c r="N1846" s="57" t="n">
        <f aca="false">IF(COUNTIFS(E$2:E1846,E1846,C$2:C1846,C1846)=1,1,0)</f>
        <v>0</v>
      </c>
      <c r="O1846" s="57" t="n">
        <f aca="false">IF(COUNTIFS(E$2:E1846,E1846,C$2:C1846,C1846,D$2:D1846,D1846)=1,1,0)</f>
        <v>1</v>
      </c>
      <c r="P1846" s="57" t="n">
        <f aca="false">IF(AND(C1846=Calc!$C$3,OR(Calc!$C$4=0,D1846=Calc!$C$4)),ROW(),0)</f>
        <v>1846</v>
      </c>
    </row>
    <row r="1847" customFormat="false" ht="15" hidden="false" customHeight="false" outlineLevel="0" collapsed="false">
      <c r="A1847" s="57" t="s">
        <v>2390</v>
      </c>
      <c r="B1847" s="58" t="n">
        <v>45798</v>
      </c>
      <c r="C1847" s="57" t="n">
        <f aca="false">YEAR(B1847)</f>
        <v>2025</v>
      </c>
      <c r="D1847" s="57" t="n">
        <f aca="false">MONTH(B1847)</f>
        <v>5</v>
      </c>
      <c r="E1847" s="57" t="s">
        <v>1253</v>
      </c>
      <c r="F1847" s="57" t="s">
        <v>78</v>
      </c>
      <c r="G1847" s="57" t="s">
        <v>40</v>
      </c>
      <c r="H1847" s="57" t="s">
        <v>39</v>
      </c>
      <c r="I1847" s="59" t="n">
        <v>1</v>
      </c>
      <c r="J1847" s="60" t="n">
        <v>54</v>
      </c>
      <c r="K1847" s="60" t="n">
        <v>19</v>
      </c>
      <c r="L1847" s="61" t="n">
        <f aca="false">I1847*J1847</f>
        <v>54</v>
      </c>
      <c r="M1847" s="61" t="n">
        <f aca="false">L1847-I1847*K1847</f>
        <v>35</v>
      </c>
      <c r="N1847" s="57" t="n">
        <f aca="false">IF(COUNTIFS(E$2:E1847,E1847,C$2:C1847,C1847)=1,1,0)</f>
        <v>1</v>
      </c>
      <c r="O1847" s="57" t="n">
        <f aca="false">IF(COUNTIFS(E$2:E1847,E1847,C$2:C1847,C1847,D$2:D1847,D1847)=1,1,0)</f>
        <v>1</v>
      </c>
      <c r="P1847" s="57" t="n">
        <f aca="false">IF(AND(C1847=Calc!$C$3,OR(Calc!$C$4=0,D1847=Calc!$C$4)),ROW(),0)</f>
        <v>1847</v>
      </c>
    </row>
    <row r="1848" customFormat="false" ht="15" hidden="false" customHeight="false" outlineLevel="0" collapsed="false">
      <c r="A1848" s="57" t="s">
        <v>2391</v>
      </c>
      <c r="B1848" s="58" t="n">
        <v>45798</v>
      </c>
      <c r="C1848" s="57" t="n">
        <f aca="false">YEAR(B1848)</f>
        <v>2025</v>
      </c>
      <c r="D1848" s="57" t="n">
        <f aca="false">MONTH(B1848)</f>
        <v>5</v>
      </c>
      <c r="E1848" s="57" t="s">
        <v>827</v>
      </c>
      <c r="F1848" s="57" t="s">
        <v>69</v>
      </c>
      <c r="G1848" s="57" t="s">
        <v>50</v>
      </c>
      <c r="H1848" s="57" t="s">
        <v>51</v>
      </c>
      <c r="I1848" s="59" t="n">
        <v>2</v>
      </c>
      <c r="J1848" s="60" t="n">
        <v>69</v>
      </c>
      <c r="K1848" s="60" t="n">
        <v>29</v>
      </c>
      <c r="L1848" s="61" t="n">
        <f aca="false">I1848*J1848</f>
        <v>138</v>
      </c>
      <c r="M1848" s="61" t="n">
        <f aca="false">L1848-I1848*K1848</f>
        <v>80</v>
      </c>
      <c r="N1848" s="57" t="n">
        <f aca="false">IF(COUNTIFS(E$2:E1848,E1848,C$2:C1848,C1848)=1,1,0)</f>
        <v>0</v>
      </c>
      <c r="O1848" s="57" t="n">
        <f aca="false">IF(COUNTIFS(E$2:E1848,E1848,C$2:C1848,C1848,D$2:D1848,D1848)=1,1,0)</f>
        <v>1</v>
      </c>
      <c r="P1848" s="57" t="n">
        <f aca="false">IF(AND(C1848=Calc!$C$3,OR(Calc!$C$4=0,D1848=Calc!$C$4)),ROW(),0)</f>
        <v>1848</v>
      </c>
    </row>
    <row r="1849" customFormat="false" ht="15" hidden="false" customHeight="false" outlineLevel="0" collapsed="false">
      <c r="A1849" s="57" t="s">
        <v>2392</v>
      </c>
      <c r="B1849" s="58" t="n">
        <v>45798</v>
      </c>
      <c r="C1849" s="57" t="n">
        <f aca="false">YEAR(B1849)</f>
        <v>2025</v>
      </c>
      <c r="D1849" s="57" t="n">
        <f aca="false">MONTH(B1849)</f>
        <v>5</v>
      </c>
      <c r="E1849" s="57" t="s">
        <v>384</v>
      </c>
      <c r="F1849" s="57" t="s">
        <v>72</v>
      </c>
      <c r="G1849" s="57" t="s">
        <v>45</v>
      </c>
      <c r="H1849" s="57" t="s">
        <v>47</v>
      </c>
      <c r="I1849" s="59" t="n">
        <v>1</v>
      </c>
      <c r="J1849" s="60" t="n">
        <v>34</v>
      </c>
      <c r="K1849" s="60" t="n">
        <v>12</v>
      </c>
      <c r="L1849" s="61" t="n">
        <f aca="false">I1849*J1849</f>
        <v>34</v>
      </c>
      <c r="M1849" s="61" t="n">
        <f aca="false">L1849-I1849*K1849</f>
        <v>22</v>
      </c>
      <c r="N1849" s="57" t="n">
        <f aca="false">IF(COUNTIFS(E$2:E1849,E1849,C$2:C1849,C1849)=1,1,0)</f>
        <v>0</v>
      </c>
      <c r="O1849" s="57" t="n">
        <f aca="false">IF(COUNTIFS(E$2:E1849,E1849,C$2:C1849,C1849,D$2:D1849,D1849)=1,1,0)</f>
        <v>1</v>
      </c>
      <c r="P1849" s="57" t="n">
        <f aca="false">IF(AND(C1849=Calc!$C$3,OR(Calc!$C$4=0,D1849=Calc!$C$4)),ROW(),0)</f>
        <v>1849</v>
      </c>
    </row>
    <row r="1850" customFormat="false" ht="15" hidden="false" customHeight="false" outlineLevel="0" collapsed="false">
      <c r="A1850" s="57" t="s">
        <v>2393</v>
      </c>
      <c r="B1850" s="58" t="n">
        <v>45798</v>
      </c>
      <c r="C1850" s="57" t="n">
        <f aca="false">YEAR(B1850)</f>
        <v>2025</v>
      </c>
      <c r="D1850" s="57" t="n">
        <f aca="false">MONTH(B1850)</f>
        <v>5</v>
      </c>
      <c r="E1850" s="57" t="s">
        <v>1728</v>
      </c>
      <c r="F1850" s="57" t="s">
        <v>75</v>
      </c>
      <c r="G1850" s="57" t="s">
        <v>35</v>
      </c>
      <c r="H1850" s="57" t="s">
        <v>36</v>
      </c>
      <c r="I1850" s="59" t="n">
        <v>1</v>
      </c>
      <c r="J1850" s="60" t="n">
        <v>179</v>
      </c>
      <c r="K1850" s="60" t="n">
        <v>92</v>
      </c>
      <c r="L1850" s="61" t="n">
        <f aca="false">I1850*J1850</f>
        <v>179</v>
      </c>
      <c r="M1850" s="61" t="n">
        <f aca="false">L1850-I1850*K1850</f>
        <v>87</v>
      </c>
      <c r="N1850" s="57" t="n">
        <f aca="false">IF(COUNTIFS(E$2:E1850,E1850,C$2:C1850,C1850)=1,1,0)</f>
        <v>0</v>
      </c>
      <c r="O1850" s="57" t="n">
        <f aca="false">IF(COUNTIFS(E$2:E1850,E1850,C$2:C1850,C1850,D$2:D1850,D1850)=1,1,0)</f>
        <v>0</v>
      </c>
      <c r="P1850" s="57" t="n">
        <f aca="false">IF(AND(C1850=Calc!$C$3,OR(Calc!$C$4=0,D1850=Calc!$C$4)),ROW(),0)</f>
        <v>1850</v>
      </c>
    </row>
    <row r="1851" customFormat="false" ht="15" hidden="false" customHeight="false" outlineLevel="0" collapsed="false">
      <c r="A1851" s="57" t="s">
        <v>2394</v>
      </c>
      <c r="B1851" s="58" t="n">
        <v>45798</v>
      </c>
      <c r="C1851" s="57" t="n">
        <f aca="false">YEAR(B1851)</f>
        <v>2025</v>
      </c>
      <c r="D1851" s="57" t="n">
        <f aca="false">MONTH(B1851)</f>
        <v>5</v>
      </c>
      <c r="E1851" s="57" t="s">
        <v>196</v>
      </c>
      <c r="F1851" s="57" t="s">
        <v>69</v>
      </c>
      <c r="G1851" s="57" t="s">
        <v>45</v>
      </c>
      <c r="H1851" s="57" t="s">
        <v>47</v>
      </c>
      <c r="I1851" s="59" t="n">
        <v>1</v>
      </c>
      <c r="J1851" s="60" t="n">
        <v>34</v>
      </c>
      <c r="K1851" s="60" t="n">
        <v>12</v>
      </c>
      <c r="L1851" s="61" t="n">
        <f aca="false">I1851*J1851</f>
        <v>34</v>
      </c>
      <c r="M1851" s="61" t="n">
        <f aca="false">L1851-I1851*K1851</f>
        <v>22</v>
      </c>
      <c r="N1851" s="57" t="n">
        <f aca="false">IF(COUNTIFS(E$2:E1851,E1851,C$2:C1851,C1851)=1,1,0)</f>
        <v>0</v>
      </c>
      <c r="O1851" s="57" t="n">
        <f aca="false">IF(COUNTIFS(E$2:E1851,E1851,C$2:C1851,C1851,D$2:D1851,D1851)=1,1,0)</f>
        <v>1</v>
      </c>
      <c r="P1851" s="57" t="n">
        <f aca="false">IF(AND(C1851=Calc!$C$3,OR(Calc!$C$4=0,D1851=Calc!$C$4)),ROW(),0)</f>
        <v>1851</v>
      </c>
    </row>
    <row r="1852" customFormat="false" ht="15" hidden="false" customHeight="false" outlineLevel="0" collapsed="false">
      <c r="A1852" s="57" t="s">
        <v>2395</v>
      </c>
      <c r="B1852" s="58" t="n">
        <v>45799</v>
      </c>
      <c r="C1852" s="57" t="n">
        <f aca="false">YEAR(B1852)</f>
        <v>2025</v>
      </c>
      <c r="D1852" s="57" t="n">
        <f aca="false">MONTH(B1852)</f>
        <v>5</v>
      </c>
      <c r="E1852" s="57" t="s">
        <v>1495</v>
      </c>
      <c r="F1852" s="57" t="s">
        <v>72</v>
      </c>
      <c r="G1852" s="57" t="s">
        <v>35</v>
      </c>
      <c r="H1852" s="57" t="s">
        <v>38</v>
      </c>
      <c r="I1852" s="59" t="n">
        <v>1</v>
      </c>
      <c r="J1852" s="60" t="n">
        <v>49</v>
      </c>
      <c r="K1852" s="60" t="n">
        <v>22</v>
      </c>
      <c r="L1852" s="61" t="n">
        <f aca="false">I1852*J1852</f>
        <v>49</v>
      </c>
      <c r="M1852" s="61" t="n">
        <f aca="false">L1852-I1852*K1852</f>
        <v>27</v>
      </c>
      <c r="N1852" s="57" t="n">
        <f aca="false">IF(COUNTIFS(E$2:E1852,E1852,C$2:C1852,C1852)=1,1,0)</f>
        <v>0</v>
      </c>
      <c r="O1852" s="57" t="n">
        <f aca="false">IF(COUNTIFS(E$2:E1852,E1852,C$2:C1852,C1852,D$2:D1852,D1852)=1,1,0)</f>
        <v>1</v>
      </c>
      <c r="P1852" s="57" t="n">
        <f aca="false">IF(AND(C1852=Calc!$C$3,OR(Calc!$C$4=0,D1852=Calc!$C$4)),ROW(),0)</f>
        <v>1852</v>
      </c>
    </row>
    <row r="1853" customFormat="false" ht="15" hidden="false" customHeight="false" outlineLevel="0" collapsed="false">
      <c r="A1853" s="57" t="s">
        <v>2396</v>
      </c>
      <c r="B1853" s="58" t="n">
        <v>45799</v>
      </c>
      <c r="C1853" s="57" t="n">
        <f aca="false">YEAR(B1853)</f>
        <v>2025</v>
      </c>
      <c r="D1853" s="57" t="n">
        <f aca="false">MONTH(B1853)</f>
        <v>5</v>
      </c>
      <c r="E1853" s="57" t="s">
        <v>292</v>
      </c>
      <c r="F1853" s="57" t="s">
        <v>72</v>
      </c>
      <c r="G1853" s="57" t="s">
        <v>40</v>
      </c>
      <c r="H1853" s="57" t="s">
        <v>41</v>
      </c>
      <c r="I1853" s="59" t="n">
        <v>1</v>
      </c>
      <c r="J1853" s="60" t="n">
        <v>46</v>
      </c>
      <c r="K1853" s="60" t="n">
        <v>16</v>
      </c>
      <c r="L1853" s="61" t="n">
        <f aca="false">I1853*J1853</f>
        <v>46</v>
      </c>
      <c r="M1853" s="61" t="n">
        <f aca="false">L1853-I1853*K1853</f>
        <v>30</v>
      </c>
      <c r="N1853" s="57" t="n">
        <f aca="false">IF(COUNTIFS(E$2:E1853,E1853,C$2:C1853,C1853)=1,1,0)</f>
        <v>0</v>
      </c>
      <c r="O1853" s="57" t="n">
        <f aca="false">IF(COUNTIFS(E$2:E1853,E1853,C$2:C1853,C1853,D$2:D1853,D1853)=1,1,0)</f>
        <v>0</v>
      </c>
      <c r="P1853" s="57" t="n">
        <f aca="false">IF(AND(C1853=Calc!$C$3,OR(Calc!$C$4=0,D1853=Calc!$C$4)),ROW(),0)</f>
        <v>1853</v>
      </c>
    </row>
    <row r="1854" customFormat="false" ht="15" hidden="false" customHeight="false" outlineLevel="0" collapsed="false">
      <c r="A1854" s="57" t="s">
        <v>2397</v>
      </c>
      <c r="B1854" s="58" t="n">
        <v>45799</v>
      </c>
      <c r="C1854" s="57" t="n">
        <f aca="false">YEAR(B1854)</f>
        <v>2025</v>
      </c>
      <c r="D1854" s="57" t="n">
        <f aca="false">MONTH(B1854)</f>
        <v>5</v>
      </c>
      <c r="E1854" s="57" t="s">
        <v>2398</v>
      </c>
      <c r="F1854" s="57" t="s">
        <v>81</v>
      </c>
      <c r="G1854" s="57" t="s">
        <v>35</v>
      </c>
      <c r="H1854" s="57" t="s">
        <v>37</v>
      </c>
      <c r="I1854" s="59" t="n">
        <v>2</v>
      </c>
      <c r="J1854" s="60" t="n">
        <v>59</v>
      </c>
      <c r="K1854" s="60" t="n">
        <v>27</v>
      </c>
      <c r="L1854" s="61" t="n">
        <f aca="false">I1854*J1854</f>
        <v>118</v>
      </c>
      <c r="M1854" s="61" t="n">
        <f aca="false">L1854-I1854*K1854</f>
        <v>64</v>
      </c>
      <c r="N1854" s="57" t="n">
        <f aca="false">IF(COUNTIFS(E$2:E1854,E1854,C$2:C1854,C1854)=1,1,0)</f>
        <v>1</v>
      </c>
      <c r="O1854" s="57" t="n">
        <f aca="false">IF(COUNTIFS(E$2:E1854,E1854,C$2:C1854,C1854,D$2:D1854,D1854)=1,1,0)</f>
        <v>1</v>
      </c>
      <c r="P1854" s="57" t="n">
        <f aca="false">IF(AND(C1854=Calc!$C$3,OR(Calc!$C$4=0,D1854=Calc!$C$4)),ROW(),0)</f>
        <v>1854</v>
      </c>
    </row>
    <row r="1855" customFormat="false" ht="15" hidden="false" customHeight="false" outlineLevel="0" collapsed="false">
      <c r="A1855" s="57" t="s">
        <v>2399</v>
      </c>
      <c r="B1855" s="58" t="n">
        <v>45799</v>
      </c>
      <c r="C1855" s="57" t="n">
        <f aca="false">YEAR(B1855)</f>
        <v>2025</v>
      </c>
      <c r="D1855" s="57" t="n">
        <f aca="false">MONTH(B1855)</f>
        <v>5</v>
      </c>
      <c r="E1855" s="57" t="s">
        <v>386</v>
      </c>
      <c r="F1855" s="57" t="s">
        <v>78</v>
      </c>
      <c r="G1855" s="57" t="s">
        <v>35</v>
      </c>
      <c r="H1855" s="57" t="s">
        <v>37</v>
      </c>
      <c r="I1855" s="59" t="n">
        <v>1</v>
      </c>
      <c r="J1855" s="60" t="n">
        <v>59</v>
      </c>
      <c r="K1855" s="60" t="n">
        <v>27</v>
      </c>
      <c r="L1855" s="61" t="n">
        <f aca="false">I1855*J1855</f>
        <v>59</v>
      </c>
      <c r="M1855" s="61" t="n">
        <f aca="false">L1855-I1855*K1855</f>
        <v>32</v>
      </c>
      <c r="N1855" s="57" t="n">
        <f aca="false">IF(COUNTIFS(E$2:E1855,E1855,C$2:C1855,C1855)=1,1,0)</f>
        <v>0</v>
      </c>
      <c r="O1855" s="57" t="n">
        <f aca="false">IF(COUNTIFS(E$2:E1855,E1855,C$2:C1855,C1855,D$2:D1855,D1855)=1,1,0)</f>
        <v>0</v>
      </c>
      <c r="P1855" s="57" t="n">
        <f aca="false">IF(AND(C1855=Calc!$C$3,OR(Calc!$C$4=0,D1855=Calc!$C$4)),ROW(),0)</f>
        <v>1855</v>
      </c>
    </row>
    <row r="1856" customFormat="false" ht="15" hidden="false" customHeight="false" outlineLevel="0" collapsed="false">
      <c r="A1856" s="57" t="s">
        <v>2400</v>
      </c>
      <c r="B1856" s="58" t="n">
        <v>45800</v>
      </c>
      <c r="C1856" s="57" t="n">
        <f aca="false">YEAR(B1856)</f>
        <v>2025</v>
      </c>
      <c r="D1856" s="57" t="n">
        <f aca="false">MONTH(B1856)</f>
        <v>5</v>
      </c>
      <c r="E1856" s="57" t="s">
        <v>199</v>
      </c>
      <c r="F1856" s="57" t="s">
        <v>72</v>
      </c>
      <c r="G1856" s="57" t="s">
        <v>40</v>
      </c>
      <c r="H1856" s="57" t="s">
        <v>39</v>
      </c>
      <c r="I1856" s="59" t="n">
        <v>3</v>
      </c>
      <c r="J1856" s="60" t="n">
        <v>54</v>
      </c>
      <c r="K1856" s="60" t="n">
        <v>19</v>
      </c>
      <c r="L1856" s="61" t="n">
        <f aca="false">I1856*J1856</f>
        <v>162</v>
      </c>
      <c r="M1856" s="61" t="n">
        <f aca="false">L1856-I1856*K1856</f>
        <v>105</v>
      </c>
      <c r="N1856" s="57" t="n">
        <f aca="false">IF(COUNTIFS(E$2:E1856,E1856,C$2:C1856,C1856)=1,1,0)</f>
        <v>0</v>
      </c>
      <c r="O1856" s="57" t="n">
        <f aca="false">IF(COUNTIFS(E$2:E1856,E1856,C$2:C1856,C1856,D$2:D1856,D1856)=1,1,0)</f>
        <v>1</v>
      </c>
      <c r="P1856" s="57" t="n">
        <f aca="false">IF(AND(C1856=Calc!$C$3,OR(Calc!$C$4=0,D1856=Calc!$C$4)),ROW(),0)</f>
        <v>1856</v>
      </c>
    </row>
    <row r="1857" customFormat="false" ht="15" hidden="false" customHeight="false" outlineLevel="0" collapsed="false">
      <c r="A1857" s="57" t="s">
        <v>2401</v>
      </c>
      <c r="B1857" s="58" t="n">
        <v>45800</v>
      </c>
      <c r="C1857" s="57" t="n">
        <f aca="false">YEAR(B1857)</f>
        <v>2025</v>
      </c>
      <c r="D1857" s="57" t="n">
        <f aca="false">MONTH(B1857)</f>
        <v>5</v>
      </c>
      <c r="E1857" s="57" t="s">
        <v>1491</v>
      </c>
      <c r="F1857" s="57" t="s">
        <v>69</v>
      </c>
      <c r="G1857" s="57" t="s">
        <v>40</v>
      </c>
      <c r="H1857" s="57" t="s">
        <v>41</v>
      </c>
      <c r="I1857" s="59" t="n">
        <v>1</v>
      </c>
      <c r="J1857" s="60" t="n">
        <v>46</v>
      </c>
      <c r="K1857" s="60" t="n">
        <v>16</v>
      </c>
      <c r="L1857" s="61" t="n">
        <f aca="false">I1857*J1857</f>
        <v>46</v>
      </c>
      <c r="M1857" s="61" t="n">
        <f aca="false">L1857-I1857*K1857</f>
        <v>30</v>
      </c>
      <c r="N1857" s="57" t="n">
        <f aca="false">IF(COUNTIFS(E$2:E1857,E1857,C$2:C1857,C1857)=1,1,0)</f>
        <v>0</v>
      </c>
      <c r="O1857" s="57" t="n">
        <f aca="false">IF(COUNTIFS(E$2:E1857,E1857,C$2:C1857,C1857,D$2:D1857,D1857)=1,1,0)</f>
        <v>1</v>
      </c>
      <c r="P1857" s="57" t="n">
        <f aca="false">IF(AND(C1857=Calc!$C$3,OR(Calc!$C$4=0,D1857=Calc!$C$4)),ROW(),0)</f>
        <v>1857</v>
      </c>
    </row>
    <row r="1858" customFormat="false" ht="15" hidden="false" customHeight="false" outlineLevel="0" collapsed="false">
      <c r="A1858" s="57" t="s">
        <v>2402</v>
      </c>
      <c r="B1858" s="58" t="n">
        <v>45800</v>
      </c>
      <c r="C1858" s="57" t="n">
        <f aca="false">YEAR(B1858)</f>
        <v>2025</v>
      </c>
      <c r="D1858" s="57" t="n">
        <f aca="false">MONTH(B1858)</f>
        <v>5</v>
      </c>
      <c r="E1858" s="57" t="s">
        <v>116</v>
      </c>
      <c r="F1858" s="57" t="s">
        <v>75</v>
      </c>
      <c r="G1858" s="57" t="s">
        <v>45</v>
      </c>
      <c r="H1858" s="57" t="s">
        <v>48</v>
      </c>
      <c r="I1858" s="59" t="n">
        <v>1</v>
      </c>
      <c r="J1858" s="60" t="n">
        <v>99</v>
      </c>
      <c r="K1858" s="60" t="n">
        <v>38</v>
      </c>
      <c r="L1858" s="61" t="n">
        <f aca="false">I1858*J1858</f>
        <v>99</v>
      </c>
      <c r="M1858" s="61" t="n">
        <f aca="false">L1858-I1858*K1858</f>
        <v>61</v>
      </c>
      <c r="N1858" s="57" t="n">
        <f aca="false">IF(COUNTIFS(E$2:E1858,E1858,C$2:C1858,C1858)=1,1,0)</f>
        <v>0</v>
      </c>
      <c r="O1858" s="57" t="n">
        <f aca="false">IF(COUNTIFS(E$2:E1858,E1858,C$2:C1858,C1858,D$2:D1858,D1858)=1,1,0)</f>
        <v>1</v>
      </c>
      <c r="P1858" s="57" t="n">
        <f aca="false">IF(AND(C1858=Calc!$C$3,OR(Calc!$C$4=0,D1858=Calc!$C$4)),ROW(),0)</f>
        <v>1858</v>
      </c>
    </row>
    <row r="1859" customFormat="false" ht="15" hidden="false" customHeight="false" outlineLevel="0" collapsed="false">
      <c r="A1859" s="57" t="s">
        <v>2403</v>
      </c>
      <c r="B1859" s="58" t="n">
        <v>45800</v>
      </c>
      <c r="C1859" s="57" t="n">
        <f aca="false">YEAR(B1859)</f>
        <v>2025</v>
      </c>
      <c r="D1859" s="57" t="n">
        <f aca="false">MONTH(B1859)</f>
        <v>5</v>
      </c>
      <c r="E1859" s="57" t="s">
        <v>300</v>
      </c>
      <c r="F1859" s="57" t="s">
        <v>81</v>
      </c>
      <c r="G1859" s="57" t="s">
        <v>40</v>
      </c>
      <c r="H1859" s="57" t="s">
        <v>43</v>
      </c>
      <c r="I1859" s="59" t="n">
        <v>1</v>
      </c>
      <c r="J1859" s="60" t="n">
        <v>29</v>
      </c>
      <c r="K1859" s="60" t="n">
        <v>9</v>
      </c>
      <c r="L1859" s="61" t="n">
        <f aca="false">I1859*J1859</f>
        <v>29</v>
      </c>
      <c r="M1859" s="61" t="n">
        <f aca="false">L1859-I1859*K1859</f>
        <v>20</v>
      </c>
      <c r="N1859" s="57" t="n">
        <f aca="false">IF(COUNTIFS(E$2:E1859,E1859,C$2:C1859,C1859)=1,1,0)</f>
        <v>0</v>
      </c>
      <c r="O1859" s="57" t="n">
        <f aca="false">IF(COUNTIFS(E$2:E1859,E1859,C$2:C1859,C1859,D$2:D1859,D1859)=1,1,0)</f>
        <v>1</v>
      </c>
      <c r="P1859" s="57" t="n">
        <f aca="false">IF(AND(C1859=Calc!$C$3,OR(Calc!$C$4=0,D1859=Calc!$C$4)),ROW(),0)</f>
        <v>1859</v>
      </c>
    </row>
    <row r="1860" customFormat="false" ht="15" hidden="false" customHeight="false" outlineLevel="0" collapsed="false">
      <c r="A1860" s="57" t="s">
        <v>2404</v>
      </c>
      <c r="B1860" s="58" t="n">
        <v>45800</v>
      </c>
      <c r="C1860" s="57" t="n">
        <f aca="false">YEAR(B1860)</f>
        <v>2025</v>
      </c>
      <c r="D1860" s="57" t="n">
        <f aca="false">MONTH(B1860)</f>
        <v>5</v>
      </c>
      <c r="E1860" s="57" t="s">
        <v>208</v>
      </c>
      <c r="F1860" s="57" t="s">
        <v>81</v>
      </c>
      <c r="G1860" s="57" t="s">
        <v>35</v>
      </c>
      <c r="H1860" s="57" t="s">
        <v>37</v>
      </c>
      <c r="I1860" s="59" t="n">
        <v>2</v>
      </c>
      <c r="J1860" s="60" t="n">
        <v>59</v>
      </c>
      <c r="K1860" s="60" t="n">
        <v>27</v>
      </c>
      <c r="L1860" s="61" t="n">
        <f aca="false">I1860*J1860</f>
        <v>118</v>
      </c>
      <c r="M1860" s="61" t="n">
        <f aca="false">L1860-I1860*K1860</f>
        <v>64</v>
      </c>
      <c r="N1860" s="57" t="n">
        <f aca="false">IF(COUNTIFS(E$2:E1860,E1860,C$2:C1860,C1860)=1,1,0)</f>
        <v>1</v>
      </c>
      <c r="O1860" s="57" t="n">
        <f aca="false">IF(COUNTIFS(E$2:E1860,E1860,C$2:C1860,C1860,D$2:D1860,D1860)=1,1,0)</f>
        <v>1</v>
      </c>
      <c r="P1860" s="57" t="n">
        <f aca="false">IF(AND(C1860=Calc!$C$3,OR(Calc!$C$4=0,D1860=Calc!$C$4)),ROW(),0)</f>
        <v>1860</v>
      </c>
    </row>
    <row r="1861" customFormat="false" ht="15" hidden="false" customHeight="false" outlineLevel="0" collapsed="false">
      <c r="A1861" s="57" t="s">
        <v>2405</v>
      </c>
      <c r="B1861" s="58" t="n">
        <v>45800</v>
      </c>
      <c r="C1861" s="57" t="n">
        <f aca="false">YEAR(B1861)</f>
        <v>2025</v>
      </c>
      <c r="D1861" s="57" t="n">
        <f aca="false">MONTH(B1861)</f>
        <v>5</v>
      </c>
      <c r="E1861" s="57" t="s">
        <v>721</v>
      </c>
      <c r="F1861" s="57" t="s">
        <v>69</v>
      </c>
      <c r="G1861" s="57" t="s">
        <v>40</v>
      </c>
      <c r="H1861" s="57" t="s">
        <v>43</v>
      </c>
      <c r="I1861" s="59" t="n">
        <v>1</v>
      </c>
      <c r="J1861" s="60" t="n">
        <v>29</v>
      </c>
      <c r="K1861" s="60" t="n">
        <v>9</v>
      </c>
      <c r="L1861" s="61" t="n">
        <f aca="false">I1861*J1861</f>
        <v>29</v>
      </c>
      <c r="M1861" s="61" t="n">
        <f aca="false">L1861-I1861*K1861</f>
        <v>20</v>
      </c>
      <c r="N1861" s="57" t="n">
        <f aca="false">IF(COUNTIFS(E$2:E1861,E1861,C$2:C1861,C1861)=1,1,0)</f>
        <v>1</v>
      </c>
      <c r="O1861" s="57" t="n">
        <f aca="false">IF(COUNTIFS(E$2:E1861,E1861,C$2:C1861,C1861,D$2:D1861,D1861)=1,1,0)</f>
        <v>1</v>
      </c>
      <c r="P1861" s="57" t="n">
        <f aca="false">IF(AND(C1861=Calc!$C$3,OR(Calc!$C$4=0,D1861=Calc!$C$4)),ROW(),0)</f>
        <v>1861</v>
      </c>
    </row>
    <row r="1862" customFormat="false" ht="15" hidden="false" customHeight="false" outlineLevel="0" collapsed="false">
      <c r="A1862" s="57" t="s">
        <v>2406</v>
      </c>
      <c r="B1862" s="58" t="n">
        <v>45801</v>
      </c>
      <c r="C1862" s="57" t="n">
        <f aca="false">YEAR(B1862)</f>
        <v>2025</v>
      </c>
      <c r="D1862" s="57" t="n">
        <f aca="false">MONTH(B1862)</f>
        <v>5</v>
      </c>
      <c r="E1862" s="57" t="s">
        <v>2407</v>
      </c>
      <c r="F1862" s="57" t="s">
        <v>72</v>
      </c>
      <c r="G1862" s="57" t="s">
        <v>40</v>
      </c>
      <c r="H1862" s="57" t="s">
        <v>39</v>
      </c>
      <c r="I1862" s="59" t="n">
        <v>1</v>
      </c>
      <c r="J1862" s="60" t="n">
        <v>54</v>
      </c>
      <c r="K1862" s="60" t="n">
        <v>19</v>
      </c>
      <c r="L1862" s="61" t="n">
        <f aca="false">I1862*J1862</f>
        <v>54</v>
      </c>
      <c r="M1862" s="61" t="n">
        <f aca="false">L1862-I1862*K1862</f>
        <v>35</v>
      </c>
      <c r="N1862" s="57" t="n">
        <f aca="false">IF(COUNTIFS(E$2:E1862,E1862,C$2:C1862,C1862)=1,1,0)</f>
        <v>1</v>
      </c>
      <c r="O1862" s="57" t="n">
        <f aca="false">IF(COUNTIFS(E$2:E1862,E1862,C$2:C1862,C1862,D$2:D1862,D1862)=1,1,0)</f>
        <v>1</v>
      </c>
      <c r="P1862" s="57" t="n">
        <f aca="false">IF(AND(C1862=Calc!$C$3,OR(Calc!$C$4=0,D1862=Calc!$C$4)),ROW(),0)</f>
        <v>1862</v>
      </c>
    </row>
    <row r="1863" customFormat="false" ht="15" hidden="false" customHeight="false" outlineLevel="0" collapsed="false">
      <c r="A1863" s="57" t="s">
        <v>2408</v>
      </c>
      <c r="B1863" s="58" t="n">
        <v>45801</v>
      </c>
      <c r="C1863" s="57" t="n">
        <f aca="false">YEAR(B1863)</f>
        <v>2025</v>
      </c>
      <c r="D1863" s="57" t="n">
        <f aca="false">MONTH(B1863)</f>
        <v>5</v>
      </c>
      <c r="E1863" s="57" t="s">
        <v>386</v>
      </c>
      <c r="F1863" s="57" t="s">
        <v>78</v>
      </c>
      <c r="G1863" s="57" t="s">
        <v>45</v>
      </c>
      <c r="H1863" s="57" t="s">
        <v>47</v>
      </c>
      <c r="I1863" s="59" t="n">
        <v>1</v>
      </c>
      <c r="J1863" s="60" t="n">
        <v>34</v>
      </c>
      <c r="K1863" s="60" t="n">
        <v>12</v>
      </c>
      <c r="L1863" s="61" t="n">
        <f aca="false">I1863*J1863</f>
        <v>34</v>
      </c>
      <c r="M1863" s="61" t="n">
        <f aca="false">L1863-I1863*K1863</f>
        <v>22</v>
      </c>
      <c r="N1863" s="57" t="n">
        <f aca="false">IF(COUNTIFS(E$2:E1863,E1863,C$2:C1863,C1863)=1,1,0)</f>
        <v>0</v>
      </c>
      <c r="O1863" s="57" t="n">
        <f aca="false">IF(COUNTIFS(E$2:E1863,E1863,C$2:C1863,C1863,D$2:D1863,D1863)=1,1,0)</f>
        <v>0</v>
      </c>
      <c r="P1863" s="57" t="n">
        <f aca="false">IF(AND(C1863=Calc!$C$3,OR(Calc!$C$4=0,D1863=Calc!$C$4)),ROW(),0)</f>
        <v>1863</v>
      </c>
    </row>
    <row r="1864" customFormat="false" ht="15" hidden="false" customHeight="false" outlineLevel="0" collapsed="false">
      <c r="A1864" s="57" t="s">
        <v>2409</v>
      </c>
      <c r="B1864" s="58" t="n">
        <v>45801</v>
      </c>
      <c r="C1864" s="57" t="n">
        <f aca="false">YEAR(B1864)</f>
        <v>2025</v>
      </c>
      <c r="D1864" s="57" t="n">
        <f aca="false">MONTH(B1864)</f>
        <v>5</v>
      </c>
      <c r="E1864" s="57" t="s">
        <v>68</v>
      </c>
      <c r="F1864" s="57" t="s">
        <v>69</v>
      </c>
      <c r="G1864" s="57" t="s">
        <v>40</v>
      </c>
      <c r="H1864" s="57" t="s">
        <v>43</v>
      </c>
      <c r="I1864" s="59" t="n">
        <v>1</v>
      </c>
      <c r="J1864" s="60" t="n">
        <v>29</v>
      </c>
      <c r="K1864" s="60" t="n">
        <v>9</v>
      </c>
      <c r="L1864" s="61" t="n">
        <f aca="false">I1864*J1864</f>
        <v>29</v>
      </c>
      <c r="M1864" s="61" t="n">
        <f aca="false">L1864-I1864*K1864</f>
        <v>20</v>
      </c>
      <c r="N1864" s="57" t="n">
        <f aca="false">IF(COUNTIFS(E$2:E1864,E1864,C$2:C1864,C1864)=1,1,0)</f>
        <v>0</v>
      </c>
      <c r="O1864" s="57" t="n">
        <f aca="false">IF(COUNTIFS(E$2:E1864,E1864,C$2:C1864,C1864,D$2:D1864,D1864)=1,1,0)</f>
        <v>1</v>
      </c>
      <c r="P1864" s="57" t="n">
        <f aca="false">IF(AND(C1864=Calc!$C$3,OR(Calc!$C$4=0,D1864=Calc!$C$4)),ROW(),0)</f>
        <v>1864</v>
      </c>
    </row>
    <row r="1865" customFormat="false" ht="15" hidden="false" customHeight="false" outlineLevel="0" collapsed="false">
      <c r="A1865" s="57" t="s">
        <v>2410</v>
      </c>
      <c r="B1865" s="58" t="n">
        <v>45801</v>
      </c>
      <c r="C1865" s="57" t="n">
        <f aca="false">YEAR(B1865)</f>
        <v>2025</v>
      </c>
      <c r="D1865" s="57" t="n">
        <f aca="false">MONTH(B1865)</f>
        <v>5</v>
      </c>
      <c r="E1865" s="57" t="s">
        <v>752</v>
      </c>
      <c r="F1865" s="57" t="s">
        <v>69</v>
      </c>
      <c r="G1865" s="57" t="s">
        <v>45</v>
      </c>
      <c r="H1865" s="57" t="s">
        <v>48</v>
      </c>
      <c r="I1865" s="59" t="n">
        <v>2</v>
      </c>
      <c r="J1865" s="60" t="n">
        <v>99</v>
      </c>
      <c r="K1865" s="60" t="n">
        <v>38</v>
      </c>
      <c r="L1865" s="61" t="n">
        <f aca="false">I1865*J1865</f>
        <v>198</v>
      </c>
      <c r="M1865" s="61" t="n">
        <f aca="false">L1865-I1865*K1865</f>
        <v>122</v>
      </c>
      <c r="N1865" s="57" t="n">
        <f aca="false">IF(COUNTIFS(E$2:E1865,E1865,C$2:C1865,C1865)=1,1,0)</f>
        <v>0</v>
      </c>
      <c r="O1865" s="57" t="n">
        <f aca="false">IF(COUNTIFS(E$2:E1865,E1865,C$2:C1865,C1865,D$2:D1865,D1865)=1,1,0)</f>
        <v>1</v>
      </c>
      <c r="P1865" s="57" t="n">
        <f aca="false">IF(AND(C1865=Calc!$C$3,OR(Calc!$C$4=0,D1865=Calc!$C$4)),ROW(),0)</f>
        <v>1865</v>
      </c>
    </row>
    <row r="1866" customFormat="false" ht="15" hidden="false" customHeight="false" outlineLevel="0" collapsed="false">
      <c r="A1866" s="57" t="s">
        <v>2411</v>
      </c>
      <c r="B1866" s="58" t="n">
        <v>45802</v>
      </c>
      <c r="C1866" s="57" t="n">
        <f aca="false">YEAR(B1866)</f>
        <v>2025</v>
      </c>
      <c r="D1866" s="57" t="n">
        <f aca="false">MONTH(B1866)</f>
        <v>5</v>
      </c>
      <c r="E1866" s="57" t="s">
        <v>514</v>
      </c>
      <c r="F1866" s="57" t="s">
        <v>72</v>
      </c>
      <c r="G1866" s="57" t="s">
        <v>35</v>
      </c>
      <c r="H1866" s="57" t="s">
        <v>36</v>
      </c>
      <c r="I1866" s="59" t="n">
        <v>1</v>
      </c>
      <c r="J1866" s="60" t="n">
        <v>179</v>
      </c>
      <c r="K1866" s="60" t="n">
        <v>92</v>
      </c>
      <c r="L1866" s="61" t="n">
        <f aca="false">I1866*J1866</f>
        <v>179</v>
      </c>
      <c r="M1866" s="61" t="n">
        <f aca="false">L1866-I1866*K1866</f>
        <v>87</v>
      </c>
      <c r="N1866" s="57" t="n">
        <f aca="false">IF(COUNTIFS(E$2:E1866,E1866,C$2:C1866,C1866)=1,1,0)</f>
        <v>1</v>
      </c>
      <c r="O1866" s="57" t="n">
        <f aca="false">IF(COUNTIFS(E$2:E1866,E1866,C$2:C1866,C1866,D$2:D1866,D1866)=1,1,0)</f>
        <v>1</v>
      </c>
      <c r="P1866" s="57" t="n">
        <f aca="false">IF(AND(C1866=Calc!$C$3,OR(Calc!$C$4=0,D1866=Calc!$C$4)),ROW(),0)</f>
        <v>1866</v>
      </c>
    </row>
    <row r="1867" customFormat="false" ht="15" hidden="false" customHeight="false" outlineLevel="0" collapsed="false">
      <c r="A1867" s="57" t="s">
        <v>2412</v>
      </c>
      <c r="B1867" s="58" t="n">
        <v>45802</v>
      </c>
      <c r="C1867" s="57" t="n">
        <f aca="false">YEAR(B1867)</f>
        <v>2025</v>
      </c>
      <c r="D1867" s="57" t="n">
        <f aca="false">MONTH(B1867)</f>
        <v>5</v>
      </c>
      <c r="E1867" s="57" t="s">
        <v>152</v>
      </c>
      <c r="F1867" s="57" t="s">
        <v>72</v>
      </c>
      <c r="G1867" s="57" t="s">
        <v>45</v>
      </c>
      <c r="H1867" s="57" t="s">
        <v>48</v>
      </c>
      <c r="I1867" s="59" t="n">
        <v>1</v>
      </c>
      <c r="J1867" s="60" t="n">
        <v>99</v>
      </c>
      <c r="K1867" s="60" t="n">
        <v>38</v>
      </c>
      <c r="L1867" s="61" t="n">
        <f aca="false">I1867*J1867</f>
        <v>99</v>
      </c>
      <c r="M1867" s="61" t="n">
        <f aca="false">L1867-I1867*K1867</f>
        <v>61</v>
      </c>
      <c r="N1867" s="57" t="n">
        <f aca="false">IF(COUNTIFS(E$2:E1867,E1867,C$2:C1867,C1867)=1,1,0)</f>
        <v>0</v>
      </c>
      <c r="O1867" s="57" t="n">
        <f aca="false">IF(COUNTIFS(E$2:E1867,E1867,C$2:C1867,C1867,D$2:D1867,D1867)=1,1,0)</f>
        <v>1</v>
      </c>
      <c r="P1867" s="57" t="n">
        <f aca="false">IF(AND(C1867=Calc!$C$3,OR(Calc!$C$4=0,D1867=Calc!$C$4)),ROW(),0)</f>
        <v>1867</v>
      </c>
    </row>
    <row r="1868" customFormat="false" ht="15" hidden="false" customHeight="false" outlineLevel="0" collapsed="false">
      <c r="A1868" s="57" t="s">
        <v>2413</v>
      </c>
      <c r="B1868" s="58" t="n">
        <v>45802</v>
      </c>
      <c r="C1868" s="57" t="n">
        <f aca="false">YEAR(B1868)</f>
        <v>2025</v>
      </c>
      <c r="D1868" s="57" t="n">
        <f aca="false">MONTH(B1868)</f>
        <v>5</v>
      </c>
      <c r="E1868" s="57" t="s">
        <v>277</v>
      </c>
      <c r="F1868" s="57" t="s">
        <v>75</v>
      </c>
      <c r="G1868" s="57" t="s">
        <v>50</v>
      </c>
      <c r="H1868" s="57" t="s">
        <v>52</v>
      </c>
      <c r="I1868" s="59" t="n">
        <v>1</v>
      </c>
      <c r="J1868" s="60" t="n">
        <v>45</v>
      </c>
      <c r="K1868" s="60" t="n">
        <v>14</v>
      </c>
      <c r="L1868" s="61" t="n">
        <f aca="false">I1868*J1868</f>
        <v>45</v>
      </c>
      <c r="M1868" s="61" t="n">
        <f aca="false">L1868-I1868*K1868</f>
        <v>31</v>
      </c>
      <c r="N1868" s="57" t="n">
        <f aca="false">IF(COUNTIFS(E$2:E1868,E1868,C$2:C1868,C1868)=1,1,0)</f>
        <v>0</v>
      </c>
      <c r="O1868" s="57" t="n">
        <f aca="false">IF(COUNTIFS(E$2:E1868,E1868,C$2:C1868,C1868,D$2:D1868,D1868)=1,1,0)</f>
        <v>0</v>
      </c>
      <c r="P1868" s="57" t="n">
        <f aca="false">IF(AND(C1868=Calc!$C$3,OR(Calc!$C$4=0,D1868=Calc!$C$4)),ROW(),0)</f>
        <v>1868</v>
      </c>
    </row>
    <row r="1869" customFormat="false" ht="15" hidden="false" customHeight="false" outlineLevel="0" collapsed="false">
      <c r="A1869" s="57" t="s">
        <v>2414</v>
      </c>
      <c r="B1869" s="58" t="n">
        <v>45802</v>
      </c>
      <c r="C1869" s="57" t="n">
        <f aca="false">YEAR(B1869)</f>
        <v>2025</v>
      </c>
      <c r="D1869" s="57" t="n">
        <f aca="false">MONTH(B1869)</f>
        <v>5</v>
      </c>
      <c r="E1869" s="57" t="s">
        <v>261</v>
      </c>
      <c r="F1869" s="57" t="s">
        <v>75</v>
      </c>
      <c r="G1869" s="57" t="s">
        <v>50</v>
      </c>
      <c r="H1869" s="57" t="s">
        <v>49</v>
      </c>
      <c r="I1869" s="59" t="n">
        <v>1</v>
      </c>
      <c r="J1869" s="60" t="n">
        <v>32</v>
      </c>
      <c r="K1869" s="60" t="n">
        <v>7</v>
      </c>
      <c r="L1869" s="61" t="n">
        <f aca="false">I1869*J1869</f>
        <v>32</v>
      </c>
      <c r="M1869" s="61" t="n">
        <f aca="false">L1869-I1869*K1869</f>
        <v>25</v>
      </c>
      <c r="N1869" s="57" t="n">
        <f aca="false">IF(COUNTIFS(E$2:E1869,E1869,C$2:C1869,C1869)=1,1,0)</f>
        <v>0</v>
      </c>
      <c r="O1869" s="57" t="n">
        <f aca="false">IF(COUNTIFS(E$2:E1869,E1869,C$2:C1869,C1869,D$2:D1869,D1869)=1,1,0)</f>
        <v>0</v>
      </c>
      <c r="P1869" s="57" t="n">
        <f aca="false">IF(AND(C1869=Calc!$C$3,OR(Calc!$C$4=0,D1869=Calc!$C$4)),ROW(),0)</f>
        <v>1869</v>
      </c>
    </row>
    <row r="1870" customFormat="false" ht="15" hidden="false" customHeight="false" outlineLevel="0" collapsed="false">
      <c r="A1870" s="57" t="s">
        <v>2415</v>
      </c>
      <c r="B1870" s="58" t="n">
        <v>45803</v>
      </c>
      <c r="C1870" s="57" t="n">
        <f aca="false">YEAR(B1870)</f>
        <v>2025</v>
      </c>
      <c r="D1870" s="57" t="n">
        <f aca="false">MONTH(B1870)</f>
        <v>5</v>
      </c>
      <c r="E1870" s="57" t="s">
        <v>1858</v>
      </c>
      <c r="F1870" s="57" t="s">
        <v>75</v>
      </c>
      <c r="G1870" s="57" t="s">
        <v>35</v>
      </c>
      <c r="H1870" s="57" t="s">
        <v>34</v>
      </c>
      <c r="I1870" s="59" t="n">
        <v>1</v>
      </c>
      <c r="J1870" s="60" t="n">
        <v>89</v>
      </c>
      <c r="K1870" s="60" t="n">
        <v>41</v>
      </c>
      <c r="L1870" s="61" t="n">
        <f aca="false">I1870*J1870</f>
        <v>89</v>
      </c>
      <c r="M1870" s="61" t="n">
        <f aca="false">L1870-I1870*K1870</f>
        <v>48</v>
      </c>
      <c r="N1870" s="57" t="n">
        <f aca="false">IF(COUNTIFS(E$2:E1870,E1870,C$2:C1870,C1870)=1,1,0)</f>
        <v>1</v>
      </c>
      <c r="O1870" s="57" t="n">
        <f aca="false">IF(COUNTIFS(E$2:E1870,E1870,C$2:C1870,C1870,D$2:D1870,D1870)=1,1,0)</f>
        <v>1</v>
      </c>
      <c r="P1870" s="57" t="n">
        <f aca="false">IF(AND(C1870=Calc!$C$3,OR(Calc!$C$4=0,D1870=Calc!$C$4)),ROW(),0)</f>
        <v>1870</v>
      </c>
    </row>
    <row r="1871" customFormat="false" ht="15" hidden="false" customHeight="false" outlineLevel="0" collapsed="false">
      <c r="A1871" s="57" t="s">
        <v>2416</v>
      </c>
      <c r="B1871" s="58" t="n">
        <v>45803</v>
      </c>
      <c r="C1871" s="57" t="n">
        <f aca="false">YEAR(B1871)</f>
        <v>2025</v>
      </c>
      <c r="D1871" s="57" t="n">
        <f aca="false">MONTH(B1871)</f>
        <v>5</v>
      </c>
      <c r="E1871" s="57" t="s">
        <v>281</v>
      </c>
      <c r="F1871" s="57" t="s">
        <v>81</v>
      </c>
      <c r="G1871" s="57" t="s">
        <v>35</v>
      </c>
      <c r="H1871" s="57" t="s">
        <v>34</v>
      </c>
      <c r="I1871" s="59" t="n">
        <v>1</v>
      </c>
      <c r="J1871" s="60" t="n">
        <v>89</v>
      </c>
      <c r="K1871" s="60" t="n">
        <v>41</v>
      </c>
      <c r="L1871" s="61" t="n">
        <f aca="false">I1871*J1871</f>
        <v>89</v>
      </c>
      <c r="M1871" s="61" t="n">
        <f aca="false">L1871-I1871*K1871</f>
        <v>48</v>
      </c>
      <c r="N1871" s="57" t="n">
        <f aca="false">IF(COUNTIFS(E$2:E1871,E1871,C$2:C1871,C1871)=1,1,0)</f>
        <v>1</v>
      </c>
      <c r="O1871" s="57" t="n">
        <f aca="false">IF(COUNTIFS(E$2:E1871,E1871,C$2:C1871,C1871,D$2:D1871,D1871)=1,1,0)</f>
        <v>1</v>
      </c>
      <c r="P1871" s="57" t="n">
        <f aca="false">IF(AND(C1871=Calc!$C$3,OR(Calc!$C$4=0,D1871=Calc!$C$4)),ROW(),0)</f>
        <v>1871</v>
      </c>
    </row>
    <row r="1872" customFormat="false" ht="15" hidden="false" customHeight="false" outlineLevel="0" collapsed="false">
      <c r="A1872" s="57" t="s">
        <v>2417</v>
      </c>
      <c r="B1872" s="58" t="n">
        <v>45803</v>
      </c>
      <c r="C1872" s="57" t="n">
        <f aca="false">YEAR(B1872)</f>
        <v>2025</v>
      </c>
      <c r="D1872" s="57" t="n">
        <f aca="false">MONTH(B1872)</f>
        <v>5</v>
      </c>
      <c r="E1872" s="57" t="s">
        <v>996</v>
      </c>
      <c r="F1872" s="57" t="s">
        <v>75</v>
      </c>
      <c r="G1872" s="57" t="s">
        <v>35</v>
      </c>
      <c r="H1872" s="57" t="s">
        <v>38</v>
      </c>
      <c r="I1872" s="59" t="n">
        <v>1</v>
      </c>
      <c r="J1872" s="60" t="n">
        <v>49</v>
      </c>
      <c r="K1872" s="60" t="n">
        <v>22</v>
      </c>
      <c r="L1872" s="61" t="n">
        <f aca="false">I1872*J1872</f>
        <v>49</v>
      </c>
      <c r="M1872" s="61" t="n">
        <f aca="false">L1872-I1872*K1872</f>
        <v>27</v>
      </c>
      <c r="N1872" s="57" t="n">
        <f aca="false">IF(COUNTIFS(E$2:E1872,E1872,C$2:C1872,C1872)=1,1,0)</f>
        <v>0</v>
      </c>
      <c r="O1872" s="57" t="n">
        <f aca="false">IF(COUNTIFS(E$2:E1872,E1872,C$2:C1872,C1872,D$2:D1872,D1872)=1,1,0)</f>
        <v>1</v>
      </c>
      <c r="P1872" s="57" t="n">
        <f aca="false">IF(AND(C1872=Calc!$C$3,OR(Calc!$C$4=0,D1872=Calc!$C$4)),ROW(),0)</f>
        <v>1872</v>
      </c>
    </row>
    <row r="1873" customFormat="false" ht="15" hidden="false" customHeight="false" outlineLevel="0" collapsed="false">
      <c r="A1873" s="57" t="s">
        <v>2418</v>
      </c>
      <c r="B1873" s="58" t="n">
        <v>45803</v>
      </c>
      <c r="C1873" s="57" t="n">
        <f aca="false">YEAR(B1873)</f>
        <v>2025</v>
      </c>
      <c r="D1873" s="57" t="n">
        <f aca="false">MONTH(B1873)</f>
        <v>5</v>
      </c>
      <c r="E1873" s="57" t="s">
        <v>617</v>
      </c>
      <c r="F1873" s="57" t="s">
        <v>69</v>
      </c>
      <c r="G1873" s="57" t="s">
        <v>45</v>
      </c>
      <c r="H1873" s="57" t="s">
        <v>46</v>
      </c>
      <c r="I1873" s="59" t="n">
        <v>2</v>
      </c>
      <c r="J1873" s="60" t="n">
        <v>149</v>
      </c>
      <c r="K1873" s="60" t="n">
        <v>71</v>
      </c>
      <c r="L1873" s="61" t="n">
        <f aca="false">I1873*J1873</f>
        <v>298</v>
      </c>
      <c r="M1873" s="61" t="n">
        <f aca="false">L1873-I1873*K1873</f>
        <v>156</v>
      </c>
      <c r="N1873" s="57" t="n">
        <f aca="false">IF(COUNTIFS(E$2:E1873,E1873,C$2:C1873,C1873)=1,1,0)</f>
        <v>1</v>
      </c>
      <c r="O1873" s="57" t="n">
        <f aca="false">IF(COUNTIFS(E$2:E1873,E1873,C$2:C1873,C1873,D$2:D1873,D1873)=1,1,0)</f>
        <v>1</v>
      </c>
      <c r="P1873" s="57" t="n">
        <f aca="false">IF(AND(C1873=Calc!$C$3,OR(Calc!$C$4=0,D1873=Calc!$C$4)),ROW(),0)</f>
        <v>1873</v>
      </c>
    </row>
    <row r="1874" customFormat="false" ht="15" hidden="false" customHeight="false" outlineLevel="0" collapsed="false">
      <c r="A1874" s="57" t="s">
        <v>2419</v>
      </c>
      <c r="B1874" s="58" t="n">
        <v>45804</v>
      </c>
      <c r="C1874" s="57" t="n">
        <f aca="false">YEAR(B1874)</f>
        <v>2025</v>
      </c>
      <c r="D1874" s="57" t="n">
        <f aca="false">MONTH(B1874)</f>
        <v>5</v>
      </c>
      <c r="E1874" s="57" t="s">
        <v>2420</v>
      </c>
      <c r="F1874" s="57" t="s">
        <v>81</v>
      </c>
      <c r="G1874" s="57" t="s">
        <v>45</v>
      </c>
      <c r="H1874" s="57" t="s">
        <v>46</v>
      </c>
      <c r="I1874" s="59" t="n">
        <v>1</v>
      </c>
      <c r="J1874" s="60" t="n">
        <v>149</v>
      </c>
      <c r="K1874" s="60" t="n">
        <v>71</v>
      </c>
      <c r="L1874" s="61" t="n">
        <f aca="false">I1874*J1874</f>
        <v>149</v>
      </c>
      <c r="M1874" s="61" t="n">
        <f aca="false">L1874-I1874*K1874</f>
        <v>78</v>
      </c>
      <c r="N1874" s="57" t="n">
        <f aca="false">IF(COUNTIFS(E$2:E1874,E1874,C$2:C1874,C1874)=1,1,0)</f>
        <v>1</v>
      </c>
      <c r="O1874" s="57" t="n">
        <f aca="false">IF(COUNTIFS(E$2:E1874,E1874,C$2:C1874,C1874,D$2:D1874,D1874)=1,1,0)</f>
        <v>1</v>
      </c>
      <c r="P1874" s="57" t="n">
        <f aca="false">IF(AND(C1874=Calc!$C$3,OR(Calc!$C$4=0,D1874=Calc!$C$4)),ROW(),0)</f>
        <v>1874</v>
      </c>
    </row>
    <row r="1875" customFormat="false" ht="15" hidden="false" customHeight="false" outlineLevel="0" collapsed="false">
      <c r="A1875" s="57" t="s">
        <v>2421</v>
      </c>
      <c r="B1875" s="58" t="n">
        <v>45804</v>
      </c>
      <c r="C1875" s="57" t="n">
        <f aca="false">YEAR(B1875)</f>
        <v>2025</v>
      </c>
      <c r="D1875" s="57" t="n">
        <f aca="false">MONTH(B1875)</f>
        <v>5</v>
      </c>
      <c r="E1875" s="57" t="s">
        <v>208</v>
      </c>
      <c r="F1875" s="57" t="s">
        <v>81</v>
      </c>
      <c r="G1875" s="57" t="s">
        <v>35</v>
      </c>
      <c r="H1875" s="57" t="s">
        <v>34</v>
      </c>
      <c r="I1875" s="59" t="n">
        <v>1</v>
      </c>
      <c r="J1875" s="60" t="n">
        <v>89</v>
      </c>
      <c r="K1875" s="60" t="n">
        <v>41</v>
      </c>
      <c r="L1875" s="61" t="n">
        <f aca="false">I1875*J1875</f>
        <v>89</v>
      </c>
      <c r="M1875" s="61" t="n">
        <f aca="false">L1875-I1875*K1875</f>
        <v>48</v>
      </c>
      <c r="N1875" s="57" t="n">
        <f aca="false">IF(COUNTIFS(E$2:E1875,E1875,C$2:C1875,C1875)=1,1,0)</f>
        <v>0</v>
      </c>
      <c r="O1875" s="57" t="n">
        <f aca="false">IF(COUNTIFS(E$2:E1875,E1875,C$2:C1875,C1875,D$2:D1875,D1875)=1,1,0)</f>
        <v>0</v>
      </c>
      <c r="P1875" s="57" t="n">
        <f aca="false">IF(AND(C1875=Calc!$C$3,OR(Calc!$C$4=0,D1875=Calc!$C$4)),ROW(),0)</f>
        <v>1875</v>
      </c>
    </row>
    <row r="1876" customFormat="false" ht="15" hidden="false" customHeight="false" outlineLevel="0" collapsed="false">
      <c r="A1876" s="57" t="s">
        <v>2422</v>
      </c>
      <c r="B1876" s="58" t="n">
        <v>45804</v>
      </c>
      <c r="C1876" s="57" t="n">
        <f aca="false">YEAR(B1876)</f>
        <v>2025</v>
      </c>
      <c r="D1876" s="57" t="n">
        <f aca="false">MONTH(B1876)</f>
        <v>5</v>
      </c>
      <c r="E1876" s="57" t="s">
        <v>152</v>
      </c>
      <c r="F1876" s="57" t="s">
        <v>72</v>
      </c>
      <c r="G1876" s="57" t="s">
        <v>45</v>
      </c>
      <c r="H1876" s="57" t="s">
        <v>46</v>
      </c>
      <c r="I1876" s="59" t="n">
        <v>1</v>
      </c>
      <c r="J1876" s="60" t="n">
        <v>149</v>
      </c>
      <c r="K1876" s="60" t="n">
        <v>71</v>
      </c>
      <c r="L1876" s="61" t="n">
        <f aca="false">I1876*J1876</f>
        <v>149</v>
      </c>
      <c r="M1876" s="61" t="n">
        <f aca="false">L1876-I1876*K1876</f>
        <v>78</v>
      </c>
      <c r="N1876" s="57" t="n">
        <f aca="false">IF(COUNTIFS(E$2:E1876,E1876,C$2:C1876,C1876)=1,1,0)</f>
        <v>0</v>
      </c>
      <c r="O1876" s="57" t="n">
        <f aca="false">IF(COUNTIFS(E$2:E1876,E1876,C$2:C1876,C1876,D$2:D1876,D1876)=1,1,0)</f>
        <v>0</v>
      </c>
      <c r="P1876" s="57" t="n">
        <f aca="false">IF(AND(C1876=Calc!$C$3,OR(Calc!$C$4=0,D1876=Calc!$C$4)),ROW(),0)</f>
        <v>1876</v>
      </c>
    </row>
    <row r="1877" customFormat="false" ht="15" hidden="false" customHeight="false" outlineLevel="0" collapsed="false">
      <c r="A1877" s="57" t="s">
        <v>2423</v>
      </c>
      <c r="B1877" s="58" t="n">
        <v>45804</v>
      </c>
      <c r="C1877" s="57" t="n">
        <f aca="false">YEAR(B1877)</f>
        <v>2025</v>
      </c>
      <c r="D1877" s="57" t="n">
        <f aca="false">MONTH(B1877)</f>
        <v>5</v>
      </c>
      <c r="E1877" s="57" t="s">
        <v>558</v>
      </c>
      <c r="F1877" s="57" t="s">
        <v>81</v>
      </c>
      <c r="G1877" s="57" t="s">
        <v>40</v>
      </c>
      <c r="H1877" s="57" t="s">
        <v>39</v>
      </c>
      <c r="I1877" s="59" t="n">
        <v>2</v>
      </c>
      <c r="J1877" s="60" t="n">
        <v>54</v>
      </c>
      <c r="K1877" s="60" t="n">
        <v>19</v>
      </c>
      <c r="L1877" s="61" t="n">
        <f aca="false">I1877*J1877</f>
        <v>108</v>
      </c>
      <c r="M1877" s="61" t="n">
        <f aca="false">L1877-I1877*K1877</f>
        <v>70</v>
      </c>
      <c r="N1877" s="57" t="n">
        <f aca="false">IF(COUNTIFS(E$2:E1877,E1877,C$2:C1877,C1877)=1,1,0)</f>
        <v>0</v>
      </c>
      <c r="O1877" s="57" t="n">
        <f aca="false">IF(COUNTIFS(E$2:E1877,E1877,C$2:C1877,C1877,D$2:D1877,D1877)=1,1,0)</f>
        <v>1</v>
      </c>
      <c r="P1877" s="57" t="n">
        <f aca="false">IF(AND(C1877=Calc!$C$3,OR(Calc!$C$4=0,D1877=Calc!$C$4)),ROW(),0)</f>
        <v>1877</v>
      </c>
    </row>
    <row r="1878" customFormat="false" ht="15" hidden="false" customHeight="false" outlineLevel="0" collapsed="false">
      <c r="A1878" s="57" t="s">
        <v>2424</v>
      </c>
      <c r="B1878" s="58" t="n">
        <v>45805</v>
      </c>
      <c r="C1878" s="57" t="n">
        <f aca="false">YEAR(B1878)</f>
        <v>2025</v>
      </c>
      <c r="D1878" s="57" t="n">
        <f aca="false">MONTH(B1878)</f>
        <v>5</v>
      </c>
      <c r="E1878" s="57" t="s">
        <v>808</v>
      </c>
      <c r="F1878" s="57" t="s">
        <v>69</v>
      </c>
      <c r="G1878" s="57" t="s">
        <v>54</v>
      </c>
      <c r="H1878" s="57" t="s">
        <v>56</v>
      </c>
      <c r="I1878" s="59" t="n">
        <v>2</v>
      </c>
      <c r="J1878" s="60" t="n">
        <v>42</v>
      </c>
      <c r="K1878" s="60" t="n">
        <v>17</v>
      </c>
      <c r="L1878" s="61" t="n">
        <f aca="false">I1878*J1878</f>
        <v>84</v>
      </c>
      <c r="M1878" s="61" t="n">
        <f aca="false">L1878-I1878*K1878</f>
        <v>50</v>
      </c>
      <c r="N1878" s="57" t="n">
        <f aca="false">IF(COUNTIFS(E$2:E1878,E1878,C$2:C1878,C1878)=1,1,0)</f>
        <v>0</v>
      </c>
      <c r="O1878" s="57" t="n">
        <f aca="false">IF(COUNTIFS(E$2:E1878,E1878,C$2:C1878,C1878,D$2:D1878,D1878)=1,1,0)</f>
        <v>1</v>
      </c>
      <c r="P1878" s="57" t="n">
        <f aca="false">IF(AND(C1878=Calc!$C$3,OR(Calc!$C$4=0,D1878=Calc!$C$4)),ROW(),0)</f>
        <v>1878</v>
      </c>
    </row>
    <row r="1879" customFormat="false" ht="15" hidden="false" customHeight="false" outlineLevel="0" collapsed="false">
      <c r="A1879" s="57" t="s">
        <v>2425</v>
      </c>
      <c r="B1879" s="58" t="n">
        <v>45805</v>
      </c>
      <c r="C1879" s="57" t="n">
        <f aca="false">YEAR(B1879)</f>
        <v>2025</v>
      </c>
      <c r="D1879" s="57" t="n">
        <f aca="false">MONTH(B1879)</f>
        <v>5</v>
      </c>
      <c r="E1879" s="57" t="s">
        <v>543</v>
      </c>
      <c r="F1879" s="57" t="s">
        <v>78</v>
      </c>
      <c r="G1879" s="57" t="s">
        <v>54</v>
      </c>
      <c r="H1879" s="57" t="s">
        <v>55</v>
      </c>
      <c r="I1879" s="59" t="n">
        <v>1</v>
      </c>
      <c r="J1879" s="60" t="n">
        <v>64</v>
      </c>
      <c r="K1879" s="60" t="n">
        <v>25</v>
      </c>
      <c r="L1879" s="61" t="n">
        <f aca="false">I1879*J1879</f>
        <v>64</v>
      </c>
      <c r="M1879" s="61" t="n">
        <f aca="false">L1879-I1879*K1879</f>
        <v>39</v>
      </c>
      <c r="N1879" s="57" t="n">
        <f aca="false">IF(COUNTIFS(E$2:E1879,E1879,C$2:C1879,C1879)=1,1,0)</f>
        <v>0</v>
      </c>
      <c r="O1879" s="57" t="n">
        <f aca="false">IF(COUNTIFS(E$2:E1879,E1879,C$2:C1879,C1879,D$2:D1879,D1879)=1,1,0)</f>
        <v>1</v>
      </c>
      <c r="P1879" s="57" t="n">
        <f aca="false">IF(AND(C1879=Calc!$C$3,OR(Calc!$C$4=0,D1879=Calc!$C$4)),ROW(),0)</f>
        <v>1879</v>
      </c>
    </row>
    <row r="1880" customFormat="false" ht="15" hidden="false" customHeight="false" outlineLevel="0" collapsed="false">
      <c r="A1880" s="57" t="s">
        <v>2426</v>
      </c>
      <c r="B1880" s="58" t="n">
        <v>45805</v>
      </c>
      <c r="C1880" s="57" t="n">
        <f aca="false">YEAR(B1880)</f>
        <v>2025</v>
      </c>
      <c r="D1880" s="57" t="n">
        <f aca="false">MONTH(B1880)</f>
        <v>5</v>
      </c>
      <c r="E1880" s="57" t="s">
        <v>1449</v>
      </c>
      <c r="F1880" s="57" t="s">
        <v>78</v>
      </c>
      <c r="G1880" s="57" t="s">
        <v>40</v>
      </c>
      <c r="H1880" s="57" t="s">
        <v>39</v>
      </c>
      <c r="I1880" s="59" t="n">
        <v>1</v>
      </c>
      <c r="J1880" s="60" t="n">
        <v>54</v>
      </c>
      <c r="K1880" s="60" t="n">
        <v>19</v>
      </c>
      <c r="L1880" s="61" t="n">
        <f aca="false">I1880*J1880</f>
        <v>54</v>
      </c>
      <c r="M1880" s="61" t="n">
        <f aca="false">L1880-I1880*K1880</f>
        <v>35</v>
      </c>
      <c r="N1880" s="57" t="n">
        <f aca="false">IF(COUNTIFS(E$2:E1880,E1880,C$2:C1880,C1880)=1,1,0)</f>
        <v>0</v>
      </c>
      <c r="O1880" s="57" t="n">
        <f aca="false">IF(COUNTIFS(E$2:E1880,E1880,C$2:C1880,C1880,D$2:D1880,D1880)=1,1,0)</f>
        <v>1</v>
      </c>
      <c r="P1880" s="57" t="n">
        <f aca="false">IF(AND(C1880=Calc!$C$3,OR(Calc!$C$4=0,D1880=Calc!$C$4)),ROW(),0)</f>
        <v>1880</v>
      </c>
    </row>
    <row r="1881" customFormat="false" ht="15" hidden="false" customHeight="false" outlineLevel="0" collapsed="false">
      <c r="A1881" s="57" t="s">
        <v>2427</v>
      </c>
      <c r="B1881" s="58" t="n">
        <v>45805</v>
      </c>
      <c r="C1881" s="57" t="n">
        <f aca="false">YEAR(B1881)</f>
        <v>2025</v>
      </c>
      <c r="D1881" s="57" t="n">
        <f aca="false">MONTH(B1881)</f>
        <v>5</v>
      </c>
      <c r="E1881" s="57" t="s">
        <v>335</v>
      </c>
      <c r="F1881" s="57" t="s">
        <v>81</v>
      </c>
      <c r="G1881" s="57" t="s">
        <v>35</v>
      </c>
      <c r="H1881" s="57" t="s">
        <v>34</v>
      </c>
      <c r="I1881" s="59" t="n">
        <v>1</v>
      </c>
      <c r="J1881" s="60" t="n">
        <v>89</v>
      </c>
      <c r="K1881" s="60" t="n">
        <v>41</v>
      </c>
      <c r="L1881" s="61" t="n">
        <f aca="false">I1881*J1881</f>
        <v>89</v>
      </c>
      <c r="M1881" s="61" t="n">
        <f aca="false">L1881-I1881*K1881</f>
        <v>48</v>
      </c>
      <c r="N1881" s="57" t="n">
        <f aca="false">IF(COUNTIFS(E$2:E1881,E1881,C$2:C1881,C1881)=1,1,0)</f>
        <v>0</v>
      </c>
      <c r="O1881" s="57" t="n">
        <f aca="false">IF(COUNTIFS(E$2:E1881,E1881,C$2:C1881,C1881,D$2:D1881,D1881)=1,1,0)</f>
        <v>1</v>
      </c>
      <c r="P1881" s="57" t="n">
        <f aca="false">IF(AND(C1881=Calc!$C$3,OR(Calc!$C$4=0,D1881=Calc!$C$4)),ROW(),0)</f>
        <v>1881</v>
      </c>
    </row>
    <row r="1882" customFormat="false" ht="15" hidden="false" customHeight="false" outlineLevel="0" collapsed="false">
      <c r="A1882" s="57" t="s">
        <v>2428</v>
      </c>
      <c r="B1882" s="58" t="n">
        <v>45805</v>
      </c>
      <c r="C1882" s="57" t="n">
        <f aca="false">YEAR(B1882)</f>
        <v>2025</v>
      </c>
      <c r="D1882" s="57" t="n">
        <f aca="false">MONTH(B1882)</f>
        <v>5</v>
      </c>
      <c r="E1882" s="57" t="s">
        <v>514</v>
      </c>
      <c r="F1882" s="57" t="s">
        <v>72</v>
      </c>
      <c r="G1882" s="57" t="s">
        <v>35</v>
      </c>
      <c r="H1882" s="57" t="s">
        <v>38</v>
      </c>
      <c r="I1882" s="59" t="n">
        <v>1</v>
      </c>
      <c r="J1882" s="60" t="n">
        <v>49</v>
      </c>
      <c r="K1882" s="60" t="n">
        <v>22</v>
      </c>
      <c r="L1882" s="61" t="n">
        <f aca="false">I1882*J1882</f>
        <v>49</v>
      </c>
      <c r="M1882" s="61" t="n">
        <f aca="false">L1882-I1882*K1882</f>
        <v>27</v>
      </c>
      <c r="N1882" s="57" t="n">
        <f aca="false">IF(COUNTIFS(E$2:E1882,E1882,C$2:C1882,C1882)=1,1,0)</f>
        <v>0</v>
      </c>
      <c r="O1882" s="57" t="n">
        <f aca="false">IF(COUNTIFS(E$2:E1882,E1882,C$2:C1882,C1882,D$2:D1882,D1882)=1,1,0)</f>
        <v>0</v>
      </c>
      <c r="P1882" s="57" t="n">
        <f aca="false">IF(AND(C1882=Calc!$C$3,OR(Calc!$C$4=0,D1882=Calc!$C$4)),ROW(),0)</f>
        <v>1882</v>
      </c>
    </row>
    <row r="1883" customFormat="false" ht="15" hidden="false" customHeight="false" outlineLevel="0" collapsed="false">
      <c r="A1883" s="57" t="s">
        <v>2429</v>
      </c>
      <c r="B1883" s="58" t="n">
        <v>45805</v>
      </c>
      <c r="C1883" s="57" t="n">
        <f aca="false">YEAR(B1883)</f>
        <v>2025</v>
      </c>
      <c r="D1883" s="57" t="n">
        <f aca="false">MONTH(B1883)</f>
        <v>5</v>
      </c>
      <c r="E1883" s="57" t="s">
        <v>715</v>
      </c>
      <c r="F1883" s="57" t="s">
        <v>72</v>
      </c>
      <c r="G1883" s="57" t="s">
        <v>40</v>
      </c>
      <c r="H1883" s="57" t="s">
        <v>41</v>
      </c>
      <c r="I1883" s="59" t="n">
        <v>1</v>
      </c>
      <c r="J1883" s="60" t="n">
        <v>46</v>
      </c>
      <c r="K1883" s="60" t="n">
        <v>16</v>
      </c>
      <c r="L1883" s="61" t="n">
        <f aca="false">I1883*J1883</f>
        <v>46</v>
      </c>
      <c r="M1883" s="61" t="n">
        <f aca="false">L1883-I1883*K1883</f>
        <v>30</v>
      </c>
      <c r="N1883" s="57" t="n">
        <f aca="false">IF(COUNTIFS(E$2:E1883,E1883,C$2:C1883,C1883)=1,1,0)</f>
        <v>0</v>
      </c>
      <c r="O1883" s="57" t="n">
        <f aca="false">IF(COUNTIFS(E$2:E1883,E1883,C$2:C1883,C1883,D$2:D1883,D1883)=1,1,0)</f>
        <v>1</v>
      </c>
      <c r="P1883" s="57" t="n">
        <f aca="false">IF(AND(C1883=Calc!$C$3,OR(Calc!$C$4=0,D1883=Calc!$C$4)),ROW(),0)</f>
        <v>1883</v>
      </c>
    </row>
    <row r="1884" customFormat="false" ht="15" hidden="false" customHeight="false" outlineLevel="0" collapsed="false">
      <c r="A1884" s="57" t="s">
        <v>2430</v>
      </c>
      <c r="B1884" s="58" t="n">
        <v>45805</v>
      </c>
      <c r="C1884" s="57" t="n">
        <f aca="false">YEAR(B1884)</f>
        <v>2025</v>
      </c>
      <c r="D1884" s="57" t="n">
        <f aca="false">MONTH(B1884)</f>
        <v>5</v>
      </c>
      <c r="E1884" s="57" t="s">
        <v>1417</v>
      </c>
      <c r="F1884" s="57" t="s">
        <v>69</v>
      </c>
      <c r="G1884" s="57" t="s">
        <v>35</v>
      </c>
      <c r="H1884" s="57" t="s">
        <v>37</v>
      </c>
      <c r="I1884" s="59" t="n">
        <v>1</v>
      </c>
      <c r="J1884" s="60" t="n">
        <v>59</v>
      </c>
      <c r="K1884" s="60" t="n">
        <v>27</v>
      </c>
      <c r="L1884" s="61" t="n">
        <f aca="false">I1884*J1884</f>
        <v>59</v>
      </c>
      <c r="M1884" s="61" t="n">
        <f aca="false">L1884-I1884*K1884</f>
        <v>32</v>
      </c>
      <c r="N1884" s="57" t="n">
        <f aca="false">IF(COUNTIFS(E$2:E1884,E1884,C$2:C1884,C1884)=1,1,0)</f>
        <v>0</v>
      </c>
      <c r="O1884" s="57" t="n">
        <f aca="false">IF(COUNTIFS(E$2:E1884,E1884,C$2:C1884,C1884,D$2:D1884,D1884)=1,1,0)</f>
        <v>1</v>
      </c>
      <c r="P1884" s="57" t="n">
        <f aca="false">IF(AND(C1884=Calc!$C$3,OR(Calc!$C$4=0,D1884=Calc!$C$4)),ROW(),0)</f>
        <v>1884</v>
      </c>
    </row>
    <row r="1885" customFormat="false" ht="15" hidden="false" customHeight="false" outlineLevel="0" collapsed="false">
      <c r="A1885" s="57" t="s">
        <v>2431</v>
      </c>
      <c r="B1885" s="58" t="n">
        <v>45806</v>
      </c>
      <c r="C1885" s="57" t="n">
        <f aca="false">YEAR(B1885)</f>
        <v>2025</v>
      </c>
      <c r="D1885" s="57" t="n">
        <f aca="false">MONTH(B1885)</f>
        <v>5</v>
      </c>
      <c r="E1885" s="57" t="s">
        <v>183</v>
      </c>
      <c r="F1885" s="57" t="s">
        <v>72</v>
      </c>
      <c r="G1885" s="57" t="s">
        <v>45</v>
      </c>
      <c r="H1885" s="57" t="s">
        <v>44</v>
      </c>
      <c r="I1885" s="59" t="n">
        <v>3</v>
      </c>
      <c r="J1885" s="60" t="n">
        <v>119</v>
      </c>
      <c r="K1885" s="60" t="n">
        <v>63</v>
      </c>
      <c r="L1885" s="61" t="n">
        <f aca="false">I1885*J1885</f>
        <v>357</v>
      </c>
      <c r="M1885" s="61" t="n">
        <f aca="false">L1885-I1885*K1885</f>
        <v>168</v>
      </c>
      <c r="N1885" s="57" t="n">
        <f aca="false">IF(COUNTIFS(E$2:E1885,E1885,C$2:C1885,C1885)=1,1,0)</f>
        <v>0</v>
      </c>
      <c r="O1885" s="57" t="n">
        <f aca="false">IF(COUNTIFS(E$2:E1885,E1885,C$2:C1885,C1885,D$2:D1885,D1885)=1,1,0)</f>
        <v>0</v>
      </c>
      <c r="P1885" s="57" t="n">
        <f aca="false">IF(AND(C1885=Calc!$C$3,OR(Calc!$C$4=0,D1885=Calc!$C$4)),ROW(),0)</f>
        <v>1885</v>
      </c>
    </row>
    <row r="1886" customFormat="false" ht="15" hidden="false" customHeight="false" outlineLevel="0" collapsed="false">
      <c r="A1886" s="57" t="s">
        <v>2432</v>
      </c>
      <c r="B1886" s="58" t="n">
        <v>45806</v>
      </c>
      <c r="C1886" s="57" t="n">
        <f aca="false">YEAR(B1886)</f>
        <v>2025</v>
      </c>
      <c r="D1886" s="57" t="n">
        <f aca="false">MONTH(B1886)</f>
        <v>5</v>
      </c>
      <c r="E1886" s="57" t="s">
        <v>277</v>
      </c>
      <c r="F1886" s="57" t="s">
        <v>75</v>
      </c>
      <c r="G1886" s="57" t="s">
        <v>54</v>
      </c>
      <c r="H1886" s="57" t="s">
        <v>53</v>
      </c>
      <c r="I1886" s="59" t="n">
        <v>1</v>
      </c>
      <c r="J1886" s="60" t="n">
        <v>39</v>
      </c>
      <c r="K1886" s="60" t="n">
        <v>13</v>
      </c>
      <c r="L1886" s="61" t="n">
        <f aca="false">I1886*J1886</f>
        <v>39</v>
      </c>
      <c r="M1886" s="61" t="n">
        <f aca="false">L1886-I1886*K1886</f>
        <v>26</v>
      </c>
      <c r="N1886" s="57" t="n">
        <f aca="false">IF(COUNTIFS(E$2:E1886,E1886,C$2:C1886,C1886)=1,1,0)</f>
        <v>0</v>
      </c>
      <c r="O1886" s="57" t="n">
        <f aca="false">IF(COUNTIFS(E$2:E1886,E1886,C$2:C1886,C1886,D$2:D1886,D1886)=1,1,0)</f>
        <v>0</v>
      </c>
      <c r="P1886" s="57" t="n">
        <f aca="false">IF(AND(C1886=Calc!$C$3,OR(Calc!$C$4=0,D1886=Calc!$C$4)),ROW(),0)</f>
        <v>1886</v>
      </c>
    </row>
    <row r="1887" customFormat="false" ht="15" hidden="false" customHeight="false" outlineLevel="0" collapsed="false">
      <c r="A1887" s="57" t="s">
        <v>2433</v>
      </c>
      <c r="B1887" s="58" t="n">
        <v>45806</v>
      </c>
      <c r="C1887" s="57" t="n">
        <f aca="false">YEAR(B1887)</f>
        <v>2025</v>
      </c>
      <c r="D1887" s="57" t="n">
        <f aca="false">MONTH(B1887)</f>
        <v>5</v>
      </c>
      <c r="E1887" s="57" t="s">
        <v>240</v>
      </c>
      <c r="F1887" s="57" t="s">
        <v>75</v>
      </c>
      <c r="G1887" s="57" t="s">
        <v>35</v>
      </c>
      <c r="H1887" s="57" t="s">
        <v>38</v>
      </c>
      <c r="I1887" s="59" t="n">
        <v>2</v>
      </c>
      <c r="J1887" s="60" t="n">
        <v>49</v>
      </c>
      <c r="K1887" s="60" t="n">
        <v>22</v>
      </c>
      <c r="L1887" s="61" t="n">
        <f aca="false">I1887*J1887</f>
        <v>98</v>
      </c>
      <c r="M1887" s="61" t="n">
        <f aca="false">L1887-I1887*K1887</f>
        <v>54</v>
      </c>
      <c r="N1887" s="57" t="n">
        <f aca="false">IF(COUNTIFS(E$2:E1887,E1887,C$2:C1887,C1887)=1,1,0)</f>
        <v>0</v>
      </c>
      <c r="O1887" s="57" t="n">
        <f aca="false">IF(COUNTIFS(E$2:E1887,E1887,C$2:C1887,C1887,D$2:D1887,D1887)=1,1,0)</f>
        <v>1</v>
      </c>
      <c r="P1887" s="57" t="n">
        <f aca="false">IF(AND(C1887=Calc!$C$3,OR(Calc!$C$4=0,D1887=Calc!$C$4)),ROW(),0)</f>
        <v>1887</v>
      </c>
    </row>
    <row r="1888" customFormat="false" ht="15" hidden="false" customHeight="false" outlineLevel="0" collapsed="false">
      <c r="A1888" s="57" t="s">
        <v>2434</v>
      </c>
      <c r="B1888" s="58" t="n">
        <v>45806</v>
      </c>
      <c r="C1888" s="57" t="n">
        <f aca="false">YEAR(B1888)</f>
        <v>2025</v>
      </c>
      <c r="D1888" s="57" t="n">
        <f aca="false">MONTH(B1888)</f>
        <v>5</v>
      </c>
      <c r="E1888" s="57" t="s">
        <v>998</v>
      </c>
      <c r="F1888" s="57" t="s">
        <v>81</v>
      </c>
      <c r="G1888" s="57" t="s">
        <v>35</v>
      </c>
      <c r="H1888" s="57" t="s">
        <v>36</v>
      </c>
      <c r="I1888" s="59" t="n">
        <v>1</v>
      </c>
      <c r="J1888" s="60" t="n">
        <v>179</v>
      </c>
      <c r="K1888" s="60" t="n">
        <v>92</v>
      </c>
      <c r="L1888" s="61" t="n">
        <f aca="false">I1888*J1888</f>
        <v>179</v>
      </c>
      <c r="M1888" s="61" t="n">
        <f aca="false">L1888-I1888*K1888</f>
        <v>87</v>
      </c>
      <c r="N1888" s="57" t="n">
        <f aca="false">IF(COUNTIFS(E$2:E1888,E1888,C$2:C1888,C1888)=1,1,0)</f>
        <v>0</v>
      </c>
      <c r="O1888" s="57" t="n">
        <f aca="false">IF(COUNTIFS(E$2:E1888,E1888,C$2:C1888,C1888,D$2:D1888,D1888)=1,1,0)</f>
        <v>1</v>
      </c>
      <c r="P1888" s="57" t="n">
        <f aca="false">IF(AND(C1888=Calc!$C$3,OR(Calc!$C$4=0,D1888=Calc!$C$4)),ROW(),0)</f>
        <v>1888</v>
      </c>
    </row>
    <row r="1889" customFormat="false" ht="15" hidden="false" customHeight="false" outlineLevel="0" collapsed="false">
      <c r="A1889" s="57" t="s">
        <v>2435</v>
      </c>
      <c r="B1889" s="58" t="n">
        <v>45807</v>
      </c>
      <c r="C1889" s="57" t="n">
        <f aca="false">YEAR(B1889)</f>
        <v>2025</v>
      </c>
      <c r="D1889" s="57" t="n">
        <f aca="false">MONTH(B1889)</f>
        <v>5</v>
      </c>
      <c r="E1889" s="57" t="s">
        <v>525</v>
      </c>
      <c r="F1889" s="57" t="s">
        <v>78</v>
      </c>
      <c r="G1889" s="57" t="s">
        <v>40</v>
      </c>
      <c r="H1889" s="57" t="s">
        <v>42</v>
      </c>
      <c r="I1889" s="59" t="n">
        <v>1</v>
      </c>
      <c r="J1889" s="60" t="n">
        <v>79</v>
      </c>
      <c r="K1889" s="60" t="n">
        <v>31</v>
      </c>
      <c r="L1889" s="61" t="n">
        <f aca="false">I1889*J1889</f>
        <v>79</v>
      </c>
      <c r="M1889" s="61" t="n">
        <f aca="false">L1889-I1889*K1889</f>
        <v>48</v>
      </c>
      <c r="N1889" s="57" t="n">
        <f aca="false">IF(COUNTIFS(E$2:E1889,E1889,C$2:C1889,C1889)=1,1,0)</f>
        <v>1</v>
      </c>
      <c r="O1889" s="57" t="n">
        <f aca="false">IF(COUNTIFS(E$2:E1889,E1889,C$2:C1889,C1889,D$2:D1889,D1889)=1,1,0)</f>
        <v>1</v>
      </c>
      <c r="P1889" s="57" t="n">
        <f aca="false">IF(AND(C1889=Calc!$C$3,OR(Calc!$C$4=0,D1889=Calc!$C$4)),ROW(),0)</f>
        <v>1889</v>
      </c>
    </row>
    <row r="1890" customFormat="false" ht="15" hidden="false" customHeight="false" outlineLevel="0" collapsed="false">
      <c r="A1890" s="57" t="s">
        <v>2436</v>
      </c>
      <c r="B1890" s="58" t="n">
        <v>45807</v>
      </c>
      <c r="C1890" s="57" t="n">
        <f aca="false">YEAR(B1890)</f>
        <v>2025</v>
      </c>
      <c r="D1890" s="57" t="n">
        <f aca="false">MONTH(B1890)</f>
        <v>5</v>
      </c>
      <c r="E1890" s="57" t="s">
        <v>1053</v>
      </c>
      <c r="F1890" s="57" t="s">
        <v>72</v>
      </c>
      <c r="G1890" s="57" t="s">
        <v>35</v>
      </c>
      <c r="H1890" s="57" t="s">
        <v>37</v>
      </c>
      <c r="I1890" s="59" t="n">
        <v>2</v>
      </c>
      <c r="J1890" s="60" t="n">
        <v>59</v>
      </c>
      <c r="K1890" s="60" t="n">
        <v>27</v>
      </c>
      <c r="L1890" s="61" t="n">
        <f aca="false">I1890*J1890</f>
        <v>118</v>
      </c>
      <c r="M1890" s="61" t="n">
        <f aca="false">L1890-I1890*K1890</f>
        <v>64</v>
      </c>
      <c r="N1890" s="57" t="n">
        <f aca="false">IF(COUNTIFS(E$2:E1890,E1890,C$2:C1890,C1890)=1,1,0)</f>
        <v>0</v>
      </c>
      <c r="O1890" s="57" t="n">
        <f aca="false">IF(COUNTIFS(E$2:E1890,E1890,C$2:C1890,C1890,D$2:D1890,D1890)=1,1,0)</f>
        <v>1</v>
      </c>
      <c r="P1890" s="57" t="n">
        <f aca="false">IF(AND(C1890=Calc!$C$3,OR(Calc!$C$4=0,D1890=Calc!$C$4)),ROW(),0)</f>
        <v>1890</v>
      </c>
    </row>
    <row r="1891" customFormat="false" ht="15" hidden="false" customHeight="false" outlineLevel="0" collapsed="false">
      <c r="A1891" s="57" t="s">
        <v>2437</v>
      </c>
      <c r="B1891" s="58" t="n">
        <v>45807</v>
      </c>
      <c r="C1891" s="57" t="n">
        <f aca="false">YEAR(B1891)</f>
        <v>2025</v>
      </c>
      <c r="D1891" s="57" t="n">
        <f aca="false">MONTH(B1891)</f>
        <v>5</v>
      </c>
      <c r="E1891" s="57" t="s">
        <v>1237</v>
      </c>
      <c r="F1891" s="57" t="s">
        <v>78</v>
      </c>
      <c r="G1891" s="57" t="s">
        <v>35</v>
      </c>
      <c r="H1891" s="57" t="s">
        <v>34</v>
      </c>
      <c r="I1891" s="59" t="n">
        <v>1</v>
      </c>
      <c r="J1891" s="60" t="n">
        <v>89</v>
      </c>
      <c r="K1891" s="60" t="n">
        <v>41</v>
      </c>
      <c r="L1891" s="61" t="n">
        <f aca="false">I1891*J1891</f>
        <v>89</v>
      </c>
      <c r="M1891" s="61" t="n">
        <f aca="false">L1891-I1891*K1891</f>
        <v>48</v>
      </c>
      <c r="N1891" s="57" t="n">
        <f aca="false">IF(COUNTIFS(E$2:E1891,E1891,C$2:C1891,C1891)=1,1,0)</f>
        <v>0</v>
      </c>
      <c r="O1891" s="57" t="n">
        <f aca="false">IF(COUNTIFS(E$2:E1891,E1891,C$2:C1891,C1891,D$2:D1891,D1891)=1,1,0)</f>
        <v>1</v>
      </c>
      <c r="P1891" s="57" t="n">
        <f aca="false">IF(AND(C1891=Calc!$C$3,OR(Calc!$C$4=0,D1891=Calc!$C$4)),ROW(),0)</f>
        <v>1891</v>
      </c>
    </row>
    <row r="1892" customFormat="false" ht="15" hidden="false" customHeight="false" outlineLevel="0" collapsed="false">
      <c r="A1892" s="57" t="s">
        <v>2438</v>
      </c>
      <c r="B1892" s="58" t="n">
        <v>45807</v>
      </c>
      <c r="C1892" s="57" t="n">
        <f aca="false">YEAR(B1892)</f>
        <v>2025</v>
      </c>
      <c r="D1892" s="57" t="n">
        <f aca="false">MONTH(B1892)</f>
        <v>5</v>
      </c>
      <c r="E1892" s="57" t="s">
        <v>185</v>
      </c>
      <c r="F1892" s="57" t="s">
        <v>81</v>
      </c>
      <c r="G1892" s="57" t="s">
        <v>45</v>
      </c>
      <c r="H1892" s="57" t="s">
        <v>48</v>
      </c>
      <c r="I1892" s="59" t="n">
        <v>1</v>
      </c>
      <c r="J1892" s="60" t="n">
        <v>99</v>
      </c>
      <c r="K1892" s="60" t="n">
        <v>38</v>
      </c>
      <c r="L1892" s="61" t="n">
        <f aca="false">I1892*J1892</f>
        <v>99</v>
      </c>
      <c r="M1892" s="61" t="n">
        <f aca="false">L1892-I1892*K1892</f>
        <v>61</v>
      </c>
      <c r="N1892" s="57" t="n">
        <f aca="false">IF(COUNTIFS(E$2:E1892,E1892,C$2:C1892,C1892)=1,1,0)</f>
        <v>1</v>
      </c>
      <c r="O1892" s="57" t="n">
        <f aca="false">IF(COUNTIFS(E$2:E1892,E1892,C$2:C1892,C1892,D$2:D1892,D1892)=1,1,0)</f>
        <v>1</v>
      </c>
      <c r="P1892" s="57" t="n">
        <f aca="false">IF(AND(C1892=Calc!$C$3,OR(Calc!$C$4=0,D1892=Calc!$C$4)),ROW(),0)</f>
        <v>1892</v>
      </c>
    </row>
    <row r="1893" customFormat="false" ht="15" hidden="false" customHeight="false" outlineLevel="0" collapsed="false">
      <c r="A1893" s="57" t="s">
        <v>2439</v>
      </c>
      <c r="B1893" s="58" t="n">
        <v>45808</v>
      </c>
      <c r="C1893" s="57" t="n">
        <f aca="false">YEAR(B1893)</f>
        <v>2025</v>
      </c>
      <c r="D1893" s="57" t="n">
        <f aca="false">MONTH(B1893)</f>
        <v>5</v>
      </c>
      <c r="E1893" s="57" t="s">
        <v>1070</v>
      </c>
      <c r="F1893" s="57" t="s">
        <v>69</v>
      </c>
      <c r="G1893" s="57" t="s">
        <v>35</v>
      </c>
      <c r="H1893" s="57" t="s">
        <v>36</v>
      </c>
      <c r="I1893" s="59" t="n">
        <v>2</v>
      </c>
      <c r="J1893" s="60" t="n">
        <v>179</v>
      </c>
      <c r="K1893" s="60" t="n">
        <v>92</v>
      </c>
      <c r="L1893" s="61" t="n">
        <f aca="false">I1893*J1893</f>
        <v>358</v>
      </c>
      <c r="M1893" s="61" t="n">
        <f aca="false">L1893-I1893*K1893</f>
        <v>174</v>
      </c>
      <c r="N1893" s="57" t="n">
        <f aca="false">IF(COUNTIFS(E$2:E1893,E1893,C$2:C1893,C1893)=1,1,0)</f>
        <v>1</v>
      </c>
      <c r="O1893" s="57" t="n">
        <f aca="false">IF(COUNTIFS(E$2:E1893,E1893,C$2:C1893,C1893,D$2:D1893,D1893)=1,1,0)</f>
        <v>1</v>
      </c>
      <c r="P1893" s="57" t="n">
        <f aca="false">IF(AND(C1893=Calc!$C$3,OR(Calc!$C$4=0,D1893=Calc!$C$4)),ROW(),0)</f>
        <v>1893</v>
      </c>
    </row>
    <row r="1894" customFormat="false" ht="15" hidden="false" customHeight="false" outlineLevel="0" collapsed="false">
      <c r="A1894" s="57" t="s">
        <v>2440</v>
      </c>
      <c r="B1894" s="58" t="n">
        <v>45808</v>
      </c>
      <c r="C1894" s="57" t="n">
        <f aca="false">YEAR(B1894)</f>
        <v>2025</v>
      </c>
      <c r="D1894" s="57" t="n">
        <f aca="false">MONTH(B1894)</f>
        <v>5</v>
      </c>
      <c r="E1894" s="57" t="s">
        <v>721</v>
      </c>
      <c r="F1894" s="57" t="s">
        <v>69</v>
      </c>
      <c r="G1894" s="57" t="s">
        <v>50</v>
      </c>
      <c r="H1894" s="57" t="s">
        <v>52</v>
      </c>
      <c r="I1894" s="59" t="n">
        <v>1</v>
      </c>
      <c r="J1894" s="60" t="n">
        <v>45</v>
      </c>
      <c r="K1894" s="60" t="n">
        <v>14</v>
      </c>
      <c r="L1894" s="61" t="n">
        <f aca="false">I1894*J1894</f>
        <v>45</v>
      </c>
      <c r="M1894" s="61" t="n">
        <f aca="false">L1894-I1894*K1894</f>
        <v>31</v>
      </c>
      <c r="N1894" s="57" t="n">
        <f aca="false">IF(COUNTIFS(E$2:E1894,E1894,C$2:C1894,C1894)=1,1,0)</f>
        <v>0</v>
      </c>
      <c r="O1894" s="57" t="n">
        <f aca="false">IF(COUNTIFS(E$2:E1894,E1894,C$2:C1894,C1894,D$2:D1894,D1894)=1,1,0)</f>
        <v>0</v>
      </c>
      <c r="P1894" s="57" t="n">
        <f aca="false">IF(AND(C1894=Calc!$C$3,OR(Calc!$C$4=0,D1894=Calc!$C$4)),ROW(),0)</f>
        <v>1894</v>
      </c>
    </row>
    <row r="1895" customFormat="false" ht="15" hidden="false" customHeight="false" outlineLevel="0" collapsed="false">
      <c r="A1895" s="57" t="s">
        <v>2441</v>
      </c>
      <c r="B1895" s="58" t="n">
        <v>45808</v>
      </c>
      <c r="C1895" s="57" t="n">
        <f aca="false">YEAR(B1895)</f>
        <v>2025</v>
      </c>
      <c r="D1895" s="57" t="n">
        <f aca="false">MONTH(B1895)</f>
        <v>5</v>
      </c>
      <c r="E1895" s="57" t="s">
        <v>1849</v>
      </c>
      <c r="F1895" s="57" t="s">
        <v>69</v>
      </c>
      <c r="G1895" s="57" t="s">
        <v>35</v>
      </c>
      <c r="H1895" s="57" t="s">
        <v>37</v>
      </c>
      <c r="I1895" s="59" t="n">
        <v>1</v>
      </c>
      <c r="J1895" s="60" t="n">
        <v>59</v>
      </c>
      <c r="K1895" s="60" t="n">
        <v>27</v>
      </c>
      <c r="L1895" s="61" t="n">
        <f aca="false">I1895*J1895</f>
        <v>59</v>
      </c>
      <c r="M1895" s="61" t="n">
        <f aca="false">L1895-I1895*K1895</f>
        <v>32</v>
      </c>
      <c r="N1895" s="57" t="n">
        <f aca="false">IF(COUNTIFS(E$2:E1895,E1895,C$2:C1895,C1895)=1,1,0)</f>
        <v>1</v>
      </c>
      <c r="O1895" s="57" t="n">
        <f aca="false">IF(COUNTIFS(E$2:E1895,E1895,C$2:C1895,C1895,D$2:D1895,D1895)=1,1,0)</f>
        <v>1</v>
      </c>
      <c r="P1895" s="57" t="n">
        <f aca="false">IF(AND(C1895=Calc!$C$3,OR(Calc!$C$4=0,D1895=Calc!$C$4)),ROW(),0)</f>
        <v>1895</v>
      </c>
    </row>
    <row r="1896" customFormat="false" ht="15" hidden="false" customHeight="false" outlineLevel="0" collapsed="false">
      <c r="A1896" s="57" t="s">
        <v>2442</v>
      </c>
      <c r="B1896" s="58" t="n">
        <v>45808</v>
      </c>
      <c r="C1896" s="57" t="n">
        <f aca="false">YEAR(B1896)</f>
        <v>2025</v>
      </c>
      <c r="D1896" s="57" t="n">
        <f aca="false">MONTH(B1896)</f>
        <v>5</v>
      </c>
      <c r="E1896" s="57" t="s">
        <v>594</v>
      </c>
      <c r="F1896" s="57" t="s">
        <v>81</v>
      </c>
      <c r="G1896" s="57" t="s">
        <v>45</v>
      </c>
      <c r="H1896" s="57" t="s">
        <v>47</v>
      </c>
      <c r="I1896" s="59" t="n">
        <v>1</v>
      </c>
      <c r="J1896" s="60" t="n">
        <v>34</v>
      </c>
      <c r="K1896" s="60" t="n">
        <v>12</v>
      </c>
      <c r="L1896" s="61" t="n">
        <f aca="false">I1896*J1896</f>
        <v>34</v>
      </c>
      <c r="M1896" s="61" t="n">
        <f aca="false">L1896-I1896*K1896</f>
        <v>22</v>
      </c>
      <c r="N1896" s="57" t="n">
        <f aca="false">IF(COUNTIFS(E$2:E1896,E1896,C$2:C1896,C1896)=1,1,0)</f>
        <v>0</v>
      </c>
      <c r="O1896" s="57" t="n">
        <f aca="false">IF(COUNTIFS(E$2:E1896,E1896,C$2:C1896,C1896,D$2:D1896,D1896)=1,1,0)</f>
        <v>1</v>
      </c>
      <c r="P1896" s="57" t="n">
        <f aca="false">IF(AND(C1896=Calc!$C$3,OR(Calc!$C$4=0,D1896=Calc!$C$4)),ROW(),0)</f>
        <v>1896</v>
      </c>
    </row>
    <row r="1897" customFormat="false" ht="15" hidden="false" customHeight="false" outlineLevel="0" collapsed="false">
      <c r="A1897" s="57" t="s">
        <v>2443</v>
      </c>
      <c r="B1897" s="58" t="n">
        <v>45809</v>
      </c>
      <c r="C1897" s="57" t="n">
        <f aca="false">YEAR(B1897)</f>
        <v>2025</v>
      </c>
      <c r="D1897" s="57" t="n">
        <f aca="false">MONTH(B1897)</f>
        <v>6</v>
      </c>
      <c r="E1897" s="57" t="s">
        <v>307</v>
      </c>
      <c r="F1897" s="57" t="s">
        <v>69</v>
      </c>
      <c r="G1897" s="57" t="s">
        <v>35</v>
      </c>
      <c r="H1897" s="57" t="s">
        <v>38</v>
      </c>
      <c r="I1897" s="59" t="n">
        <v>1</v>
      </c>
      <c r="J1897" s="60" t="n">
        <v>49</v>
      </c>
      <c r="K1897" s="60" t="n">
        <v>22</v>
      </c>
      <c r="L1897" s="61" t="n">
        <f aca="false">I1897*J1897</f>
        <v>49</v>
      </c>
      <c r="M1897" s="61" t="n">
        <f aca="false">L1897-I1897*K1897</f>
        <v>27</v>
      </c>
      <c r="N1897" s="57" t="n">
        <f aca="false">IF(COUNTIFS(E$2:E1897,E1897,C$2:C1897,C1897)=1,1,0)</f>
        <v>0</v>
      </c>
      <c r="O1897" s="57" t="n">
        <f aca="false">IF(COUNTIFS(E$2:E1897,E1897,C$2:C1897,C1897,D$2:D1897,D1897)=1,1,0)</f>
        <v>1</v>
      </c>
      <c r="P1897" s="57" t="n">
        <f aca="false">IF(AND(C1897=Calc!$C$3,OR(Calc!$C$4=0,D1897=Calc!$C$4)),ROW(),0)</f>
        <v>1897</v>
      </c>
    </row>
    <row r="1898" customFormat="false" ht="15" hidden="false" customHeight="false" outlineLevel="0" collapsed="false">
      <c r="A1898" s="57" t="s">
        <v>2444</v>
      </c>
      <c r="B1898" s="58" t="n">
        <v>45809</v>
      </c>
      <c r="C1898" s="57" t="n">
        <f aca="false">YEAR(B1898)</f>
        <v>2025</v>
      </c>
      <c r="D1898" s="57" t="n">
        <f aca="false">MONTH(B1898)</f>
        <v>6</v>
      </c>
      <c r="E1898" s="57" t="s">
        <v>1092</v>
      </c>
      <c r="F1898" s="57" t="s">
        <v>75</v>
      </c>
      <c r="G1898" s="57" t="s">
        <v>45</v>
      </c>
      <c r="H1898" s="57" t="s">
        <v>46</v>
      </c>
      <c r="I1898" s="59" t="n">
        <v>3</v>
      </c>
      <c r="J1898" s="60" t="n">
        <v>149</v>
      </c>
      <c r="K1898" s="60" t="n">
        <v>71</v>
      </c>
      <c r="L1898" s="61" t="n">
        <f aca="false">I1898*J1898</f>
        <v>447</v>
      </c>
      <c r="M1898" s="61" t="n">
        <f aca="false">L1898-I1898*K1898</f>
        <v>234</v>
      </c>
      <c r="N1898" s="57" t="n">
        <f aca="false">IF(COUNTIFS(E$2:E1898,E1898,C$2:C1898,C1898)=1,1,0)</f>
        <v>0</v>
      </c>
      <c r="O1898" s="57" t="n">
        <f aca="false">IF(COUNTIFS(E$2:E1898,E1898,C$2:C1898,C1898,D$2:D1898,D1898)=1,1,0)</f>
        <v>1</v>
      </c>
      <c r="P1898" s="57" t="n">
        <f aca="false">IF(AND(C1898=Calc!$C$3,OR(Calc!$C$4=0,D1898=Calc!$C$4)),ROW(),0)</f>
        <v>1898</v>
      </c>
    </row>
    <row r="1899" customFormat="false" ht="15" hidden="false" customHeight="false" outlineLevel="0" collapsed="false">
      <c r="A1899" s="57" t="s">
        <v>2445</v>
      </c>
      <c r="B1899" s="58" t="n">
        <v>45809</v>
      </c>
      <c r="C1899" s="57" t="n">
        <f aca="false">YEAR(B1899)</f>
        <v>2025</v>
      </c>
      <c r="D1899" s="57" t="n">
        <f aca="false">MONTH(B1899)</f>
        <v>6</v>
      </c>
      <c r="E1899" s="57" t="s">
        <v>238</v>
      </c>
      <c r="F1899" s="57" t="s">
        <v>78</v>
      </c>
      <c r="G1899" s="57" t="s">
        <v>45</v>
      </c>
      <c r="H1899" s="57" t="s">
        <v>44</v>
      </c>
      <c r="I1899" s="59" t="n">
        <v>1</v>
      </c>
      <c r="J1899" s="60" t="n">
        <v>119</v>
      </c>
      <c r="K1899" s="60" t="n">
        <v>63</v>
      </c>
      <c r="L1899" s="61" t="n">
        <f aca="false">I1899*J1899</f>
        <v>119</v>
      </c>
      <c r="M1899" s="61" t="n">
        <f aca="false">L1899-I1899*K1899</f>
        <v>56</v>
      </c>
      <c r="N1899" s="57" t="n">
        <f aca="false">IF(COUNTIFS(E$2:E1899,E1899,C$2:C1899,C1899)=1,1,0)</f>
        <v>0</v>
      </c>
      <c r="O1899" s="57" t="n">
        <f aca="false">IF(COUNTIFS(E$2:E1899,E1899,C$2:C1899,C1899,D$2:D1899,D1899)=1,1,0)</f>
        <v>1</v>
      </c>
      <c r="P1899" s="57" t="n">
        <f aca="false">IF(AND(C1899=Calc!$C$3,OR(Calc!$C$4=0,D1899=Calc!$C$4)),ROW(),0)</f>
        <v>1899</v>
      </c>
    </row>
    <row r="1900" customFormat="false" ht="15" hidden="false" customHeight="false" outlineLevel="0" collapsed="false">
      <c r="A1900" s="57" t="s">
        <v>2446</v>
      </c>
      <c r="B1900" s="58" t="n">
        <v>45809</v>
      </c>
      <c r="C1900" s="57" t="n">
        <f aca="false">YEAR(B1900)</f>
        <v>2025</v>
      </c>
      <c r="D1900" s="57" t="n">
        <f aca="false">MONTH(B1900)</f>
        <v>6</v>
      </c>
      <c r="E1900" s="57" t="s">
        <v>1022</v>
      </c>
      <c r="F1900" s="57" t="s">
        <v>75</v>
      </c>
      <c r="G1900" s="57" t="s">
        <v>35</v>
      </c>
      <c r="H1900" s="57" t="s">
        <v>37</v>
      </c>
      <c r="I1900" s="59" t="n">
        <v>1</v>
      </c>
      <c r="J1900" s="60" t="n">
        <v>59</v>
      </c>
      <c r="K1900" s="60" t="n">
        <v>27</v>
      </c>
      <c r="L1900" s="61" t="n">
        <f aca="false">I1900*J1900</f>
        <v>59</v>
      </c>
      <c r="M1900" s="61" t="n">
        <f aca="false">L1900-I1900*K1900</f>
        <v>32</v>
      </c>
      <c r="N1900" s="57" t="n">
        <f aca="false">IF(COUNTIFS(E$2:E1900,E1900,C$2:C1900,C1900)=1,1,0)</f>
        <v>0</v>
      </c>
      <c r="O1900" s="57" t="n">
        <f aca="false">IF(COUNTIFS(E$2:E1900,E1900,C$2:C1900,C1900,D$2:D1900,D1900)=1,1,0)</f>
        <v>1</v>
      </c>
      <c r="P1900" s="57" t="n">
        <f aca="false">IF(AND(C1900=Calc!$C$3,OR(Calc!$C$4=0,D1900=Calc!$C$4)),ROW(),0)</f>
        <v>1900</v>
      </c>
    </row>
    <row r="1901" customFormat="false" ht="15" hidden="false" customHeight="false" outlineLevel="0" collapsed="false">
      <c r="A1901" s="57" t="s">
        <v>2447</v>
      </c>
      <c r="B1901" s="58" t="n">
        <v>45810</v>
      </c>
      <c r="C1901" s="57" t="n">
        <f aca="false">YEAR(B1901)</f>
        <v>2025</v>
      </c>
      <c r="D1901" s="57" t="n">
        <f aca="false">MONTH(B1901)</f>
        <v>6</v>
      </c>
      <c r="E1901" s="57" t="s">
        <v>279</v>
      </c>
      <c r="F1901" s="57" t="s">
        <v>75</v>
      </c>
      <c r="G1901" s="57" t="s">
        <v>35</v>
      </c>
      <c r="H1901" s="57" t="s">
        <v>38</v>
      </c>
      <c r="I1901" s="59" t="n">
        <v>1</v>
      </c>
      <c r="J1901" s="60" t="n">
        <v>49</v>
      </c>
      <c r="K1901" s="60" t="n">
        <v>22</v>
      </c>
      <c r="L1901" s="61" t="n">
        <f aca="false">I1901*J1901</f>
        <v>49</v>
      </c>
      <c r="M1901" s="61" t="n">
        <f aca="false">L1901-I1901*K1901</f>
        <v>27</v>
      </c>
      <c r="N1901" s="57" t="n">
        <f aca="false">IF(COUNTIFS(E$2:E1901,E1901,C$2:C1901,C1901)=1,1,0)</f>
        <v>1</v>
      </c>
      <c r="O1901" s="57" t="n">
        <f aca="false">IF(COUNTIFS(E$2:E1901,E1901,C$2:C1901,C1901,D$2:D1901,D1901)=1,1,0)</f>
        <v>1</v>
      </c>
      <c r="P1901" s="57" t="n">
        <f aca="false">IF(AND(C1901=Calc!$C$3,OR(Calc!$C$4=0,D1901=Calc!$C$4)),ROW(),0)</f>
        <v>1901</v>
      </c>
    </row>
    <row r="1902" customFormat="false" ht="15" hidden="false" customHeight="false" outlineLevel="0" collapsed="false">
      <c r="A1902" s="57" t="s">
        <v>2448</v>
      </c>
      <c r="B1902" s="58" t="n">
        <v>45810</v>
      </c>
      <c r="C1902" s="57" t="n">
        <f aca="false">YEAR(B1902)</f>
        <v>2025</v>
      </c>
      <c r="D1902" s="57" t="n">
        <f aca="false">MONTH(B1902)</f>
        <v>6</v>
      </c>
      <c r="E1902" s="57" t="s">
        <v>514</v>
      </c>
      <c r="F1902" s="57" t="s">
        <v>72</v>
      </c>
      <c r="G1902" s="57" t="s">
        <v>40</v>
      </c>
      <c r="H1902" s="57" t="s">
        <v>42</v>
      </c>
      <c r="I1902" s="59" t="n">
        <v>1</v>
      </c>
      <c r="J1902" s="60" t="n">
        <v>79</v>
      </c>
      <c r="K1902" s="60" t="n">
        <v>31</v>
      </c>
      <c r="L1902" s="61" t="n">
        <f aca="false">I1902*J1902</f>
        <v>79</v>
      </c>
      <c r="M1902" s="61" t="n">
        <f aca="false">L1902-I1902*K1902</f>
        <v>48</v>
      </c>
      <c r="N1902" s="57" t="n">
        <f aca="false">IF(COUNTIFS(E$2:E1902,E1902,C$2:C1902,C1902)=1,1,0)</f>
        <v>0</v>
      </c>
      <c r="O1902" s="57" t="n">
        <f aca="false">IF(COUNTIFS(E$2:E1902,E1902,C$2:C1902,C1902,D$2:D1902,D1902)=1,1,0)</f>
        <v>1</v>
      </c>
      <c r="P1902" s="57" t="n">
        <f aca="false">IF(AND(C1902=Calc!$C$3,OR(Calc!$C$4=0,D1902=Calc!$C$4)),ROW(),0)</f>
        <v>1902</v>
      </c>
    </row>
    <row r="1903" customFormat="false" ht="15" hidden="false" customHeight="false" outlineLevel="0" collapsed="false">
      <c r="A1903" s="57" t="s">
        <v>2449</v>
      </c>
      <c r="B1903" s="58" t="n">
        <v>45810</v>
      </c>
      <c r="C1903" s="57" t="n">
        <f aca="false">YEAR(B1903)</f>
        <v>2025</v>
      </c>
      <c r="D1903" s="57" t="n">
        <f aca="false">MONTH(B1903)</f>
        <v>6</v>
      </c>
      <c r="E1903" s="57" t="s">
        <v>338</v>
      </c>
      <c r="F1903" s="57" t="s">
        <v>78</v>
      </c>
      <c r="G1903" s="57" t="s">
        <v>45</v>
      </c>
      <c r="H1903" s="57" t="s">
        <v>47</v>
      </c>
      <c r="I1903" s="59" t="n">
        <v>1</v>
      </c>
      <c r="J1903" s="60" t="n">
        <v>34</v>
      </c>
      <c r="K1903" s="60" t="n">
        <v>12</v>
      </c>
      <c r="L1903" s="61" t="n">
        <f aca="false">I1903*J1903</f>
        <v>34</v>
      </c>
      <c r="M1903" s="61" t="n">
        <f aca="false">L1903-I1903*K1903</f>
        <v>22</v>
      </c>
      <c r="N1903" s="57" t="n">
        <f aca="false">IF(COUNTIFS(E$2:E1903,E1903,C$2:C1903,C1903)=1,1,0)</f>
        <v>1</v>
      </c>
      <c r="O1903" s="57" t="n">
        <f aca="false">IF(COUNTIFS(E$2:E1903,E1903,C$2:C1903,C1903,D$2:D1903,D1903)=1,1,0)</f>
        <v>1</v>
      </c>
      <c r="P1903" s="57" t="n">
        <f aca="false">IF(AND(C1903=Calc!$C$3,OR(Calc!$C$4=0,D1903=Calc!$C$4)),ROW(),0)</f>
        <v>1903</v>
      </c>
    </row>
    <row r="1904" customFormat="false" ht="15" hidden="false" customHeight="false" outlineLevel="0" collapsed="false">
      <c r="A1904" s="57" t="s">
        <v>2450</v>
      </c>
      <c r="B1904" s="58" t="n">
        <v>45810</v>
      </c>
      <c r="C1904" s="57" t="n">
        <f aca="false">YEAR(B1904)</f>
        <v>2025</v>
      </c>
      <c r="D1904" s="57" t="n">
        <f aca="false">MONTH(B1904)</f>
        <v>6</v>
      </c>
      <c r="E1904" s="57" t="s">
        <v>344</v>
      </c>
      <c r="F1904" s="57" t="s">
        <v>81</v>
      </c>
      <c r="G1904" s="57" t="s">
        <v>35</v>
      </c>
      <c r="H1904" s="57" t="s">
        <v>37</v>
      </c>
      <c r="I1904" s="59" t="n">
        <v>1</v>
      </c>
      <c r="J1904" s="60" t="n">
        <v>59</v>
      </c>
      <c r="K1904" s="60" t="n">
        <v>27</v>
      </c>
      <c r="L1904" s="61" t="n">
        <f aca="false">I1904*J1904</f>
        <v>59</v>
      </c>
      <c r="M1904" s="61" t="n">
        <f aca="false">L1904-I1904*K1904</f>
        <v>32</v>
      </c>
      <c r="N1904" s="57" t="n">
        <f aca="false">IF(COUNTIFS(E$2:E1904,E1904,C$2:C1904,C1904)=1,1,0)</f>
        <v>0</v>
      </c>
      <c r="O1904" s="57" t="n">
        <f aca="false">IF(COUNTIFS(E$2:E1904,E1904,C$2:C1904,C1904,D$2:D1904,D1904)=1,1,0)</f>
        <v>1</v>
      </c>
      <c r="P1904" s="57" t="n">
        <f aca="false">IF(AND(C1904=Calc!$C$3,OR(Calc!$C$4=0,D1904=Calc!$C$4)),ROW(),0)</f>
        <v>1904</v>
      </c>
    </row>
    <row r="1905" customFormat="false" ht="15" hidden="false" customHeight="false" outlineLevel="0" collapsed="false">
      <c r="A1905" s="57" t="s">
        <v>2451</v>
      </c>
      <c r="B1905" s="58" t="n">
        <v>45810</v>
      </c>
      <c r="C1905" s="57" t="n">
        <f aca="false">YEAR(B1905)</f>
        <v>2025</v>
      </c>
      <c r="D1905" s="57" t="n">
        <f aca="false">MONTH(B1905)</f>
        <v>6</v>
      </c>
      <c r="E1905" s="57" t="s">
        <v>620</v>
      </c>
      <c r="F1905" s="57" t="s">
        <v>72</v>
      </c>
      <c r="G1905" s="57" t="s">
        <v>35</v>
      </c>
      <c r="H1905" s="57" t="s">
        <v>38</v>
      </c>
      <c r="I1905" s="59" t="n">
        <v>1</v>
      </c>
      <c r="J1905" s="60" t="n">
        <v>49</v>
      </c>
      <c r="K1905" s="60" t="n">
        <v>22</v>
      </c>
      <c r="L1905" s="61" t="n">
        <f aca="false">I1905*J1905</f>
        <v>49</v>
      </c>
      <c r="M1905" s="61" t="n">
        <f aca="false">L1905-I1905*K1905</f>
        <v>27</v>
      </c>
      <c r="N1905" s="57" t="n">
        <f aca="false">IF(COUNTIFS(E$2:E1905,E1905,C$2:C1905,C1905)=1,1,0)</f>
        <v>1</v>
      </c>
      <c r="O1905" s="57" t="n">
        <f aca="false">IF(COUNTIFS(E$2:E1905,E1905,C$2:C1905,C1905,D$2:D1905,D1905)=1,1,0)</f>
        <v>1</v>
      </c>
      <c r="P1905" s="57" t="n">
        <f aca="false">IF(AND(C1905=Calc!$C$3,OR(Calc!$C$4=0,D1905=Calc!$C$4)),ROW(),0)</f>
        <v>1905</v>
      </c>
    </row>
    <row r="1906" customFormat="false" ht="15" hidden="false" customHeight="false" outlineLevel="0" collapsed="false">
      <c r="A1906" s="57" t="s">
        <v>2452</v>
      </c>
      <c r="B1906" s="58" t="n">
        <v>45810</v>
      </c>
      <c r="C1906" s="57" t="n">
        <f aca="false">YEAR(B1906)</f>
        <v>2025</v>
      </c>
      <c r="D1906" s="57" t="n">
        <f aca="false">MONTH(B1906)</f>
        <v>6</v>
      </c>
      <c r="E1906" s="57" t="s">
        <v>466</v>
      </c>
      <c r="F1906" s="57" t="s">
        <v>72</v>
      </c>
      <c r="G1906" s="57" t="s">
        <v>35</v>
      </c>
      <c r="H1906" s="57" t="s">
        <v>38</v>
      </c>
      <c r="I1906" s="59" t="n">
        <v>1</v>
      </c>
      <c r="J1906" s="60" t="n">
        <v>49</v>
      </c>
      <c r="K1906" s="60" t="n">
        <v>22</v>
      </c>
      <c r="L1906" s="61" t="n">
        <f aca="false">I1906*J1906</f>
        <v>49</v>
      </c>
      <c r="M1906" s="61" t="n">
        <f aca="false">L1906-I1906*K1906</f>
        <v>27</v>
      </c>
      <c r="N1906" s="57" t="n">
        <f aca="false">IF(COUNTIFS(E$2:E1906,E1906,C$2:C1906,C1906)=1,1,0)</f>
        <v>0</v>
      </c>
      <c r="O1906" s="57" t="n">
        <f aca="false">IF(COUNTIFS(E$2:E1906,E1906,C$2:C1906,C1906,D$2:D1906,D1906)=1,1,0)</f>
        <v>1</v>
      </c>
      <c r="P1906" s="57" t="n">
        <f aca="false">IF(AND(C1906=Calc!$C$3,OR(Calc!$C$4=0,D1906=Calc!$C$4)),ROW(),0)</f>
        <v>1906</v>
      </c>
    </row>
    <row r="1907" customFormat="false" ht="15" hidden="false" customHeight="false" outlineLevel="0" collapsed="false">
      <c r="A1907" s="57" t="s">
        <v>2453</v>
      </c>
      <c r="B1907" s="58" t="n">
        <v>45811</v>
      </c>
      <c r="C1907" s="57" t="n">
        <f aca="false">YEAR(B1907)</f>
        <v>2025</v>
      </c>
      <c r="D1907" s="57" t="n">
        <f aca="false">MONTH(B1907)</f>
        <v>6</v>
      </c>
      <c r="E1907" s="57" t="s">
        <v>93</v>
      </c>
      <c r="F1907" s="57" t="s">
        <v>81</v>
      </c>
      <c r="G1907" s="57" t="s">
        <v>35</v>
      </c>
      <c r="H1907" s="57" t="s">
        <v>36</v>
      </c>
      <c r="I1907" s="59" t="n">
        <v>1</v>
      </c>
      <c r="J1907" s="60" t="n">
        <v>179</v>
      </c>
      <c r="K1907" s="60" t="n">
        <v>92</v>
      </c>
      <c r="L1907" s="61" t="n">
        <f aca="false">I1907*J1907</f>
        <v>179</v>
      </c>
      <c r="M1907" s="61" t="n">
        <f aca="false">L1907-I1907*K1907</f>
        <v>87</v>
      </c>
      <c r="N1907" s="57" t="n">
        <f aca="false">IF(COUNTIFS(E$2:E1907,E1907,C$2:C1907,C1907)=1,1,0)</f>
        <v>0</v>
      </c>
      <c r="O1907" s="57" t="n">
        <f aca="false">IF(COUNTIFS(E$2:E1907,E1907,C$2:C1907,C1907,D$2:D1907,D1907)=1,1,0)</f>
        <v>1</v>
      </c>
      <c r="P1907" s="57" t="n">
        <f aca="false">IF(AND(C1907=Calc!$C$3,OR(Calc!$C$4=0,D1907=Calc!$C$4)),ROW(),0)</f>
        <v>1907</v>
      </c>
    </row>
    <row r="1908" customFormat="false" ht="15" hidden="false" customHeight="false" outlineLevel="0" collapsed="false">
      <c r="A1908" s="57" t="s">
        <v>2454</v>
      </c>
      <c r="B1908" s="58" t="n">
        <v>45811</v>
      </c>
      <c r="C1908" s="57" t="n">
        <f aca="false">YEAR(B1908)</f>
        <v>2025</v>
      </c>
      <c r="D1908" s="57" t="n">
        <f aca="false">MONTH(B1908)</f>
        <v>6</v>
      </c>
      <c r="E1908" s="57" t="s">
        <v>158</v>
      </c>
      <c r="F1908" s="57" t="s">
        <v>81</v>
      </c>
      <c r="G1908" s="57" t="s">
        <v>40</v>
      </c>
      <c r="H1908" s="57" t="s">
        <v>42</v>
      </c>
      <c r="I1908" s="59" t="n">
        <v>1</v>
      </c>
      <c r="J1908" s="60" t="n">
        <v>79</v>
      </c>
      <c r="K1908" s="60" t="n">
        <v>31</v>
      </c>
      <c r="L1908" s="61" t="n">
        <f aca="false">I1908*J1908</f>
        <v>79</v>
      </c>
      <c r="M1908" s="61" t="n">
        <f aca="false">L1908-I1908*K1908</f>
        <v>48</v>
      </c>
      <c r="N1908" s="57" t="n">
        <f aca="false">IF(COUNTIFS(E$2:E1908,E1908,C$2:C1908,C1908)=1,1,0)</f>
        <v>0</v>
      </c>
      <c r="O1908" s="57" t="n">
        <f aca="false">IF(COUNTIFS(E$2:E1908,E1908,C$2:C1908,C1908,D$2:D1908,D1908)=1,1,0)</f>
        <v>1</v>
      </c>
      <c r="P1908" s="57" t="n">
        <f aca="false">IF(AND(C1908=Calc!$C$3,OR(Calc!$C$4=0,D1908=Calc!$C$4)),ROW(),0)</f>
        <v>1908</v>
      </c>
    </row>
    <row r="1909" customFormat="false" ht="15" hidden="false" customHeight="false" outlineLevel="0" collapsed="false">
      <c r="A1909" s="57" t="s">
        <v>2455</v>
      </c>
      <c r="B1909" s="58" t="n">
        <v>45812</v>
      </c>
      <c r="C1909" s="57" t="n">
        <f aca="false">YEAR(B1909)</f>
        <v>2025</v>
      </c>
      <c r="D1909" s="57" t="n">
        <f aca="false">MONTH(B1909)</f>
        <v>6</v>
      </c>
      <c r="E1909" s="57" t="s">
        <v>440</v>
      </c>
      <c r="F1909" s="57" t="s">
        <v>78</v>
      </c>
      <c r="G1909" s="57" t="s">
        <v>54</v>
      </c>
      <c r="H1909" s="57" t="s">
        <v>56</v>
      </c>
      <c r="I1909" s="59" t="n">
        <v>1</v>
      </c>
      <c r="J1909" s="60" t="n">
        <v>42</v>
      </c>
      <c r="K1909" s="60" t="n">
        <v>17</v>
      </c>
      <c r="L1909" s="61" t="n">
        <f aca="false">I1909*J1909</f>
        <v>42</v>
      </c>
      <c r="M1909" s="61" t="n">
        <f aca="false">L1909-I1909*K1909</f>
        <v>25</v>
      </c>
      <c r="N1909" s="57" t="n">
        <f aca="false">IF(COUNTIFS(E$2:E1909,E1909,C$2:C1909,C1909)=1,1,0)</f>
        <v>1</v>
      </c>
      <c r="O1909" s="57" t="n">
        <f aca="false">IF(COUNTIFS(E$2:E1909,E1909,C$2:C1909,C1909,D$2:D1909,D1909)=1,1,0)</f>
        <v>1</v>
      </c>
      <c r="P1909" s="57" t="n">
        <f aca="false">IF(AND(C1909=Calc!$C$3,OR(Calc!$C$4=0,D1909=Calc!$C$4)),ROW(),0)</f>
        <v>1909</v>
      </c>
    </row>
    <row r="1910" customFormat="false" ht="15" hidden="false" customHeight="false" outlineLevel="0" collapsed="false">
      <c r="A1910" s="57" t="s">
        <v>2456</v>
      </c>
      <c r="B1910" s="58" t="n">
        <v>45812</v>
      </c>
      <c r="C1910" s="57" t="n">
        <f aca="false">YEAR(B1910)</f>
        <v>2025</v>
      </c>
      <c r="D1910" s="57" t="n">
        <f aca="false">MONTH(B1910)</f>
        <v>6</v>
      </c>
      <c r="E1910" s="57" t="s">
        <v>311</v>
      </c>
      <c r="F1910" s="57" t="s">
        <v>69</v>
      </c>
      <c r="G1910" s="57" t="s">
        <v>35</v>
      </c>
      <c r="H1910" s="57" t="s">
        <v>34</v>
      </c>
      <c r="I1910" s="59" t="n">
        <v>2</v>
      </c>
      <c r="J1910" s="60" t="n">
        <v>89</v>
      </c>
      <c r="K1910" s="60" t="n">
        <v>41</v>
      </c>
      <c r="L1910" s="61" t="n">
        <f aca="false">I1910*J1910</f>
        <v>178</v>
      </c>
      <c r="M1910" s="61" t="n">
        <f aca="false">L1910-I1910*K1910</f>
        <v>96</v>
      </c>
      <c r="N1910" s="57" t="n">
        <f aca="false">IF(COUNTIFS(E$2:E1910,E1910,C$2:C1910,C1910)=1,1,0)</f>
        <v>0</v>
      </c>
      <c r="O1910" s="57" t="n">
        <f aca="false">IF(COUNTIFS(E$2:E1910,E1910,C$2:C1910,C1910,D$2:D1910,D1910)=1,1,0)</f>
        <v>1</v>
      </c>
      <c r="P1910" s="57" t="n">
        <f aca="false">IF(AND(C1910=Calc!$C$3,OR(Calc!$C$4=0,D1910=Calc!$C$4)),ROW(),0)</f>
        <v>1910</v>
      </c>
    </row>
    <row r="1911" customFormat="false" ht="15" hidden="false" customHeight="false" outlineLevel="0" collapsed="false">
      <c r="A1911" s="57" t="s">
        <v>2457</v>
      </c>
      <c r="B1911" s="58" t="n">
        <v>45812</v>
      </c>
      <c r="C1911" s="57" t="n">
        <f aca="false">YEAR(B1911)</f>
        <v>2025</v>
      </c>
      <c r="D1911" s="57" t="n">
        <f aca="false">MONTH(B1911)</f>
        <v>6</v>
      </c>
      <c r="E1911" s="57" t="s">
        <v>1292</v>
      </c>
      <c r="F1911" s="57" t="s">
        <v>69</v>
      </c>
      <c r="G1911" s="57" t="s">
        <v>35</v>
      </c>
      <c r="H1911" s="57" t="s">
        <v>38</v>
      </c>
      <c r="I1911" s="59" t="n">
        <v>1</v>
      </c>
      <c r="J1911" s="60" t="n">
        <v>49</v>
      </c>
      <c r="K1911" s="60" t="n">
        <v>22</v>
      </c>
      <c r="L1911" s="61" t="n">
        <f aca="false">I1911*J1911</f>
        <v>49</v>
      </c>
      <c r="M1911" s="61" t="n">
        <f aca="false">L1911-I1911*K1911</f>
        <v>27</v>
      </c>
      <c r="N1911" s="57" t="n">
        <f aca="false">IF(COUNTIFS(E$2:E1911,E1911,C$2:C1911,C1911)=1,1,0)</f>
        <v>1</v>
      </c>
      <c r="O1911" s="57" t="n">
        <f aca="false">IF(COUNTIFS(E$2:E1911,E1911,C$2:C1911,C1911,D$2:D1911,D1911)=1,1,0)</f>
        <v>1</v>
      </c>
      <c r="P1911" s="57" t="n">
        <f aca="false">IF(AND(C1911=Calc!$C$3,OR(Calc!$C$4=0,D1911=Calc!$C$4)),ROW(),0)</f>
        <v>1911</v>
      </c>
    </row>
    <row r="1912" customFormat="false" ht="15" hidden="false" customHeight="false" outlineLevel="0" collapsed="false">
      <c r="A1912" s="57" t="s">
        <v>2458</v>
      </c>
      <c r="B1912" s="58" t="n">
        <v>45812</v>
      </c>
      <c r="C1912" s="57" t="n">
        <f aca="false">YEAR(B1912)</f>
        <v>2025</v>
      </c>
      <c r="D1912" s="57" t="n">
        <f aca="false">MONTH(B1912)</f>
        <v>6</v>
      </c>
      <c r="E1912" s="57" t="s">
        <v>323</v>
      </c>
      <c r="F1912" s="57" t="s">
        <v>75</v>
      </c>
      <c r="G1912" s="57" t="s">
        <v>40</v>
      </c>
      <c r="H1912" s="57" t="s">
        <v>41</v>
      </c>
      <c r="I1912" s="59" t="n">
        <v>2</v>
      </c>
      <c r="J1912" s="60" t="n">
        <v>46</v>
      </c>
      <c r="K1912" s="60" t="n">
        <v>16</v>
      </c>
      <c r="L1912" s="61" t="n">
        <f aca="false">I1912*J1912</f>
        <v>92</v>
      </c>
      <c r="M1912" s="61" t="n">
        <f aca="false">L1912-I1912*K1912</f>
        <v>60</v>
      </c>
      <c r="N1912" s="57" t="n">
        <f aca="false">IF(COUNTIFS(E$2:E1912,E1912,C$2:C1912,C1912)=1,1,0)</f>
        <v>0</v>
      </c>
      <c r="O1912" s="57" t="n">
        <f aca="false">IF(COUNTIFS(E$2:E1912,E1912,C$2:C1912,C1912,D$2:D1912,D1912)=1,1,0)</f>
        <v>1</v>
      </c>
      <c r="P1912" s="57" t="n">
        <f aca="false">IF(AND(C1912=Calc!$C$3,OR(Calc!$C$4=0,D1912=Calc!$C$4)),ROW(),0)</f>
        <v>1912</v>
      </c>
    </row>
    <row r="1913" customFormat="false" ht="15" hidden="false" customHeight="false" outlineLevel="0" collapsed="false">
      <c r="A1913" s="57" t="s">
        <v>2459</v>
      </c>
      <c r="B1913" s="58" t="n">
        <v>45813</v>
      </c>
      <c r="C1913" s="57" t="n">
        <f aca="false">YEAR(B1913)</f>
        <v>2025</v>
      </c>
      <c r="D1913" s="57" t="n">
        <f aca="false">MONTH(B1913)</f>
        <v>6</v>
      </c>
      <c r="E1913" s="57" t="s">
        <v>506</v>
      </c>
      <c r="F1913" s="57" t="s">
        <v>78</v>
      </c>
      <c r="G1913" s="57" t="s">
        <v>40</v>
      </c>
      <c r="H1913" s="57" t="s">
        <v>42</v>
      </c>
      <c r="I1913" s="59" t="n">
        <v>3</v>
      </c>
      <c r="J1913" s="60" t="n">
        <v>79</v>
      </c>
      <c r="K1913" s="60" t="n">
        <v>31</v>
      </c>
      <c r="L1913" s="61" t="n">
        <f aca="false">I1913*J1913</f>
        <v>237</v>
      </c>
      <c r="M1913" s="61" t="n">
        <f aca="false">L1913-I1913*K1913</f>
        <v>144</v>
      </c>
      <c r="N1913" s="57" t="n">
        <f aca="false">IF(COUNTIFS(E$2:E1913,E1913,C$2:C1913,C1913)=1,1,0)</f>
        <v>0</v>
      </c>
      <c r="O1913" s="57" t="n">
        <f aca="false">IF(COUNTIFS(E$2:E1913,E1913,C$2:C1913,C1913,D$2:D1913,D1913)=1,1,0)</f>
        <v>1</v>
      </c>
      <c r="P1913" s="57" t="n">
        <f aca="false">IF(AND(C1913=Calc!$C$3,OR(Calc!$C$4=0,D1913=Calc!$C$4)),ROW(),0)</f>
        <v>1913</v>
      </c>
    </row>
    <row r="1914" customFormat="false" ht="15" hidden="false" customHeight="false" outlineLevel="0" collapsed="false">
      <c r="A1914" s="57" t="s">
        <v>2460</v>
      </c>
      <c r="B1914" s="58" t="n">
        <v>45813</v>
      </c>
      <c r="C1914" s="57" t="n">
        <f aca="false">YEAR(B1914)</f>
        <v>2025</v>
      </c>
      <c r="D1914" s="57" t="n">
        <f aca="false">MONTH(B1914)</f>
        <v>6</v>
      </c>
      <c r="E1914" s="57" t="s">
        <v>302</v>
      </c>
      <c r="F1914" s="57" t="s">
        <v>81</v>
      </c>
      <c r="G1914" s="57" t="s">
        <v>40</v>
      </c>
      <c r="H1914" s="57" t="s">
        <v>43</v>
      </c>
      <c r="I1914" s="59" t="n">
        <v>1</v>
      </c>
      <c r="J1914" s="60" t="n">
        <v>29</v>
      </c>
      <c r="K1914" s="60" t="n">
        <v>9</v>
      </c>
      <c r="L1914" s="61" t="n">
        <f aca="false">I1914*J1914</f>
        <v>29</v>
      </c>
      <c r="M1914" s="61" t="n">
        <f aca="false">L1914-I1914*K1914</f>
        <v>20</v>
      </c>
      <c r="N1914" s="57" t="n">
        <f aca="false">IF(COUNTIFS(E$2:E1914,E1914,C$2:C1914,C1914)=1,1,0)</f>
        <v>0</v>
      </c>
      <c r="O1914" s="57" t="n">
        <f aca="false">IF(COUNTIFS(E$2:E1914,E1914,C$2:C1914,C1914,D$2:D1914,D1914)=1,1,0)</f>
        <v>1</v>
      </c>
      <c r="P1914" s="57" t="n">
        <f aca="false">IF(AND(C1914=Calc!$C$3,OR(Calc!$C$4=0,D1914=Calc!$C$4)),ROW(),0)</f>
        <v>1914</v>
      </c>
    </row>
    <row r="1915" customFormat="false" ht="15" hidden="false" customHeight="false" outlineLevel="0" collapsed="false">
      <c r="A1915" s="57" t="s">
        <v>2461</v>
      </c>
      <c r="B1915" s="58" t="n">
        <v>45813</v>
      </c>
      <c r="C1915" s="57" t="n">
        <f aca="false">YEAR(B1915)</f>
        <v>2025</v>
      </c>
      <c r="D1915" s="57" t="n">
        <f aca="false">MONTH(B1915)</f>
        <v>6</v>
      </c>
      <c r="E1915" s="57" t="s">
        <v>547</v>
      </c>
      <c r="F1915" s="57" t="s">
        <v>72</v>
      </c>
      <c r="G1915" s="57" t="s">
        <v>35</v>
      </c>
      <c r="H1915" s="57" t="s">
        <v>34</v>
      </c>
      <c r="I1915" s="59" t="n">
        <v>1</v>
      </c>
      <c r="J1915" s="60" t="n">
        <v>89</v>
      </c>
      <c r="K1915" s="60" t="n">
        <v>41</v>
      </c>
      <c r="L1915" s="61" t="n">
        <f aca="false">I1915*J1915</f>
        <v>89</v>
      </c>
      <c r="M1915" s="61" t="n">
        <f aca="false">L1915-I1915*K1915</f>
        <v>48</v>
      </c>
      <c r="N1915" s="57" t="n">
        <f aca="false">IF(COUNTIFS(E$2:E1915,E1915,C$2:C1915,C1915)=1,1,0)</f>
        <v>0</v>
      </c>
      <c r="O1915" s="57" t="n">
        <f aca="false">IF(COUNTIFS(E$2:E1915,E1915,C$2:C1915,C1915,D$2:D1915,D1915)=1,1,0)</f>
        <v>1</v>
      </c>
      <c r="P1915" s="57" t="n">
        <f aca="false">IF(AND(C1915=Calc!$C$3,OR(Calc!$C$4=0,D1915=Calc!$C$4)),ROW(),0)</f>
        <v>1915</v>
      </c>
    </row>
    <row r="1916" customFormat="false" ht="15" hidden="false" customHeight="false" outlineLevel="0" collapsed="false">
      <c r="A1916" s="57" t="s">
        <v>2462</v>
      </c>
      <c r="B1916" s="58" t="n">
        <v>45813</v>
      </c>
      <c r="C1916" s="57" t="n">
        <f aca="false">YEAR(B1916)</f>
        <v>2025</v>
      </c>
      <c r="D1916" s="57" t="n">
        <f aca="false">MONTH(B1916)</f>
        <v>6</v>
      </c>
      <c r="E1916" s="57" t="s">
        <v>1553</v>
      </c>
      <c r="F1916" s="57" t="s">
        <v>81</v>
      </c>
      <c r="G1916" s="57" t="s">
        <v>50</v>
      </c>
      <c r="H1916" s="57" t="s">
        <v>49</v>
      </c>
      <c r="I1916" s="59" t="n">
        <v>1</v>
      </c>
      <c r="J1916" s="60" t="n">
        <v>32</v>
      </c>
      <c r="K1916" s="60" t="n">
        <v>7</v>
      </c>
      <c r="L1916" s="61" t="n">
        <f aca="false">I1916*J1916</f>
        <v>32</v>
      </c>
      <c r="M1916" s="61" t="n">
        <f aca="false">L1916-I1916*K1916</f>
        <v>25</v>
      </c>
      <c r="N1916" s="57" t="n">
        <f aca="false">IF(COUNTIFS(E$2:E1916,E1916,C$2:C1916,C1916)=1,1,0)</f>
        <v>0</v>
      </c>
      <c r="O1916" s="57" t="n">
        <f aca="false">IF(COUNTIFS(E$2:E1916,E1916,C$2:C1916,C1916,D$2:D1916,D1916)=1,1,0)</f>
        <v>1</v>
      </c>
      <c r="P1916" s="57" t="n">
        <f aca="false">IF(AND(C1916=Calc!$C$3,OR(Calc!$C$4=0,D1916=Calc!$C$4)),ROW(),0)</f>
        <v>1916</v>
      </c>
    </row>
    <row r="1917" customFormat="false" ht="15" hidden="false" customHeight="false" outlineLevel="0" collapsed="false">
      <c r="A1917" s="57" t="s">
        <v>2463</v>
      </c>
      <c r="B1917" s="58" t="n">
        <v>45813</v>
      </c>
      <c r="C1917" s="57" t="n">
        <f aca="false">YEAR(B1917)</f>
        <v>2025</v>
      </c>
      <c r="D1917" s="57" t="n">
        <f aca="false">MONTH(B1917)</f>
        <v>6</v>
      </c>
      <c r="E1917" s="57" t="s">
        <v>235</v>
      </c>
      <c r="F1917" s="57" t="s">
        <v>69</v>
      </c>
      <c r="G1917" s="57" t="s">
        <v>40</v>
      </c>
      <c r="H1917" s="57" t="s">
        <v>41</v>
      </c>
      <c r="I1917" s="59" t="n">
        <v>1</v>
      </c>
      <c r="J1917" s="60" t="n">
        <v>46</v>
      </c>
      <c r="K1917" s="60" t="n">
        <v>16</v>
      </c>
      <c r="L1917" s="61" t="n">
        <f aca="false">I1917*J1917</f>
        <v>46</v>
      </c>
      <c r="M1917" s="61" t="n">
        <f aca="false">L1917-I1917*K1917</f>
        <v>30</v>
      </c>
      <c r="N1917" s="57" t="n">
        <f aca="false">IF(COUNTIFS(E$2:E1917,E1917,C$2:C1917,C1917)=1,1,0)</f>
        <v>0</v>
      </c>
      <c r="O1917" s="57" t="n">
        <f aca="false">IF(COUNTIFS(E$2:E1917,E1917,C$2:C1917,C1917,D$2:D1917,D1917)=1,1,0)</f>
        <v>1</v>
      </c>
      <c r="P1917" s="57" t="n">
        <f aca="false">IF(AND(C1917=Calc!$C$3,OR(Calc!$C$4=0,D1917=Calc!$C$4)),ROW(),0)</f>
        <v>1917</v>
      </c>
    </row>
    <row r="1918" customFormat="false" ht="15" hidden="false" customHeight="false" outlineLevel="0" collapsed="false">
      <c r="A1918" s="57" t="s">
        <v>2464</v>
      </c>
      <c r="B1918" s="58" t="n">
        <v>45814</v>
      </c>
      <c r="C1918" s="57" t="n">
        <f aca="false">YEAR(B1918)</f>
        <v>2025</v>
      </c>
      <c r="D1918" s="57" t="n">
        <f aca="false">MONTH(B1918)</f>
        <v>6</v>
      </c>
      <c r="E1918" s="57" t="s">
        <v>539</v>
      </c>
      <c r="F1918" s="57" t="s">
        <v>81</v>
      </c>
      <c r="G1918" s="57" t="s">
        <v>40</v>
      </c>
      <c r="H1918" s="57" t="s">
        <v>43</v>
      </c>
      <c r="I1918" s="59" t="n">
        <v>2</v>
      </c>
      <c r="J1918" s="60" t="n">
        <v>29</v>
      </c>
      <c r="K1918" s="60" t="n">
        <v>9</v>
      </c>
      <c r="L1918" s="61" t="n">
        <f aca="false">I1918*J1918</f>
        <v>58</v>
      </c>
      <c r="M1918" s="61" t="n">
        <f aca="false">L1918-I1918*K1918</f>
        <v>40</v>
      </c>
      <c r="N1918" s="57" t="n">
        <f aca="false">IF(COUNTIFS(E$2:E1918,E1918,C$2:C1918,C1918)=1,1,0)</f>
        <v>1</v>
      </c>
      <c r="O1918" s="57" t="n">
        <f aca="false">IF(COUNTIFS(E$2:E1918,E1918,C$2:C1918,C1918,D$2:D1918,D1918)=1,1,0)</f>
        <v>1</v>
      </c>
      <c r="P1918" s="57" t="n">
        <f aca="false">IF(AND(C1918=Calc!$C$3,OR(Calc!$C$4=0,D1918=Calc!$C$4)),ROW(),0)</f>
        <v>1918</v>
      </c>
    </row>
    <row r="1919" customFormat="false" ht="15" hidden="false" customHeight="false" outlineLevel="0" collapsed="false">
      <c r="A1919" s="57" t="s">
        <v>2465</v>
      </c>
      <c r="B1919" s="58" t="n">
        <v>45814</v>
      </c>
      <c r="C1919" s="57" t="n">
        <f aca="false">YEAR(B1919)</f>
        <v>2025</v>
      </c>
      <c r="D1919" s="57" t="n">
        <f aca="false">MONTH(B1919)</f>
        <v>6</v>
      </c>
      <c r="E1919" s="57" t="s">
        <v>2466</v>
      </c>
      <c r="F1919" s="57" t="s">
        <v>69</v>
      </c>
      <c r="G1919" s="57" t="s">
        <v>35</v>
      </c>
      <c r="H1919" s="57" t="s">
        <v>34</v>
      </c>
      <c r="I1919" s="59" t="n">
        <v>1</v>
      </c>
      <c r="J1919" s="60" t="n">
        <v>89</v>
      </c>
      <c r="K1919" s="60" t="n">
        <v>41</v>
      </c>
      <c r="L1919" s="61" t="n">
        <f aca="false">I1919*J1919</f>
        <v>89</v>
      </c>
      <c r="M1919" s="61" t="n">
        <f aca="false">L1919-I1919*K1919</f>
        <v>48</v>
      </c>
      <c r="N1919" s="57" t="n">
        <f aca="false">IF(COUNTIFS(E$2:E1919,E1919,C$2:C1919,C1919)=1,1,0)</f>
        <v>1</v>
      </c>
      <c r="O1919" s="57" t="n">
        <f aca="false">IF(COUNTIFS(E$2:E1919,E1919,C$2:C1919,C1919,D$2:D1919,D1919)=1,1,0)</f>
        <v>1</v>
      </c>
      <c r="P1919" s="57" t="n">
        <f aca="false">IF(AND(C1919=Calc!$C$3,OR(Calc!$C$4=0,D1919=Calc!$C$4)),ROW(),0)</f>
        <v>1919</v>
      </c>
    </row>
    <row r="1920" customFormat="false" ht="15" hidden="false" customHeight="false" outlineLevel="0" collapsed="false">
      <c r="A1920" s="57" t="s">
        <v>2467</v>
      </c>
      <c r="B1920" s="58" t="n">
        <v>45814</v>
      </c>
      <c r="C1920" s="57" t="n">
        <f aca="false">YEAR(B1920)</f>
        <v>2025</v>
      </c>
      <c r="D1920" s="57" t="n">
        <f aca="false">MONTH(B1920)</f>
        <v>6</v>
      </c>
      <c r="E1920" s="57" t="s">
        <v>611</v>
      </c>
      <c r="F1920" s="57" t="s">
        <v>78</v>
      </c>
      <c r="G1920" s="57" t="s">
        <v>35</v>
      </c>
      <c r="H1920" s="57" t="s">
        <v>36</v>
      </c>
      <c r="I1920" s="59" t="n">
        <v>1</v>
      </c>
      <c r="J1920" s="60" t="n">
        <v>179</v>
      </c>
      <c r="K1920" s="60" t="n">
        <v>92</v>
      </c>
      <c r="L1920" s="61" t="n">
        <f aca="false">I1920*J1920</f>
        <v>179</v>
      </c>
      <c r="M1920" s="61" t="n">
        <f aca="false">L1920-I1920*K1920</f>
        <v>87</v>
      </c>
      <c r="N1920" s="57" t="n">
        <f aca="false">IF(COUNTIFS(E$2:E1920,E1920,C$2:C1920,C1920)=1,1,0)</f>
        <v>0</v>
      </c>
      <c r="O1920" s="57" t="n">
        <f aca="false">IF(COUNTIFS(E$2:E1920,E1920,C$2:C1920,C1920,D$2:D1920,D1920)=1,1,0)</f>
        <v>1</v>
      </c>
      <c r="P1920" s="57" t="n">
        <f aca="false">IF(AND(C1920=Calc!$C$3,OR(Calc!$C$4=0,D1920=Calc!$C$4)),ROW(),0)</f>
        <v>1920</v>
      </c>
    </row>
    <row r="1921" customFormat="false" ht="15" hidden="false" customHeight="false" outlineLevel="0" collapsed="false">
      <c r="A1921" s="57" t="s">
        <v>2468</v>
      </c>
      <c r="B1921" s="58" t="n">
        <v>45815</v>
      </c>
      <c r="C1921" s="57" t="n">
        <f aca="false">YEAR(B1921)</f>
        <v>2025</v>
      </c>
      <c r="D1921" s="57" t="n">
        <f aca="false">MONTH(B1921)</f>
        <v>6</v>
      </c>
      <c r="E1921" s="57" t="s">
        <v>761</v>
      </c>
      <c r="F1921" s="57" t="s">
        <v>75</v>
      </c>
      <c r="G1921" s="57" t="s">
        <v>54</v>
      </c>
      <c r="H1921" s="57" t="s">
        <v>53</v>
      </c>
      <c r="I1921" s="59" t="n">
        <v>1</v>
      </c>
      <c r="J1921" s="60" t="n">
        <v>39</v>
      </c>
      <c r="K1921" s="60" t="n">
        <v>13</v>
      </c>
      <c r="L1921" s="61" t="n">
        <f aca="false">I1921*J1921</f>
        <v>39</v>
      </c>
      <c r="M1921" s="61" t="n">
        <f aca="false">L1921-I1921*K1921</f>
        <v>26</v>
      </c>
      <c r="N1921" s="57" t="n">
        <f aca="false">IF(COUNTIFS(E$2:E1921,E1921,C$2:C1921,C1921)=1,1,0)</f>
        <v>0</v>
      </c>
      <c r="O1921" s="57" t="n">
        <f aca="false">IF(COUNTIFS(E$2:E1921,E1921,C$2:C1921,C1921,D$2:D1921,D1921)=1,1,0)</f>
        <v>1</v>
      </c>
      <c r="P1921" s="57" t="n">
        <f aca="false">IF(AND(C1921=Calc!$C$3,OR(Calc!$C$4=0,D1921=Calc!$C$4)),ROW(),0)</f>
        <v>1921</v>
      </c>
    </row>
    <row r="1922" customFormat="false" ht="15" hidden="false" customHeight="false" outlineLevel="0" collapsed="false">
      <c r="A1922" s="57" t="s">
        <v>2469</v>
      </c>
      <c r="B1922" s="58" t="n">
        <v>45815</v>
      </c>
      <c r="C1922" s="57" t="n">
        <f aca="false">YEAR(B1922)</f>
        <v>2025</v>
      </c>
      <c r="D1922" s="57" t="n">
        <f aca="false">MONTH(B1922)</f>
        <v>6</v>
      </c>
      <c r="E1922" s="57" t="s">
        <v>1342</v>
      </c>
      <c r="F1922" s="57" t="s">
        <v>72</v>
      </c>
      <c r="G1922" s="57" t="s">
        <v>35</v>
      </c>
      <c r="H1922" s="57" t="s">
        <v>34</v>
      </c>
      <c r="I1922" s="59" t="n">
        <v>1</v>
      </c>
      <c r="J1922" s="60" t="n">
        <v>89</v>
      </c>
      <c r="K1922" s="60" t="n">
        <v>41</v>
      </c>
      <c r="L1922" s="61" t="n">
        <f aca="false">I1922*J1922</f>
        <v>89</v>
      </c>
      <c r="M1922" s="61" t="n">
        <f aca="false">L1922-I1922*K1922</f>
        <v>48</v>
      </c>
      <c r="N1922" s="57" t="n">
        <f aca="false">IF(COUNTIFS(E$2:E1922,E1922,C$2:C1922,C1922)=1,1,0)</f>
        <v>1</v>
      </c>
      <c r="O1922" s="57" t="n">
        <f aca="false">IF(COUNTIFS(E$2:E1922,E1922,C$2:C1922,C1922,D$2:D1922,D1922)=1,1,0)</f>
        <v>1</v>
      </c>
      <c r="P1922" s="57" t="n">
        <f aca="false">IF(AND(C1922=Calc!$C$3,OR(Calc!$C$4=0,D1922=Calc!$C$4)),ROW(),0)</f>
        <v>1922</v>
      </c>
    </row>
    <row r="1923" customFormat="false" ht="15" hidden="false" customHeight="false" outlineLevel="0" collapsed="false">
      <c r="A1923" s="57" t="s">
        <v>2470</v>
      </c>
      <c r="B1923" s="58" t="n">
        <v>45815</v>
      </c>
      <c r="C1923" s="57" t="n">
        <f aca="false">YEAR(B1923)</f>
        <v>2025</v>
      </c>
      <c r="D1923" s="57" t="n">
        <f aca="false">MONTH(B1923)</f>
        <v>6</v>
      </c>
      <c r="E1923" s="57" t="s">
        <v>77</v>
      </c>
      <c r="F1923" s="57" t="s">
        <v>78</v>
      </c>
      <c r="G1923" s="57" t="s">
        <v>40</v>
      </c>
      <c r="H1923" s="57" t="s">
        <v>43</v>
      </c>
      <c r="I1923" s="59" t="n">
        <v>1</v>
      </c>
      <c r="J1923" s="60" t="n">
        <v>29</v>
      </c>
      <c r="K1923" s="60" t="n">
        <v>9</v>
      </c>
      <c r="L1923" s="61" t="n">
        <f aca="false">I1923*J1923</f>
        <v>29</v>
      </c>
      <c r="M1923" s="61" t="n">
        <f aca="false">L1923-I1923*K1923</f>
        <v>20</v>
      </c>
      <c r="N1923" s="57" t="n">
        <f aca="false">IF(COUNTIFS(E$2:E1923,E1923,C$2:C1923,C1923)=1,1,0)</f>
        <v>0</v>
      </c>
      <c r="O1923" s="57" t="n">
        <f aca="false">IF(COUNTIFS(E$2:E1923,E1923,C$2:C1923,C1923,D$2:D1923,D1923)=1,1,0)</f>
        <v>1</v>
      </c>
      <c r="P1923" s="57" t="n">
        <f aca="false">IF(AND(C1923=Calc!$C$3,OR(Calc!$C$4=0,D1923=Calc!$C$4)),ROW(),0)</f>
        <v>1923</v>
      </c>
    </row>
    <row r="1924" customFormat="false" ht="15" hidden="false" customHeight="false" outlineLevel="0" collapsed="false">
      <c r="A1924" s="57" t="s">
        <v>2471</v>
      </c>
      <c r="B1924" s="58" t="n">
        <v>45815</v>
      </c>
      <c r="C1924" s="57" t="n">
        <f aca="false">YEAR(B1924)</f>
        <v>2025</v>
      </c>
      <c r="D1924" s="57" t="n">
        <f aca="false">MONTH(B1924)</f>
        <v>6</v>
      </c>
      <c r="E1924" s="57" t="s">
        <v>712</v>
      </c>
      <c r="F1924" s="57" t="s">
        <v>78</v>
      </c>
      <c r="G1924" s="57" t="s">
        <v>45</v>
      </c>
      <c r="H1924" s="57" t="s">
        <v>47</v>
      </c>
      <c r="I1924" s="59" t="n">
        <v>1</v>
      </c>
      <c r="J1924" s="60" t="n">
        <v>34</v>
      </c>
      <c r="K1924" s="60" t="n">
        <v>12</v>
      </c>
      <c r="L1924" s="61" t="n">
        <f aca="false">I1924*J1924</f>
        <v>34</v>
      </c>
      <c r="M1924" s="61" t="n">
        <f aca="false">L1924-I1924*K1924</f>
        <v>22</v>
      </c>
      <c r="N1924" s="57" t="n">
        <f aca="false">IF(COUNTIFS(E$2:E1924,E1924,C$2:C1924,C1924)=1,1,0)</f>
        <v>1</v>
      </c>
      <c r="O1924" s="57" t="n">
        <f aca="false">IF(COUNTIFS(E$2:E1924,E1924,C$2:C1924,C1924,D$2:D1924,D1924)=1,1,0)</f>
        <v>1</v>
      </c>
      <c r="P1924" s="57" t="n">
        <f aca="false">IF(AND(C1924=Calc!$C$3,OR(Calc!$C$4=0,D1924=Calc!$C$4)),ROW(),0)</f>
        <v>1924</v>
      </c>
    </row>
    <row r="1925" customFormat="false" ht="15" hidden="false" customHeight="false" outlineLevel="0" collapsed="false">
      <c r="A1925" s="57" t="s">
        <v>2472</v>
      </c>
      <c r="B1925" s="58" t="n">
        <v>45815</v>
      </c>
      <c r="C1925" s="57" t="n">
        <f aca="false">YEAR(B1925)</f>
        <v>2025</v>
      </c>
      <c r="D1925" s="57" t="n">
        <f aca="false">MONTH(B1925)</f>
        <v>6</v>
      </c>
      <c r="E1925" s="57" t="s">
        <v>275</v>
      </c>
      <c r="F1925" s="57" t="s">
        <v>75</v>
      </c>
      <c r="G1925" s="57" t="s">
        <v>40</v>
      </c>
      <c r="H1925" s="57" t="s">
        <v>39</v>
      </c>
      <c r="I1925" s="59" t="n">
        <v>1</v>
      </c>
      <c r="J1925" s="60" t="n">
        <v>54</v>
      </c>
      <c r="K1925" s="60" t="n">
        <v>19</v>
      </c>
      <c r="L1925" s="61" t="n">
        <f aca="false">I1925*J1925</f>
        <v>54</v>
      </c>
      <c r="M1925" s="61" t="n">
        <f aca="false">L1925-I1925*K1925</f>
        <v>35</v>
      </c>
      <c r="N1925" s="57" t="n">
        <f aca="false">IF(COUNTIFS(E$2:E1925,E1925,C$2:C1925,C1925)=1,1,0)</f>
        <v>0</v>
      </c>
      <c r="O1925" s="57" t="n">
        <f aca="false">IF(COUNTIFS(E$2:E1925,E1925,C$2:C1925,C1925,D$2:D1925,D1925)=1,1,0)</f>
        <v>1</v>
      </c>
      <c r="P1925" s="57" t="n">
        <f aca="false">IF(AND(C1925=Calc!$C$3,OR(Calc!$C$4=0,D1925=Calc!$C$4)),ROW(),0)</f>
        <v>1925</v>
      </c>
    </row>
    <row r="1926" customFormat="false" ht="15" hidden="false" customHeight="false" outlineLevel="0" collapsed="false">
      <c r="A1926" s="57" t="s">
        <v>2473</v>
      </c>
      <c r="B1926" s="58" t="n">
        <v>45816</v>
      </c>
      <c r="C1926" s="57" t="n">
        <f aca="false">YEAR(B1926)</f>
        <v>2025</v>
      </c>
      <c r="D1926" s="57" t="n">
        <f aca="false">MONTH(B1926)</f>
        <v>6</v>
      </c>
      <c r="E1926" s="57" t="s">
        <v>1884</v>
      </c>
      <c r="F1926" s="57" t="s">
        <v>78</v>
      </c>
      <c r="G1926" s="57" t="s">
        <v>45</v>
      </c>
      <c r="H1926" s="57" t="s">
        <v>47</v>
      </c>
      <c r="I1926" s="59" t="n">
        <v>2</v>
      </c>
      <c r="J1926" s="60" t="n">
        <v>34</v>
      </c>
      <c r="K1926" s="60" t="n">
        <v>12</v>
      </c>
      <c r="L1926" s="61" t="n">
        <f aca="false">I1926*J1926</f>
        <v>68</v>
      </c>
      <c r="M1926" s="61" t="n">
        <f aca="false">L1926-I1926*K1926</f>
        <v>44</v>
      </c>
      <c r="N1926" s="57" t="n">
        <f aca="false">IF(COUNTIFS(E$2:E1926,E1926,C$2:C1926,C1926)=1,1,0)</f>
        <v>0</v>
      </c>
      <c r="O1926" s="57" t="n">
        <f aca="false">IF(COUNTIFS(E$2:E1926,E1926,C$2:C1926,C1926,D$2:D1926,D1926)=1,1,0)</f>
        <v>1</v>
      </c>
      <c r="P1926" s="57" t="n">
        <f aca="false">IF(AND(C1926=Calc!$C$3,OR(Calc!$C$4=0,D1926=Calc!$C$4)),ROW(),0)</f>
        <v>1926</v>
      </c>
    </row>
    <row r="1927" customFormat="false" ht="15" hidden="false" customHeight="false" outlineLevel="0" collapsed="false">
      <c r="A1927" s="57" t="s">
        <v>2474</v>
      </c>
      <c r="B1927" s="58" t="n">
        <v>45817</v>
      </c>
      <c r="C1927" s="57" t="n">
        <f aca="false">YEAR(B1927)</f>
        <v>2025</v>
      </c>
      <c r="D1927" s="57" t="n">
        <f aca="false">MONTH(B1927)</f>
        <v>6</v>
      </c>
      <c r="E1927" s="57" t="s">
        <v>361</v>
      </c>
      <c r="F1927" s="57" t="s">
        <v>69</v>
      </c>
      <c r="G1927" s="57" t="s">
        <v>35</v>
      </c>
      <c r="H1927" s="57" t="s">
        <v>38</v>
      </c>
      <c r="I1927" s="59" t="n">
        <v>1</v>
      </c>
      <c r="J1927" s="60" t="n">
        <v>49</v>
      </c>
      <c r="K1927" s="60" t="n">
        <v>22</v>
      </c>
      <c r="L1927" s="61" t="n">
        <f aca="false">I1927*J1927</f>
        <v>49</v>
      </c>
      <c r="M1927" s="61" t="n">
        <f aca="false">L1927-I1927*K1927</f>
        <v>27</v>
      </c>
      <c r="N1927" s="57" t="n">
        <f aca="false">IF(COUNTIFS(E$2:E1927,E1927,C$2:C1927,C1927)=1,1,0)</f>
        <v>0</v>
      </c>
      <c r="O1927" s="57" t="n">
        <f aca="false">IF(COUNTIFS(E$2:E1927,E1927,C$2:C1927,C1927,D$2:D1927,D1927)=1,1,0)</f>
        <v>1</v>
      </c>
      <c r="P1927" s="57" t="n">
        <f aca="false">IF(AND(C1927=Calc!$C$3,OR(Calc!$C$4=0,D1927=Calc!$C$4)),ROW(),0)</f>
        <v>1927</v>
      </c>
    </row>
    <row r="1928" customFormat="false" ht="15" hidden="false" customHeight="false" outlineLevel="0" collapsed="false">
      <c r="A1928" s="57" t="s">
        <v>2475</v>
      </c>
      <c r="B1928" s="58" t="n">
        <v>45817</v>
      </c>
      <c r="C1928" s="57" t="n">
        <f aca="false">YEAR(B1928)</f>
        <v>2025</v>
      </c>
      <c r="D1928" s="57" t="n">
        <f aca="false">MONTH(B1928)</f>
        <v>6</v>
      </c>
      <c r="E1928" s="57" t="s">
        <v>580</v>
      </c>
      <c r="F1928" s="57" t="s">
        <v>75</v>
      </c>
      <c r="G1928" s="57" t="s">
        <v>40</v>
      </c>
      <c r="H1928" s="57" t="s">
        <v>42</v>
      </c>
      <c r="I1928" s="59" t="n">
        <v>1</v>
      </c>
      <c r="J1928" s="60" t="n">
        <v>79</v>
      </c>
      <c r="K1928" s="60" t="n">
        <v>31</v>
      </c>
      <c r="L1928" s="61" t="n">
        <f aca="false">I1928*J1928</f>
        <v>79</v>
      </c>
      <c r="M1928" s="61" t="n">
        <f aca="false">L1928-I1928*K1928</f>
        <v>48</v>
      </c>
      <c r="N1928" s="57" t="n">
        <f aca="false">IF(COUNTIFS(E$2:E1928,E1928,C$2:C1928,C1928)=1,1,0)</f>
        <v>0</v>
      </c>
      <c r="O1928" s="57" t="n">
        <f aca="false">IF(COUNTIFS(E$2:E1928,E1928,C$2:C1928,C1928,D$2:D1928,D1928)=1,1,0)</f>
        <v>1</v>
      </c>
      <c r="P1928" s="57" t="n">
        <f aca="false">IF(AND(C1928=Calc!$C$3,OR(Calc!$C$4=0,D1928=Calc!$C$4)),ROW(),0)</f>
        <v>1928</v>
      </c>
    </row>
    <row r="1929" customFormat="false" ht="15" hidden="false" customHeight="false" outlineLevel="0" collapsed="false">
      <c r="A1929" s="57" t="s">
        <v>2476</v>
      </c>
      <c r="B1929" s="58" t="n">
        <v>45818</v>
      </c>
      <c r="C1929" s="57" t="n">
        <f aca="false">YEAR(B1929)</f>
        <v>2025</v>
      </c>
      <c r="D1929" s="57" t="n">
        <f aca="false">MONTH(B1929)</f>
        <v>6</v>
      </c>
      <c r="E1929" s="57" t="s">
        <v>450</v>
      </c>
      <c r="F1929" s="57" t="s">
        <v>81</v>
      </c>
      <c r="G1929" s="57" t="s">
        <v>45</v>
      </c>
      <c r="H1929" s="57" t="s">
        <v>44</v>
      </c>
      <c r="I1929" s="59" t="n">
        <v>1</v>
      </c>
      <c r="J1929" s="60" t="n">
        <v>119</v>
      </c>
      <c r="K1929" s="60" t="n">
        <v>63</v>
      </c>
      <c r="L1929" s="61" t="n">
        <f aca="false">I1929*J1929</f>
        <v>119</v>
      </c>
      <c r="M1929" s="61" t="n">
        <f aca="false">L1929-I1929*K1929</f>
        <v>56</v>
      </c>
      <c r="N1929" s="57" t="n">
        <f aca="false">IF(COUNTIFS(E$2:E1929,E1929,C$2:C1929,C1929)=1,1,0)</f>
        <v>0</v>
      </c>
      <c r="O1929" s="57" t="n">
        <f aca="false">IF(COUNTIFS(E$2:E1929,E1929,C$2:C1929,C1929,D$2:D1929,D1929)=1,1,0)</f>
        <v>1</v>
      </c>
      <c r="P1929" s="57" t="n">
        <f aca="false">IF(AND(C1929=Calc!$C$3,OR(Calc!$C$4=0,D1929=Calc!$C$4)),ROW(),0)</f>
        <v>1929</v>
      </c>
    </row>
    <row r="1930" customFormat="false" ht="15" hidden="false" customHeight="false" outlineLevel="0" collapsed="false">
      <c r="A1930" s="57" t="s">
        <v>2477</v>
      </c>
      <c r="B1930" s="58" t="n">
        <v>45818</v>
      </c>
      <c r="C1930" s="57" t="n">
        <f aca="false">YEAR(B1930)</f>
        <v>2025</v>
      </c>
      <c r="D1930" s="57" t="n">
        <f aca="false">MONTH(B1930)</f>
        <v>6</v>
      </c>
      <c r="E1930" s="57" t="s">
        <v>626</v>
      </c>
      <c r="F1930" s="57" t="s">
        <v>69</v>
      </c>
      <c r="G1930" s="57" t="s">
        <v>45</v>
      </c>
      <c r="H1930" s="57" t="s">
        <v>46</v>
      </c>
      <c r="I1930" s="59" t="n">
        <v>1</v>
      </c>
      <c r="J1930" s="60" t="n">
        <v>149</v>
      </c>
      <c r="K1930" s="60" t="n">
        <v>71</v>
      </c>
      <c r="L1930" s="61" t="n">
        <f aca="false">I1930*J1930</f>
        <v>149</v>
      </c>
      <c r="M1930" s="61" t="n">
        <f aca="false">L1930-I1930*K1930</f>
        <v>78</v>
      </c>
      <c r="N1930" s="57" t="n">
        <f aca="false">IF(COUNTIFS(E$2:E1930,E1930,C$2:C1930,C1930)=1,1,0)</f>
        <v>1</v>
      </c>
      <c r="O1930" s="57" t="n">
        <f aca="false">IF(COUNTIFS(E$2:E1930,E1930,C$2:C1930,C1930,D$2:D1930,D1930)=1,1,0)</f>
        <v>1</v>
      </c>
      <c r="P1930" s="57" t="n">
        <f aca="false">IF(AND(C1930=Calc!$C$3,OR(Calc!$C$4=0,D1930=Calc!$C$4)),ROW(),0)</f>
        <v>1930</v>
      </c>
    </row>
    <row r="1931" customFormat="false" ht="15" hidden="false" customHeight="false" outlineLevel="0" collapsed="false">
      <c r="A1931" s="57" t="s">
        <v>2478</v>
      </c>
      <c r="B1931" s="58" t="n">
        <v>45818</v>
      </c>
      <c r="C1931" s="57" t="n">
        <f aca="false">YEAR(B1931)</f>
        <v>2025</v>
      </c>
      <c r="D1931" s="57" t="n">
        <f aca="false">MONTH(B1931)</f>
        <v>6</v>
      </c>
      <c r="E1931" s="57" t="s">
        <v>219</v>
      </c>
      <c r="F1931" s="57" t="s">
        <v>78</v>
      </c>
      <c r="G1931" s="57" t="s">
        <v>50</v>
      </c>
      <c r="H1931" s="57" t="s">
        <v>49</v>
      </c>
      <c r="I1931" s="59" t="n">
        <v>1</v>
      </c>
      <c r="J1931" s="60" t="n">
        <v>32</v>
      </c>
      <c r="K1931" s="60" t="n">
        <v>7</v>
      </c>
      <c r="L1931" s="61" t="n">
        <f aca="false">I1931*J1931</f>
        <v>32</v>
      </c>
      <c r="M1931" s="61" t="n">
        <f aca="false">L1931-I1931*K1931</f>
        <v>25</v>
      </c>
      <c r="N1931" s="57" t="n">
        <f aca="false">IF(COUNTIFS(E$2:E1931,E1931,C$2:C1931,C1931)=1,1,0)</f>
        <v>0</v>
      </c>
      <c r="O1931" s="57" t="n">
        <f aca="false">IF(COUNTIFS(E$2:E1931,E1931,C$2:C1931,C1931,D$2:D1931,D1931)=1,1,0)</f>
        <v>1</v>
      </c>
      <c r="P1931" s="57" t="n">
        <f aca="false">IF(AND(C1931=Calc!$C$3,OR(Calc!$C$4=0,D1931=Calc!$C$4)),ROW(),0)</f>
        <v>1931</v>
      </c>
    </row>
    <row r="1932" customFormat="false" ht="15" hidden="false" customHeight="false" outlineLevel="0" collapsed="false">
      <c r="A1932" s="57" t="s">
        <v>2479</v>
      </c>
      <c r="B1932" s="58" t="n">
        <v>45819</v>
      </c>
      <c r="C1932" s="57" t="n">
        <f aca="false">YEAR(B1932)</f>
        <v>2025</v>
      </c>
      <c r="D1932" s="57" t="n">
        <f aca="false">MONTH(B1932)</f>
        <v>6</v>
      </c>
      <c r="E1932" s="57" t="s">
        <v>662</v>
      </c>
      <c r="F1932" s="57" t="s">
        <v>69</v>
      </c>
      <c r="G1932" s="57" t="s">
        <v>35</v>
      </c>
      <c r="H1932" s="57" t="s">
        <v>34</v>
      </c>
      <c r="I1932" s="59" t="n">
        <v>1</v>
      </c>
      <c r="J1932" s="60" t="n">
        <v>89</v>
      </c>
      <c r="K1932" s="60" t="n">
        <v>41</v>
      </c>
      <c r="L1932" s="61" t="n">
        <f aca="false">I1932*J1932</f>
        <v>89</v>
      </c>
      <c r="M1932" s="61" t="n">
        <f aca="false">L1932-I1932*K1932</f>
        <v>48</v>
      </c>
      <c r="N1932" s="57" t="n">
        <f aca="false">IF(COUNTIFS(E$2:E1932,E1932,C$2:C1932,C1932)=1,1,0)</f>
        <v>1</v>
      </c>
      <c r="O1932" s="57" t="n">
        <f aca="false">IF(COUNTIFS(E$2:E1932,E1932,C$2:C1932,C1932,D$2:D1932,D1932)=1,1,0)</f>
        <v>1</v>
      </c>
      <c r="P1932" s="57" t="n">
        <f aca="false">IF(AND(C1932=Calc!$C$3,OR(Calc!$C$4=0,D1932=Calc!$C$4)),ROW(),0)</f>
        <v>1932</v>
      </c>
    </row>
    <row r="1933" customFormat="false" ht="15" hidden="false" customHeight="false" outlineLevel="0" collapsed="false">
      <c r="A1933" s="57" t="s">
        <v>2480</v>
      </c>
      <c r="B1933" s="58" t="n">
        <v>45819</v>
      </c>
      <c r="C1933" s="57" t="n">
        <f aca="false">YEAR(B1933)</f>
        <v>2025</v>
      </c>
      <c r="D1933" s="57" t="n">
        <f aca="false">MONTH(B1933)</f>
        <v>6</v>
      </c>
      <c r="E1933" s="57" t="s">
        <v>443</v>
      </c>
      <c r="F1933" s="57" t="s">
        <v>75</v>
      </c>
      <c r="G1933" s="57" t="s">
        <v>35</v>
      </c>
      <c r="H1933" s="57" t="s">
        <v>34</v>
      </c>
      <c r="I1933" s="59" t="n">
        <v>1</v>
      </c>
      <c r="J1933" s="60" t="n">
        <v>89</v>
      </c>
      <c r="K1933" s="60" t="n">
        <v>41</v>
      </c>
      <c r="L1933" s="61" t="n">
        <f aca="false">I1933*J1933</f>
        <v>89</v>
      </c>
      <c r="M1933" s="61" t="n">
        <f aca="false">L1933-I1933*K1933</f>
        <v>48</v>
      </c>
      <c r="N1933" s="57" t="n">
        <f aca="false">IF(COUNTIFS(E$2:E1933,E1933,C$2:C1933,C1933)=1,1,0)</f>
        <v>1</v>
      </c>
      <c r="O1933" s="57" t="n">
        <f aca="false">IF(COUNTIFS(E$2:E1933,E1933,C$2:C1933,C1933,D$2:D1933,D1933)=1,1,0)</f>
        <v>1</v>
      </c>
      <c r="P1933" s="57" t="n">
        <f aca="false">IF(AND(C1933=Calc!$C$3,OR(Calc!$C$4=0,D1933=Calc!$C$4)),ROW(),0)</f>
        <v>1933</v>
      </c>
    </row>
    <row r="1934" customFormat="false" ht="15" hidden="false" customHeight="false" outlineLevel="0" collapsed="false">
      <c r="A1934" s="57" t="s">
        <v>2481</v>
      </c>
      <c r="B1934" s="58" t="n">
        <v>45820</v>
      </c>
      <c r="C1934" s="57" t="n">
        <f aca="false">YEAR(B1934)</f>
        <v>2025</v>
      </c>
      <c r="D1934" s="57" t="n">
        <f aca="false">MONTH(B1934)</f>
        <v>6</v>
      </c>
      <c r="E1934" s="57" t="s">
        <v>1395</v>
      </c>
      <c r="F1934" s="57" t="s">
        <v>75</v>
      </c>
      <c r="G1934" s="57" t="s">
        <v>35</v>
      </c>
      <c r="H1934" s="57" t="s">
        <v>37</v>
      </c>
      <c r="I1934" s="59" t="n">
        <v>2</v>
      </c>
      <c r="J1934" s="60" t="n">
        <v>59</v>
      </c>
      <c r="K1934" s="60" t="n">
        <v>27</v>
      </c>
      <c r="L1934" s="61" t="n">
        <f aca="false">I1934*J1934</f>
        <v>118</v>
      </c>
      <c r="M1934" s="61" t="n">
        <f aca="false">L1934-I1934*K1934</f>
        <v>64</v>
      </c>
      <c r="N1934" s="57" t="n">
        <f aca="false">IF(COUNTIFS(E$2:E1934,E1934,C$2:C1934,C1934)=1,1,0)</f>
        <v>1</v>
      </c>
      <c r="O1934" s="57" t="n">
        <f aca="false">IF(COUNTIFS(E$2:E1934,E1934,C$2:C1934,C1934,D$2:D1934,D1934)=1,1,0)</f>
        <v>1</v>
      </c>
      <c r="P1934" s="57" t="n">
        <f aca="false">IF(AND(C1934=Calc!$C$3,OR(Calc!$C$4=0,D1934=Calc!$C$4)),ROW(),0)</f>
        <v>1934</v>
      </c>
    </row>
    <row r="1935" customFormat="false" ht="15" hidden="false" customHeight="false" outlineLevel="0" collapsed="false">
      <c r="A1935" s="57" t="s">
        <v>2482</v>
      </c>
      <c r="B1935" s="58" t="n">
        <v>45820</v>
      </c>
      <c r="C1935" s="57" t="n">
        <f aca="false">YEAR(B1935)</f>
        <v>2025</v>
      </c>
      <c r="D1935" s="57" t="n">
        <f aca="false">MONTH(B1935)</f>
        <v>6</v>
      </c>
      <c r="E1935" s="57" t="s">
        <v>292</v>
      </c>
      <c r="F1935" s="57" t="s">
        <v>72</v>
      </c>
      <c r="G1935" s="57" t="s">
        <v>45</v>
      </c>
      <c r="H1935" s="57" t="s">
        <v>46</v>
      </c>
      <c r="I1935" s="59" t="n">
        <v>1</v>
      </c>
      <c r="J1935" s="60" t="n">
        <v>149</v>
      </c>
      <c r="K1935" s="60" t="n">
        <v>71</v>
      </c>
      <c r="L1935" s="61" t="n">
        <f aca="false">I1935*J1935</f>
        <v>149</v>
      </c>
      <c r="M1935" s="61" t="n">
        <f aca="false">L1935-I1935*K1935</f>
        <v>78</v>
      </c>
      <c r="N1935" s="57" t="n">
        <f aca="false">IF(COUNTIFS(E$2:E1935,E1935,C$2:C1935,C1935)=1,1,0)</f>
        <v>0</v>
      </c>
      <c r="O1935" s="57" t="n">
        <f aca="false">IF(COUNTIFS(E$2:E1935,E1935,C$2:C1935,C1935,D$2:D1935,D1935)=1,1,0)</f>
        <v>1</v>
      </c>
      <c r="P1935" s="57" t="n">
        <f aca="false">IF(AND(C1935=Calc!$C$3,OR(Calc!$C$4=0,D1935=Calc!$C$4)),ROW(),0)</f>
        <v>1935</v>
      </c>
    </row>
    <row r="1936" customFormat="false" ht="15" hidden="false" customHeight="false" outlineLevel="0" collapsed="false">
      <c r="A1936" s="57" t="s">
        <v>2483</v>
      </c>
      <c r="B1936" s="58" t="n">
        <v>45821</v>
      </c>
      <c r="C1936" s="57" t="n">
        <f aca="false">YEAR(B1936)</f>
        <v>2025</v>
      </c>
      <c r="D1936" s="57" t="n">
        <f aca="false">MONTH(B1936)</f>
        <v>6</v>
      </c>
      <c r="E1936" s="57" t="s">
        <v>1014</v>
      </c>
      <c r="F1936" s="57" t="s">
        <v>69</v>
      </c>
      <c r="G1936" s="57" t="s">
        <v>35</v>
      </c>
      <c r="H1936" s="57" t="s">
        <v>37</v>
      </c>
      <c r="I1936" s="59" t="n">
        <v>1</v>
      </c>
      <c r="J1936" s="60" t="n">
        <v>59</v>
      </c>
      <c r="K1936" s="60" t="n">
        <v>27</v>
      </c>
      <c r="L1936" s="61" t="n">
        <f aca="false">I1936*J1936</f>
        <v>59</v>
      </c>
      <c r="M1936" s="61" t="n">
        <f aca="false">L1936-I1936*K1936</f>
        <v>32</v>
      </c>
      <c r="N1936" s="57" t="n">
        <f aca="false">IF(COUNTIFS(E$2:E1936,E1936,C$2:C1936,C1936)=1,1,0)</f>
        <v>0</v>
      </c>
      <c r="O1936" s="57" t="n">
        <f aca="false">IF(COUNTIFS(E$2:E1936,E1936,C$2:C1936,C1936,D$2:D1936,D1936)=1,1,0)</f>
        <v>1</v>
      </c>
      <c r="P1936" s="57" t="n">
        <f aca="false">IF(AND(C1936=Calc!$C$3,OR(Calc!$C$4=0,D1936=Calc!$C$4)),ROW(),0)</f>
        <v>1936</v>
      </c>
    </row>
    <row r="1937" customFormat="false" ht="15" hidden="false" customHeight="false" outlineLevel="0" collapsed="false">
      <c r="A1937" s="57" t="s">
        <v>2484</v>
      </c>
      <c r="B1937" s="58" t="n">
        <v>45821</v>
      </c>
      <c r="C1937" s="57" t="n">
        <f aca="false">YEAR(B1937)</f>
        <v>2025</v>
      </c>
      <c r="D1937" s="57" t="n">
        <f aca="false">MONTH(B1937)</f>
        <v>6</v>
      </c>
      <c r="E1937" s="57" t="s">
        <v>275</v>
      </c>
      <c r="F1937" s="57" t="s">
        <v>75</v>
      </c>
      <c r="G1937" s="57" t="s">
        <v>40</v>
      </c>
      <c r="H1937" s="57" t="s">
        <v>39</v>
      </c>
      <c r="I1937" s="59" t="n">
        <v>1</v>
      </c>
      <c r="J1937" s="60" t="n">
        <v>54</v>
      </c>
      <c r="K1937" s="60" t="n">
        <v>19</v>
      </c>
      <c r="L1937" s="61" t="n">
        <f aca="false">I1937*J1937</f>
        <v>54</v>
      </c>
      <c r="M1937" s="61" t="n">
        <f aca="false">L1937-I1937*K1937</f>
        <v>35</v>
      </c>
      <c r="N1937" s="57" t="n">
        <f aca="false">IF(COUNTIFS(E$2:E1937,E1937,C$2:C1937,C1937)=1,1,0)</f>
        <v>0</v>
      </c>
      <c r="O1937" s="57" t="n">
        <f aca="false">IF(COUNTIFS(E$2:E1937,E1937,C$2:C1937,C1937,D$2:D1937,D1937)=1,1,0)</f>
        <v>0</v>
      </c>
      <c r="P1937" s="57" t="n">
        <f aca="false">IF(AND(C1937=Calc!$C$3,OR(Calc!$C$4=0,D1937=Calc!$C$4)),ROW(),0)</f>
        <v>1937</v>
      </c>
    </row>
    <row r="1938" customFormat="false" ht="15" hidden="false" customHeight="false" outlineLevel="0" collapsed="false">
      <c r="A1938" s="57" t="s">
        <v>2485</v>
      </c>
      <c r="B1938" s="58" t="n">
        <v>45821</v>
      </c>
      <c r="C1938" s="57" t="n">
        <f aca="false">YEAR(B1938)</f>
        <v>2025</v>
      </c>
      <c r="D1938" s="57" t="n">
        <f aca="false">MONTH(B1938)</f>
        <v>6</v>
      </c>
      <c r="E1938" s="57" t="s">
        <v>164</v>
      </c>
      <c r="F1938" s="57" t="s">
        <v>69</v>
      </c>
      <c r="G1938" s="57" t="s">
        <v>45</v>
      </c>
      <c r="H1938" s="57" t="s">
        <v>48</v>
      </c>
      <c r="I1938" s="59" t="n">
        <v>1</v>
      </c>
      <c r="J1938" s="60" t="n">
        <v>99</v>
      </c>
      <c r="K1938" s="60" t="n">
        <v>38</v>
      </c>
      <c r="L1938" s="61" t="n">
        <f aca="false">I1938*J1938</f>
        <v>99</v>
      </c>
      <c r="M1938" s="61" t="n">
        <f aca="false">L1938-I1938*K1938</f>
        <v>61</v>
      </c>
      <c r="N1938" s="57" t="n">
        <f aca="false">IF(COUNTIFS(E$2:E1938,E1938,C$2:C1938,C1938)=1,1,0)</f>
        <v>0</v>
      </c>
      <c r="O1938" s="57" t="n">
        <f aca="false">IF(COUNTIFS(E$2:E1938,E1938,C$2:C1938,C1938,D$2:D1938,D1938)=1,1,0)</f>
        <v>1</v>
      </c>
      <c r="P1938" s="57" t="n">
        <f aca="false">IF(AND(C1938=Calc!$C$3,OR(Calc!$C$4=0,D1938=Calc!$C$4)),ROW(),0)</f>
        <v>1938</v>
      </c>
    </row>
    <row r="1939" customFormat="false" ht="15" hidden="false" customHeight="false" outlineLevel="0" collapsed="false">
      <c r="A1939" s="57" t="s">
        <v>2486</v>
      </c>
      <c r="B1939" s="58" t="n">
        <v>45821</v>
      </c>
      <c r="C1939" s="57" t="n">
        <f aca="false">YEAR(B1939)</f>
        <v>2025</v>
      </c>
      <c r="D1939" s="57" t="n">
        <f aca="false">MONTH(B1939)</f>
        <v>6</v>
      </c>
      <c r="E1939" s="57" t="s">
        <v>1728</v>
      </c>
      <c r="F1939" s="57" t="s">
        <v>75</v>
      </c>
      <c r="G1939" s="57" t="s">
        <v>35</v>
      </c>
      <c r="H1939" s="57" t="s">
        <v>34</v>
      </c>
      <c r="I1939" s="59" t="n">
        <v>1</v>
      </c>
      <c r="J1939" s="60" t="n">
        <v>89</v>
      </c>
      <c r="K1939" s="60" t="n">
        <v>41</v>
      </c>
      <c r="L1939" s="61" t="n">
        <f aca="false">I1939*J1939</f>
        <v>89</v>
      </c>
      <c r="M1939" s="61" t="n">
        <f aca="false">L1939-I1939*K1939</f>
        <v>48</v>
      </c>
      <c r="N1939" s="57" t="n">
        <f aca="false">IF(COUNTIFS(E$2:E1939,E1939,C$2:C1939,C1939)=1,1,0)</f>
        <v>0</v>
      </c>
      <c r="O1939" s="57" t="n">
        <f aca="false">IF(COUNTIFS(E$2:E1939,E1939,C$2:C1939,C1939,D$2:D1939,D1939)=1,1,0)</f>
        <v>1</v>
      </c>
      <c r="P1939" s="57" t="n">
        <f aca="false">IF(AND(C1939=Calc!$C$3,OR(Calc!$C$4=0,D1939=Calc!$C$4)),ROW(),0)</f>
        <v>1939</v>
      </c>
    </row>
    <row r="1940" customFormat="false" ht="15" hidden="false" customHeight="false" outlineLevel="0" collapsed="false">
      <c r="A1940" s="57" t="s">
        <v>2487</v>
      </c>
      <c r="B1940" s="58" t="n">
        <v>45821</v>
      </c>
      <c r="C1940" s="57" t="n">
        <f aca="false">YEAR(B1940)</f>
        <v>2025</v>
      </c>
      <c r="D1940" s="57" t="n">
        <f aca="false">MONTH(B1940)</f>
        <v>6</v>
      </c>
      <c r="E1940" s="57" t="s">
        <v>1053</v>
      </c>
      <c r="F1940" s="57" t="s">
        <v>72</v>
      </c>
      <c r="G1940" s="57" t="s">
        <v>35</v>
      </c>
      <c r="H1940" s="57" t="s">
        <v>38</v>
      </c>
      <c r="I1940" s="59" t="n">
        <v>1</v>
      </c>
      <c r="J1940" s="60" t="n">
        <v>49</v>
      </c>
      <c r="K1940" s="60" t="n">
        <v>22</v>
      </c>
      <c r="L1940" s="61" t="n">
        <f aca="false">I1940*J1940</f>
        <v>49</v>
      </c>
      <c r="M1940" s="61" t="n">
        <f aca="false">L1940-I1940*K1940</f>
        <v>27</v>
      </c>
      <c r="N1940" s="57" t="n">
        <f aca="false">IF(COUNTIFS(E$2:E1940,E1940,C$2:C1940,C1940)=1,1,0)</f>
        <v>0</v>
      </c>
      <c r="O1940" s="57" t="n">
        <f aca="false">IF(COUNTIFS(E$2:E1940,E1940,C$2:C1940,C1940,D$2:D1940,D1940)=1,1,0)</f>
        <v>1</v>
      </c>
      <c r="P1940" s="57" t="n">
        <f aca="false">IF(AND(C1940=Calc!$C$3,OR(Calc!$C$4=0,D1940=Calc!$C$4)),ROW(),0)</f>
        <v>1940</v>
      </c>
    </row>
    <row r="1941" customFormat="false" ht="15" hidden="false" customHeight="false" outlineLevel="0" collapsed="false">
      <c r="A1941" s="57" t="s">
        <v>2488</v>
      </c>
      <c r="B1941" s="58" t="n">
        <v>45822</v>
      </c>
      <c r="C1941" s="57" t="n">
        <f aca="false">YEAR(B1941)</f>
        <v>2025</v>
      </c>
      <c r="D1941" s="57" t="n">
        <f aca="false">MONTH(B1941)</f>
        <v>6</v>
      </c>
      <c r="E1941" s="57" t="s">
        <v>380</v>
      </c>
      <c r="F1941" s="57" t="s">
        <v>69</v>
      </c>
      <c r="G1941" s="57" t="s">
        <v>45</v>
      </c>
      <c r="H1941" s="57" t="s">
        <v>47</v>
      </c>
      <c r="I1941" s="59" t="n">
        <v>1</v>
      </c>
      <c r="J1941" s="60" t="n">
        <v>34</v>
      </c>
      <c r="K1941" s="60" t="n">
        <v>12</v>
      </c>
      <c r="L1941" s="61" t="n">
        <f aca="false">I1941*J1941</f>
        <v>34</v>
      </c>
      <c r="M1941" s="61" t="n">
        <f aca="false">L1941-I1941*K1941</f>
        <v>22</v>
      </c>
      <c r="N1941" s="57" t="n">
        <f aca="false">IF(COUNTIFS(E$2:E1941,E1941,C$2:C1941,C1941)=1,1,0)</f>
        <v>0</v>
      </c>
      <c r="O1941" s="57" t="n">
        <f aca="false">IF(COUNTIFS(E$2:E1941,E1941,C$2:C1941,C1941,D$2:D1941,D1941)=1,1,0)</f>
        <v>1</v>
      </c>
      <c r="P1941" s="57" t="n">
        <f aca="false">IF(AND(C1941=Calc!$C$3,OR(Calc!$C$4=0,D1941=Calc!$C$4)),ROW(),0)</f>
        <v>1941</v>
      </c>
    </row>
    <row r="1942" customFormat="false" ht="15" hidden="false" customHeight="false" outlineLevel="0" collapsed="false">
      <c r="A1942" s="57" t="s">
        <v>2489</v>
      </c>
      <c r="B1942" s="58" t="n">
        <v>45822</v>
      </c>
      <c r="C1942" s="57" t="n">
        <f aca="false">YEAR(B1942)</f>
        <v>2025</v>
      </c>
      <c r="D1942" s="57" t="n">
        <f aca="false">MONTH(B1942)</f>
        <v>6</v>
      </c>
      <c r="E1942" s="57" t="s">
        <v>1244</v>
      </c>
      <c r="F1942" s="57" t="s">
        <v>81</v>
      </c>
      <c r="G1942" s="57" t="s">
        <v>40</v>
      </c>
      <c r="H1942" s="57" t="s">
        <v>43</v>
      </c>
      <c r="I1942" s="59" t="n">
        <v>1</v>
      </c>
      <c r="J1942" s="60" t="n">
        <v>29</v>
      </c>
      <c r="K1942" s="60" t="n">
        <v>9</v>
      </c>
      <c r="L1942" s="61" t="n">
        <f aca="false">I1942*J1942</f>
        <v>29</v>
      </c>
      <c r="M1942" s="61" t="n">
        <f aca="false">L1942-I1942*K1942</f>
        <v>20</v>
      </c>
      <c r="N1942" s="57" t="n">
        <f aca="false">IF(COUNTIFS(E$2:E1942,E1942,C$2:C1942,C1942)=1,1,0)</f>
        <v>1</v>
      </c>
      <c r="O1942" s="57" t="n">
        <f aca="false">IF(COUNTIFS(E$2:E1942,E1942,C$2:C1942,C1942,D$2:D1942,D1942)=1,1,0)</f>
        <v>1</v>
      </c>
      <c r="P1942" s="57" t="n">
        <f aca="false">IF(AND(C1942=Calc!$C$3,OR(Calc!$C$4=0,D1942=Calc!$C$4)),ROW(),0)</f>
        <v>1942</v>
      </c>
    </row>
    <row r="1943" customFormat="false" ht="15" hidden="false" customHeight="false" outlineLevel="0" collapsed="false">
      <c r="A1943" s="57" t="s">
        <v>2490</v>
      </c>
      <c r="B1943" s="58" t="n">
        <v>45822</v>
      </c>
      <c r="C1943" s="57" t="n">
        <f aca="false">YEAR(B1943)</f>
        <v>2025</v>
      </c>
      <c r="D1943" s="57" t="n">
        <f aca="false">MONTH(B1943)</f>
        <v>6</v>
      </c>
      <c r="E1943" s="57" t="s">
        <v>1145</v>
      </c>
      <c r="F1943" s="57" t="s">
        <v>78</v>
      </c>
      <c r="G1943" s="57" t="s">
        <v>35</v>
      </c>
      <c r="H1943" s="57" t="s">
        <v>38</v>
      </c>
      <c r="I1943" s="59" t="n">
        <v>1</v>
      </c>
      <c r="J1943" s="60" t="n">
        <v>49</v>
      </c>
      <c r="K1943" s="60" t="n">
        <v>22</v>
      </c>
      <c r="L1943" s="61" t="n">
        <f aca="false">I1943*J1943</f>
        <v>49</v>
      </c>
      <c r="M1943" s="61" t="n">
        <f aca="false">L1943-I1943*K1943</f>
        <v>27</v>
      </c>
      <c r="N1943" s="57" t="n">
        <f aca="false">IF(COUNTIFS(E$2:E1943,E1943,C$2:C1943,C1943)=1,1,0)</f>
        <v>0</v>
      </c>
      <c r="O1943" s="57" t="n">
        <f aca="false">IF(COUNTIFS(E$2:E1943,E1943,C$2:C1943,C1943,D$2:D1943,D1943)=1,1,0)</f>
        <v>1</v>
      </c>
      <c r="P1943" s="57" t="n">
        <f aca="false">IF(AND(C1943=Calc!$C$3,OR(Calc!$C$4=0,D1943=Calc!$C$4)),ROW(),0)</f>
        <v>1943</v>
      </c>
    </row>
    <row r="1944" customFormat="false" ht="15" hidden="false" customHeight="false" outlineLevel="0" collapsed="false">
      <c r="A1944" s="57" t="s">
        <v>2491</v>
      </c>
      <c r="B1944" s="58" t="n">
        <v>45823</v>
      </c>
      <c r="C1944" s="57" t="n">
        <f aca="false">YEAR(B1944)</f>
        <v>2025</v>
      </c>
      <c r="D1944" s="57" t="n">
        <f aca="false">MONTH(B1944)</f>
        <v>6</v>
      </c>
      <c r="E1944" s="57" t="s">
        <v>285</v>
      </c>
      <c r="F1944" s="57" t="s">
        <v>75</v>
      </c>
      <c r="G1944" s="57" t="s">
        <v>40</v>
      </c>
      <c r="H1944" s="57" t="s">
        <v>39</v>
      </c>
      <c r="I1944" s="59" t="n">
        <v>1</v>
      </c>
      <c r="J1944" s="60" t="n">
        <v>54</v>
      </c>
      <c r="K1944" s="60" t="n">
        <v>19</v>
      </c>
      <c r="L1944" s="61" t="n">
        <f aca="false">I1944*J1944</f>
        <v>54</v>
      </c>
      <c r="M1944" s="61" t="n">
        <f aca="false">L1944-I1944*K1944</f>
        <v>35</v>
      </c>
      <c r="N1944" s="57" t="n">
        <f aca="false">IF(COUNTIFS(E$2:E1944,E1944,C$2:C1944,C1944)=1,1,0)</f>
        <v>0</v>
      </c>
      <c r="O1944" s="57" t="n">
        <f aca="false">IF(COUNTIFS(E$2:E1944,E1944,C$2:C1944,C1944,D$2:D1944,D1944)=1,1,0)</f>
        <v>1</v>
      </c>
      <c r="P1944" s="57" t="n">
        <f aca="false">IF(AND(C1944=Calc!$C$3,OR(Calc!$C$4=0,D1944=Calc!$C$4)),ROW(),0)</f>
        <v>1944</v>
      </c>
    </row>
    <row r="1945" customFormat="false" ht="15" hidden="false" customHeight="false" outlineLevel="0" collapsed="false">
      <c r="A1945" s="57" t="s">
        <v>2492</v>
      </c>
      <c r="B1945" s="58" t="n">
        <v>45823</v>
      </c>
      <c r="C1945" s="57" t="n">
        <f aca="false">YEAR(B1945)</f>
        <v>2025</v>
      </c>
      <c r="D1945" s="57" t="n">
        <f aca="false">MONTH(B1945)</f>
        <v>6</v>
      </c>
      <c r="E1945" s="57" t="s">
        <v>215</v>
      </c>
      <c r="F1945" s="57" t="s">
        <v>75</v>
      </c>
      <c r="G1945" s="57" t="s">
        <v>40</v>
      </c>
      <c r="H1945" s="57" t="s">
        <v>41</v>
      </c>
      <c r="I1945" s="59" t="n">
        <v>2</v>
      </c>
      <c r="J1945" s="60" t="n">
        <v>46</v>
      </c>
      <c r="K1945" s="60" t="n">
        <v>16</v>
      </c>
      <c r="L1945" s="61" t="n">
        <f aca="false">I1945*J1945</f>
        <v>92</v>
      </c>
      <c r="M1945" s="61" t="n">
        <f aca="false">L1945-I1945*K1945</f>
        <v>60</v>
      </c>
      <c r="N1945" s="57" t="n">
        <f aca="false">IF(COUNTIFS(E$2:E1945,E1945,C$2:C1945,C1945)=1,1,0)</f>
        <v>1</v>
      </c>
      <c r="O1945" s="57" t="n">
        <f aca="false">IF(COUNTIFS(E$2:E1945,E1945,C$2:C1945,C1945,D$2:D1945,D1945)=1,1,0)</f>
        <v>1</v>
      </c>
      <c r="P1945" s="57" t="n">
        <f aca="false">IF(AND(C1945=Calc!$C$3,OR(Calc!$C$4=0,D1945=Calc!$C$4)),ROW(),0)</f>
        <v>1945</v>
      </c>
    </row>
    <row r="1946" customFormat="false" ht="15" hidden="false" customHeight="false" outlineLevel="0" collapsed="false">
      <c r="A1946" s="57" t="s">
        <v>2493</v>
      </c>
      <c r="B1946" s="58" t="n">
        <v>45823</v>
      </c>
      <c r="C1946" s="57" t="n">
        <f aca="false">YEAR(B1946)</f>
        <v>2025</v>
      </c>
      <c r="D1946" s="57" t="n">
        <f aca="false">MONTH(B1946)</f>
        <v>6</v>
      </c>
      <c r="E1946" s="57" t="s">
        <v>1077</v>
      </c>
      <c r="F1946" s="57" t="s">
        <v>81</v>
      </c>
      <c r="G1946" s="57" t="s">
        <v>35</v>
      </c>
      <c r="H1946" s="57" t="s">
        <v>34</v>
      </c>
      <c r="I1946" s="59" t="n">
        <v>1</v>
      </c>
      <c r="J1946" s="60" t="n">
        <v>89</v>
      </c>
      <c r="K1946" s="60" t="n">
        <v>41</v>
      </c>
      <c r="L1946" s="61" t="n">
        <f aca="false">I1946*J1946</f>
        <v>89</v>
      </c>
      <c r="M1946" s="61" t="n">
        <f aca="false">L1946-I1946*K1946</f>
        <v>48</v>
      </c>
      <c r="N1946" s="57" t="n">
        <f aca="false">IF(COUNTIFS(E$2:E1946,E1946,C$2:C1946,C1946)=1,1,0)</f>
        <v>0</v>
      </c>
      <c r="O1946" s="57" t="n">
        <f aca="false">IF(COUNTIFS(E$2:E1946,E1946,C$2:C1946,C1946,D$2:D1946,D1946)=1,1,0)</f>
        <v>1</v>
      </c>
      <c r="P1946" s="57" t="n">
        <f aca="false">IF(AND(C1946=Calc!$C$3,OR(Calc!$C$4=0,D1946=Calc!$C$4)),ROW(),0)</f>
        <v>1946</v>
      </c>
    </row>
    <row r="1947" customFormat="false" ht="15" hidden="false" customHeight="false" outlineLevel="0" collapsed="false">
      <c r="A1947" s="57" t="s">
        <v>2494</v>
      </c>
      <c r="B1947" s="58" t="n">
        <v>45823</v>
      </c>
      <c r="C1947" s="57" t="n">
        <f aca="false">YEAR(B1947)</f>
        <v>2025</v>
      </c>
      <c r="D1947" s="57" t="n">
        <f aca="false">MONTH(B1947)</f>
        <v>6</v>
      </c>
      <c r="E1947" s="57" t="s">
        <v>170</v>
      </c>
      <c r="F1947" s="57" t="s">
        <v>69</v>
      </c>
      <c r="G1947" s="57" t="s">
        <v>45</v>
      </c>
      <c r="H1947" s="57" t="s">
        <v>46</v>
      </c>
      <c r="I1947" s="59" t="n">
        <v>1</v>
      </c>
      <c r="J1947" s="60" t="n">
        <v>149</v>
      </c>
      <c r="K1947" s="60" t="n">
        <v>71</v>
      </c>
      <c r="L1947" s="61" t="n">
        <f aca="false">I1947*J1947</f>
        <v>149</v>
      </c>
      <c r="M1947" s="61" t="n">
        <f aca="false">L1947-I1947*K1947</f>
        <v>78</v>
      </c>
      <c r="N1947" s="57" t="n">
        <f aca="false">IF(COUNTIFS(E$2:E1947,E1947,C$2:C1947,C1947)=1,1,0)</f>
        <v>0</v>
      </c>
      <c r="O1947" s="57" t="n">
        <f aca="false">IF(COUNTIFS(E$2:E1947,E1947,C$2:C1947,C1947,D$2:D1947,D1947)=1,1,0)</f>
        <v>1</v>
      </c>
      <c r="P1947" s="57" t="n">
        <f aca="false">IF(AND(C1947=Calc!$C$3,OR(Calc!$C$4=0,D1947=Calc!$C$4)),ROW(),0)</f>
        <v>1947</v>
      </c>
    </row>
    <row r="1948" customFormat="false" ht="15" hidden="false" customHeight="false" outlineLevel="0" collapsed="false">
      <c r="A1948" s="57" t="s">
        <v>2495</v>
      </c>
      <c r="B1948" s="58" t="n">
        <v>45823</v>
      </c>
      <c r="C1948" s="57" t="n">
        <f aca="false">YEAR(B1948)</f>
        <v>2025</v>
      </c>
      <c r="D1948" s="57" t="n">
        <f aca="false">MONTH(B1948)</f>
        <v>6</v>
      </c>
      <c r="E1948" s="57" t="s">
        <v>530</v>
      </c>
      <c r="F1948" s="57" t="s">
        <v>72</v>
      </c>
      <c r="G1948" s="57" t="s">
        <v>35</v>
      </c>
      <c r="H1948" s="57" t="s">
        <v>36</v>
      </c>
      <c r="I1948" s="59" t="n">
        <v>1</v>
      </c>
      <c r="J1948" s="60" t="n">
        <v>179</v>
      </c>
      <c r="K1948" s="60" t="n">
        <v>92</v>
      </c>
      <c r="L1948" s="61" t="n">
        <f aca="false">I1948*J1948</f>
        <v>179</v>
      </c>
      <c r="M1948" s="61" t="n">
        <f aca="false">L1948-I1948*K1948</f>
        <v>87</v>
      </c>
      <c r="N1948" s="57" t="n">
        <f aca="false">IF(COUNTIFS(E$2:E1948,E1948,C$2:C1948,C1948)=1,1,0)</f>
        <v>0</v>
      </c>
      <c r="O1948" s="57" t="n">
        <f aca="false">IF(COUNTIFS(E$2:E1948,E1948,C$2:C1948,C1948,D$2:D1948,D1948)=1,1,0)</f>
        <v>1</v>
      </c>
      <c r="P1948" s="57" t="n">
        <f aca="false">IF(AND(C1948=Calc!$C$3,OR(Calc!$C$4=0,D1948=Calc!$C$4)),ROW(),0)</f>
        <v>1948</v>
      </c>
    </row>
    <row r="1949" customFormat="false" ht="15" hidden="false" customHeight="false" outlineLevel="0" collapsed="false">
      <c r="A1949" s="57" t="s">
        <v>2496</v>
      </c>
      <c r="B1949" s="58" t="n">
        <v>45823</v>
      </c>
      <c r="C1949" s="57" t="n">
        <f aca="false">YEAR(B1949)</f>
        <v>2025</v>
      </c>
      <c r="D1949" s="57" t="n">
        <f aca="false">MONTH(B1949)</f>
        <v>6</v>
      </c>
      <c r="E1949" s="57" t="s">
        <v>77</v>
      </c>
      <c r="F1949" s="57" t="s">
        <v>78</v>
      </c>
      <c r="G1949" s="57" t="s">
        <v>35</v>
      </c>
      <c r="H1949" s="57" t="s">
        <v>34</v>
      </c>
      <c r="I1949" s="59" t="n">
        <v>1</v>
      </c>
      <c r="J1949" s="60" t="n">
        <v>89</v>
      </c>
      <c r="K1949" s="60" t="n">
        <v>41</v>
      </c>
      <c r="L1949" s="61" t="n">
        <f aca="false">I1949*J1949</f>
        <v>89</v>
      </c>
      <c r="M1949" s="61" t="n">
        <f aca="false">L1949-I1949*K1949</f>
        <v>48</v>
      </c>
      <c r="N1949" s="57" t="n">
        <f aca="false">IF(COUNTIFS(E$2:E1949,E1949,C$2:C1949,C1949)=1,1,0)</f>
        <v>0</v>
      </c>
      <c r="O1949" s="57" t="n">
        <f aca="false">IF(COUNTIFS(E$2:E1949,E1949,C$2:C1949,C1949,D$2:D1949,D1949)=1,1,0)</f>
        <v>0</v>
      </c>
      <c r="P1949" s="57" t="n">
        <f aca="false">IF(AND(C1949=Calc!$C$3,OR(Calc!$C$4=0,D1949=Calc!$C$4)),ROW(),0)</f>
        <v>1949</v>
      </c>
    </row>
    <row r="1950" customFormat="false" ht="15" hidden="false" customHeight="false" outlineLevel="0" collapsed="false">
      <c r="A1950" s="57" t="s">
        <v>2497</v>
      </c>
      <c r="B1950" s="58" t="n">
        <v>45824</v>
      </c>
      <c r="C1950" s="57" t="n">
        <f aca="false">YEAR(B1950)</f>
        <v>2025</v>
      </c>
      <c r="D1950" s="57" t="n">
        <f aca="false">MONTH(B1950)</f>
        <v>6</v>
      </c>
      <c r="E1950" s="57" t="s">
        <v>687</v>
      </c>
      <c r="F1950" s="57" t="s">
        <v>75</v>
      </c>
      <c r="G1950" s="57" t="s">
        <v>35</v>
      </c>
      <c r="H1950" s="57" t="s">
        <v>37</v>
      </c>
      <c r="I1950" s="59" t="n">
        <v>2</v>
      </c>
      <c r="J1950" s="60" t="n">
        <v>59</v>
      </c>
      <c r="K1950" s="60" t="n">
        <v>27</v>
      </c>
      <c r="L1950" s="61" t="n">
        <f aca="false">I1950*J1950</f>
        <v>118</v>
      </c>
      <c r="M1950" s="61" t="n">
        <f aca="false">L1950-I1950*K1950</f>
        <v>64</v>
      </c>
      <c r="N1950" s="57" t="n">
        <f aca="false">IF(COUNTIFS(E$2:E1950,E1950,C$2:C1950,C1950)=1,1,0)</f>
        <v>0</v>
      </c>
      <c r="O1950" s="57" t="n">
        <f aca="false">IF(COUNTIFS(E$2:E1950,E1950,C$2:C1950,C1950,D$2:D1950,D1950)=1,1,0)</f>
        <v>1</v>
      </c>
      <c r="P1950" s="57" t="n">
        <f aca="false">IF(AND(C1950=Calc!$C$3,OR(Calc!$C$4=0,D1950=Calc!$C$4)),ROW(),0)</f>
        <v>1950</v>
      </c>
    </row>
    <row r="1951" customFormat="false" ht="15" hidden="false" customHeight="false" outlineLevel="0" collapsed="false">
      <c r="A1951" s="57" t="s">
        <v>2498</v>
      </c>
      <c r="B1951" s="58" t="n">
        <v>45824</v>
      </c>
      <c r="C1951" s="57" t="n">
        <f aca="false">YEAR(B1951)</f>
        <v>2025</v>
      </c>
      <c r="D1951" s="57" t="n">
        <f aca="false">MONTH(B1951)</f>
        <v>6</v>
      </c>
      <c r="E1951" s="57" t="s">
        <v>2499</v>
      </c>
      <c r="F1951" s="57" t="s">
        <v>78</v>
      </c>
      <c r="G1951" s="57" t="s">
        <v>40</v>
      </c>
      <c r="H1951" s="57" t="s">
        <v>39</v>
      </c>
      <c r="I1951" s="59" t="n">
        <v>2</v>
      </c>
      <c r="J1951" s="60" t="n">
        <v>54</v>
      </c>
      <c r="K1951" s="60" t="n">
        <v>19</v>
      </c>
      <c r="L1951" s="61" t="n">
        <f aca="false">I1951*J1951</f>
        <v>108</v>
      </c>
      <c r="M1951" s="61" t="n">
        <f aca="false">L1951-I1951*K1951</f>
        <v>70</v>
      </c>
      <c r="N1951" s="57" t="n">
        <f aca="false">IF(COUNTIFS(E$2:E1951,E1951,C$2:C1951,C1951)=1,1,0)</f>
        <v>1</v>
      </c>
      <c r="O1951" s="57" t="n">
        <f aca="false">IF(COUNTIFS(E$2:E1951,E1951,C$2:C1951,C1951,D$2:D1951,D1951)=1,1,0)</f>
        <v>1</v>
      </c>
      <c r="P1951" s="57" t="n">
        <f aca="false">IF(AND(C1951=Calc!$C$3,OR(Calc!$C$4=0,D1951=Calc!$C$4)),ROW(),0)</f>
        <v>1951</v>
      </c>
    </row>
    <row r="1952" customFormat="false" ht="15" hidden="false" customHeight="false" outlineLevel="0" collapsed="false">
      <c r="A1952" s="57" t="s">
        <v>2500</v>
      </c>
      <c r="B1952" s="58" t="n">
        <v>45824</v>
      </c>
      <c r="C1952" s="57" t="n">
        <f aca="false">YEAR(B1952)</f>
        <v>2025</v>
      </c>
      <c r="D1952" s="57" t="n">
        <f aca="false">MONTH(B1952)</f>
        <v>6</v>
      </c>
      <c r="E1952" s="57" t="s">
        <v>2501</v>
      </c>
      <c r="F1952" s="57" t="s">
        <v>75</v>
      </c>
      <c r="G1952" s="57" t="s">
        <v>35</v>
      </c>
      <c r="H1952" s="57" t="s">
        <v>34</v>
      </c>
      <c r="I1952" s="59" t="n">
        <v>1</v>
      </c>
      <c r="J1952" s="60" t="n">
        <v>89</v>
      </c>
      <c r="K1952" s="60" t="n">
        <v>41</v>
      </c>
      <c r="L1952" s="61" t="n">
        <f aca="false">I1952*J1952</f>
        <v>89</v>
      </c>
      <c r="M1952" s="61" t="n">
        <f aca="false">L1952-I1952*K1952</f>
        <v>48</v>
      </c>
      <c r="N1952" s="57" t="n">
        <f aca="false">IF(COUNTIFS(E$2:E1952,E1952,C$2:C1952,C1952)=1,1,0)</f>
        <v>1</v>
      </c>
      <c r="O1952" s="57" t="n">
        <f aca="false">IF(COUNTIFS(E$2:E1952,E1952,C$2:C1952,C1952,D$2:D1952,D1952)=1,1,0)</f>
        <v>1</v>
      </c>
      <c r="P1952" s="57" t="n">
        <f aca="false">IF(AND(C1952=Calc!$C$3,OR(Calc!$C$4=0,D1952=Calc!$C$4)),ROW(),0)</f>
        <v>1952</v>
      </c>
    </row>
    <row r="1953" customFormat="false" ht="15" hidden="false" customHeight="false" outlineLevel="0" collapsed="false">
      <c r="A1953" s="57" t="s">
        <v>2502</v>
      </c>
      <c r="B1953" s="58" t="n">
        <v>45825</v>
      </c>
      <c r="C1953" s="57" t="n">
        <f aca="false">YEAR(B1953)</f>
        <v>2025</v>
      </c>
      <c r="D1953" s="57" t="n">
        <f aca="false">MONTH(B1953)</f>
        <v>6</v>
      </c>
      <c r="E1953" s="57" t="s">
        <v>1986</v>
      </c>
      <c r="F1953" s="57" t="s">
        <v>72</v>
      </c>
      <c r="G1953" s="57" t="s">
        <v>40</v>
      </c>
      <c r="H1953" s="57" t="s">
        <v>43</v>
      </c>
      <c r="I1953" s="59" t="n">
        <v>1</v>
      </c>
      <c r="J1953" s="60" t="n">
        <v>29</v>
      </c>
      <c r="K1953" s="60" t="n">
        <v>9</v>
      </c>
      <c r="L1953" s="61" t="n">
        <f aca="false">I1953*J1953</f>
        <v>29</v>
      </c>
      <c r="M1953" s="61" t="n">
        <f aca="false">L1953-I1953*K1953</f>
        <v>20</v>
      </c>
      <c r="N1953" s="57" t="n">
        <f aca="false">IF(COUNTIFS(E$2:E1953,E1953,C$2:C1953,C1953)=1,1,0)</f>
        <v>0</v>
      </c>
      <c r="O1953" s="57" t="n">
        <f aca="false">IF(COUNTIFS(E$2:E1953,E1953,C$2:C1953,C1953,D$2:D1953,D1953)=1,1,0)</f>
        <v>1</v>
      </c>
      <c r="P1953" s="57" t="n">
        <f aca="false">IF(AND(C1953=Calc!$C$3,OR(Calc!$C$4=0,D1953=Calc!$C$4)),ROW(),0)</f>
        <v>1953</v>
      </c>
    </row>
    <row r="1954" customFormat="false" ht="15" hidden="false" customHeight="false" outlineLevel="0" collapsed="false">
      <c r="A1954" s="57" t="s">
        <v>2503</v>
      </c>
      <c r="B1954" s="58" t="n">
        <v>45825</v>
      </c>
      <c r="C1954" s="57" t="n">
        <f aca="false">YEAR(B1954)</f>
        <v>2025</v>
      </c>
      <c r="D1954" s="57" t="n">
        <f aca="false">MONTH(B1954)</f>
        <v>6</v>
      </c>
      <c r="E1954" s="57" t="s">
        <v>770</v>
      </c>
      <c r="F1954" s="57" t="s">
        <v>78</v>
      </c>
      <c r="G1954" s="57" t="s">
        <v>50</v>
      </c>
      <c r="H1954" s="57" t="s">
        <v>52</v>
      </c>
      <c r="I1954" s="59" t="n">
        <v>1</v>
      </c>
      <c r="J1954" s="60" t="n">
        <v>45</v>
      </c>
      <c r="K1954" s="60" t="n">
        <v>14</v>
      </c>
      <c r="L1954" s="61" t="n">
        <f aca="false">I1954*J1954</f>
        <v>45</v>
      </c>
      <c r="M1954" s="61" t="n">
        <f aca="false">L1954-I1954*K1954</f>
        <v>31</v>
      </c>
      <c r="N1954" s="57" t="n">
        <f aca="false">IF(COUNTIFS(E$2:E1954,E1954,C$2:C1954,C1954)=1,1,0)</f>
        <v>1</v>
      </c>
      <c r="O1954" s="57" t="n">
        <f aca="false">IF(COUNTIFS(E$2:E1954,E1954,C$2:C1954,C1954,D$2:D1954,D1954)=1,1,0)</f>
        <v>1</v>
      </c>
      <c r="P1954" s="57" t="n">
        <f aca="false">IF(AND(C1954=Calc!$C$3,OR(Calc!$C$4=0,D1954=Calc!$C$4)),ROW(),0)</f>
        <v>1954</v>
      </c>
    </row>
    <row r="1955" customFormat="false" ht="15" hidden="false" customHeight="false" outlineLevel="0" collapsed="false">
      <c r="A1955" s="57" t="s">
        <v>2504</v>
      </c>
      <c r="B1955" s="58" t="n">
        <v>45825</v>
      </c>
      <c r="C1955" s="57" t="n">
        <f aca="false">YEAR(B1955)</f>
        <v>2025</v>
      </c>
      <c r="D1955" s="57" t="n">
        <f aca="false">MONTH(B1955)</f>
        <v>6</v>
      </c>
      <c r="E1955" s="57" t="s">
        <v>948</v>
      </c>
      <c r="F1955" s="57" t="s">
        <v>81</v>
      </c>
      <c r="G1955" s="57" t="s">
        <v>45</v>
      </c>
      <c r="H1955" s="57" t="s">
        <v>46</v>
      </c>
      <c r="I1955" s="59" t="n">
        <v>1</v>
      </c>
      <c r="J1955" s="60" t="n">
        <v>149</v>
      </c>
      <c r="K1955" s="60" t="n">
        <v>71</v>
      </c>
      <c r="L1955" s="61" t="n">
        <f aca="false">I1955*J1955</f>
        <v>149</v>
      </c>
      <c r="M1955" s="61" t="n">
        <f aca="false">L1955-I1955*K1955</f>
        <v>78</v>
      </c>
      <c r="N1955" s="57" t="n">
        <f aca="false">IF(COUNTIFS(E$2:E1955,E1955,C$2:C1955,C1955)=1,1,0)</f>
        <v>1</v>
      </c>
      <c r="O1955" s="57" t="n">
        <f aca="false">IF(COUNTIFS(E$2:E1955,E1955,C$2:C1955,C1955,D$2:D1955,D1955)=1,1,0)</f>
        <v>1</v>
      </c>
      <c r="P1955" s="57" t="n">
        <f aca="false">IF(AND(C1955=Calc!$C$3,OR(Calc!$C$4=0,D1955=Calc!$C$4)),ROW(),0)</f>
        <v>1955</v>
      </c>
    </row>
    <row r="1956" customFormat="false" ht="15" hidden="false" customHeight="false" outlineLevel="0" collapsed="false">
      <c r="A1956" s="57" t="s">
        <v>2505</v>
      </c>
      <c r="B1956" s="58" t="n">
        <v>45826</v>
      </c>
      <c r="C1956" s="57" t="n">
        <f aca="false">YEAR(B1956)</f>
        <v>2025</v>
      </c>
      <c r="D1956" s="57" t="n">
        <f aca="false">MONTH(B1956)</f>
        <v>6</v>
      </c>
      <c r="E1956" s="57" t="s">
        <v>743</v>
      </c>
      <c r="F1956" s="57" t="s">
        <v>69</v>
      </c>
      <c r="G1956" s="57" t="s">
        <v>35</v>
      </c>
      <c r="H1956" s="57" t="s">
        <v>34</v>
      </c>
      <c r="I1956" s="59" t="n">
        <v>1</v>
      </c>
      <c r="J1956" s="60" t="n">
        <v>89</v>
      </c>
      <c r="K1956" s="60" t="n">
        <v>41</v>
      </c>
      <c r="L1956" s="61" t="n">
        <f aca="false">I1956*J1956</f>
        <v>89</v>
      </c>
      <c r="M1956" s="61" t="n">
        <f aca="false">L1956-I1956*K1956</f>
        <v>48</v>
      </c>
      <c r="N1956" s="57" t="n">
        <f aca="false">IF(COUNTIFS(E$2:E1956,E1956,C$2:C1956,C1956)=1,1,0)</f>
        <v>1</v>
      </c>
      <c r="O1956" s="57" t="n">
        <f aca="false">IF(COUNTIFS(E$2:E1956,E1956,C$2:C1956,C1956,D$2:D1956,D1956)=1,1,0)</f>
        <v>1</v>
      </c>
      <c r="P1956" s="57" t="n">
        <f aca="false">IF(AND(C1956=Calc!$C$3,OR(Calc!$C$4=0,D1956=Calc!$C$4)),ROW(),0)</f>
        <v>1956</v>
      </c>
    </row>
    <row r="1957" customFormat="false" ht="15" hidden="false" customHeight="false" outlineLevel="0" collapsed="false">
      <c r="A1957" s="57" t="s">
        <v>2506</v>
      </c>
      <c r="B1957" s="58" t="n">
        <v>45826</v>
      </c>
      <c r="C1957" s="57" t="n">
        <f aca="false">YEAR(B1957)</f>
        <v>2025</v>
      </c>
      <c r="D1957" s="57" t="n">
        <f aca="false">MONTH(B1957)</f>
        <v>6</v>
      </c>
      <c r="E1957" s="57" t="s">
        <v>206</v>
      </c>
      <c r="F1957" s="57" t="s">
        <v>78</v>
      </c>
      <c r="G1957" s="57" t="s">
        <v>45</v>
      </c>
      <c r="H1957" s="57" t="s">
        <v>48</v>
      </c>
      <c r="I1957" s="59" t="n">
        <v>2</v>
      </c>
      <c r="J1957" s="60" t="n">
        <v>99</v>
      </c>
      <c r="K1957" s="60" t="n">
        <v>38</v>
      </c>
      <c r="L1957" s="61" t="n">
        <f aca="false">I1957*J1957</f>
        <v>198</v>
      </c>
      <c r="M1957" s="61" t="n">
        <f aca="false">L1957-I1957*K1957</f>
        <v>122</v>
      </c>
      <c r="N1957" s="57" t="n">
        <f aca="false">IF(COUNTIFS(E$2:E1957,E1957,C$2:C1957,C1957)=1,1,0)</f>
        <v>0</v>
      </c>
      <c r="O1957" s="57" t="n">
        <f aca="false">IF(COUNTIFS(E$2:E1957,E1957,C$2:C1957,C1957,D$2:D1957,D1957)=1,1,0)</f>
        <v>1</v>
      </c>
      <c r="P1957" s="57" t="n">
        <f aca="false">IF(AND(C1957=Calc!$C$3,OR(Calc!$C$4=0,D1957=Calc!$C$4)),ROW(),0)</f>
        <v>1957</v>
      </c>
    </row>
    <row r="1958" customFormat="false" ht="15" hidden="false" customHeight="false" outlineLevel="0" collapsed="false">
      <c r="A1958" s="57" t="s">
        <v>2507</v>
      </c>
      <c r="B1958" s="58" t="n">
        <v>45826</v>
      </c>
      <c r="C1958" s="57" t="n">
        <f aca="false">YEAR(B1958)</f>
        <v>2025</v>
      </c>
      <c r="D1958" s="57" t="n">
        <f aca="false">MONTH(B1958)</f>
        <v>6</v>
      </c>
      <c r="E1958" s="57" t="s">
        <v>1318</v>
      </c>
      <c r="F1958" s="57" t="s">
        <v>81</v>
      </c>
      <c r="G1958" s="57" t="s">
        <v>35</v>
      </c>
      <c r="H1958" s="57" t="s">
        <v>34</v>
      </c>
      <c r="I1958" s="59" t="n">
        <v>1</v>
      </c>
      <c r="J1958" s="60" t="n">
        <v>89</v>
      </c>
      <c r="K1958" s="60" t="n">
        <v>41</v>
      </c>
      <c r="L1958" s="61" t="n">
        <f aca="false">I1958*J1958</f>
        <v>89</v>
      </c>
      <c r="M1958" s="61" t="n">
        <f aca="false">L1958-I1958*K1958</f>
        <v>48</v>
      </c>
      <c r="N1958" s="57" t="n">
        <f aca="false">IF(COUNTIFS(E$2:E1958,E1958,C$2:C1958,C1958)=1,1,0)</f>
        <v>1</v>
      </c>
      <c r="O1958" s="57" t="n">
        <f aca="false">IF(COUNTIFS(E$2:E1958,E1958,C$2:C1958,C1958,D$2:D1958,D1958)=1,1,0)</f>
        <v>1</v>
      </c>
      <c r="P1958" s="57" t="n">
        <f aca="false">IF(AND(C1958=Calc!$C$3,OR(Calc!$C$4=0,D1958=Calc!$C$4)),ROW(),0)</f>
        <v>1958</v>
      </c>
    </row>
    <row r="1959" customFormat="false" ht="15" hidden="false" customHeight="false" outlineLevel="0" collapsed="false">
      <c r="A1959" s="57" t="s">
        <v>2508</v>
      </c>
      <c r="B1959" s="58" t="n">
        <v>45826</v>
      </c>
      <c r="C1959" s="57" t="n">
        <f aca="false">YEAR(B1959)</f>
        <v>2025</v>
      </c>
      <c r="D1959" s="57" t="n">
        <f aca="false">MONTH(B1959)</f>
        <v>6</v>
      </c>
      <c r="E1959" s="57" t="s">
        <v>294</v>
      </c>
      <c r="F1959" s="57" t="s">
        <v>69</v>
      </c>
      <c r="G1959" s="57" t="s">
        <v>50</v>
      </c>
      <c r="H1959" s="57" t="s">
        <v>51</v>
      </c>
      <c r="I1959" s="59" t="n">
        <v>1</v>
      </c>
      <c r="J1959" s="60" t="n">
        <v>69</v>
      </c>
      <c r="K1959" s="60" t="n">
        <v>29</v>
      </c>
      <c r="L1959" s="61" t="n">
        <f aca="false">I1959*J1959</f>
        <v>69</v>
      </c>
      <c r="M1959" s="61" t="n">
        <f aca="false">L1959-I1959*K1959</f>
        <v>40</v>
      </c>
      <c r="N1959" s="57" t="n">
        <f aca="false">IF(COUNTIFS(E$2:E1959,E1959,C$2:C1959,C1959)=1,1,0)</f>
        <v>1</v>
      </c>
      <c r="O1959" s="57" t="n">
        <f aca="false">IF(COUNTIFS(E$2:E1959,E1959,C$2:C1959,C1959,D$2:D1959,D1959)=1,1,0)</f>
        <v>1</v>
      </c>
      <c r="P1959" s="57" t="n">
        <f aca="false">IF(AND(C1959=Calc!$C$3,OR(Calc!$C$4=0,D1959=Calc!$C$4)),ROW(),0)</f>
        <v>1959</v>
      </c>
    </row>
    <row r="1960" customFormat="false" ht="15" hidden="false" customHeight="false" outlineLevel="0" collapsed="false">
      <c r="A1960" s="57" t="s">
        <v>2509</v>
      </c>
      <c r="B1960" s="58" t="n">
        <v>45826</v>
      </c>
      <c r="C1960" s="57" t="n">
        <f aca="false">YEAR(B1960)</f>
        <v>2025</v>
      </c>
      <c r="D1960" s="57" t="n">
        <f aca="false">MONTH(B1960)</f>
        <v>6</v>
      </c>
      <c r="E1960" s="57" t="s">
        <v>613</v>
      </c>
      <c r="F1960" s="57" t="s">
        <v>72</v>
      </c>
      <c r="G1960" s="57" t="s">
        <v>40</v>
      </c>
      <c r="H1960" s="57" t="s">
        <v>41</v>
      </c>
      <c r="I1960" s="59" t="n">
        <v>3</v>
      </c>
      <c r="J1960" s="60" t="n">
        <v>46</v>
      </c>
      <c r="K1960" s="60" t="n">
        <v>16</v>
      </c>
      <c r="L1960" s="61" t="n">
        <f aca="false">I1960*J1960</f>
        <v>138</v>
      </c>
      <c r="M1960" s="61" t="n">
        <f aca="false">L1960-I1960*K1960</f>
        <v>90</v>
      </c>
      <c r="N1960" s="57" t="n">
        <f aca="false">IF(COUNTIFS(E$2:E1960,E1960,C$2:C1960,C1960)=1,1,0)</f>
        <v>0</v>
      </c>
      <c r="O1960" s="57" t="n">
        <f aca="false">IF(COUNTIFS(E$2:E1960,E1960,C$2:C1960,C1960,D$2:D1960,D1960)=1,1,0)</f>
        <v>1</v>
      </c>
      <c r="P1960" s="57" t="n">
        <f aca="false">IF(AND(C1960=Calc!$C$3,OR(Calc!$C$4=0,D1960=Calc!$C$4)),ROW(),0)</f>
        <v>1960</v>
      </c>
    </row>
    <row r="1961" customFormat="false" ht="15" hidden="false" customHeight="false" outlineLevel="0" collapsed="false">
      <c r="A1961" s="57" t="s">
        <v>2510</v>
      </c>
      <c r="B1961" s="58" t="n">
        <v>45827</v>
      </c>
      <c r="C1961" s="57" t="n">
        <f aca="false">YEAR(B1961)</f>
        <v>2025</v>
      </c>
      <c r="D1961" s="57" t="n">
        <f aca="false">MONTH(B1961)</f>
        <v>6</v>
      </c>
      <c r="E1961" s="57" t="s">
        <v>440</v>
      </c>
      <c r="F1961" s="57" t="s">
        <v>78</v>
      </c>
      <c r="G1961" s="57" t="s">
        <v>35</v>
      </c>
      <c r="H1961" s="57" t="s">
        <v>36</v>
      </c>
      <c r="I1961" s="59" t="n">
        <v>2</v>
      </c>
      <c r="J1961" s="60" t="n">
        <v>179</v>
      </c>
      <c r="K1961" s="60" t="n">
        <v>92</v>
      </c>
      <c r="L1961" s="61" t="n">
        <f aca="false">I1961*J1961</f>
        <v>358</v>
      </c>
      <c r="M1961" s="61" t="n">
        <f aca="false">L1961-I1961*K1961</f>
        <v>174</v>
      </c>
      <c r="N1961" s="57" t="n">
        <f aca="false">IF(COUNTIFS(E$2:E1961,E1961,C$2:C1961,C1961)=1,1,0)</f>
        <v>0</v>
      </c>
      <c r="O1961" s="57" t="n">
        <f aca="false">IF(COUNTIFS(E$2:E1961,E1961,C$2:C1961,C1961,D$2:D1961,D1961)=1,1,0)</f>
        <v>0</v>
      </c>
      <c r="P1961" s="57" t="n">
        <f aca="false">IF(AND(C1961=Calc!$C$3,OR(Calc!$C$4=0,D1961=Calc!$C$4)),ROW(),0)</f>
        <v>1961</v>
      </c>
    </row>
    <row r="1962" customFormat="false" ht="15" hidden="false" customHeight="false" outlineLevel="0" collapsed="false">
      <c r="A1962" s="57" t="s">
        <v>2511</v>
      </c>
      <c r="B1962" s="58" t="n">
        <v>45827</v>
      </c>
      <c r="C1962" s="57" t="n">
        <f aca="false">YEAR(B1962)</f>
        <v>2025</v>
      </c>
      <c r="D1962" s="57" t="n">
        <f aca="false">MONTH(B1962)</f>
        <v>6</v>
      </c>
      <c r="E1962" s="57" t="s">
        <v>376</v>
      </c>
      <c r="F1962" s="57" t="s">
        <v>78</v>
      </c>
      <c r="G1962" s="57" t="s">
        <v>40</v>
      </c>
      <c r="H1962" s="57" t="s">
        <v>39</v>
      </c>
      <c r="I1962" s="59" t="n">
        <v>1</v>
      </c>
      <c r="J1962" s="60" t="n">
        <v>54</v>
      </c>
      <c r="K1962" s="60" t="n">
        <v>19</v>
      </c>
      <c r="L1962" s="61" t="n">
        <f aca="false">I1962*J1962</f>
        <v>54</v>
      </c>
      <c r="M1962" s="61" t="n">
        <f aca="false">L1962-I1962*K1962</f>
        <v>35</v>
      </c>
      <c r="N1962" s="57" t="n">
        <f aca="false">IF(COUNTIFS(E$2:E1962,E1962,C$2:C1962,C1962)=1,1,0)</f>
        <v>0</v>
      </c>
      <c r="O1962" s="57" t="n">
        <f aca="false">IF(COUNTIFS(E$2:E1962,E1962,C$2:C1962,C1962,D$2:D1962,D1962)=1,1,0)</f>
        <v>1</v>
      </c>
      <c r="P1962" s="57" t="n">
        <f aca="false">IF(AND(C1962=Calc!$C$3,OR(Calc!$C$4=0,D1962=Calc!$C$4)),ROW(),0)</f>
        <v>1962</v>
      </c>
    </row>
    <row r="1963" customFormat="false" ht="15" hidden="false" customHeight="false" outlineLevel="0" collapsed="false">
      <c r="A1963" s="57" t="s">
        <v>2512</v>
      </c>
      <c r="B1963" s="58" t="n">
        <v>45827</v>
      </c>
      <c r="C1963" s="57" t="n">
        <f aca="false">YEAR(B1963)</f>
        <v>2025</v>
      </c>
      <c r="D1963" s="57" t="n">
        <f aca="false">MONTH(B1963)</f>
        <v>6</v>
      </c>
      <c r="E1963" s="57" t="s">
        <v>440</v>
      </c>
      <c r="F1963" s="57" t="s">
        <v>78</v>
      </c>
      <c r="G1963" s="57" t="s">
        <v>35</v>
      </c>
      <c r="H1963" s="57" t="s">
        <v>37</v>
      </c>
      <c r="I1963" s="59" t="n">
        <v>2</v>
      </c>
      <c r="J1963" s="60" t="n">
        <v>59</v>
      </c>
      <c r="K1963" s="60" t="n">
        <v>27</v>
      </c>
      <c r="L1963" s="61" t="n">
        <f aca="false">I1963*J1963</f>
        <v>118</v>
      </c>
      <c r="M1963" s="61" t="n">
        <f aca="false">L1963-I1963*K1963</f>
        <v>64</v>
      </c>
      <c r="N1963" s="57" t="n">
        <f aca="false">IF(COUNTIFS(E$2:E1963,E1963,C$2:C1963,C1963)=1,1,0)</f>
        <v>0</v>
      </c>
      <c r="O1963" s="57" t="n">
        <f aca="false">IF(COUNTIFS(E$2:E1963,E1963,C$2:C1963,C1963,D$2:D1963,D1963)=1,1,0)</f>
        <v>0</v>
      </c>
      <c r="P1963" s="57" t="n">
        <f aca="false">IF(AND(C1963=Calc!$C$3,OR(Calc!$C$4=0,D1963=Calc!$C$4)),ROW(),0)</f>
        <v>1963</v>
      </c>
    </row>
    <row r="1964" customFormat="false" ht="15" hidden="false" customHeight="false" outlineLevel="0" collapsed="false">
      <c r="A1964" s="57" t="s">
        <v>2513</v>
      </c>
      <c r="B1964" s="58" t="n">
        <v>45827</v>
      </c>
      <c r="C1964" s="57" t="n">
        <f aca="false">YEAR(B1964)</f>
        <v>2025</v>
      </c>
      <c r="D1964" s="57" t="n">
        <f aca="false">MONTH(B1964)</f>
        <v>6</v>
      </c>
      <c r="E1964" s="57" t="s">
        <v>924</v>
      </c>
      <c r="F1964" s="57" t="s">
        <v>72</v>
      </c>
      <c r="G1964" s="57" t="s">
        <v>40</v>
      </c>
      <c r="H1964" s="57" t="s">
        <v>41</v>
      </c>
      <c r="I1964" s="59" t="n">
        <v>1</v>
      </c>
      <c r="J1964" s="60" t="n">
        <v>46</v>
      </c>
      <c r="K1964" s="60" t="n">
        <v>16</v>
      </c>
      <c r="L1964" s="61" t="n">
        <f aca="false">I1964*J1964</f>
        <v>46</v>
      </c>
      <c r="M1964" s="61" t="n">
        <f aca="false">L1964-I1964*K1964</f>
        <v>30</v>
      </c>
      <c r="N1964" s="57" t="n">
        <f aca="false">IF(COUNTIFS(E$2:E1964,E1964,C$2:C1964,C1964)=1,1,0)</f>
        <v>1</v>
      </c>
      <c r="O1964" s="57" t="n">
        <f aca="false">IF(COUNTIFS(E$2:E1964,E1964,C$2:C1964,C1964,D$2:D1964,D1964)=1,1,0)</f>
        <v>1</v>
      </c>
      <c r="P1964" s="57" t="n">
        <f aca="false">IF(AND(C1964=Calc!$C$3,OR(Calc!$C$4=0,D1964=Calc!$C$4)),ROW(),0)</f>
        <v>1964</v>
      </c>
    </row>
    <row r="1965" customFormat="false" ht="15" hidden="false" customHeight="false" outlineLevel="0" collapsed="false">
      <c r="A1965" s="57" t="s">
        <v>2514</v>
      </c>
      <c r="B1965" s="58" t="n">
        <v>45827</v>
      </c>
      <c r="C1965" s="57" t="n">
        <f aca="false">YEAR(B1965)</f>
        <v>2025</v>
      </c>
      <c r="D1965" s="57" t="n">
        <f aca="false">MONTH(B1965)</f>
        <v>6</v>
      </c>
      <c r="E1965" s="57" t="s">
        <v>338</v>
      </c>
      <c r="F1965" s="57" t="s">
        <v>78</v>
      </c>
      <c r="G1965" s="57" t="s">
        <v>35</v>
      </c>
      <c r="H1965" s="57" t="s">
        <v>36</v>
      </c>
      <c r="I1965" s="59" t="n">
        <v>1</v>
      </c>
      <c r="J1965" s="60" t="n">
        <v>179</v>
      </c>
      <c r="K1965" s="60" t="n">
        <v>92</v>
      </c>
      <c r="L1965" s="61" t="n">
        <f aca="false">I1965*J1965</f>
        <v>179</v>
      </c>
      <c r="M1965" s="61" t="n">
        <f aca="false">L1965-I1965*K1965</f>
        <v>87</v>
      </c>
      <c r="N1965" s="57" t="n">
        <f aca="false">IF(COUNTIFS(E$2:E1965,E1965,C$2:C1965,C1965)=1,1,0)</f>
        <v>0</v>
      </c>
      <c r="O1965" s="57" t="n">
        <f aca="false">IF(COUNTIFS(E$2:E1965,E1965,C$2:C1965,C1965,D$2:D1965,D1965)=1,1,0)</f>
        <v>0</v>
      </c>
      <c r="P1965" s="57" t="n">
        <f aca="false">IF(AND(C1965=Calc!$C$3,OR(Calc!$C$4=0,D1965=Calc!$C$4)),ROW(),0)</f>
        <v>1965</v>
      </c>
    </row>
    <row r="1966" customFormat="false" ht="15" hidden="false" customHeight="false" outlineLevel="0" collapsed="false">
      <c r="A1966" s="57" t="s">
        <v>2515</v>
      </c>
      <c r="B1966" s="58" t="n">
        <v>45828</v>
      </c>
      <c r="C1966" s="57" t="n">
        <f aca="false">YEAR(B1966)</f>
        <v>2025</v>
      </c>
      <c r="D1966" s="57" t="n">
        <f aca="false">MONTH(B1966)</f>
        <v>6</v>
      </c>
      <c r="E1966" s="57" t="s">
        <v>275</v>
      </c>
      <c r="F1966" s="57" t="s">
        <v>75</v>
      </c>
      <c r="G1966" s="57" t="s">
        <v>45</v>
      </c>
      <c r="H1966" s="57" t="s">
        <v>44</v>
      </c>
      <c r="I1966" s="59" t="n">
        <v>1</v>
      </c>
      <c r="J1966" s="60" t="n">
        <v>119</v>
      </c>
      <c r="K1966" s="60" t="n">
        <v>63</v>
      </c>
      <c r="L1966" s="61" t="n">
        <f aca="false">I1966*J1966</f>
        <v>119</v>
      </c>
      <c r="M1966" s="61" t="n">
        <f aca="false">L1966-I1966*K1966</f>
        <v>56</v>
      </c>
      <c r="N1966" s="57" t="n">
        <f aca="false">IF(COUNTIFS(E$2:E1966,E1966,C$2:C1966,C1966)=1,1,0)</f>
        <v>0</v>
      </c>
      <c r="O1966" s="57" t="n">
        <f aca="false">IF(COUNTIFS(E$2:E1966,E1966,C$2:C1966,C1966,D$2:D1966,D1966)=1,1,0)</f>
        <v>0</v>
      </c>
      <c r="P1966" s="57" t="n">
        <f aca="false">IF(AND(C1966=Calc!$C$3,OR(Calc!$C$4=0,D1966=Calc!$C$4)),ROW(),0)</f>
        <v>1966</v>
      </c>
    </row>
    <row r="1967" customFormat="false" ht="15" hidden="false" customHeight="false" outlineLevel="0" collapsed="false">
      <c r="A1967" s="57" t="s">
        <v>2516</v>
      </c>
      <c r="B1967" s="58" t="n">
        <v>45828</v>
      </c>
      <c r="C1967" s="57" t="n">
        <f aca="false">YEAR(B1967)</f>
        <v>2025</v>
      </c>
      <c r="D1967" s="57" t="n">
        <f aca="false">MONTH(B1967)</f>
        <v>6</v>
      </c>
      <c r="E1967" s="57" t="s">
        <v>181</v>
      </c>
      <c r="F1967" s="57" t="s">
        <v>69</v>
      </c>
      <c r="G1967" s="57" t="s">
        <v>35</v>
      </c>
      <c r="H1967" s="57" t="s">
        <v>38</v>
      </c>
      <c r="I1967" s="59" t="n">
        <v>2</v>
      </c>
      <c r="J1967" s="60" t="n">
        <v>49</v>
      </c>
      <c r="K1967" s="60" t="n">
        <v>22</v>
      </c>
      <c r="L1967" s="61" t="n">
        <f aca="false">I1967*J1967</f>
        <v>98</v>
      </c>
      <c r="M1967" s="61" t="n">
        <f aca="false">L1967-I1967*K1967</f>
        <v>54</v>
      </c>
      <c r="N1967" s="57" t="n">
        <f aca="false">IF(COUNTIFS(E$2:E1967,E1967,C$2:C1967,C1967)=1,1,0)</f>
        <v>0</v>
      </c>
      <c r="O1967" s="57" t="n">
        <f aca="false">IF(COUNTIFS(E$2:E1967,E1967,C$2:C1967,C1967,D$2:D1967,D1967)=1,1,0)</f>
        <v>1</v>
      </c>
      <c r="P1967" s="57" t="n">
        <f aca="false">IF(AND(C1967=Calc!$C$3,OR(Calc!$C$4=0,D1967=Calc!$C$4)),ROW(),0)</f>
        <v>1967</v>
      </c>
    </row>
    <row r="1968" customFormat="false" ht="15" hidden="false" customHeight="false" outlineLevel="0" collapsed="false">
      <c r="A1968" s="57" t="s">
        <v>2517</v>
      </c>
      <c r="B1968" s="58" t="n">
        <v>45828</v>
      </c>
      <c r="C1968" s="57" t="n">
        <f aca="false">YEAR(B1968)</f>
        <v>2025</v>
      </c>
      <c r="D1968" s="57" t="n">
        <f aca="false">MONTH(B1968)</f>
        <v>6</v>
      </c>
      <c r="E1968" s="57" t="s">
        <v>122</v>
      </c>
      <c r="F1968" s="57" t="s">
        <v>81</v>
      </c>
      <c r="G1968" s="57" t="s">
        <v>35</v>
      </c>
      <c r="H1968" s="57" t="s">
        <v>38</v>
      </c>
      <c r="I1968" s="59" t="n">
        <v>1</v>
      </c>
      <c r="J1968" s="60" t="n">
        <v>49</v>
      </c>
      <c r="K1968" s="60" t="n">
        <v>22</v>
      </c>
      <c r="L1968" s="61" t="n">
        <f aca="false">I1968*J1968</f>
        <v>49</v>
      </c>
      <c r="M1968" s="61" t="n">
        <f aca="false">L1968-I1968*K1968</f>
        <v>27</v>
      </c>
      <c r="N1968" s="57" t="n">
        <f aca="false">IF(COUNTIFS(E$2:E1968,E1968,C$2:C1968,C1968)=1,1,0)</f>
        <v>0</v>
      </c>
      <c r="O1968" s="57" t="n">
        <f aca="false">IF(COUNTIFS(E$2:E1968,E1968,C$2:C1968,C1968,D$2:D1968,D1968)=1,1,0)</f>
        <v>1</v>
      </c>
      <c r="P1968" s="57" t="n">
        <f aca="false">IF(AND(C1968=Calc!$C$3,OR(Calc!$C$4=0,D1968=Calc!$C$4)),ROW(),0)</f>
        <v>1968</v>
      </c>
    </row>
    <row r="1969" customFormat="false" ht="15" hidden="false" customHeight="false" outlineLevel="0" collapsed="false">
      <c r="A1969" s="57" t="s">
        <v>2518</v>
      </c>
      <c r="B1969" s="58" t="n">
        <v>45828</v>
      </c>
      <c r="C1969" s="57" t="n">
        <f aca="false">YEAR(B1969)</f>
        <v>2025</v>
      </c>
      <c r="D1969" s="57" t="n">
        <f aca="false">MONTH(B1969)</f>
        <v>6</v>
      </c>
      <c r="E1969" s="57" t="s">
        <v>265</v>
      </c>
      <c r="F1969" s="57" t="s">
        <v>78</v>
      </c>
      <c r="G1969" s="57" t="s">
        <v>35</v>
      </c>
      <c r="H1969" s="57" t="s">
        <v>38</v>
      </c>
      <c r="I1969" s="59" t="n">
        <v>1</v>
      </c>
      <c r="J1969" s="60" t="n">
        <v>49</v>
      </c>
      <c r="K1969" s="60" t="n">
        <v>22</v>
      </c>
      <c r="L1969" s="61" t="n">
        <f aca="false">I1969*J1969</f>
        <v>49</v>
      </c>
      <c r="M1969" s="61" t="n">
        <f aca="false">L1969-I1969*K1969</f>
        <v>27</v>
      </c>
      <c r="N1969" s="57" t="n">
        <f aca="false">IF(COUNTIFS(E$2:E1969,E1969,C$2:C1969,C1969)=1,1,0)</f>
        <v>1</v>
      </c>
      <c r="O1969" s="57" t="n">
        <f aca="false">IF(COUNTIFS(E$2:E1969,E1969,C$2:C1969,C1969,D$2:D1969,D1969)=1,1,0)</f>
        <v>1</v>
      </c>
      <c r="P1969" s="57" t="n">
        <f aca="false">IF(AND(C1969=Calc!$C$3,OR(Calc!$C$4=0,D1969=Calc!$C$4)),ROW(),0)</f>
        <v>1969</v>
      </c>
    </row>
    <row r="1970" customFormat="false" ht="15" hidden="false" customHeight="false" outlineLevel="0" collapsed="false">
      <c r="A1970" s="57" t="s">
        <v>2519</v>
      </c>
      <c r="B1970" s="58" t="n">
        <v>45829</v>
      </c>
      <c r="C1970" s="57" t="n">
        <f aca="false">YEAR(B1970)</f>
        <v>2025</v>
      </c>
      <c r="D1970" s="57" t="n">
        <f aca="false">MONTH(B1970)</f>
        <v>6</v>
      </c>
      <c r="E1970" s="57" t="s">
        <v>372</v>
      </c>
      <c r="F1970" s="57" t="s">
        <v>81</v>
      </c>
      <c r="G1970" s="57" t="s">
        <v>35</v>
      </c>
      <c r="H1970" s="57" t="s">
        <v>36</v>
      </c>
      <c r="I1970" s="59" t="n">
        <v>1</v>
      </c>
      <c r="J1970" s="60" t="n">
        <v>179</v>
      </c>
      <c r="K1970" s="60" t="n">
        <v>92</v>
      </c>
      <c r="L1970" s="61" t="n">
        <f aca="false">I1970*J1970</f>
        <v>179</v>
      </c>
      <c r="M1970" s="61" t="n">
        <f aca="false">L1970-I1970*K1970</f>
        <v>87</v>
      </c>
      <c r="N1970" s="57" t="n">
        <f aca="false">IF(COUNTIFS(E$2:E1970,E1970,C$2:C1970,C1970)=1,1,0)</f>
        <v>0</v>
      </c>
      <c r="O1970" s="57" t="n">
        <f aca="false">IF(COUNTIFS(E$2:E1970,E1970,C$2:C1970,C1970,D$2:D1970,D1970)=1,1,0)</f>
        <v>1</v>
      </c>
      <c r="P1970" s="57" t="n">
        <f aca="false">IF(AND(C1970=Calc!$C$3,OR(Calc!$C$4=0,D1970=Calc!$C$4)),ROW(),0)</f>
        <v>1970</v>
      </c>
    </row>
    <row r="1971" customFormat="false" ht="15" hidden="false" customHeight="false" outlineLevel="0" collapsed="false">
      <c r="A1971" s="57" t="s">
        <v>2520</v>
      </c>
      <c r="B1971" s="58" t="n">
        <v>45829</v>
      </c>
      <c r="C1971" s="57" t="n">
        <f aca="false">YEAR(B1971)</f>
        <v>2025</v>
      </c>
      <c r="D1971" s="57" t="n">
        <f aca="false">MONTH(B1971)</f>
        <v>6</v>
      </c>
      <c r="E1971" s="57" t="s">
        <v>265</v>
      </c>
      <c r="F1971" s="57" t="s">
        <v>78</v>
      </c>
      <c r="G1971" s="57" t="s">
        <v>35</v>
      </c>
      <c r="H1971" s="57" t="s">
        <v>38</v>
      </c>
      <c r="I1971" s="59" t="n">
        <v>1</v>
      </c>
      <c r="J1971" s="60" t="n">
        <v>49</v>
      </c>
      <c r="K1971" s="60" t="n">
        <v>22</v>
      </c>
      <c r="L1971" s="61" t="n">
        <f aca="false">I1971*J1971</f>
        <v>49</v>
      </c>
      <c r="M1971" s="61" t="n">
        <f aca="false">L1971-I1971*K1971</f>
        <v>27</v>
      </c>
      <c r="N1971" s="57" t="n">
        <f aca="false">IF(COUNTIFS(E$2:E1971,E1971,C$2:C1971,C1971)=1,1,0)</f>
        <v>0</v>
      </c>
      <c r="O1971" s="57" t="n">
        <f aca="false">IF(COUNTIFS(E$2:E1971,E1971,C$2:C1971,C1971,D$2:D1971,D1971)=1,1,0)</f>
        <v>0</v>
      </c>
      <c r="P1971" s="57" t="n">
        <f aca="false">IF(AND(C1971=Calc!$C$3,OR(Calc!$C$4=0,D1971=Calc!$C$4)),ROW(),0)</f>
        <v>1971</v>
      </c>
    </row>
    <row r="1972" customFormat="false" ht="15" hidden="false" customHeight="false" outlineLevel="0" collapsed="false">
      <c r="A1972" s="57" t="s">
        <v>2521</v>
      </c>
      <c r="B1972" s="58" t="n">
        <v>45829</v>
      </c>
      <c r="C1972" s="57" t="n">
        <f aca="false">YEAR(B1972)</f>
        <v>2025</v>
      </c>
      <c r="D1972" s="57" t="n">
        <f aca="false">MONTH(B1972)</f>
        <v>6</v>
      </c>
      <c r="E1972" s="57" t="s">
        <v>357</v>
      </c>
      <c r="F1972" s="57" t="s">
        <v>69</v>
      </c>
      <c r="G1972" s="57" t="s">
        <v>45</v>
      </c>
      <c r="H1972" s="57" t="s">
        <v>47</v>
      </c>
      <c r="I1972" s="59" t="n">
        <v>2</v>
      </c>
      <c r="J1972" s="60" t="n">
        <v>34</v>
      </c>
      <c r="K1972" s="60" t="n">
        <v>12</v>
      </c>
      <c r="L1972" s="61" t="n">
        <f aca="false">I1972*J1972</f>
        <v>68</v>
      </c>
      <c r="M1972" s="61" t="n">
        <f aca="false">L1972-I1972*K1972</f>
        <v>44</v>
      </c>
      <c r="N1972" s="57" t="n">
        <f aca="false">IF(COUNTIFS(E$2:E1972,E1972,C$2:C1972,C1972)=1,1,0)</f>
        <v>1</v>
      </c>
      <c r="O1972" s="57" t="n">
        <f aca="false">IF(COUNTIFS(E$2:E1972,E1972,C$2:C1972,C1972,D$2:D1972,D1972)=1,1,0)</f>
        <v>1</v>
      </c>
      <c r="P1972" s="57" t="n">
        <f aca="false">IF(AND(C1972=Calc!$C$3,OR(Calc!$C$4=0,D1972=Calc!$C$4)),ROW(),0)</f>
        <v>1972</v>
      </c>
    </row>
    <row r="1973" customFormat="false" ht="15" hidden="false" customHeight="false" outlineLevel="0" collapsed="false">
      <c r="A1973" s="57" t="s">
        <v>2522</v>
      </c>
      <c r="B1973" s="58" t="n">
        <v>45829</v>
      </c>
      <c r="C1973" s="57" t="n">
        <f aca="false">YEAR(B1973)</f>
        <v>2025</v>
      </c>
      <c r="D1973" s="57" t="n">
        <f aca="false">MONTH(B1973)</f>
        <v>6</v>
      </c>
      <c r="E1973" s="57" t="s">
        <v>175</v>
      </c>
      <c r="F1973" s="57" t="s">
        <v>75</v>
      </c>
      <c r="G1973" s="57" t="s">
        <v>35</v>
      </c>
      <c r="H1973" s="57" t="s">
        <v>34</v>
      </c>
      <c r="I1973" s="59" t="n">
        <v>1</v>
      </c>
      <c r="J1973" s="60" t="n">
        <v>89</v>
      </c>
      <c r="K1973" s="60" t="n">
        <v>41</v>
      </c>
      <c r="L1973" s="61" t="n">
        <f aca="false">I1973*J1973</f>
        <v>89</v>
      </c>
      <c r="M1973" s="61" t="n">
        <f aca="false">L1973-I1973*K1973</f>
        <v>48</v>
      </c>
      <c r="N1973" s="57" t="n">
        <f aca="false">IF(COUNTIFS(E$2:E1973,E1973,C$2:C1973,C1973)=1,1,0)</f>
        <v>1</v>
      </c>
      <c r="O1973" s="57" t="n">
        <f aca="false">IF(COUNTIFS(E$2:E1973,E1973,C$2:C1973,C1973,D$2:D1973,D1973)=1,1,0)</f>
        <v>1</v>
      </c>
      <c r="P1973" s="57" t="n">
        <f aca="false">IF(AND(C1973=Calc!$C$3,OR(Calc!$C$4=0,D1973=Calc!$C$4)),ROW(),0)</f>
        <v>1973</v>
      </c>
    </row>
    <row r="1974" customFormat="false" ht="15" hidden="false" customHeight="false" outlineLevel="0" collapsed="false">
      <c r="A1974" s="57" t="s">
        <v>2523</v>
      </c>
      <c r="B1974" s="58" t="n">
        <v>45830</v>
      </c>
      <c r="C1974" s="57" t="n">
        <f aca="false">YEAR(B1974)</f>
        <v>2025</v>
      </c>
      <c r="D1974" s="57" t="n">
        <f aca="false">MONTH(B1974)</f>
        <v>6</v>
      </c>
      <c r="E1974" s="57" t="s">
        <v>629</v>
      </c>
      <c r="F1974" s="57" t="s">
        <v>78</v>
      </c>
      <c r="G1974" s="57" t="s">
        <v>35</v>
      </c>
      <c r="H1974" s="57" t="s">
        <v>37</v>
      </c>
      <c r="I1974" s="59" t="n">
        <v>1</v>
      </c>
      <c r="J1974" s="60" t="n">
        <v>59</v>
      </c>
      <c r="K1974" s="60" t="n">
        <v>27</v>
      </c>
      <c r="L1974" s="61" t="n">
        <f aca="false">I1974*J1974</f>
        <v>59</v>
      </c>
      <c r="M1974" s="61" t="n">
        <f aca="false">L1974-I1974*K1974</f>
        <v>32</v>
      </c>
      <c r="N1974" s="57" t="n">
        <f aca="false">IF(COUNTIFS(E$2:E1974,E1974,C$2:C1974,C1974)=1,1,0)</f>
        <v>0</v>
      </c>
      <c r="O1974" s="57" t="n">
        <f aca="false">IF(COUNTIFS(E$2:E1974,E1974,C$2:C1974,C1974,D$2:D1974,D1974)=1,1,0)</f>
        <v>1</v>
      </c>
      <c r="P1974" s="57" t="n">
        <f aca="false">IF(AND(C1974=Calc!$C$3,OR(Calc!$C$4=0,D1974=Calc!$C$4)),ROW(),0)</f>
        <v>1974</v>
      </c>
    </row>
    <row r="1975" customFormat="false" ht="15" hidden="false" customHeight="false" outlineLevel="0" collapsed="false">
      <c r="A1975" s="57" t="s">
        <v>2524</v>
      </c>
      <c r="B1975" s="58" t="n">
        <v>45830</v>
      </c>
      <c r="C1975" s="57" t="n">
        <f aca="false">YEAR(B1975)</f>
        <v>2025</v>
      </c>
      <c r="D1975" s="57" t="n">
        <f aca="false">MONTH(B1975)</f>
        <v>6</v>
      </c>
      <c r="E1975" s="57" t="s">
        <v>660</v>
      </c>
      <c r="F1975" s="57" t="s">
        <v>78</v>
      </c>
      <c r="G1975" s="57" t="s">
        <v>45</v>
      </c>
      <c r="H1975" s="57" t="s">
        <v>47</v>
      </c>
      <c r="I1975" s="59" t="n">
        <v>1</v>
      </c>
      <c r="J1975" s="60" t="n">
        <v>34</v>
      </c>
      <c r="K1975" s="60" t="n">
        <v>12</v>
      </c>
      <c r="L1975" s="61" t="n">
        <f aca="false">I1975*J1975</f>
        <v>34</v>
      </c>
      <c r="M1975" s="61" t="n">
        <f aca="false">L1975-I1975*K1975</f>
        <v>22</v>
      </c>
      <c r="N1975" s="57" t="n">
        <f aca="false">IF(COUNTIFS(E$2:E1975,E1975,C$2:C1975,C1975)=1,1,0)</f>
        <v>1</v>
      </c>
      <c r="O1975" s="57" t="n">
        <f aca="false">IF(COUNTIFS(E$2:E1975,E1975,C$2:C1975,C1975,D$2:D1975,D1975)=1,1,0)</f>
        <v>1</v>
      </c>
      <c r="P1975" s="57" t="n">
        <f aca="false">IF(AND(C1975=Calc!$C$3,OR(Calc!$C$4=0,D1975=Calc!$C$4)),ROW(),0)</f>
        <v>1975</v>
      </c>
    </row>
    <row r="1976" customFormat="false" ht="15" hidden="false" customHeight="false" outlineLevel="0" collapsed="false">
      <c r="A1976" s="57" t="s">
        <v>2525</v>
      </c>
      <c r="B1976" s="58" t="n">
        <v>45830</v>
      </c>
      <c r="C1976" s="57" t="n">
        <f aca="false">YEAR(B1976)</f>
        <v>2025</v>
      </c>
      <c r="D1976" s="57" t="n">
        <f aca="false">MONTH(B1976)</f>
        <v>6</v>
      </c>
      <c r="E1976" s="57" t="s">
        <v>530</v>
      </c>
      <c r="F1976" s="57" t="s">
        <v>72</v>
      </c>
      <c r="G1976" s="57" t="s">
        <v>45</v>
      </c>
      <c r="H1976" s="57" t="s">
        <v>47</v>
      </c>
      <c r="I1976" s="59" t="n">
        <v>1</v>
      </c>
      <c r="J1976" s="60" t="n">
        <v>34</v>
      </c>
      <c r="K1976" s="60" t="n">
        <v>12</v>
      </c>
      <c r="L1976" s="61" t="n">
        <f aca="false">I1976*J1976</f>
        <v>34</v>
      </c>
      <c r="M1976" s="61" t="n">
        <f aca="false">L1976-I1976*K1976</f>
        <v>22</v>
      </c>
      <c r="N1976" s="57" t="n">
        <f aca="false">IF(COUNTIFS(E$2:E1976,E1976,C$2:C1976,C1976)=1,1,0)</f>
        <v>0</v>
      </c>
      <c r="O1976" s="57" t="n">
        <f aca="false">IF(COUNTIFS(E$2:E1976,E1976,C$2:C1976,C1976,D$2:D1976,D1976)=1,1,0)</f>
        <v>0</v>
      </c>
      <c r="P1976" s="57" t="n">
        <f aca="false">IF(AND(C1976=Calc!$C$3,OR(Calc!$C$4=0,D1976=Calc!$C$4)),ROW(),0)</f>
        <v>1976</v>
      </c>
    </row>
    <row r="1977" customFormat="false" ht="15" hidden="false" customHeight="false" outlineLevel="0" collapsed="false">
      <c r="A1977" s="57" t="s">
        <v>2526</v>
      </c>
      <c r="B1977" s="58" t="n">
        <v>45831</v>
      </c>
      <c r="C1977" s="57" t="n">
        <f aca="false">YEAR(B1977)</f>
        <v>2025</v>
      </c>
      <c r="D1977" s="57" t="n">
        <f aca="false">MONTH(B1977)</f>
        <v>6</v>
      </c>
      <c r="E1977" s="57" t="s">
        <v>170</v>
      </c>
      <c r="F1977" s="57" t="s">
        <v>69</v>
      </c>
      <c r="G1977" s="57" t="s">
        <v>45</v>
      </c>
      <c r="H1977" s="57" t="s">
        <v>46</v>
      </c>
      <c r="I1977" s="59" t="n">
        <v>3</v>
      </c>
      <c r="J1977" s="60" t="n">
        <v>149</v>
      </c>
      <c r="K1977" s="60" t="n">
        <v>71</v>
      </c>
      <c r="L1977" s="61" t="n">
        <f aca="false">I1977*J1977</f>
        <v>447</v>
      </c>
      <c r="M1977" s="61" t="n">
        <f aca="false">L1977-I1977*K1977</f>
        <v>234</v>
      </c>
      <c r="N1977" s="57" t="n">
        <f aca="false">IF(COUNTIFS(E$2:E1977,E1977,C$2:C1977,C1977)=1,1,0)</f>
        <v>0</v>
      </c>
      <c r="O1977" s="57" t="n">
        <f aca="false">IF(COUNTIFS(E$2:E1977,E1977,C$2:C1977,C1977,D$2:D1977,D1977)=1,1,0)</f>
        <v>0</v>
      </c>
      <c r="P1977" s="57" t="n">
        <f aca="false">IF(AND(C1977=Calc!$C$3,OR(Calc!$C$4=0,D1977=Calc!$C$4)),ROW(),0)</f>
        <v>1977</v>
      </c>
    </row>
    <row r="1978" customFormat="false" ht="15" hidden="false" customHeight="false" outlineLevel="0" collapsed="false">
      <c r="A1978" s="57" t="s">
        <v>2527</v>
      </c>
      <c r="B1978" s="58" t="n">
        <v>45831</v>
      </c>
      <c r="C1978" s="57" t="n">
        <f aca="false">YEAR(B1978)</f>
        <v>2025</v>
      </c>
      <c r="D1978" s="57" t="n">
        <f aca="false">MONTH(B1978)</f>
        <v>6</v>
      </c>
      <c r="E1978" s="57" t="s">
        <v>1759</v>
      </c>
      <c r="F1978" s="57" t="s">
        <v>72</v>
      </c>
      <c r="G1978" s="57" t="s">
        <v>54</v>
      </c>
      <c r="H1978" s="57" t="s">
        <v>56</v>
      </c>
      <c r="I1978" s="59" t="n">
        <v>2</v>
      </c>
      <c r="J1978" s="60" t="n">
        <v>42</v>
      </c>
      <c r="K1978" s="60" t="n">
        <v>17</v>
      </c>
      <c r="L1978" s="61" t="n">
        <f aca="false">I1978*J1978</f>
        <v>84</v>
      </c>
      <c r="M1978" s="61" t="n">
        <f aca="false">L1978-I1978*K1978</f>
        <v>50</v>
      </c>
      <c r="N1978" s="57" t="n">
        <f aca="false">IF(COUNTIFS(E$2:E1978,E1978,C$2:C1978,C1978)=1,1,0)</f>
        <v>0</v>
      </c>
      <c r="O1978" s="57" t="n">
        <f aca="false">IF(COUNTIFS(E$2:E1978,E1978,C$2:C1978,C1978,D$2:D1978,D1978)=1,1,0)</f>
        <v>1</v>
      </c>
      <c r="P1978" s="57" t="n">
        <f aca="false">IF(AND(C1978=Calc!$C$3,OR(Calc!$C$4=0,D1978=Calc!$C$4)),ROW(),0)</f>
        <v>1978</v>
      </c>
    </row>
    <row r="1979" customFormat="false" ht="15" hidden="false" customHeight="false" outlineLevel="0" collapsed="false">
      <c r="A1979" s="57" t="s">
        <v>2528</v>
      </c>
      <c r="B1979" s="58" t="n">
        <v>45831</v>
      </c>
      <c r="C1979" s="57" t="n">
        <f aca="false">YEAR(B1979)</f>
        <v>2025</v>
      </c>
      <c r="D1979" s="57" t="n">
        <f aca="false">MONTH(B1979)</f>
        <v>6</v>
      </c>
      <c r="E1979" s="57" t="s">
        <v>2529</v>
      </c>
      <c r="F1979" s="57" t="s">
        <v>69</v>
      </c>
      <c r="G1979" s="57" t="s">
        <v>35</v>
      </c>
      <c r="H1979" s="57" t="s">
        <v>37</v>
      </c>
      <c r="I1979" s="59" t="n">
        <v>1</v>
      </c>
      <c r="J1979" s="60" t="n">
        <v>59</v>
      </c>
      <c r="K1979" s="60" t="n">
        <v>27</v>
      </c>
      <c r="L1979" s="61" t="n">
        <f aca="false">I1979*J1979</f>
        <v>59</v>
      </c>
      <c r="M1979" s="61" t="n">
        <f aca="false">L1979-I1979*K1979</f>
        <v>32</v>
      </c>
      <c r="N1979" s="57" t="n">
        <f aca="false">IF(COUNTIFS(E$2:E1979,E1979,C$2:C1979,C1979)=1,1,0)</f>
        <v>1</v>
      </c>
      <c r="O1979" s="57" t="n">
        <f aca="false">IF(COUNTIFS(E$2:E1979,E1979,C$2:C1979,C1979,D$2:D1979,D1979)=1,1,0)</f>
        <v>1</v>
      </c>
      <c r="P1979" s="57" t="n">
        <f aca="false">IF(AND(C1979=Calc!$C$3,OR(Calc!$C$4=0,D1979=Calc!$C$4)),ROW(),0)</f>
        <v>1979</v>
      </c>
    </row>
    <row r="1980" customFormat="false" ht="15" hidden="false" customHeight="false" outlineLevel="0" collapsed="false">
      <c r="A1980" s="57" t="s">
        <v>2530</v>
      </c>
      <c r="B1980" s="58" t="n">
        <v>45831</v>
      </c>
      <c r="C1980" s="57" t="n">
        <f aca="false">YEAR(B1980)</f>
        <v>2025</v>
      </c>
      <c r="D1980" s="57" t="n">
        <f aca="false">MONTH(B1980)</f>
        <v>6</v>
      </c>
      <c r="E1980" s="57" t="s">
        <v>355</v>
      </c>
      <c r="F1980" s="57" t="s">
        <v>78</v>
      </c>
      <c r="G1980" s="57" t="s">
        <v>40</v>
      </c>
      <c r="H1980" s="57" t="s">
        <v>43</v>
      </c>
      <c r="I1980" s="59" t="n">
        <v>1</v>
      </c>
      <c r="J1980" s="60" t="n">
        <v>29</v>
      </c>
      <c r="K1980" s="60" t="n">
        <v>9</v>
      </c>
      <c r="L1980" s="61" t="n">
        <f aca="false">I1980*J1980</f>
        <v>29</v>
      </c>
      <c r="M1980" s="61" t="n">
        <f aca="false">L1980-I1980*K1980</f>
        <v>20</v>
      </c>
      <c r="N1980" s="57" t="n">
        <f aca="false">IF(COUNTIFS(E$2:E1980,E1980,C$2:C1980,C1980)=1,1,0)</f>
        <v>0</v>
      </c>
      <c r="O1980" s="57" t="n">
        <f aca="false">IF(COUNTIFS(E$2:E1980,E1980,C$2:C1980,C1980,D$2:D1980,D1980)=1,1,0)</f>
        <v>1</v>
      </c>
      <c r="P1980" s="57" t="n">
        <f aca="false">IF(AND(C1980=Calc!$C$3,OR(Calc!$C$4=0,D1980=Calc!$C$4)),ROW(),0)</f>
        <v>1980</v>
      </c>
    </row>
    <row r="1981" customFormat="false" ht="15" hidden="false" customHeight="false" outlineLevel="0" collapsed="false">
      <c r="A1981" s="57" t="s">
        <v>2531</v>
      </c>
      <c r="B1981" s="58" t="n">
        <v>45831</v>
      </c>
      <c r="C1981" s="57" t="n">
        <f aca="false">YEAR(B1981)</f>
        <v>2025</v>
      </c>
      <c r="D1981" s="57" t="n">
        <f aca="false">MONTH(B1981)</f>
        <v>6</v>
      </c>
      <c r="E1981" s="57" t="s">
        <v>1206</v>
      </c>
      <c r="F1981" s="57" t="s">
        <v>75</v>
      </c>
      <c r="G1981" s="57" t="s">
        <v>50</v>
      </c>
      <c r="H1981" s="57" t="s">
        <v>51</v>
      </c>
      <c r="I1981" s="59" t="n">
        <v>1</v>
      </c>
      <c r="J1981" s="60" t="n">
        <v>69</v>
      </c>
      <c r="K1981" s="60" t="n">
        <v>29</v>
      </c>
      <c r="L1981" s="61" t="n">
        <f aca="false">I1981*J1981</f>
        <v>69</v>
      </c>
      <c r="M1981" s="61" t="n">
        <f aca="false">L1981-I1981*K1981</f>
        <v>40</v>
      </c>
      <c r="N1981" s="57" t="n">
        <f aca="false">IF(COUNTIFS(E$2:E1981,E1981,C$2:C1981,C1981)=1,1,0)</f>
        <v>0</v>
      </c>
      <c r="O1981" s="57" t="n">
        <f aca="false">IF(COUNTIFS(E$2:E1981,E1981,C$2:C1981,C1981,D$2:D1981,D1981)=1,1,0)</f>
        <v>1</v>
      </c>
      <c r="P1981" s="57" t="n">
        <f aca="false">IF(AND(C1981=Calc!$C$3,OR(Calc!$C$4=0,D1981=Calc!$C$4)),ROW(),0)</f>
        <v>1981</v>
      </c>
    </row>
    <row r="1982" customFormat="false" ht="15" hidden="false" customHeight="false" outlineLevel="0" collapsed="false">
      <c r="A1982" s="57" t="s">
        <v>2532</v>
      </c>
      <c r="B1982" s="58" t="n">
        <v>45832</v>
      </c>
      <c r="C1982" s="57" t="n">
        <f aca="false">YEAR(B1982)</f>
        <v>2025</v>
      </c>
      <c r="D1982" s="57" t="n">
        <f aca="false">MONTH(B1982)</f>
        <v>6</v>
      </c>
      <c r="E1982" s="57" t="s">
        <v>137</v>
      </c>
      <c r="F1982" s="57" t="s">
        <v>75</v>
      </c>
      <c r="G1982" s="57" t="s">
        <v>35</v>
      </c>
      <c r="H1982" s="57" t="s">
        <v>36</v>
      </c>
      <c r="I1982" s="59" t="n">
        <v>1</v>
      </c>
      <c r="J1982" s="60" t="n">
        <v>179</v>
      </c>
      <c r="K1982" s="60" t="n">
        <v>92</v>
      </c>
      <c r="L1982" s="61" t="n">
        <f aca="false">I1982*J1982</f>
        <v>179</v>
      </c>
      <c r="M1982" s="61" t="n">
        <f aca="false">L1982-I1982*K1982</f>
        <v>87</v>
      </c>
      <c r="N1982" s="57" t="n">
        <f aca="false">IF(COUNTIFS(E$2:E1982,E1982,C$2:C1982,C1982)=1,1,0)</f>
        <v>1</v>
      </c>
      <c r="O1982" s="57" t="n">
        <f aca="false">IF(COUNTIFS(E$2:E1982,E1982,C$2:C1982,C1982,D$2:D1982,D1982)=1,1,0)</f>
        <v>1</v>
      </c>
      <c r="P1982" s="57" t="n">
        <f aca="false">IF(AND(C1982=Calc!$C$3,OR(Calc!$C$4=0,D1982=Calc!$C$4)),ROW(),0)</f>
        <v>1982</v>
      </c>
    </row>
    <row r="1983" customFormat="false" ht="15" hidden="false" customHeight="false" outlineLevel="0" collapsed="false">
      <c r="A1983" s="57" t="s">
        <v>2533</v>
      </c>
      <c r="B1983" s="58" t="n">
        <v>45832</v>
      </c>
      <c r="C1983" s="57" t="n">
        <f aca="false">YEAR(B1983)</f>
        <v>2025</v>
      </c>
      <c r="D1983" s="57" t="n">
        <f aca="false">MONTH(B1983)</f>
        <v>6</v>
      </c>
      <c r="E1983" s="57" t="s">
        <v>1446</v>
      </c>
      <c r="F1983" s="57" t="s">
        <v>78</v>
      </c>
      <c r="G1983" s="57" t="s">
        <v>54</v>
      </c>
      <c r="H1983" s="57" t="s">
        <v>53</v>
      </c>
      <c r="I1983" s="59" t="n">
        <v>1</v>
      </c>
      <c r="J1983" s="60" t="n">
        <v>39</v>
      </c>
      <c r="K1983" s="60" t="n">
        <v>13</v>
      </c>
      <c r="L1983" s="61" t="n">
        <f aca="false">I1983*J1983</f>
        <v>39</v>
      </c>
      <c r="M1983" s="61" t="n">
        <f aca="false">L1983-I1983*K1983</f>
        <v>26</v>
      </c>
      <c r="N1983" s="57" t="n">
        <f aca="false">IF(COUNTIFS(E$2:E1983,E1983,C$2:C1983,C1983)=1,1,0)</f>
        <v>0</v>
      </c>
      <c r="O1983" s="57" t="n">
        <f aca="false">IF(COUNTIFS(E$2:E1983,E1983,C$2:C1983,C1983,D$2:D1983,D1983)=1,1,0)</f>
        <v>1</v>
      </c>
      <c r="P1983" s="57" t="n">
        <f aca="false">IF(AND(C1983=Calc!$C$3,OR(Calc!$C$4=0,D1983=Calc!$C$4)),ROW(),0)</f>
        <v>1983</v>
      </c>
    </row>
    <row r="1984" customFormat="false" ht="15" hidden="false" customHeight="false" outlineLevel="0" collapsed="false">
      <c r="A1984" s="57" t="s">
        <v>2534</v>
      </c>
      <c r="B1984" s="58" t="n">
        <v>45832</v>
      </c>
      <c r="C1984" s="57" t="n">
        <f aca="false">YEAR(B1984)</f>
        <v>2025</v>
      </c>
      <c r="D1984" s="57" t="n">
        <f aca="false">MONTH(B1984)</f>
        <v>6</v>
      </c>
      <c r="E1984" s="57" t="s">
        <v>1728</v>
      </c>
      <c r="F1984" s="57" t="s">
        <v>75</v>
      </c>
      <c r="G1984" s="57" t="s">
        <v>35</v>
      </c>
      <c r="H1984" s="57" t="s">
        <v>36</v>
      </c>
      <c r="I1984" s="59" t="n">
        <v>1</v>
      </c>
      <c r="J1984" s="60" t="n">
        <v>179</v>
      </c>
      <c r="K1984" s="60" t="n">
        <v>92</v>
      </c>
      <c r="L1984" s="61" t="n">
        <f aca="false">I1984*J1984</f>
        <v>179</v>
      </c>
      <c r="M1984" s="61" t="n">
        <f aca="false">L1984-I1984*K1984</f>
        <v>87</v>
      </c>
      <c r="N1984" s="57" t="n">
        <f aca="false">IF(COUNTIFS(E$2:E1984,E1984,C$2:C1984,C1984)=1,1,0)</f>
        <v>0</v>
      </c>
      <c r="O1984" s="57" t="n">
        <f aca="false">IF(COUNTIFS(E$2:E1984,E1984,C$2:C1984,C1984,D$2:D1984,D1984)=1,1,0)</f>
        <v>0</v>
      </c>
      <c r="P1984" s="57" t="n">
        <f aca="false">IF(AND(C1984=Calc!$C$3,OR(Calc!$C$4=0,D1984=Calc!$C$4)),ROW(),0)</f>
        <v>1984</v>
      </c>
    </row>
    <row r="1985" customFormat="false" ht="15" hidden="false" customHeight="false" outlineLevel="0" collapsed="false">
      <c r="A1985" s="57" t="s">
        <v>2535</v>
      </c>
      <c r="B1985" s="58" t="n">
        <v>45832</v>
      </c>
      <c r="C1985" s="57" t="n">
        <f aca="false">YEAR(B1985)</f>
        <v>2025</v>
      </c>
      <c r="D1985" s="57" t="n">
        <f aca="false">MONTH(B1985)</f>
        <v>6</v>
      </c>
      <c r="E1985" s="57" t="s">
        <v>498</v>
      </c>
      <c r="F1985" s="57" t="s">
        <v>78</v>
      </c>
      <c r="G1985" s="57" t="s">
        <v>45</v>
      </c>
      <c r="H1985" s="57" t="s">
        <v>44</v>
      </c>
      <c r="I1985" s="59" t="n">
        <v>2</v>
      </c>
      <c r="J1985" s="60" t="n">
        <v>119</v>
      </c>
      <c r="K1985" s="60" t="n">
        <v>63</v>
      </c>
      <c r="L1985" s="61" t="n">
        <f aca="false">I1985*J1985</f>
        <v>238</v>
      </c>
      <c r="M1985" s="61" t="n">
        <f aca="false">L1985-I1985*K1985</f>
        <v>112</v>
      </c>
      <c r="N1985" s="57" t="n">
        <f aca="false">IF(COUNTIFS(E$2:E1985,E1985,C$2:C1985,C1985)=1,1,0)</f>
        <v>0</v>
      </c>
      <c r="O1985" s="57" t="n">
        <f aca="false">IF(COUNTIFS(E$2:E1985,E1985,C$2:C1985,C1985,D$2:D1985,D1985)=1,1,0)</f>
        <v>1</v>
      </c>
      <c r="P1985" s="57" t="n">
        <f aca="false">IF(AND(C1985=Calc!$C$3,OR(Calc!$C$4=0,D1985=Calc!$C$4)),ROW(),0)</f>
        <v>1985</v>
      </c>
    </row>
    <row r="1986" customFormat="false" ht="15" hidden="false" customHeight="false" outlineLevel="0" collapsed="false">
      <c r="A1986" s="57" t="s">
        <v>2536</v>
      </c>
      <c r="B1986" s="58" t="n">
        <v>45832</v>
      </c>
      <c r="C1986" s="57" t="n">
        <f aca="false">YEAR(B1986)</f>
        <v>2025</v>
      </c>
      <c r="D1986" s="57" t="n">
        <f aca="false">MONTH(B1986)</f>
        <v>6</v>
      </c>
      <c r="E1986" s="57" t="s">
        <v>914</v>
      </c>
      <c r="F1986" s="57" t="s">
        <v>75</v>
      </c>
      <c r="G1986" s="57" t="s">
        <v>45</v>
      </c>
      <c r="H1986" s="57" t="s">
        <v>47</v>
      </c>
      <c r="I1986" s="59" t="n">
        <v>1</v>
      </c>
      <c r="J1986" s="60" t="n">
        <v>34</v>
      </c>
      <c r="K1986" s="60" t="n">
        <v>12</v>
      </c>
      <c r="L1986" s="61" t="n">
        <f aca="false">I1986*J1986</f>
        <v>34</v>
      </c>
      <c r="M1986" s="61" t="n">
        <f aca="false">L1986-I1986*K1986</f>
        <v>22</v>
      </c>
      <c r="N1986" s="57" t="n">
        <f aca="false">IF(COUNTIFS(E$2:E1986,E1986,C$2:C1986,C1986)=1,1,0)</f>
        <v>0</v>
      </c>
      <c r="O1986" s="57" t="n">
        <f aca="false">IF(COUNTIFS(E$2:E1986,E1986,C$2:C1986,C1986,D$2:D1986,D1986)=1,1,0)</f>
        <v>1</v>
      </c>
      <c r="P1986" s="57" t="n">
        <f aca="false">IF(AND(C1986=Calc!$C$3,OR(Calc!$C$4=0,D1986=Calc!$C$4)),ROW(),0)</f>
        <v>1986</v>
      </c>
    </row>
    <row r="1987" customFormat="false" ht="15" hidden="false" customHeight="false" outlineLevel="0" collapsed="false">
      <c r="A1987" s="57" t="s">
        <v>2537</v>
      </c>
      <c r="B1987" s="58" t="n">
        <v>45832</v>
      </c>
      <c r="C1987" s="57" t="n">
        <f aca="false">YEAR(B1987)</f>
        <v>2025</v>
      </c>
      <c r="D1987" s="57" t="n">
        <f aca="false">MONTH(B1987)</f>
        <v>6</v>
      </c>
      <c r="E1987" s="57" t="s">
        <v>1240</v>
      </c>
      <c r="F1987" s="57" t="s">
        <v>69</v>
      </c>
      <c r="G1987" s="57" t="s">
        <v>40</v>
      </c>
      <c r="H1987" s="57" t="s">
        <v>43</v>
      </c>
      <c r="I1987" s="59" t="n">
        <v>1</v>
      </c>
      <c r="J1987" s="60" t="n">
        <v>29</v>
      </c>
      <c r="K1987" s="60" t="n">
        <v>9</v>
      </c>
      <c r="L1987" s="61" t="n">
        <f aca="false">I1987*J1987</f>
        <v>29</v>
      </c>
      <c r="M1987" s="61" t="n">
        <f aca="false">L1987-I1987*K1987</f>
        <v>20</v>
      </c>
      <c r="N1987" s="57" t="n">
        <f aca="false">IF(COUNTIFS(E$2:E1987,E1987,C$2:C1987,C1987)=1,1,0)</f>
        <v>0</v>
      </c>
      <c r="O1987" s="57" t="n">
        <f aca="false">IF(COUNTIFS(E$2:E1987,E1987,C$2:C1987,C1987,D$2:D1987,D1987)=1,1,0)</f>
        <v>1</v>
      </c>
      <c r="P1987" s="57" t="n">
        <f aca="false">IF(AND(C1987=Calc!$C$3,OR(Calc!$C$4=0,D1987=Calc!$C$4)),ROW(),0)</f>
        <v>1987</v>
      </c>
    </row>
    <row r="1988" customFormat="false" ht="15" hidden="false" customHeight="false" outlineLevel="0" collapsed="false">
      <c r="A1988" s="57" t="s">
        <v>2538</v>
      </c>
      <c r="B1988" s="58" t="n">
        <v>45833</v>
      </c>
      <c r="C1988" s="57" t="n">
        <f aca="false">YEAR(B1988)</f>
        <v>2025</v>
      </c>
      <c r="D1988" s="57" t="n">
        <f aca="false">MONTH(B1988)</f>
        <v>6</v>
      </c>
      <c r="E1988" s="57" t="s">
        <v>488</v>
      </c>
      <c r="F1988" s="57" t="s">
        <v>69</v>
      </c>
      <c r="G1988" s="57" t="s">
        <v>40</v>
      </c>
      <c r="H1988" s="57" t="s">
        <v>41</v>
      </c>
      <c r="I1988" s="59" t="n">
        <v>1</v>
      </c>
      <c r="J1988" s="60" t="n">
        <v>46</v>
      </c>
      <c r="K1988" s="60" t="n">
        <v>16</v>
      </c>
      <c r="L1988" s="61" t="n">
        <f aca="false">I1988*J1988</f>
        <v>46</v>
      </c>
      <c r="M1988" s="61" t="n">
        <f aca="false">L1988-I1988*K1988</f>
        <v>30</v>
      </c>
      <c r="N1988" s="57" t="n">
        <f aca="false">IF(COUNTIFS(E$2:E1988,E1988,C$2:C1988,C1988)=1,1,0)</f>
        <v>0</v>
      </c>
      <c r="O1988" s="57" t="n">
        <f aca="false">IF(COUNTIFS(E$2:E1988,E1988,C$2:C1988,C1988,D$2:D1988,D1988)=1,1,0)</f>
        <v>1</v>
      </c>
      <c r="P1988" s="57" t="n">
        <f aca="false">IF(AND(C1988=Calc!$C$3,OR(Calc!$C$4=0,D1988=Calc!$C$4)),ROW(),0)</f>
        <v>1988</v>
      </c>
    </row>
    <row r="1989" customFormat="false" ht="15" hidden="false" customHeight="false" outlineLevel="0" collapsed="false">
      <c r="A1989" s="57" t="s">
        <v>2539</v>
      </c>
      <c r="B1989" s="58" t="n">
        <v>45833</v>
      </c>
      <c r="C1989" s="57" t="n">
        <f aca="false">YEAR(B1989)</f>
        <v>2025</v>
      </c>
      <c r="D1989" s="57" t="n">
        <f aca="false">MONTH(B1989)</f>
        <v>6</v>
      </c>
      <c r="E1989" s="57" t="s">
        <v>1302</v>
      </c>
      <c r="F1989" s="57" t="s">
        <v>81</v>
      </c>
      <c r="G1989" s="57" t="s">
        <v>35</v>
      </c>
      <c r="H1989" s="57" t="s">
        <v>36</v>
      </c>
      <c r="I1989" s="59" t="n">
        <v>1</v>
      </c>
      <c r="J1989" s="60" t="n">
        <v>179</v>
      </c>
      <c r="K1989" s="60" t="n">
        <v>92</v>
      </c>
      <c r="L1989" s="61" t="n">
        <f aca="false">I1989*J1989</f>
        <v>179</v>
      </c>
      <c r="M1989" s="61" t="n">
        <f aca="false">L1989-I1989*K1989</f>
        <v>87</v>
      </c>
      <c r="N1989" s="57" t="n">
        <f aca="false">IF(COUNTIFS(E$2:E1989,E1989,C$2:C1989,C1989)=1,1,0)</f>
        <v>1</v>
      </c>
      <c r="O1989" s="57" t="n">
        <f aca="false">IF(COUNTIFS(E$2:E1989,E1989,C$2:C1989,C1989,D$2:D1989,D1989)=1,1,0)</f>
        <v>1</v>
      </c>
      <c r="P1989" s="57" t="n">
        <f aca="false">IF(AND(C1989=Calc!$C$3,OR(Calc!$C$4=0,D1989=Calc!$C$4)),ROW(),0)</f>
        <v>1989</v>
      </c>
    </row>
    <row r="1990" customFormat="false" ht="15" hidden="false" customHeight="false" outlineLevel="0" collapsed="false">
      <c r="A1990" s="57" t="s">
        <v>2540</v>
      </c>
      <c r="B1990" s="58" t="n">
        <v>45833</v>
      </c>
      <c r="C1990" s="57" t="n">
        <f aca="false">YEAR(B1990)</f>
        <v>2025</v>
      </c>
      <c r="D1990" s="57" t="n">
        <f aca="false">MONTH(B1990)</f>
        <v>6</v>
      </c>
      <c r="E1990" s="57" t="s">
        <v>796</v>
      </c>
      <c r="F1990" s="57" t="s">
        <v>69</v>
      </c>
      <c r="G1990" s="57" t="s">
        <v>35</v>
      </c>
      <c r="H1990" s="57" t="s">
        <v>38</v>
      </c>
      <c r="I1990" s="59" t="n">
        <v>1</v>
      </c>
      <c r="J1990" s="60" t="n">
        <v>49</v>
      </c>
      <c r="K1990" s="60" t="n">
        <v>22</v>
      </c>
      <c r="L1990" s="61" t="n">
        <f aca="false">I1990*J1990</f>
        <v>49</v>
      </c>
      <c r="M1990" s="61" t="n">
        <f aca="false">L1990-I1990*K1990</f>
        <v>27</v>
      </c>
      <c r="N1990" s="57" t="n">
        <f aca="false">IF(COUNTIFS(E$2:E1990,E1990,C$2:C1990,C1990)=1,1,0)</f>
        <v>0</v>
      </c>
      <c r="O1990" s="57" t="n">
        <f aca="false">IF(COUNTIFS(E$2:E1990,E1990,C$2:C1990,C1990,D$2:D1990,D1990)=1,1,0)</f>
        <v>1</v>
      </c>
      <c r="P1990" s="57" t="n">
        <f aca="false">IF(AND(C1990=Calc!$C$3,OR(Calc!$C$4=0,D1990=Calc!$C$4)),ROW(),0)</f>
        <v>1990</v>
      </c>
    </row>
    <row r="1991" customFormat="false" ht="15" hidden="false" customHeight="false" outlineLevel="0" collapsed="false">
      <c r="A1991" s="57" t="s">
        <v>2541</v>
      </c>
      <c r="B1991" s="58" t="n">
        <v>45833</v>
      </c>
      <c r="C1991" s="57" t="n">
        <f aca="false">YEAR(B1991)</f>
        <v>2025</v>
      </c>
      <c r="D1991" s="57" t="n">
        <f aca="false">MONTH(B1991)</f>
        <v>6</v>
      </c>
      <c r="E1991" s="57" t="s">
        <v>277</v>
      </c>
      <c r="F1991" s="57" t="s">
        <v>75</v>
      </c>
      <c r="G1991" s="57" t="s">
        <v>50</v>
      </c>
      <c r="H1991" s="57" t="s">
        <v>49</v>
      </c>
      <c r="I1991" s="59" t="n">
        <v>1</v>
      </c>
      <c r="J1991" s="60" t="n">
        <v>32</v>
      </c>
      <c r="K1991" s="60" t="n">
        <v>7</v>
      </c>
      <c r="L1991" s="61" t="n">
        <f aca="false">I1991*J1991</f>
        <v>32</v>
      </c>
      <c r="M1991" s="61" t="n">
        <f aca="false">L1991-I1991*K1991</f>
        <v>25</v>
      </c>
      <c r="N1991" s="57" t="n">
        <f aca="false">IF(COUNTIFS(E$2:E1991,E1991,C$2:C1991,C1991)=1,1,0)</f>
        <v>0</v>
      </c>
      <c r="O1991" s="57" t="n">
        <f aca="false">IF(COUNTIFS(E$2:E1991,E1991,C$2:C1991,C1991,D$2:D1991,D1991)=1,1,0)</f>
        <v>1</v>
      </c>
      <c r="P1991" s="57" t="n">
        <f aca="false">IF(AND(C1991=Calc!$C$3,OR(Calc!$C$4=0,D1991=Calc!$C$4)),ROW(),0)</f>
        <v>1991</v>
      </c>
    </row>
    <row r="1992" customFormat="false" ht="15" hidden="false" customHeight="false" outlineLevel="0" collapsed="false">
      <c r="A1992" s="57" t="s">
        <v>2542</v>
      </c>
      <c r="B1992" s="58" t="n">
        <v>45833</v>
      </c>
      <c r="C1992" s="57" t="n">
        <f aca="false">YEAR(B1992)</f>
        <v>2025</v>
      </c>
      <c r="D1992" s="57" t="n">
        <f aca="false">MONTH(B1992)</f>
        <v>6</v>
      </c>
      <c r="E1992" s="57" t="s">
        <v>488</v>
      </c>
      <c r="F1992" s="57" t="s">
        <v>69</v>
      </c>
      <c r="G1992" s="57" t="s">
        <v>45</v>
      </c>
      <c r="H1992" s="57" t="s">
        <v>46</v>
      </c>
      <c r="I1992" s="59" t="n">
        <v>1</v>
      </c>
      <c r="J1992" s="60" t="n">
        <v>149</v>
      </c>
      <c r="K1992" s="60" t="n">
        <v>71</v>
      </c>
      <c r="L1992" s="61" t="n">
        <f aca="false">I1992*J1992</f>
        <v>149</v>
      </c>
      <c r="M1992" s="61" t="n">
        <f aca="false">L1992-I1992*K1992</f>
        <v>78</v>
      </c>
      <c r="N1992" s="57" t="n">
        <f aca="false">IF(COUNTIFS(E$2:E1992,E1992,C$2:C1992,C1992)=1,1,0)</f>
        <v>0</v>
      </c>
      <c r="O1992" s="57" t="n">
        <f aca="false">IF(COUNTIFS(E$2:E1992,E1992,C$2:C1992,C1992,D$2:D1992,D1992)=1,1,0)</f>
        <v>0</v>
      </c>
      <c r="P1992" s="57" t="n">
        <f aca="false">IF(AND(C1992=Calc!$C$3,OR(Calc!$C$4=0,D1992=Calc!$C$4)),ROW(),0)</f>
        <v>1992</v>
      </c>
    </row>
    <row r="1993" customFormat="false" ht="15" hidden="false" customHeight="false" outlineLevel="0" collapsed="false">
      <c r="A1993" s="57" t="s">
        <v>2543</v>
      </c>
      <c r="B1993" s="58" t="n">
        <v>45834</v>
      </c>
      <c r="C1993" s="57" t="n">
        <f aca="false">YEAR(B1993)</f>
        <v>2025</v>
      </c>
      <c r="D1993" s="57" t="n">
        <f aca="false">MONTH(B1993)</f>
        <v>6</v>
      </c>
      <c r="E1993" s="57" t="s">
        <v>206</v>
      </c>
      <c r="F1993" s="57" t="s">
        <v>78</v>
      </c>
      <c r="G1993" s="57" t="s">
        <v>40</v>
      </c>
      <c r="H1993" s="57" t="s">
        <v>43</v>
      </c>
      <c r="I1993" s="59" t="n">
        <v>1</v>
      </c>
      <c r="J1993" s="60" t="n">
        <v>29</v>
      </c>
      <c r="K1993" s="60" t="n">
        <v>9</v>
      </c>
      <c r="L1993" s="61" t="n">
        <f aca="false">I1993*J1993</f>
        <v>29</v>
      </c>
      <c r="M1993" s="61" t="n">
        <f aca="false">L1993-I1993*K1993</f>
        <v>20</v>
      </c>
      <c r="N1993" s="57" t="n">
        <f aca="false">IF(COUNTIFS(E$2:E1993,E1993,C$2:C1993,C1993)=1,1,0)</f>
        <v>0</v>
      </c>
      <c r="O1993" s="57" t="n">
        <f aca="false">IF(COUNTIFS(E$2:E1993,E1993,C$2:C1993,C1993,D$2:D1993,D1993)=1,1,0)</f>
        <v>0</v>
      </c>
      <c r="P1993" s="57" t="n">
        <f aca="false">IF(AND(C1993=Calc!$C$3,OR(Calc!$C$4=0,D1993=Calc!$C$4)),ROW(),0)</f>
        <v>1993</v>
      </c>
    </row>
    <row r="1994" customFormat="false" ht="15" hidden="false" customHeight="false" outlineLevel="0" collapsed="false">
      <c r="A1994" s="57" t="s">
        <v>2544</v>
      </c>
      <c r="B1994" s="58" t="n">
        <v>45834</v>
      </c>
      <c r="C1994" s="57" t="n">
        <f aca="false">YEAR(B1994)</f>
        <v>2025</v>
      </c>
      <c r="D1994" s="57" t="n">
        <f aca="false">MONTH(B1994)</f>
        <v>6</v>
      </c>
      <c r="E1994" s="57" t="s">
        <v>434</v>
      </c>
      <c r="F1994" s="57" t="s">
        <v>78</v>
      </c>
      <c r="G1994" s="57" t="s">
        <v>45</v>
      </c>
      <c r="H1994" s="57" t="s">
        <v>44</v>
      </c>
      <c r="I1994" s="59" t="n">
        <v>1</v>
      </c>
      <c r="J1994" s="60" t="n">
        <v>119</v>
      </c>
      <c r="K1994" s="60" t="n">
        <v>63</v>
      </c>
      <c r="L1994" s="61" t="n">
        <f aca="false">I1994*J1994</f>
        <v>119</v>
      </c>
      <c r="M1994" s="61" t="n">
        <f aca="false">L1994-I1994*K1994</f>
        <v>56</v>
      </c>
      <c r="N1994" s="57" t="n">
        <f aca="false">IF(COUNTIFS(E$2:E1994,E1994,C$2:C1994,C1994)=1,1,0)</f>
        <v>1</v>
      </c>
      <c r="O1994" s="57" t="n">
        <f aca="false">IF(COUNTIFS(E$2:E1994,E1994,C$2:C1994,C1994,D$2:D1994,D1994)=1,1,0)</f>
        <v>1</v>
      </c>
      <c r="P1994" s="57" t="n">
        <f aca="false">IF(AND(C1994=Calc!$C$3,OR(Calc!$C$4=0,D1994=Calc!$C$4)),ROW(),0)</f>
        <v>1994</v>
      </c>
    </row>
    <row r="1995" customFormat="false" ht="15" hidden="false" customHeight="false" outlineLevel="0" collapsed="false">
      <c r="A1995" s="57" t="s">
        <v>2545</v>
      </c>
      <c r="B1995" s="58" t="n">
        <v>45834</v>
      </c>
      <c r="C1995" s="57" t="n">
        <f aca="false">YEAR(B1995)</f>
        <v>2025</v>
      </c>
      <c r="D1995" s="57" t="n">
        <f aca="false">MONTH(B1995)</f>
        <v>6</v>
      </c>
      <c r="E1995" s="57" t="s">
        <v>1491</v>
      </c>
      <c r="F1995" s="57" t="s">
        <v>69</v>
      </c>
      <c r="G1995" s="57" t="s">
        <v>50</v>
      </c>
      <c r="H1995" s="57" t="s">
        <v>51</v>
      </c>
      <c r="I1995" s="59" t="n">
        <v>1</v>
      </c>
      <c r="J1995" s="60" t="n">
        <v>69</v>
      </c>
      <c r="K1995" s="60" t="n">
        <v>29</v>
      </c>
      <c r="L1995" s="61" t="n">
        <f aca="false">I1995*J1995</f>
        <v>69</v>
      </c>
      <c r="M1995" s="61" t="n">
        <f aca="false">L1995-I1995*K1995</f>
        <v>40</v>
      </c>
      <c r="N1995" s="57" t="n">
        <f aca="false">IF(COUNTIFS(E$2:E1995,E1995,C$2:C1995,C1995)=1,1,0)</f>
        <v>0</v>
      </c>
      <c r="O1995" s="57" t="n">
        <f aca="false">IF(COUNTIFS(E$2:E1995,E1995,C$2:C1995,C1995,D$2:D1995,D1995)=1,1,0)</f>
        <v>1</v>
      </c>
      <c r="P1995" s="57" t="n">
        <f aca="false">IF(AND(C1995=Calc!$C$3,OR(Calc!$C$4=0,D1995=Calc!$C$4)),ROW(),0)</f>
        <v>1995</v>
      </c>
    </row>
    <row r="1996" customFormat="false" ht="15" hidden="false" customHeight="false" outlineLevel="0" collapsed="false">
      <c r="A1996" s="57" t="s">
        <v>2546</v>
      </c>
      <c r="B1996" s="58" t="n">
        <v>45834</v>
      </c>
      <c r="C1996" s="57" t="n">
        <f aca="false">YEAR(B1996)</f>
        <v>2025</v>
      </c>
      <c r="D1996" s="57" t="n">
        <f aca="false">MONTH(B1996)</f>
        <v>6</v>
      </c>
      <c r="E1996" s="57" t="s">
        <v>843</v>
      </c>
      <c r="F1996" s="57" t="s">
        <v>75</v>
      </c>
      <c r="G1996" s="57" t="s">
        <v>54</v>
      </c>
      <c r="H1996" s="57" t="s">
        <v>55</v>
      </c>
      <c r="I1996" s="59" t="n">
        <v>1</v>
      </c>
      <c r="J1996" s="60" t="n">
        <v>64</v>
      </c>
      <c r="K1996" s="60" t="n">
        <v>25</v>
      </c>
      <c r="L1996" s="61" t="n">
        <f aca="false">I1996*J1996</f>
        <v>64</v>
      </c>
      <c r="M1996" s="61" t="n">
        <f aca="false">L1996-I1996*K1996</f>
        <v>39</v>
      </c>
      <c r="N1996" s="57" t="n">
        <f aca="false">IF(COUNTIFS(E$2:E1996,E1996,C$2:C1996,C1996)=1,1,0)</f>
        <v>0</v>
      </c>
      <c r="O1996" s="57" t="n">
        <f aca="false">IF(COUNTIFS(E$2:E1996,E1996,C$2:C1996,C1996,D$2:D1996,D1996)=1,1,0)</f>
        <v>1</v>
      </c>
      <c r="P1996" s="57" t="n">
        <f aca="false">IF(AND(C1996=Calc!$C$3,OR(Calc!$C$4=0,D1996=Calc!$C$4)),ROW(),0)</f>
        <v>1996</v>
      </c>
    </row>
    <row r="1997" customFormat="false" ht="15" hidden="false" customHeight="false" outlineLevel="0" collapsed="false">
      <c r="A1997" s="57" t="s">
        <v>2547</v>
      </c>
      <c r="B1997" s="58" t="n">
        <v>45835</v>
      </c>
      <c r="C1997" s="57" t="n">
        <f aca="false">YEAR(B1997)</f>
        <v>2025</v>
      </c>
      <c r="D1997" s="57" t="n">
        <f aca="false">MONTH(B1997)</f>
        <v>6</v>
      </c>
      <c r="E1997" s="57" t="s">
        <v>275</v>
      </c>
      <c r="F1997" s="57" t="s">
        <v>75</v>
      </c>
      <c r="G1997" s="57" t="s">
        <v>35</v>
      </c>
      <c r="H1997" s="57" t="s">
        <v>36</v>
      </c>
      <c r="I1997" s="59" t="n">
        <v>1</v>
      </c>
      <c r="J1997" s="60" t="n">
        <v>179</v>
      </c>
      <c r="K1997" s="60" t="n">
        <v>92</v>
      </c>
      <c r="L1997" s="61" t="n">
        <f aca="false">I1997*J1997</f>
        <v>179</v>
      </c>
      <c r="M1997" s="61" t="n">
        <f aca="false">L1997-I1997*K1997</f>
        <v>87</v>
      </c>
      <c r="N1997" s="57" t="n">
        <f aca="false">IF(COUNTIFS(E$2:E1997,E1997,C$2:C1997,C1997)=1,1,0)</f>
        <v>0</v>
      </c>
      <c r="O1997" s="57" t="n">
        <f aca="false">IF(COUNTIFS(E$2:E1997,E1997,C$2:C1997,C1997,D$2:D1997,D1997)=1,1,0)</f>
        <v>0</v>
      </c>
      <c r="P1997" s="57" t="n">
        <f aca="false">IF(AND(C1997=Calc!$C$3,OR(Calc!$C$4=0,D1997=Calc!$C$4)),ROW(),0)</f>
        <v>1997</v>
      </c>
    </row>
    <row r="1998" customFormat="false" ht="15" hidden="false" customHeight="false" outlineLevel="0" collapsed="false">
      <c r="A1998" s="57" t="s">
        <v>2548</v>
      </c>
      <c r="B1998" s="58" t="n">
        <v>45835</v>
      </c>
      <c r="C1998" s="57" t="n">
        <f aca="false">YEAR(B1998)</f>
        <v>2025</v>
      </c>
      <c r="D1998" s="57" t="n">
        <f aca="false">MONTH(B1998)</f>
        <v>6</v>
      </c>
      <c r="E1998" s="57" t="s">
        <v>326</v>
      </c>
      <c r="F1998" s="57" t="s">
        <v>78</v>
      </c>
      <c r="G1998" s="57" t="s">
        <v>45</v>
      </c>
      <c r="H1998" s="57" t="s">
        <v>48</v>
      </c>
      <c r="I1998" s="59" t="n">
        <v>1</v>
      </c>
      <c r="J1998" s="60" t="n">
        <v>99</v>
      </c>
      <c r="K1998" s="60" t="n">
        <v>38</v>
      </c>
      <c r="L1998" s="61" t="n">
        <f aca="false">I1998*J1998</f>
        <v>99</v>
      </c>
      <c r="M1998" s="61" t="n">
        <f aca="false">L1998-I1998*K1998</f>
        <v>61</v>
      </c>
      <c r="N1998" s="57" t="n">
        <f aca="false">IF(COUNTIFS(E$2:E1998,E1998,C$2:C1998,C1998)=1,1,0)</f>
        <v>0</v>
      </c>
      <c r="O1998" s="57" t="n">
        <f aca="false">IF(COUNTIFS(E$2:E1998,E1998,C$2:C1998,C1998,D$2:D1998,D1998)=1,1,0)</f>
        <v>1</v>
      </c>
      <c r="P1998" s="57" t="n">
        <f aca="false">IF(AND(C1998=Calc!$C$3,OR(Calc!$C$4=0,D1998=Calc!$C$4)),ROW(),0)</f>
        <v>1998</v>
      </c>
    </row>
    <row r="1999" customFormat="false" ht="15" hidden="false" customHeight="false" outlineLevel="0" collapsed="false">
      <c r="A1999" s="57" t="s">
        <v>2549</v>
      </c>
      <c r="B1999" s="58" t="n">
        <v>45836</v>
      </c>
      <c r="C1999" s="57" t="n">
        <f aca="false">YEAR(B1999)</f>
        <v>2025</v>
      </c>
      <c r="D1999" s="57" t="n">
        <f aca="false">MONTH(B1999)</f>
        <v>6</v>
      </c>
      <c r="E1999" s="57" t="s">
        <v>201</v>
      </c>
      <c r="F1999" s="57" t="s">
        <v>75</v>
      </c>
      <c r="G1999" s="57" t="s">
        <v>50</v>
      </c>
      <c r="H1999" s="57" t="s">
        <v>51</v>
      </c>
      <c r="I1999" s="59" t="n">
        <v>1</v>
      </c>
      <c r="J1999" s="60" t="n">
        <v>69</v>
      </c>
      <c r="K1999" s="60" t="n">
        <v>29</v>
      </c>
      <c r="L1999" s="61" t="n">
        <f aca="false">I1999*J1999</f>
        <v>69</v>
      </c>
      <c r="M1999" s="61" t="n">
        <f aca="false">L1999-I1999*K1999</f>
        <v>40</v>
      </c>
      <c r="N1999" s="57" t="n">
        <f aca="false">IF(COUNTIFS(E$2:E1999,E1999,C$2:C1999,C1999)=1,1,0)</f>
        <v>1</v>
      </c>
      <c r="O1999" s="57" t="n">
        <f aca="false">IF(COUNTIFS(E$2:E1999,E1999,C$2:C1999,C1999,D$2:D1999,D1999)=1,1,0)</f>
        <v>1</v>
      </c>
      <c r="P1999" s="57" t="n">
        <f aca="false">IF(AND(C1999=Calc!$C$3,OR(Calc!$C$4=0,D1999=Calc!$C$4)),ROW(),0)</f>
        <v>1999</v>
      </c>
    </row>
    <row r="2000" customFormat="false" ht="15" hidden="false" customHeight="false" outlineLevel="0" collapsed="false">
      <c r="A2000" s="57" t="s">
        <v>2550</v>
      </c>
      <c r="B2000" s="58" t="n">
        <v>45836</v>
      </c>
      <c r="C2000" s="57" t="n">
        <f aca="false">YEAR(B2000)</f>
        <v>2025</v>
      </c>
      <c r="D2000" s="57" t="n">
        <f aca="false">MONTH(B2000)</f>
        <v>6</v>
      </c>
      <c r="E2000" s="57" t="s">
        <v>428</v>
      </c>
      <c r="F2000" s="57" t="s">
        <v>78</v>
      </c>
      <c r="G2000" s="57" t="s">
        <v>40</v>
      </c>
      <c r="H2000" s="57" t="s">
        <v>43</v>
      </c>
      <c r="I2000" s="59" t="n">
        <v>3</v>
      </c>
      <c r="J2000" s="60" t="n">
        <v>29</v>
      </c>
      <c r="K2000" s="60" t="n">
        <v>9</v>
      </c>
      <c r="L2000" s="61" t="n">
        <f aca="false">I2000*J2000</f>
        <v>87</v>
      </c>
      <c r="M2000" s="61" t="n">
        <f aca="false">L2000-I2000*K2000</f>
        <v>60</v>
      </c>
      <c r="N2000" s="57" t="n">
        <f aca="false">IF(COUNTIFS(E$2:E2000,E2000,C$2:C2000,C2000)=1,1,0)</f>
        <v>0</v>
      </c>
      <c r="O2000" s="57" t="n">
        <f aca="false">IF(COUNTIFS(E$2:E2000,E2000,C$2:C2000,C2000,D$2:D2000,D2000)=1,1,0)</f>
        <v>1</v>
      </c>
      <c r="P2000" s="57" t="n">
        <f aca="false">IF(AND(C2000=Calc!$C$3,OR(Calc!$C$4=0,D2000=Calc!$C$4)),ROW(),0)</f>
        <v>2000</v>
      </c>
    </row>
    <row r="2001" customFormat="false" ht="15" hidden="false" customHeight="false" outlineLevel="0" collapsed="false">
      <c r="A2001" s="57" t="s">
        <v>2551</v>
      </c>
      <c r="B2001" s="58" t="n">
        <v>45836</v>
      </c>
      <c r="C2001" s="57" t="n">
        <f aca="false">YEAR(B2001)</f>
        <v>2025</v>
      </c>
      <c r="D2001" s="57" t="n">
        <f aca="false">MONTH(B2001)</f>
        <v>6</v>
      </c>
      <c r="E2001" s="57" t="s">
        <v>91</v>
      </c>
      <c r="F2001" s="57" t="s">
        <v>69</v>
      </c>
      <c r="G2001" s="57" t="s">
        <v>50</v>
      </c>
      <c r="H2001" s="57" t="s">
        <v>51</v>
      </c>
      <c r="I2001" s="59" t="n">
        <v>1</v>
      </c>
      <c r="J2001" s="60" t="n">
        <v>69</v>
      </c>
      <c r="K2001" s="60" t="n">
        <v>29</v>
      </c>
      <c r="L2001" s="61" t="n">
        <f aca="false">I2001*J2001</f>
        <v>69</v>
      </c>
      <c r="M2001" s="61" t="n">
        <f aca="false">L2001-I2001*K2001</f>
        <v>40</v>
      </c>
      <c r="N2001" s="57" t="n">
        <f aca="false">IF(COUNTIFS(E$2:E2001,E2001,C$2:C2001,C2001)=1,1,0)</f>
        <v>0</v>
      </c>
      <c r="O2001" s="57" t="n">
        <f aca="false">IF(COUNTIFS(E$2:E2001,E2001,C$2:C2001,C2001,D$2:D2001,D2001)=1,1,0)</f>
        <v>1</v>
      </c>
      <c r="P2001" s="57" t="n">
        <f aca="false">IF(AND(C2001=Calc!$C$3,OR(Calc!$C$4=0,D2001=Calc!$C$4)),ROW(),0)</f>
        <v>2001</v>
      </c>
    </row>
    <row r="2002" customFormat="false" ht="15" hidden="false" customHeight="false" outlineLevel="0" collapsed="false">
      <c r="A2002" s="57" t="s">
        <v>2552</v>
      </c>
      <c r="B2002" s="58" t="n">
        <v>45836</v>
      </c>
      <c r="C2002" s="57" t="n">
        <f aca="false">YEAR(B2002)</f>
        <v>2025</v>
      </c>
      <c r="D2002" s="57" t="n">
        <f aca="false">MONTH(B2002)</f>
        <v>6</v>
      </c>
      <c r="E2002" s="57" t="s">
        <v>357</v>
      </c>
      <c r="F2002" s="57" t="s">
        <v>69</v>
      </c>
      <c r="G2002" s="57" t="s">
        <v>45</v>
      </c>
      <c r="H2002" s="57" t="s">
        <v>47</v>
      </c>
      <c r="I2002" s="59" t="n">
        <v>1</v>
      </c>
      <c r="J2002" s="60" t="n">
        <v>34</v>
      </c>
      <c r="K2002" s="60" t="n">
        <v>12</v>
      </c>
      <c r="L2002" s="61" t="n">
        <f aca="false">I2002*J2002</f>
        <v>34</v>
      </c>
      <c r="M2002" s="61" t="n">
        <f aca="false">L2002-I2002*K2002</f>
        <v>22</v>
      </c>
      <c r="N2002" s="57" t="n">
        <f aca="false">IF(COUNTIFS(E$2:E2002,E2002,C$2:C2002,C2002)=1,1,0)</f>
        <v>0</v>
      </c>
      <c r="O2002" s="57" t="n">
        <f aca="false">IF(COUNTIFS(E$2:E2002,E2002,C$2:C2002,C2002,D$2:D2002,D2002)=1,1,0)</f>
        <v>0</v>
      </c>
      <c r="P2002" s="57" t="n">
        <f aca="false">IF(AND(C2002=Calc!$C$3,OR(Calc!$C$4=0,D2002=Calc!$C$4)),ROW(),0)</f>
        <v>2002</v>
      </c>
    </row>
    <row r="2003" customFormat="false" ht="15" hidden="false" customHeight="false" outlineLevel="0" collapsed="false">
      <c r="A2003" s="57" t="s">
        <v>2553</v>
      </c>
      <c r="B2003" s="58" t="n">
        <v>45837</v>
      </c>
      <c r="C2003" s="57" t="n">
        <f aca="false">YEAR(B2003)</f>
        <v>2025</v>
      </c>
      <c r="D2003" s="57" t="n">
        <f aca="false">MONTH(B2003)</f>
        <v>6</v>
      </c>
      <c r="E2003" s="57" t="s">
        <v>238</v>
      </c>
      <c r="F2003" s="57" t="s">
        <v>78</v>
      </c>
      <c r="G2003" s="57" t="s">
        <v>35</v>
      </c>
      <c r="H2003" s="57" t="s">
        <v>36</v>
      </c>
      <c r="I2003" s="59" t="n">
        <v>1</v>
      </c>
      <c r="J2003" s="60" t="n">
        <v>179</v>
      </c>
      <c r="K2003" s="60" t="n">
        <v>92</v>
      </c>
      <c r="L2003" s="61" t="n">
        <f aca="false">I2003*J2003</f>
        <v>179</v>
      </c>
      <c r="M2003" s="61" t="n">
        <f aca="false">L2003-I2003*K2003</f>
        <v>87</v>
      </c>
      <c r="N2003" s="57" t="n">
        <f aca="false">IF(COUNTIFS(E$2:E2003,E2003,C$2:C2003,C2003)=1,1,0)</f>
        <v>0</v>
      </c>
      <c r="O2003" s="57" t="n">
        <f aca="false">IF(COUNTIFS(E$2:E2003,E2003,C$2:C2003,C2003,D$2:D2003,D2003)=1,1,0)</f>
        <v>0</v>
      </c>
      <c r="P2003" s="57" t="n">
        <f aca="false">IF(AND(C2003=Calc!$C$3,OR(Calc!$C$4=0,D2003=Calc!$C$4)),ROW(),0)</f>
        <v>2003</v>
      </c>
    </row>
    <row r="2004" customFormat="false" ht="15" hidden="false" customHeight="false" outlineLevel="0" collapsed="false">
      <c r="A2004" s="57" t="s">
        <v>2554</v>
      </c>
      <c r="B2004" s="58" t="n">
        <v>45837</v>
      </c>
      <c r="C2004" s="57" t="n">
        <f aca="false">YEAR(B2004)</f>
        <v>2025</v>
      </c>
      <c r="D2004" s="57" t="n">
        <f aca="false">MONTH(B2004)</f>
        <v>6</v>
      </c>
      <c r="E2004" s="57" t="s">
        <v>675</v>
      </c>
      <c r="F2004" s="57" t="s">
        <v>69</v>
      </c>
      <c r="G2004" s="57" t="s">
        <v>40</v>
      </c>
      <c r="H2004" s="57" t="s">
        <v>41</v>
      </c>
      <c r="I2004" s="59" t="n">
        <v>1</v>
      </c>
      <c r="J2004" s="60" t="n">
        <v>46</v>
      </c>
      <c r="K2004" s="60" t="n">
        <v>16</v>
      </c>
      <c r="L2004" s="61" t="n">
        <f aca="false">I2004*J2004</f>
        <v>46</v>
      </c>
      <c r="M2004" s="61" t="n">
        <f aca="false">L2004-I2004*K2004</f>
        <v>30</v>
      </c>
      <c r="N2004" s="57" t="n">
        <f aca="false">IF(COUNTIFS(E$2:E2004,E2004,C$2:C2004,C2004)=1,1,0)</f>
        <v>1</v>
      </c>
      <c r="O2004" s="57" t="n">
        <f aca="false">IF(COUNTIFS(E$2:E2004,E2004,C$2:C2004,C2004,D$2:D2004,D2004)=1,1,0)</f>
        <v>1</v>
      </c>
      <c r="P2004" s="57" t="n">
        <f aca="false">IF(AND(C2004=Calc!$C$3,OR(Calc!$C$4=0,D2004=Calc!$C$4)),ROW(),0)</f>
        <v>2004</v>
      </c>
    </row>
    <row r="2005" customFormat="false" ht="15" hidden="false" customHeight="false" outlineLevel="0" collapsed="false">
      <c r="A2005" s="57" t="s">
        <v>2555</v>
      </c>
      <c r="B2005" s="58" t="n">
        <v>45838</v>
      </c>
      <c r="C2005" s="57" t="n">
        <f aca="false">YEAR(B2005)</f>
        <v>2025</v>
      </c>
      <c r="D2005" s="57" t="n">
        <f aca="false">MONTH(B2005)</f>
        <v>6</v>
      </c>
      <c r="E2005" s="57" t="s">
        <v>1509</v>
      </c>
      <c r="F2005" s="57" t="s">
        <v>75</v>
      </c>
      <c r="G2005" s="57" t="s">
        <v>45</v>
      </c>
      <c r="H2005" s="57" t="s">
        <v>46</v>
      </c>
      <c r="I2005" s="59" t="n">
        <v>1</v>
      </c>
      <c r="J2005" s="60" t="n">
        <v>149</v>
      </c>
      <c r="K2005" s="60" t="n">
        <v>71</v>
      </c>
      <c r="L2005" s="61" t="n">
        <f aca="false">I2005*J2005</f>
        <v>149</v>
      </c>
      <c r="M2005" s="61" t="n">
        <f aca="false">L2005-I2005*K2005</f>
        <v>78</v>
      </c>
      <c r="N2005" s="57" t="n">
        <f aca="false">IF(COUNTIFS(E$2:E2005,E2005,C$2:C2005,C2005)=1,1,0)</f>
        <v>1</v>
      </c>
      <c r="O2005" s="57" t="n">
        <f aca="false">IF(COUNTIFS(E$2:E2005,E2005,C$2:C2005,C2005,D$2:D2005,D2005)=1,1,0)</f>
        <v>1</v>
      </c>
      <c r="P2005" s="57" t="n">
        <f aca="false">IF(AND(C2005=Calc!$C$3,OR(Calc!$C$4=0,D2005=Calc!$C$4)),ROW(),0)</f>
        <v>2005</v>
      </c>
    </row>
    <row r="2006" customFormat="false" ht="15" hidden="false" customHeight="false" outlineLevel="0" collapsed="false">
      <c r="A2006" s="57" t="s">
        <v>2556</v>
      </c>
      <c r="B2006" s="58" t="n">
        <v>45838</v>
      </c>
      <c r="C2006" s="57" t="n">
        <f aca="false">YEAR(B2006)</f>
        <v>2025</v>
      </c>
      <c r="D2006" s="57" t="n">
        <f aca="false">MONTH(B2006)</f>
        <v>6</v>
      </c>
      <c r="E2006" s="57" t="s">
        <v>1495</v>
      </c>
      <c r="F2006" s="57" t="s">
        <v>72</v>
      </c>
      <c r="G2006" s="57" t="s">
        <v>40</v>
      </c>
      <c r="H2006" s="57" t="s">
        <v>42</v>
      </c>
      <c r="I2006" s="59" t="n">
        <v>2</v>
      </c>
      <c r="J2006" s="60" t="n">
        <v>79</v>
      </c>
      <c r="K2006" s="60" t="n">
        <v>31</v>
      </c>
      <c r="L2006" s="61" t="n">
        <f aca="false">I2006*J2006</f>
        <v>158</v>
      </c>
      <c r="M2006" s="61" t="n">
        <f aca="false">L2006-I2006*K2006</f>
        <v>96</v>
      </c>
      <c r="N2006" s="57" t="n">
        <f aca="false">IF(COUNTIFS(E$2:E2006,E2006,C$2:C2006,C2006)=1,1,0)</f>
        <v>0</v>
      </c>
      <c r="O2006" s="57" t="n">
        <f aca="false">IF(COUNTIFS(E$2:E2006,E2006,C$2:C2006,C2006,D$2:D2006,D2006)=1,1,0)</f>
        <v>1</v>
      </c>
      <c r="P2006" s="57" t="n">
        <f aca="false">IF(AND(C2006=Calc!$C$3,OR(Calc!$C$4=0,D2006=Calc!$C$4)),ROW(),0)</f>
        <v>2006</v>
      </c>
    </row>
    <row r="2007" customFormat="false" ht="15" hidden="false" customHeight="false" outlineLevel="0" collapsed="false">
      <c r="A2007" s="57" t="s">
        <v>2557</v>
      </c>
      <c r="B2007" s="58" t="n">
        <v>45838</v>
      </c>
      <c r="C2007" s="57" t="n">
        <f aca="false">YEAR(B2007)</f>
        <v>2025</v>
      </c>
      <c r="D2007" s="57" t="n">
        <f aca="false">MONTH(B2007)</f>
        <v>6</v>
      </c>
      <c r="E2007" s="57" t="s">
        <v>140</v>
      </c>
      <c r="F2007" s="57" t="s">
        <v>75</v>
      </c>
      <c r="G2007" s="57" t="s">
        <v>50</v>
      </c>
      <c r="H2007" s="57" t="s">
        <v>52</v>
      </c>
      <c r="I2007" s="59" t="n">
        <v>1</v>
      </c>
      <c r="J2007" s="60" t="n">
        <v>45</v>
      </c>
      <c r="K2007" s="60" t="n">
        <v>14</v>
      </c>
      <c r="L2007" s="61" t="n">
        <f aca="false">I2007*J2007</f>
        <v>45</v>
      </c>
      <c r="M2007" s="61" t="n">
        <f aca="false">L2007-I2007*K2007</f>
        <v>31</v>
      </c>
      <c r="N2007" s="57" t="n">
        <f aca="false">IF(COUNTIFS(E$2:E2007,E2007,C$2:C2007,C2007)=1,1,0)</f>
        <v>0</v>
      </c>
      <c r="O2007" s="57" t="n">
        <f aca="false">IF(COUNTIFS(E$2:E2007,E2007,C$2:C2007,C2007,D$2:D2007,D2007)=1,1,0)</f>
        <v>1</v>
      </c>
      <c r="P2007" s="57" t="n">
        <f aca="false">IF(AND(C2007=Calc!$C$3,OR(Calc!$C$4=0,D2007=Calc!$C$4)),ROW(),0)</f>
        <v>2007</v>
      </c>
    </row>
    <row r="2008" customFormat="false" ht="15" hidden="false" customHeight="false" outlineLevel="0" collapsed="false">
      <c r="A2008" s="57" t="s">
        <v>2558</v>
      </c>
      <c r="B2008" s="58" t="n">
        <v>45838</v>
      </c>
      <c r="C2008" s="57" t="n">
        <f aca="false">YEAR(B2008)</f>
        <v>2025</v>
      </c>
      <c r="D2008" s="57" t="n">
        <f aca="false">MONTH(B2008)</f>
        <v>6</v>
      </c>
      <c r="E2008" s="57" t="s">
        <v>1449</v>
      </c>
      <c r="F2008" s="57" t="s">
        <v>78</v>
      </c>
      <c r="G2008" s="57" t="s">
        <v>35</v>
      </c>
      <c r="H2008" s="57" t="s">
        <v>36</v>
      </c>
      <c r="I2008" s="59" t="n">
        <v>1</v>
      </c>
      <c r="J2008" s="60" t="n">
        <v>179</v>
      </c>
      <c r="K2008" s="60" t="n">
        <v>92</v>
      </c>
      <c r="L2008" s="61" t="n">
        <f aca="false">I2008*J2008</f>
        <v>179</v>
      </c>
      <c r="M2008" s="61" t="n">
        <f aca="false">L2008-I2008*K2008</f>
        <v>87</v>
      </c>
      <c r="N2008" s="57" t="n">
        <f aca="false">IF(COUNTIFS(E$2:E2008,E2008,C$2:C2008,C2008)=1,1,0)</f>
        <v>0</v>
      </c>
      <c r="O2008" s="57" t="n">
        <f aca="false">IF(COUNTIFS(E$2:E2008,E2008,C$2:C2008,C2008,D$2:D2008,D2008)=1,1,0)</f>
        <v>1</v>
      </c>
      <c r="P2008" s="57" t="n">
        <f aca="false">IF(AND(C2008=Calc!$C$3,OR(Calc!$C$4=0,D2008=Calc!$C$4)),ROW(),0)</f>
        <v>2008</v>
      </c>
    </row>
    <row r="2009" customFormat="false" ht="15" hidden="false" customHeight="false" outlineLevel="0" collapsed="false">
      <c r="A2009" s="57" t="s">
        <v>2559</v>
      </c>
      <c r="B2009" s="58" t="n">
        <v>45838</v>
      </c>
      <c r="C2009" s="57" t="n">
        <f aca="false">YEAR(B2009)</f>
        <v>2025</v>
      </c>
      <c r="D2009" s="57" t="n">
        <f aca="false">MONTH(B2009)</f>
        <v>6</v>
      </c>
      <c r="E2009" s="57" t="s">
        <v>613</v>
      </c>
      <c r="F2009" s="57" t="s">
        <v>72</v>
      </c>
      <c r="G2009" s="57" t="s">
        <v>54</v>
      </c>
      <c r="H2009" s="57" t="s">
        <v>56</v>
      </c>
      <c r="I2009" s="59" t="n">
        <v>1</v>
      </c>
      <c r="J2009" s="60" t="n">
        <v>42</v>
      </c>
      <c r="K2009" s="60" t="n">
        <v>17</v>
      </c>
      <c r="L2009" s="61" t="n">
        <f aca="false">I2009*J2009</f>
        <v>42</v>
      </c>
      <c r="M2009" s="61" t="n">
        <f aca="false">L2009-I2009*K2009</f>
        <v>25</v>
      </c>
      <c r="N2009" s="57" t="n">
        <f aca="false">IF(COUNTIFS(E$2:E2009,E2009,C$2:C2009,C2009)=1,1,0)</f>
        <v>0</v>
      </c>
      <c r="O2009" s="57" t="n">
        <f aca="false">IF(COUNTIFS(E$2:E2009,E2009,C$2:C2009,C2009,D$2:D2009,D2009)=1,1,0)</f>
        <v>0</v>
      </c>
      <c r="P2009" s="57" t="n">
        <f aca="false">IF(AND(C2009=Calc!$C$3,OR(Calc!$C$4=0,D2009=Calc!$C$4)),ROW(),0)</f>
        <v>2009</v>
      </c>
    </row>
    <row r="2010" customFormat="false" ht="15" hidden="false" customHeight="false" outlineLevel="0" collapsed="false">
      <c r="A2010" s="57" t="s">
        <v>2560</v>
      </c>
      <c r="B2010" s="58" t="n">
        <v>45839</v>
      </c>
      <c r="C2010" s="57" t="n">
        <f aca="false">YEAR(B2010)</f>
        <v>2025</v>
      </c>
      <c r="D2010" s="57" t="n">
        <f aca="false">MONTH(B2010)</f>
        <v>7</v>
      </c>
      <c r="E2010" s="57" t="s">
        <v>698</v>
      </c>
      <c r="F2010" s="57" t="s">
        <v>75</v>
      </c>
      <c r="G2010" s="57" t="s">
        <v>40</v>
      </c>
      <c r="H2010" s="57" t="s">
        <v>43</v>
      </c>
      <c r="I2010" s="59" t="n">
        <v>1</v>
      </c>
      <c r="J2010" s="60" t="n">
        <v>29</v>
      </c>
      <c r="K2010" s="60" t="n">
        <v>9</v>
      </c>
      <c r="L2010" s="61" t="n">
        <f aca="false">I2010*J2010</f>
        <v>29</v>
      </c>
      <c r="M2010" s="61" t="n">
        <f aca="false">L2010-I2010*K2010</f>
        <v>20</v>
      </c>
      <c r="N2010" s="57" t="n">
        <f aca="false">IF(COUNTIFS(E$2:E2010,E2010,C$2:C2010,C2010)=1,1,0)</f>
        <v>0</v>
      </c>
      <c r="O2010" s="57" t="n">
        <f aca="false">IF(COUNTIFS(E$2:E2010,E2010,C$2:C2010,C2010,D$2:D2010,D2010)=1,1,0)</f>
        <v>1</v>
      </c>
      <c r="P2010" s="57" t="n">
        <f aca="false">IF(AND(C2010=Calc!$C$3,OR(Calc!$C$4=0,D2010=Calc!$C$4)),ROW(),0)</f>
        <v>2010</v>
      </c>
    </row>
    <row r="2011" customFormat="false" ht="15" hidden="false" customHeight="false" outlineLevel="0" collapsed="false">
      <c r="A2011" s="57" t="s">
        <v>2561</v>
      </c>
      <c r="B2011" s="58" t="n">
        <v>45839</v>
      </c>
      <c r="C2011" s="57" t="n">
        <f aca="false">YEAR(B2011)</f>
        <v>2025</v>
      </c>
      <c r="D2011" s="57" t="n">
        <f aca="false">MONTH(B2011)</f>
        <v>7</v>
      </c>
      <c r="E2011" s="57" t="s">
        <v>112</v>
      </c>
      <c r="F2011" s="57" t="s">
        <v>81</v>
      </c>
      <c r="G2011" s="57" t="s">
        <v>54</v>
      </c>
      <c r="H2011" s="57" t="s">
        <v>55</v>
      </c>
      <c r="I2011" s="59" t="n">
        <v>1</v>
      </c>
      <c r="J2011" s="60" t="n">
        <v>64</v>
      </c>
      <c r="K2011" s="60" t="n">
        <v>25</v>
      </c>
      <c r="L2011" s="61" t="n">
        <f aca="false">I2011*J2011</f>
        <v>64</v>
      </c>
      <c r="M2011" s="61" t="n">
        <f aca="false">L2011-I2011*K2011</f>
        <v>39</v>
      </c>
      <c r="N2011" s="57" t="n">
        <f aca="false">IF(COUNTIFS(E$2:E2011,E2011,C$2:C2011,C2011)=1,1,0)</f>
        <v>1</v>
      </c>
      <c r="O2011" s="57" t="n">
        <f aca="false">IF(COUNTIFS(E$2:E2011,E2011,C$2:C2011,C2011,D$2:D2011,D2011)=1,1,0)</f>
        <v>1</v>
      </c>
      <c r="P2011" s="57" t="n">
        <f aca="false">IF(AND(C2011=Calc!$C$3,OR(Calc!$C$4=0,D2011=Calc!$C$4)),ROW(),0)</f>
        <v>2011</v>
      </c>
    </row>
    <row r="2012" customFormat="false" ht="15" hidden="false" customHeight="false" outlineLevel="0" collapsed="false">
      <c r="A2012" s="57" t="s">
        <v>2562</v>
      </c>
      <c r="B2012" s="58" t="n">
        <v>45839</v>
      </c>
      <c r="C2012" s="57" t="n">
        <f aca="false">YEAR(B2012)</f>
        <v>2025</v>
      </c>
      <c r="D2012" s="57" t="n">
        <f aca="false">MONTH(B2012)</f>
        <v>7</v>
      </c>
      <c r="E2012" s="57" t="s">
        <v>2307</v>
      </c>
      <c r="F2012" s="57" t="s">
        <v>72</v>
      </c>
      <c r="G2012" s="57" t="s">
        <v>40</v>
      </c>
      <c r="H2012" s="57" t="s">
        <v>42</v>
      </c>
      <c r="I2012" s="59" t="n">
        <v>1</v>
      </c>
      <c r="J2012" s="60" t="n">
        <v>79</v>
      </c>
      <c r="K2012" s="60" t="n">
        <v>31</v>
      </c>
      <c r="L2012" s="61" t="n">
        <f aca="false">I2012*J2012</f>
        <v>79</v>
      </c>
      <c r="M2012" s="61" t="n">
        <f aca="false">L2012-I2012*K2012</f>
        <v>48</v>
      </c>
      <c r="N2012" s="57" t="n">
        <f aca="false">IF(COUNTIFS(E$2:E2012,E2012,C$2:C2012,C2012)=1,1,0)</f>
        <v>0</v>
      </c>
      <c r="O2012" s="57" t="n">
        <f aca="false">IF(COUNTIFS(E$2:E2012,E2012,C$2:C2012,C2012,D$2:D2012,D2012)=1,1,0)</f>
        <v>1</v>
      </c>
      <c r="P2012" s="57" t="n">
        <f aca="false">IF(AND(C2012=Calc!$C$3,OR(Calc!$C$4=0,D2012=Calc!$C$4)),ROW(),0)</f>
        <v>2012</v>
      </c>
    </row>
    <row r="2013" customFormat="false" ht="15" hidden="false" customHeight="false" outlineLevel="0" collapsed="false">
      <c r="A2013" s="57" t="s">
        <v>2563</v>
      </c>
      <c r="B2013" s="58" t="n">
        <v>45839</v>
      </c>
      <c r="C2013" s="57" t="n">
        <f aca="false">YEAR(B2013)</f>
        <v>2025</v>
      </c>
      <c r="D2013" s="57" t="n">
        <f aca="false">MONTH(B2013)</f>
        <v>7</v>
      </c>
      <c r="E2013" s="57" t="s">
        <v>547</v>
      </c>
      <c r="F2013" s="57" t="s">
        <v>72</v>
      </c>
      <c r="G2013" s="57" t="s">
        <v>54</v>
      </c>
      <c r="H2013" s="57" t="s">
        <v>56</v>
      </c>
      <c r="I2013" s="59" t="n">
        <v>1</v>
      </c>
      <c r="J2013" s="60" t="n">
        <v>42</v>
      </c>
      <c r="K2013" s="60" t="n">
        <v>17</v>
      </c>
      <c r="L2013" s="61" t="n">
        <f aca="false">I2013*J2013</f>
        <v>42</v>
      </c>
      <c r="M2013" s="61" t="n">
        <f aca="false">L2013-I2013*K2013</f>
        <v>25</v>
      </c>
      <c r="N2013" s="57" t="n">
        <f aca="false">IF(COUNTIFS(E$2:E2013,E2013,C$2:C2013,C2013)=1,1,0)</f>
        <v>0</v>
      </c>
      <c r="O2013" s="57" t="n">
        <f aca="false">IF(COUNTIFS(E$2:E2013,E2013,C$2:C2013,C2013,D$2:D2013,D2013)=1,1,0)</f>
        <v>1</v>
      </c>
      <c r="P2013" s="57" t="n">
        <f aca="false">IF(AND(C2013=Calc!$C$3,OR(Calc!$C$4=0,D2013=Calc!$C$4)),ROW(),0)</f>
        <v>2013</v>
      </c>
    </row>
    <row r="2014" customFormat="false" ht="15" hidden="false" customHeight="false" outlineLevel="0" collapsed="false">
      <c r="A2014" s="57" t="s">
        <v>2564</v>
      </c>
      <c r="B2014" s="58" t="n">
        <v>45840</v>
      </c>
      <c r="C2014" s="57" t="n">
        <f aca="false">YEAR(B2014)</f>
        <v>2025</v>
      </c>
      <c r="D2014" s="57" t="n">
        <f aca="false">MONTH(B2014)</f>
        <v>7</v>
      </c>
      <c r="E2014" s="57" t="s">
        <v>1014</v>
      </c>
      <c r="F2014" s="57" t="s">
        <v>69</v>
      </c>
      <c r="G2014" s="57" t="s">
        <v>40</v>
      </c>
      <c r="H2014" s="57" t="s">
        <v>39</v>
      </c>
      <c r="I2014" s="59" t="n">
        <v>2</v>
      </c>
      <c r="J2014" s="60" t="n">
        <v>54</v>
      </c>
      <c r="K2014" s="60" t="n">
        <v>19</v>
      </c>
      <c r="L2014" s="61" t="n">
        <f aca="false">I2014*J2014</f>
        <v>108</v>
      </c>
      <c r="M2014" s="61" t="n">
        <f aca="false">L2014-I2014*K2014</f>
        <v>70</v>
      </c>
      <c r="N2014" s="57" t="n">
        <f aca="false">IF(COUNTIFS(E$2:E2014,E2014,C$2:C2014,C2014)=1,1,0)</f>
        <v>0</v>
      </c>
      <c r="O2014" s="57" t="n">
        <f aca="false">IF(COUNTIFS(E$2:E2014,E2014,C$2:C2014,C2014,D$2:D2014,D2014)=1,1,0)</f>
        <v>1</v>
      </c>
      <c r="P2014" s="57" t="n">
        <f aca="false">IF(AND(C2014=Calc!$C$3,OR(Calc!$C$4=0,D2014=Calc!$C$4)),ROW(),0)</f>
        <v>2014</v>
      </c>
    </row>
    <row r="2015" customFormat="false" ht="15" hidden="false" customHeight="false" outlineLevel="0" collapsed="false">
      <c r="A2015" s="57" t="s">
        <v>2565</v>
      </c>
      <c r="B2015" s="58" t="n">
        <v>45840</v>
      </c>
      <c r="C2015" s="57" t="n">
        <f aca="false">YEAR(B2015)</f>
        <v>2025</v>
      </c>
      <c r="D2015" s="57" t="n">
        <f aca="false">MONTH(B2015)</f>
        <v>7</v>
      </c>
      <c r="E2015" s="57" t="s">
        <v>71</v>
      </c>
      <c r="F2015" s="57" t="s">
        <v>72</v>
      </c>
      <c r="G2015" s="57" t="s">
        <v>35</v>
      </c>
      <c r="H2015" s="57" t="s">
        <v>38</v>
      </c>
      <c r="I2015" s="59" t="n">
        <v>1</v>
      </c>
      <c r="J2015" s="60" t="n">
        <v>49</v>
      </c>
      <c r="K2015" s="60" t="n">
        <v>22</v>
      </c>
      <c r="L2015" s="61" t="n">
        <f aca="false">I2015*J2015</f>
        <v>49</v>
      </c>
      <c r="M2015" s="61" t="n">
        <f aca="false">L2015-I2015*K2015</f>
        <v>27</v>
      </c>
      <c r="N2015" s="57" t="n">
        <f aca="false">IF(COUNTIFS(E$2:E2015,E2015,C$2:C2015,C2015)=1,1,0)</f>
        <v>0</v>
      </c>
      <c r="O2015" s="57" t="n">
        <f aca="false">IF(COUNTIFS(E$2:E2015,E2015,C$2:C2015,C2015,D$2:D2015,D2015)=1,1,0)</f>
        <v>1</v>
      </c>
      <c r="P2015" s="57" t="n">
        <f aca="false">IF(AND(C2015=Calc!$C$3,OR(Calc!$C$4=0,D2015=Calc!$C$4)),ROW(),0)</f>
        <v>2015</v>
      </c>
    </row>
    <row r="2016" customFormat="false" ht="15" hidden="false" customHeight="false" outlineLevel="0" collapsed="false">
      <c r="A2016" s="57" t="s">
        <v>2566</v>
      </c>
      <c r="B2016" s="58" t="n">
        <v>45840</v>
      </c>
      <c r="C2016" s="57" t="n">
        <f aca="false">YEAR(B2016)</f>
        <v>2025</v>
      </c>
      <c r="D2016" s="57" t="n">
        <f aca="false">MONTH(B2016)</f>
        <v>7</v>
      </c>
      <c r="E2016" s="57" t="s">
        <v>199</v>
      </c>
      <c r="F2016" s="57" t="s">
        <v>72</v>
      </c>
      <c r="G2016" s="57" t="s">
        <v>50</v>
      </c>
      <c r="H2016" s="57" t="s">
        <v>52</v>
      </c>
      <c r="I2016" s="59" t="n">
        <v>1</v>
      </c>
      <c r="J2016" s="60" t="n">
        <v>45</v>
      </c>
      <c r="K2016" s="60" t="n">
        <v>14</v>
      </c>
      <c r="L2016" s="61" t="n">
        <f aca="false">I2016*J2016</f>
        <v>45</v>
      </c>
      <c r="M2016" s="61" t="n">
        <f aca="false">L2016-I2016*K2016</f>
        <v>31</v>
      </c>
      <c r="N2016" s="57" t="n">
        <f aca="false">IF(COUNTIFS(E$2:E2016,E2016,C$2:C2016,C2016)=1,1,0)</f>
        <v>0</v>
      </c>
      <c r="O2016" s="57" t="n">
        <f aca="false">IF(COUNTIFS(E$2:E2016,E2016,C$2:C2016,C2016,D$2:D2016,D2016)=1,1,0)</f>
        <v>1</v>
      </c>
      <c r="P2016" s="57" t="n">
        <f aca="false">IF(AND(C2016=Calc!$C$3,OR(Calc!$C$4=0,D2016=Calc!$C$4)),ROW(),0)</f>
        <v>2016</v>
      </c>
    </row>
    <row r="2017" customFormat="false" ht="15" hidden="false" customHeight="false" outlineLevel="0" collapsed="false">
      <c r="A2017" s="57" t="s">
        <v>2567</v>
      </c>
      <c r="B2017" s="58" t="n">
        <v>45840</v>
      </c>
      <c r="C2017" s="57" t="n">
        <f aca="false">YEAR(B2017)</f>
        <v>2025</v>
      </c>
      <c r="D2017" s="57" t="n">
        <f aca="false">MONTH(B2017)</f>
        <v>7</v>
      </c>
      <c r="E2017" s="57" t="s">
        <v>424</v>
      </c>
      <c r="F2017" s="57" t="s">
        <v>78</v>
      </c>
      <c r="G2017" s="57" t="s">
        <v>35</v>
      </c>
      <c r="H2017" s="57" t="s">
        <v>34</v>
      </c>
      <c r="I2017" s="59" t="n">
        <v>1</v>
      </c>
      <c r="J2017" s="60" t="n">
        <v>89</v>
      </c>
      <c r="K2017" s="60" t="n">
        <v>41</v>
      </c>
      <c r="L2017" s="61" t="n">
        <f aca="false">I2017*J2017</f>
        <v>89</v>
      </c>
      <c r="M2017" s="61" t="n">
        <f aca="false">L2017-I2017*K2017</f>
        <v>48</v>
      </c>
      <c r="N2017" s="57" t="n">
        <f aca="false">IF(COUNTIFS(E$2:E2017,E2017,C$2:C2017,C2017)=1,1,0)</f>
        <v>1</v>
      </c>
      <c r="O2017" s="57" t="n">
        <f aca="false">IF(COUNTIFS(E$2:E2017,E2017,C$2:C2017,C2017,D$2:D2017,D2017)=1,1,0)</f>
        <v>1</v>
      </c>
      <c r="P2017" s="57" t="n">
        <f aca="false">IF(AND(C2017=Calc!$C$3,OR(Calc!$C$4=0,D2017=Calc!$C$4)),ROW(),0)</f>
        <v>2017</v>
      </c>
    </row>
    <row r="2018" customFormat="false" ht="15" hidden="false" customHeight="false" outlineLevel="0" collapsed="false">
      <c r="A2018" s="57" t="s">
        <v>2568</v>
      </c>
      <c r="B2018" s="58" t="n">
        <v>45841</v>
      </c>
      <c r="C2018" s="57" t="n">
        <f aca="false">YEAR(B2018)</f>
        <v>2025</v>
      </c>
      <c r="D2018" s="57" t="n">
        <f aca="false">MONTH(B2018)</f>
        <v>7</v>
      </c>
      <c r="E2018" s="57" t="s">
        <v>344</v>
      </c>
      <c r="F2018" s="57" t="s">
        <v>81</v>
      </c>
      <c r="G2018" s="57" t="s">
        <v>45</v>
      </c>
      <c r="H2018" s="57" t="s">
        <v>48</v>
      </c>
      <c r="I2018" s="59" t="n">
        <v>1</v>
      </c>
      <c r="J2018" s="60" t="n">
        <v>99</v>
      </c>
      <c r="K2018" s="60" t="n">
        <v>38</v>
      </c>
      <c r="L2018" s="61" t="n">
        <f aca="false">I2018*J2018</f>
        <v>99</v>
      </c>
      <c r="M2018" s="61" t="n">
        <f aca="false">L2018-I2018*K2018</f>
        <v>61</v>
      </c>
      <c r="N2018" s="57" t="n">
        <f aca="false">IF(COUNTIFS(E$2:E2018,E2018,C$2:C2018,C2018)=1,1,0)</f>
        <v>0</v>
      </c>
      <c r="O2018" s="57" t="n">
        <f aca="false">IF(COUNTIFS(E$2:E2018,E2018,C$2:C2018,C2018,D$2:D2018,D2018)=1,1,0)</f>
        <v>1</v>
      </c>
      <c r="P2018" s="57" t="n">
        <f aca="false">IF(AND(C2018=Calc!$C$3,OR(Calc!$C$4=0,D2018=Calc!$C$4)),ROW(),0)</f>
        <v>2018</v>
      </c>
    </row>
    <row r="2019" customFormat="false" ht="15" hidden="false" customHeight="false" outlineLevel="0" collapsed="false">
      <c r="A2019" s="57" t="s">
        <v>2569</v>
      </c>
      <c r="B2019" s="58" t="n">
        <v>45841</v>
      </c>
      <c r="C2019" s="57" t="n">
        <f aca="false">YEAR(B2019)</f>
        <v>2025</v>
      </c>
      <c r="D2019" s="57" t="n">
        <f aca="false">MONTH(B2019)</f>
        <v>7</v>
      </c>
      <c r="E2019" s="57" t="s">
        <v>2570</v>
      </c>
      <c r="F2019" s="57" t="s">
        <v>78</v>
      </c>
      <c r="G2019" s="57" t="s">
        <v>50</v>
      </c>
      <c r="H2019" s="57" t="s">
        <v>49</v>
      </c>
      <c r="I2019" s="59" t="n">
        <v>1</v>
      </c>
      <c r="J2019" s="60" t="n">
        <v>32</v>
      </c>
      <c r="K2019" s="60" t="n">
        <v>7</v>
      </c>
      <c r="L2019" s="61" t="n">
        <f aca="false">I2019*J2019</f>
        <v>32</v>
      </c>
      <c r="M2019" s="61" t="n">
        <f aca="false">L2019-I2019*K2019</f>
        <v>25</v>
      </c>
      <c r="N2019" s="57" t="n">
        <f aca="false">IF(COUNTIFS(E$2:E2019,E2019,C$2:C2019,C2019)=1,1,0)</f>
        <v>1</v>
      </c>
      <c r="O2019" s="57" t="n">
        <f aca="false">IF(COUNTIFS(E$2:E2019,E2019,C$2:C2019,C2019,D$2:D2019,D2019)=1,1,0)</f>
        <v>1</v>
      </c>
      <c r="P2019" s="57" t="n">
        <f aca="false">IF(AND(C2019=Calc!$C$3,OR(Calc!$C$4=0,D2019=Calc!$C$4)),ROW(),0)</f>
        <v>2019</v>
      </c>
    </row>
    <row r="2020" customFormat="false" ht="15" hidden="false" customHeight="false" outlineLevel="0" collapsed="false">
      <c r="A2020" s="57" t="s">
        <v>2571</v>
      </c>
      <c r="B2020" s="58" t="n">
        <v>45841</v>
      </c>
      <c r="C2020" s="57" t="n">
        <f aca="false">YEAR(B2020)</f>
        <v>2025</v>
      </c>
      <c r="D2020" s="57" t="n">
        <f aca="false">MONTH(B2020)</f>
        <v>7</v>
      </c>
      <c r="E2020" s="57" t="s">
        <v>983</v>
      </c>
      <c r="F2020" s="57" t="s">
        <v>72</v>
      </c>
      <c r="G2020" s="57" t="s">
        <v>40</v>
      </c>
      <c r="H2020" s="57" t="s">
        <v>41</v>
      </c>
      <c r="I2020" s="59" t="n">
        <v>1</v>
      </c>
      <c r="J2020" s="60" t="n">
        <v>46</v>
      </c>
      <c r="K2020" s="60" t="n">
        <v>16</v>
      </c>
      <c r="L2020" s="61" t="n">
        <f aca="false">I2020*J2020</f>
        <v>46</v>
      </c>
      <c r="M2020" s="61" t="n">
        <f aca="false">L2020-I2020*K2020</f>
        <v>30</v>
      </c>
      <c r="N2020" s="57" t="n">
        <f aca="false">IF(COUNTIFS(E$2:E2020,E2020,C$2:C2020,C2020)=1,1,0)</f>
        <v>0</v>
      </c>
      <c r="O2020" s="57" t="n">
        <f aca="false">IF(COUNTIFS(E$2:E2020,E2020,C$2:C2020,C2020,D$2:D2020,D2020)=1,1,0)</f>
        <v>1</v>
      </c>
      <c r="P2020" s="57" t="n">
        <f aca="false">IF(AND(C2020=Calc!$C$3,OR(Calc!$C$4=0,D2020=Calc!$C$4)),ROW(),0)</f>
        <v>2020</v>
      </c>
    </row>
    <row r="2021" customFormat="false" ht="15" hidden="false" customHeight="false" outlineLevel="0" collapsed="false">
      <c r="A2021" s="57" t="s">
        <v>2572</v>
      </c>
      <c r="B2021" s="58" t="n">
        <v>45842</v>
      </c>
      <c r="C2021" s="57" t="n">
        <f aca="false">YEAR(B2021)</f>
        <v>2025</v>
      </c>
      <c r="D2021" s="57" t="n">
        <f aca="false">MONTH(B2021)</f>
        <v>7</v>
      </c>
      <c r="E2021" s="57" t="s">
        <v>508</v>
      </c>
      <c r="F2021" s="57" t="s">
        <v>81</v>
      </c>
      <c r="G2021" s="57" t="s">
        <v>54</v>
      </c>
      <c r="H2021" s="57" t="s">
        <v>56</v>
      </c>
      <c r="I2021" s="59" t="n">
        <v>1</v>
      </c>
      <c r="J2021" s="60" t="n">
        <v>42</v>
      </c>
      <c r="K2021" s="60" t="n">
        <v>17</v>
      </c>
      <c r="L2021" s="61" t="n">
        <f aca="false">I2021*J2021</f>
        <v>42</v>
      </c>
      <c r="M2021" s="61" t="n">
        <f aca="false">L2021-I2021*K2021</f>
        <v>25</v>
      </c>
      <c r="N2021" s="57" t="n">
        <f aca="false">IF(COUNTIFS(E$2:E2021,E2021,C$2:C2021,C2021)=1,1,0)</f>
        <v>0</v>
      </c>
      <c r="O2021" s="57" t="n">
        <f aca="false">IF(COUNTIFS(E$2:E2021,E2021,C$2:C2021,C2021,D$2:D2021,D2021)=1,1,0)</f>
        <v>1</v>
      </c>
      <c r="P2021" s="57" t="n">
        <f aca="false">IF(AND(C2021=Calc!$C$3,OR(Calc!$C$4=0,D2021=Calc!$C$4)),ROW(),0)</f>
        <v>2021</v>
      </c>
    </row>
    <row r="2022" customFormat="false" ht="15" hidden="false" customHeight="false" outlineLevel="0" collapsed="false">
      <c r="A2022" s="57" t="s">
        <v>2573</v>
      </c>
      <c r="B2022" s="58" t="n">
        <v>45842</v>
      </c>
      <c r="C2022" s="57" t="n">
        <f aca="false">YEAR(B2022)</f>
        <v>2025</v>
      </c>
      <c r="D2022" s="57" t="n">
        <f aca="false">MONTH(B2022)</f>
        <v>7</v>
      </c>
      <c r="E2022" s="57" t="s">
        <v>1107</v>
      </c>
      <c r="F2022" s="57" t="s">
        <v>78</v>
      </c>
      <c r="G2022" s="57" t="s">
        <v>35</v>
      </c>
      <c r="H2022" s="57" t="s">
        <v>36</v>
      </c>
      <c r="I2022" s="59" t="n">
        <v>3</v>
      </c>
      <c r="J2022" s="60" t="n">
        <v>179</v>
      </c>
      <c r="K2022" s="60" t="n">
        <v>92</v>
      </c>
      <c r="L2022" s="61" t="n">
        <f aca="false">I2022*J2022</f>
        <v>537</v>
      </c>
      <c r="M2022" s="61" t="n">
        <f aca="false">L2022-I2022*K2022</f>
        <v>261</v>
      </c>
      <c r="N2022" s="57" t="n">
        <f aca="false">IF(COUNTIFS(E$2:E2022,E2022,C$2:C2022,C2022)=1,1,0)</f>
        <v>0</v>
      </c>
      <c r="O2022" s="57" t="n">
        <f aca="false">IF(COUNTIFS(E$2:E2022,E2022,C$2:C2022,C2022,D$2:D2022,D2022)=1,1,0)</f>
        <v>1</v>
      </c>
      <c r="P2022" s="57" t="n">
        <f aca="false">IF(AND(C2022=Calc!$C$3,OR(Calc!$C$4=0,D2022=Calc!$C$4)),ROW(),0)</f>
        <v>2022</v>
      </c>
    </row>
    <row r="2023" customFormat="false" ht="15" hidden="false" customHeight="false" outlineLevel="0" collapsed="false">
      <c r="A2023" s="57" t="s">
        <v>2574</v>
      </c>
      <c r="B2023" s="58" t="n">
        <v>45842</v>
      </c>
      <c r="C2023" s="57" t="n">
        <f aca="false">YEAR(B2023)</f>
        <v>2025</v>
      </c>
      <c r="D2023" s="57" t="n">
        <f aca="false">MONTH(B2023)</f>
        <v>7</v>
      </c>
      <c r="E2023" s="57" t="s">
        <v>1109</v>
      </c>
      <c r="F2023" s="57" t="s">
        <v>78</v>
      </c>
      <c r="G2023" s="57" t="s">
        <v>35</v>
      </c>
      <c r="H2023" s="57" t="s">
        <v>38</v>
      </c>
      <c r="I2023" s="59" t="n">
        <v>1</v>
      </c>
      <c r="J2023" s="60" t="n">
        <v>49</v>
      </c>
      <c r="K2023" s="60" t="n">
        <v>22</v>
      </c>
      <c r="L2023" s="61" t="n">
        <f aca="false">I2023*J2023</f>
        <v>49</v>
      </c>
      <c r="M2023" s="61" t="n">
        <f aca="false">L2023-I2023*K2023</f>
        <v>27</v>
      </c>
      <c r="N2023" s="57" t="n">
        <f aca="false">IF(COUNTIFS(E$2:E2023,E2023,C$2:C2023,C2023)=1,1,0)</f>
        <v>0</v>
      </c>
      <c r="O2023" s="57" t="n">
        <f aca="false">IF(COUNTIFS(E$2:E2023,E2023,C$2:C2023,C2023,D$2:D2023,D2023)=1,1,0)</f>
        <v>1</v>
      </c>
      <c r="P2023" s="57" t="n">
        <f aca="false">IF(AND(C2023=Calc!$C$3,OR(Calc!$C$4=0,D2023=Calc!$C$4)),ROW(),0)</f>
        <v>2023</v>
      </c>
    </row>
    <row r="2024" customFormat="false" ht="15" hidden="false" customHeight="false" outlineLevel="0" collapsed="false">
      <c r="A2024" s="57" t="s">
        <v>2575</v>
      </c>
      <c r="B2024" s="58" t="n">
        <v>45842</v>
      </c>
      <c r="C2024" s="57" t="n">
        <f aca="false">YEAR(B2024)</f>
        <v>2025</v>
      </c>
      <c r="D2024" s="57" t="n">
        <f aca="false">MONTH(B2024)</f>
        <v>7</v>
      </c>
      <c r="E2024" s="57" t="s">
        <v>543</v>
      </c>
      <c r="F2024" s="57" t="s">
        <v>78</v>
      </c>
      <c r="G2024" s="57" t="s">
        <v>50</v>
      </c>
      <c r="H2024" s="57" t="s">
        <v>51</v>
      </c>
      <c r="I2024" s="59" t="n">
        <v>1</v>
      </c>
      <c r="J2024" s="60" t="n">
        <v>69</v>
      </c>
      <c r="K2024" s="60" t="n">
        <v>29</v>
      </c>
      <c r="L2024" s="61" t="n">
        <f aca="false">I2024*J2024</f>
        <v>69</v>
      </c>
      <c r="M2024" s="61" t="n">
        <f aca="false">L2024-I2024*K2024</f>
        <v>40</v>
      </c>
      <c r="N2024" s="57" t="n">
        <f aca="false">IF(COUNTIFS(E$2:E2024,E2024,C$2:C2024,C2024)=1,1,0)</f>
        <v>0</v>
      </c>
      <c r="O2024" s="57" t="n">
        <f aca="false">IF(COUNTIFS(E$2:E2024,E2024,C$2:C2024,C2024,D$2:D2024,D2024)=1,1,0)</f>
        <v>1</v>
      </c>
      <c r="P2024" s="57" t="n">
        <f aca="false">IF(AND(C2024=Calc!$C$3,OR(Calc!$C$4=0,D2024=Calc!$C$4)),ROW(),0)</f>
        <v>2024</v>
      </c>
    </row>
    <row r="2025" customFormat="false" ht="15" hidden="false" customHeight="false" outlineLevel="0" collapsed="false">
      <c r="A2025" s="57" t="s">
        <v>2576</v>
      </c>
      <c r="B2025" s="58" t="n">
        <v>45842</v>
      </c>
      <c r="C2025" s="57" t="n">
        <f aca="false">YEAR(B2025)</f>
        <v>2025</v>
      </c>
      <c r="D2025" s="57" t="n">
        <f aca="false">MONTH(B2025)</f>
        <v>7</v>
      </c>
      <c r="E2025" s="57" t="s">
        <v>818</v>
      </c>
      <c r="F2025" s="57" t="s">
        <v>69</v>
      </c>
      <c r="G2025" s="57" t="s">
        <v>45</v>
      </c>
      <c r="H2025" s="57" t="s">
        <v>44</v>
      </c>
      <c r="I2025" s="59" t="n">
        <v>2</v>
      </c>
      <c r="J2025" s="60" t="n">
        <v>119</v>
      </c>
      <c r="K2025" s="60" t="n">
        <v>63</v>
      </c>
      <c r="L2025" s="61" t="n">
        <f aca="false">I2025*J2025</f>
        <v>238</v>
      </c>
      <c r="M2025" s="61" t="n">
        <f aca="false">L2025-I2025*K2025</f>
        <v>112</v>
      </c>
      <c r="N2025" s="57" t="n">
        <f aca="false">IF(COUNTIFS(E$2:E2025,E2025,C$2:C2025,C2025)=1,1,0)</f>
        <v>1</v>
      </c>
      <c r="O2025" s="57" t="n">
        <f aca="false">IF(COUNTIFS(E$2:E2025,E2025,C$2:C2025,C2025,D$2:D2025,D2025)=1,1,0)</f>
        <v>1</v>
      </c>
      <c r="P2025" s="57" t="n">
        <f aca="false">IF(AND(C2025=Calc!$C$3,OR(Calc!$C$4=0,D2025=Calc!$C$4)),ROW(),0)</f>
        <v>2025</v>
      </c>
    </row>
    <row r="2026" customFormat="false" ht="15" hidden="false" customHeight="false" outlineLevel="0" collapsed="false">
      <c r="A2026" s="57" t="s">
        <v>2577</v>
      </c>
      <c r="B2026" s="58" t="n">
        <v>45843</v>
      </c>
      <c r="C2026" s="57" t="n">
        <f aca="false">YEAR(B2026)</f>
        <v>2025</v>
      </c>
      <c r="D2026" s="57" t="n">
        <f aca="false">MONTH(B2026)</f>
        <v>7</v>
      </c>
      <c r="E2026" s="57" t="s">
        <v>185</v>
      </c>
      <c r="F2026" s="57" t="s">
        <v>81</v>
      </c>
      <c r="G2026" s="57" t="s">
        <v>35</v>
      </c>
      <c r="H2026" s="57" t="s">
        <v>34</v>
      </c>
      <c r="I2026" s="59" t="n">
        <v>1</v>
      </c>
      <c r="J2026" s="60" t="n">
        <v>89</v>
      </c>
      <c r="K2026" s="60" t="n">
        <v>41</v>
      </c>
      <c r="L2026" s="61" t="n">
        <f aca="false">I2026*J2026</f>
        <v>89</v>
      </c>
      <c r="M2026" s="61" t="n">
        <f aca="false">L2026-I2026*K2026</f>
        <v>48</v>
      </c>
      <c r="N2026" s="57" t="n">
        <f aca="false">IF(COUNTIFS(E$2:E2026,E2026,C$2:C2026,C2026)=1,1,0)</f>
        <v>0</v>
      </c>
      <c r="O2026" s="57" t="n">
        <f aca="false">IF(COUNTIFS(E$2:E2026,E2026,C$2:C2026,C2026,D$2:D2026,D2026)=1,1,0)</f>
        <v>1</v>
      </c>
      <c r="P2026" s="57" t="n">
        <f aca="false">IF(AND(C2026=Calc!$C$3,OR(Calc!$C$4=0,D2026=Calc!$C$4)),ROW(),0)</f>
        <v>2026</v>
      </c>
    </row>
    <row r="2027" customFormat="false" ht="15" hidden="false" customHeight="false" outlineLevel="0" collapsed="false">
      <c r="A2027" s="57" t="s">
        <v>2578</v>
      </c>
      <c r="B2027" s="58" t="n">
        <v>45843</v>
      </c>
      <c r="C2027" s="57" t="n">
        <f aca="false">YEAR(B2027)</f>
        <v>2025</v>
      </c>
      <c r="D2027" s="57" t="n">
        <f aca="false">MONTH(B2027)</f>
        <v>7</v>
      </c>
      <c r="E2027" s="57" t="s">
        <v>326</v>
      </c>
      <c r="F2027" s="57" t="s">
        <v>78</v>
      </c>
      <c r="G2027" s="57" t="s">
        <v>54</v>
      </c>
      <c r="H2027" s="57" t="s">
        <v>56</v>
      </c>
      <c r="I2027" s="59" t="n">
        <v>1</v>
      </c>
      <c r="J2027" s="60" t="n">
        <v>42</v>
      </c>
      <c r="K2027" s="60" t="n">
        <v>17</v>
      </c>
      <c r="L2027" s="61" t="n">
        <f aca="false">I2027*J2027</f>
        <v>42</v>
      </c>
      <c r="M2027" s="61" t="n">
        <f aca="false">L2027-I2027*K2027</f>
        <v>25</v>
      </c>
      <c r="N2027" s="57" t="n">
        <f aca="false">IF(COUNTIFS(E$2:E2027,E2027,C$2:C2027,C2027)=1,1,0)</f>
        <v>0</v>
      </c>
      <c r="O2027" s="57" t="n">
        <f aca="false">IF(COUNTIFS(E$2:E2027,E2027,C$2:C2027,C2027,D$2:D2027,D2027)=1,1,0)</f>
        <v>1</v>
      </c>
      <c r="P2027" s="57" t="n">
        <f aca="false">IF(AND(C2027=Calc!$C$3,OR(Calc!$C$4=0,D2027=Calc!$C$4)),ROW(),0)</f>
        <v>2027</v>
      </c>
    </row>
    <row r="2028" customFormat="false" ht="15" hidden="false" customHeight="false" outlineLevel="0" collapsed="false">
      <c r="A2028" s="57" t="s">
        <v>2579</v>
      </c>
      <c r="B2028" s="58" t="n">
        <v>45843</v>
      </c>
      <c r="C2028" s="57" t="n">
        <f aca="false">YEAR(B2028)</f>
        <v>2025</v>
      </c>
      <c r="D2028" s="57" t="n">
        <f aca="false">MONTH(B2028)</f>
        <v>7</v>
      </c>
      <c r="E2028" s="57" t="s">
        <v>80</v>
      </c>
      <c r="F2028" s="57" t="s">
        <v>81</v>
      </c>
      <c r="G2028" s="57" t="s">
        <v>40</v>
      </c>
      <c r="H2028" s="57" t="s">
        <v>41</v>
      </c>
      <c r="I2028" s="59" t="n">
        <v>1</v>
      </c>
      <c r="J2028" s="60" t="n">
        <v>46</v>
      </c>
      <c r="K2028" s="60" t="n">
        <v>16</v>
      </c>
      <c r="L2028" s="61" t="n">
        <f aca="false">I2028*J2028</f>
        <v>46</v>
      </c>
      <c r="M2028" s="61" t="n">
        <f aca="false">L2028-I2028*K2028</f>
        <v>30</v>
      </c>
      <c r="N2028" s="57" t="n">
        <f aca="false">IF(COUNTIFS(E$2:E2028,E2028,C$2:C2028,C2028)=1,1,0)</f>
        <v>0</v>
      </c>
      <c r="O2028" s="57" t="n">
        <f aca="false">IF(COUNTIFS(E$2:E2028,E2028,C$2:C2028,C2028,D$2:D2028,D2028)=1,1,0)</f>
        <v>1</v>
      </c>
      <c r="P2028" s="57" t="n">
        <f aca="false">IF(AND(C2028=Calc!$C$3,OR(Calc!$C$4=0,D2028=Calc!$C$4)),ROW(),0)</f>
        <v>2028</v>
      </c>
    </row>
    <row r="2029" customFormat="false" ht="15" hidden="false" customHeight="false" outlineLevel="0" collapsed="false">
      <c r="A2029" s="57" t="s">
        <v>2580</v>
      </c>
      <c r="B2029" s="58" t="n">
        <v>45843</v>
      </c>
      <c r="C2029" s="57" t="n">
        <f aca="false">YEAR(B2029)</f>
        <v>2025</v>
      </c>
      <c r="D2029" s="57" t="n">
        <f aca="false">MONTH(B2029)</f>
        <v>7</v>
      </c>
      <c r="E2029" s="57" t="s">
        <v>104</v>
      </c>
      <c r="F2029" s="57" t="s">
        <v>78</v>
      </c>
      <c r="G2029" s="57" t="s">
        <v>35</v>
      </c>
      <c r="H2029" s="57" t="s">
        <v>38</v>
      </c>
      <c r="I2029" s="59" t="n">
        <v>1</v>
      </c>
      <c r="J2029" s="60" t="n">
        <v>49</v>
      </c>
      <c r="K2029" s="60" t="n">
        <v>22</v>
      </c>
      <c r="L2029" s="61" t="n">
        <f aca="false">I2029*J2029</f>
        <v>49</v>
      </c>
      <c r="M2029" s="61" t="n">
        <f aca="false">L2029-I2029*K2029</f>
        <v>27</v>
      </c>
      <c r="N2029" s="57" t="n">
        <f aca="false">IF(COUNTIFS(E$2:E2029,E2029,C$2:C2029,C2029)=1,1,0)</f>
        <v>0</v>
      </c>
      <c r="O2029" s="57" t="n">
        <f aca="false">IF(COUNTIFS(E$2:E2029,E2029,C$2:C2029,C2029,D$2:D2029,D2029)=1,1,0)</f>
        <v>1</v>
      </c>
      <c r="P2029" s="57" t="n">
        <f aca="false">IF(AND(C2029=Calc!$C$3,OR(Calc!$C$4=0,D2029=Calc!$C$4)),ROW(),0)</f>
        <v>2029</v>
      </c>
    </row>
    <row r="2030" customFormat="false" ht="15" hidden="false" customHeight="false" outlineLevel="0" collapsed="false">
      <c r="A2030" s="57" t="s">
        <v>2581</v>
      </c>
      <c r="B2030" s="58" t="n">
        <v>45844</v>
      </c>
      <c r="C2030" s="57" t="n">
        <f aca="false">YEAR(B2030)</f>
        <v>2025</v>
      </c>
      <c r="D2030" s="57" t="n">
        <f aca="false">MONTH(B2030)</f>
        <v>7</v>
      </c>
      <c r="E2030" s="57" t="s">
        <v>960</v>
      </c>
      <c r="F2030" s="57" t="s">
        <v>75</v>
      </c>
      <c r="G2030" s="57" t="s">
        <v>35</v>
      </c>
      <c r="H2030" s="57" t="s">
        <v>37</v>
      </c>
      <c r="I2030" s="59" t="n">
        <v>1</v>
      </c>
      <c r="J2030" s="60" t="n">
        <v>59</v>
      </c>
      <c r="K2030" s="60" t="n">
        <v>27</v>
      </c>
      <c r="L2030" s="61" t="n">
        <f aca="false">I2030*J2030</f>
        <v>59</v>
      </c>
      <c r="M2030" s="61" t="n">
        <f aca="false">L2030-I2030*K2030</f>
        <v>32</v>
      </c>
      <c r="N2030" s="57" t="n">
        <f aca="false">IF(COUNTIFS(E$2:E2030,E2030,C$2:C2030,C2030)=1,1,0)</f>
        <v>1</v>
      </c>
      <c r="O2030" s="57" t="n">
        <f aca="false">IF(COUNTIFS(E$2:E2030,E2030,C$2:C2030,C2030,D$2:D2030,D2030)=1,1,0)</f>
        <v>1</v>
      </c>
      <c r="P2030" s="57" t="n">
        <f aca="false">IF(AND(C2030=Calc!$C$3,OR(Calc!$C$4=0,D2030=Calc!$C$4)),ROW(),0)</f>
        <v>2030</v>
      </c>
    </row>
    <row r="2031" customFormat="false" ht="15" hidden="false" customHeight="false" outlineLevel="0" collapsed="false">
      <c r="A2031" s="57" t="s">
        <v>2582</v>
      </c>
      <c r="B2031" s="58" t="n">
        <v>45844</v>
      </c>
      <c r="C2031" s="57" t="n">
        <f aca="false">YEAR(B2031)</f>
        <v>2025</v>
      </c>
      <c r="D2031" s="57" t="n">
        <f aca="false">MONTH(B2031)</f>
        <v>7</v>
      </c>
      <c r="E2031" s="57" t="s">
        <v>660</v>
      </c>
      <c r="F2031" s="57" t="s">
        <v>78</v>
      </c>
      <c r="G2031" s="57" t="s">
        <v>35</v>
      </c>
      <c r="H2031" s="57" t="s">
        <v>34</v>
      </c>
      <c r="I2031" s="59" t="n">
        <v>1</v>
      </c>
      <c r="J2031" s="60" t="n">
        <v>89</v>
      </c>
      <c r="K2031" s="60" t="n">
        <v>41</v>
      </c>
      <c r="L2031" s="61" t="n">
        <f aca="false">I2031*J2031</f>
        <v>89</v>
      </c>
      <c r="M2031" s="61" t="n">
        <f aca="false">L2031-I2031*K2031</f>
        <v>48</v>
      </c>
      <c r="N2031" s="57" t="n">
        <f aca="false">IF(COUNTIFS(E$2:E2031,E2031,C$2:C2031,C2031)=1,1,0)</f>
        <v>0</v>
      </c>
      <c r="O2031" s="57" t="n">
        <f aca="false">IF(COUNTIFS(E$2:E2031,E2031,C$2:C2031,C2031,D$2:D2031,D2031)=1,1,0)</f>
        <v>1</v>
      </c>
      <c r="P2031" s="57" t="n">
        <f aca="false">IF(AND(C2031=Calc!$C$3,OR(Calc!$C$4=0,D2031=Calc!$C$4)),ROW(),0)</f>
        <v>2031</v>
      </c>
    </row>
    <row r="2032" customFormat="false" ht="15" hidden="false" customHeight="false" outlineLevel="0" collapsed="false">
      <c r="A2032" s="57" t="s">
        <v>2583</v>
      </c>
      <c r="B2032" s="58" t="n">
        <v>45844</v>
      </c>
      <c r="C2032" s="57" t="n">
        <f aca="false">YEAR(B2032)</f>
        <v>2025</v>
      </c>
      <c r="D2032" s="57" t="n">
        <f aca="false">MONTH(B2032)</f>
        <v>7</v>
      </c>
      <c r="E2032" s="57" t="s">
        <v>1553</v>
      </c>
      <c r="F2032" s="57" t="s">
        <v>81</v>
      </c>
      <c r="G2032" s="57" t="s">
        <v>35</v>
      </c>
      <c r="H2032" s="57" t="s">
        <v>36</v>
      </c>
      <c r="I2032" s="59" t="n">
        <v>1</v>
      </c>
      <c r="J2032" s="60" t="n">
        <v>179</v>
      </c>
      <c r="K2032" s="60" t="n">
        <v>92</v>
      </c>
      <c r="L2032" s="61" t="n">
        <f aca="false">I2032*J2032</f>
        <v>179</v>
      </c>
      <c r="M2032" s="61" t="n">
        <f aca="false">L2032-I2032*K2032</f>
        <v>87</v>
      </c>
      <c r="N2032" s="57" t="n">
        <f aca="false">IF(COUNTIFS(E$2:E2032,E2032,C$2:C2032,C2032)=1,1,0)</f>
        <v>0</v>
      </c>
      <c r="O2032" s="57" t="n">
        <f aca="false">IF(COUNTIFS(E$2:E2032,E2032,C$2:C2032,C2032,D$2:D2032,D2032)=1,1,0)</f>
        <v>1</v>
      </c>
      <c r="P2032" s="57" t="n">
        <f aca="false">IF(AND(C2032=Calc!$C$3,OR(Calc!$C$4=0,D2032=Calc!$C$4)),ROW(),0)</f>
        <v>2032</v>
      </c>
    </row>
    <row r="2033" customFormat="false" ht="15" hidden="false" customHeight="false" outlineLevel="0" collapsed="false">
      <c r="A2033" s="57" t="s">
        <v>2584</v>
      </c>
      <c r="B2033" s="58" t="n">
        <v>45845</v>
      </c>
      <c r="C2033" s="57" t="n">
        <f aca="false">YEAR(B2033)</f>
        <v>2025</v>
      </c>
      <c r="D2033" s="57" t="n">
        <f aca="false">MONTH(B2033)</f>
        <v>7</v>
      </c>
      <c r="E2033" s="57" t="s">
        <v>1523</v>
      </c>
      <c r="F2033" s="57" t="s">
        <v>69</v>
      </c>
      <c r="G2033" s="57" t="s">
        <v>40</v>
      </c>
      <c r="H2033" s="57" t="s">
        <v>42</v>
      </c>
      <c r="I2033" s="59" t="n">
        <v>1</v>
      </c>
      <c r="J2033" s="60" t="n">
        <v>79</v>
      </c>
      <c r="K2033" s="60" t="n">
        <v>31</v>
      </c>
      <c r="L2033" s="61" t="n">
        <f aca="false">I2033*J2033</f>
        <v>79</v>
      </c>
      <c r="M2033" s="61" t="n">
        <f aca="false">L2033-I2033*K2033</f>
        <v>48</v>
      </c>
      <c r="N2033" s="57" t="n">
        <f aca="false">IF(COUNTIFS(E$2:E2033,E2033,C$2:C2033,C2033)=1,1,0)</f>
        <v>0</v>
      </c>
      <c r="O2033" s="57" t="n">
        <f aca="false">IF(COUNTIFS(E$2:E2033,E2033,C$2:C2033,C2033,D$2:D2033,D2033)=1,1,0)</f>
        <v>1</v>
      </c>
      <c r="P2033" s="57" t="n">
        <f aca="false">IF(AND(C2033=Calc!$C$3,OR(Calc!$C$4=0,D2033=Calc!$C$4)),ROW(),0)</f>
        <v>2033</v>
      </c>
    </row>
    <row r="2034" customFormat="false" ht="15" hidden="false" customHeight="false" outlineLevel="0" collapsed="false">
      <c r="A2034" s="57" t="s">
        <v>2585</v>
      </c>
      <c r="B2034" s="58" t="n">
        <v>45845</v>
      </c>
      <c r="C2034" s="57" t="n">
        <f aca="false">YEAR(B2034)</f>
        <v>2025</v>
      </c>
      <c r="D2034" s="57" t="n">
        <f aca="false">MONTH(B2034)</f>
        <v>7</v>
      </c>
      <c r="E2034" s="57" t="s">
        <v>372</v>
      </c>
      <c r="F2034" s="57" t="s">
        <v>81</v>
      </c>
      <c r="G2034" s="57" t="s">
        <v>35</v>
      </c>
      <c r="H2034" s="57" t="s">
        <v>38</v>
      </c>
      <c r="I2034" s="59" t="n">
        <v>1</v>
      </c>
      <c r="J2034" s="60" t="n">
        <v>49</v>
      </c>
      <c r="K2034" s="60" t="n">
        <v>22</v>
      </c>
      <c r="L2034" s="61" t="n">
        <f aca="false">I2034*J2034</f>
        <v>49</v>
      </c>
      <c r="M2034" s="61" t="n">
        <f aca="false">L2034-I2034*K2034</f>
        <v>27</v>
      </c>
      <c r="N2034" s="57" t="n">
        <f aca="false">IF(COUNTIFS(E$2:E2034,E2034,C$2:C2034,C2034)=1,1,0)</f>
        <v>0</v>
      </c>
      <c r="O2034" s="57" t="n">
        <f aca="false">IF(COUNTIFS(E$2:E2034,E2034,C$2:C2034,C2034,D$2:D2034,D2034)=1,1,0)</f>
        <v>1</v>
      </c>
      <c r="P2034" s="57" t="n">
        <f aca="false">IF(AND(C2034=Calc!$C$3,OR(Calc!$C$4=0,D2034=Calc!$C$4)),ROW(),0)</f>
        <v>2034</v>
      </c>
    </row>
    <row r="2035" customFormat="false" ht="15" hidden="false" customHeight="false" outlineLevel="0" collapsed="false">
      <c r="A2035" s="57" t="s">
        <v>2586</v>
      </c>
      <c r="B2035" s="58" t="n">
        <v>45845</v>
      </c>
      <c r="C2035" s="57" t="n">
        <f aca="false">YEAR(B2035)</f>
        <v>2025</v>
      </c>
      <c r="D2035" s="57" t="n">
        <f aca="false">MONTH(B2035)</f>
        <v>7</v>
      </c>
      <c r="E2035" s="57" t="s">
        <v>208</v>
      </c>
      <c r="F2035" s="57" t="s">
        <v>81</v>
      </c>
      <c r="G2035" s="57" t="s">
        <v>35</v>
      </c>
      <c r="H2035" s="57" t="s">
        <v>34</v>
      </c>
      <c r="I2035" s="59" t="n">
        <v>1</v>
      </c>
      <c r="J2035" s="60" t="n">
        <v>89</v>
      </c>
      <c r="K2035" s="60" t="n">
        <v>41</v>
      </c>
      <c r="L2035" s="61" t="n">
        <f aca="false">I2035*J2035</f>
        <v>89</v>
      </c>
      <c r="M2035" s="61" t="n">
        <f aca="false">L2035-I2035*K2035</f>
        <v>48</v>
      </c>
      <c r="N2035" s="57" t="n">
        <f aca="false">IF(COUNTIFS(E$2:E2035,E2035,C$2:C2035,C2035)=1,1,0)</f>
        <v>0</v>
      </c>
      <c r="O2035" s="57" t="n">
        <f aca="false">IF(COUNTIFS(E$2:E2035,E2035,C$2:C2035,C2035,D$2:D2035,D2035)=1,1,0)</f>
        <v>1</v>
      </c>
      <c r="P2035" s="57" t="n">
        <f aca="false">IF(AND(C2035=Calc!$C$3,OR(Calc!$C$4=0,D2035=Calc!$C$4)),ROW(),0)</f>
        <v>2035</v>
      </c>
    </row>
    <row r="2036" customFormat="false" ht="15" hidden="false" customHeight="false" outlineLevel="0" collapsed="false">
      <c r="A2036" s="57" t="s">
        <v>2587</v>
      </c>
      <c r="B2036" s="58" t="n">
        <v>45845</v>
      </c>
      <c r="C2036" s="57" t="n">
        <f aca="false">YEAR(B2036)</f>
        <v>2025</v>
      </c>
      <c r="D2036" s="57" t="n">
        <f aca="false">MONTH(B2036)</f>
        <v>7</v>
      </c>
      <c r="E2036" s="57" t="s">
        <v>2588</v>
      </c>
      <c r="F2036" s="57" t="s">
        <v>81</v>
      </c>
      <c r="G2036" s="57" t="s">
        <v>35</v>
      </c>
      <c r="H2036" s="57" t="s">
        <v>37</v>
      </c>
      <c r="I2036" s="59" t="n">
        <v>1</v>
      </c>
      <c r="J2036" s="60" t="n">
        <v>59</v>
      </c>
      <c r="K2036" s="60" t="n">
        <v>27</v>
      </c>
      <c r="L2036" s="61" t="n">
        <f aca="false">I2036*J2036</f>
        <v>59</v>
      </c>
      <c r="M2036" s="61" t="n">
        <f aca="false">L2036-I2036*K2036</f>
        <v>32</v>
      </c>
      <c r="N2036" s="57" t="n">
        <f aca="false">IF(COUNTIFS(E$2:E2036,E2036,C$2:C2036,C2036)=1,1,0)</f>
        <v>1</v>
      </c>
      <c r="O2036" s="57" t="n">
        <f aca="false">IF(COUNTIFS(E$2:E2036,E2036,C$2:C2036,C2036,D$2:D2036,D2036)=1,1,0)</f>
        <v>1</v>
      </c>
      <c r="P2036" s="57" t="n">
        <f aca="false">IF(AND(C2036=Calc!$C$3,OR(Calc!$C$4=0,D2036=Calc!$C$4)),ROW(),0)</f>
        <v>2036</v>
      </c>
    </row>
    <row r="2037" customFormat="false" ht="15" hidden="false" customHeight="false" outlineLevel="0" collapsed="false">
      <c r="A2037" s="57" t="s">
        <v>2589</v>
      </c>
      <c r="B2037" s="58" t="n">
        <v>45846</v>
      </c>
      <c r="C2037" s="57" t="n">
        <f aca="false">YEAR(B2037)</f>
        <v>2025</v>
      </c>
      <c r="D2037" s="57" t="n">
        <f aca="false">MONTH(B2037)</f>
        <v>7</v>
      </c>
      <c r="E2037" s="57" t="s">
        <v>199</v>
      </c>
      <c r="F2037" s="57" t="s">
        <v>72</v>
      </c>
      <c r="G2037" s="57" t="s">
        <v>40</v>
      </c>
      <c r="H2037" s="57" t="s">
        <v>39</v>
      </c>
      <c r="I2037" s="59" t="n">
        <v>1</v>
      </c>
      <c r="J2037" s="60" t="n">
        <v>54</v>
      </c>
      <c r="K2037" s="60" t="n">
        <v>19</v>
      </c>
      <c r="L2037" s="61" t="n">
        <f aca="false">I2037*J2037</f>
        <v>54</v>
      </c>
      <c r="M2037" s="61" t="n">
        <f aca="false">L2037-I2037*K2037</f>
        <v>35</v>
      </c>
      <c r="N2037" s="57" t="n">
        <f aca="false">IF(COUNTIFS(E$2:E2037,E2037,C$2:C2037,C2037)=1,1,0)</f>
        <v>0</v>
      </c>
      <c r="O2037" s="57" t="n">
        <f aca="false">IF(COUNTIFS(E$2:E2037,E2037,C$2:C2037,C2037,D$2:D2037,D2037)=1,1,0)</f>
        <v>0</v>
      </c>
      <c r="P2037" s="57" t="n">
        <f aca="false">IF(AND(C2037=Calc!$C$3,OR(Calc!$C$4=0,D2037=Calc!$C$4)),ROW(),0)</f>
        <v>2037</v>
      </c>
    </row>
    <row r="2038" customFormat="false" ht="15" hidden="false" customHeight="false" outlineLevel="0" collapsed="false">
      <c r="A2038" s="57" t="s">
        <v>2590</v>
      </c>
      <c r="B2038" s="58" t="n">
        <v>45846</v>
      </c>
      <c r="C2038" s="57" t="n">
        <f aca="false">YEAR(B2038)</f>
        <v>2025</v>
      </c>
      <c r="D2038" s="57" t="n">
        <f aca="false">MONTH(B2038)</f>
        <v>7</v>
      </c>
      <c r="E2038" s="57" t="s">
        <v>168</v>
      </c>
      <c r="F2038" s="57" t="s">
        <v>81</v>
      </c>
      <c r="G2038" s="57" t="s">
        <v>40</v>
      </c>
      <c r="H2038" s="57" t="s">
        <v>43</v>
      </c>
      <c r="I2038" s="59" t="n">
        <v>2</v>
      </c>
      <c r="J2038" s="60" t="n">
        <v>29</v>
      </c>
      <c r="K2038" s="60" t="n">
        <v>9</v>
      </c>
      <c r="L2038" s="61" t="n">
        <f aca="false">I2038*J2038</f>
        <v>58</v>
      </c>
      <c r="M2038" s="61" t="n">
        <f aca="false">L2038-I2038*K2038</f>
        <v>40</v>
      </c>
      <c r="N2038" s="57" t="n">
        <f aca="false">IF(COUNTIFS(E$2:E2038,E2038,C$2:C2038,C2038)=1,1,0)</f>
        <v>0</v>
      </c>
      <c r="O2038" s="57" t="n">
        <f aca="false">IF(COUNTIFS(E$2:E2038,E2038,C$2:C2038,C2038,D$2:D2038,D2038)=1,1,0)</f>
        <v>1</v>
      </c>
      <c r="P2038" s="57" t="n">
        <f aca="false">IF(AND(C2038=Calc!$C$3,OR(Calc!$C$4=0,D2038=Calc!$C$4)),ROW(),0)</f>
        <v>2038</v>
      </c>
    </row>
    <row r="2039" customFormat="false" ht="15" hidden="false" customHeight="false" outlineLevel="0" collapsed="false">
      <c r="A2039" s="57" t="s">
        <v>2591</v>
      </c>
      <c r="B2039" s="58" t="n">
        <v>45846</v>
      </c>
      <c r="C2039" s="57" t="n">
        <f aca="false">YEAR(B2039)</f>
        <v>2025</v>
      </c>
      <c r="D2039" s="57" t="n">
        <f aca="false">MONTH(B2039)</f>
        <v>7</v>
      </c>
      <c r="E2039" s="57" t="s">
        <v>2592</v>
      </c>
      <c r="F2039" s="57" t="s">
        <v>78</v>
      </c>
      <c r="G2039" s="57" t="s">
        <v>35</v>
      </c>
      <c r="H2039" s="57" t="s">
        <v>37</v>
      </c>
      <c r="I2039" s="59" t="n">
        <v>3</v>
      </c>
      <c r="J2039" s="60" t="n">
        <v>59</v>
      </c>
      <c r="K2039" s="60" t="n">
        <v>27</v>
      </c>
      <c r="L2039" s="61" t="n">
        <f aca="false">I2039*J2039</f>
        <v>177</v>
      </c>
      <c r="M2039" s="61" t="n">
        <f aca="false">L2039-I2039*K2039</f>
        <v>96</v>
      </c>
      <c r="N2039" s="57" t="n">
        <f aca="false">IF(COUNTIFS(E$2:E2039,E2039,C$2:C2039,C2039)=1,1,0)</f>
        <v>1</v>
      </c>
      <c r="O2039" s="57" t="n">
        <f aca="false">IF(COUNTIFS(E$2:E2039,E2039,C$2:C2039,C2039,D$2:D2039,D2039)=1,1,0)</f>
        <v>1</v>
      </c>
      <c r="P2039" s="57" t="n">
        <f aca="false">IF(AND(C2039=Calc!$C$3,OR(Calc!$C$4=0,D2039=Calc!$C$4)),ROW(),0)</f>
        <v>2039</v>
      </c>
    </row>
    <row r="2040" customFormat="false" ht="15" hidden="false" customHeight="false" outlineLevel="0" collapsed="false">
      <c r="A2040" s="57" t="s">
        <v>2593</v>
      </c>
      <c r="B2040" s="58" t="n">
        <v>45846</v>
      </c>
      <c r="C2040" s="57" t="n">
        <f aca="false">YEAR(B2040)</f>
        <v>2025</v>
      </c>
      <c r="D2040" s="57" t="n">
        <f aca="false">MONTH(B2040)</f>
        <v>7</v>
      </c>
      <c r="E2040" s="57" t="s">
        <v>265</v>
      </c>
      <c r="F2040" s="57" t="s">
        <v>78</v>
      </c>
      <c r="G2040" s="57" t="s">
        <v>35</v>
      </c>
      <c r="H2040" s="57" t="s">
        <v>36</v>
      </c>
      <c r="I2040" s="59" t="n">
        <v>1</v>
      </c>
      <c r="J2040" s="60" t="n">
        <v>179</v>
      </c>
      <c r="K2040" s="60" t="n">
        <v>92</v>
      </c>
      <c r="L2040" s="61" t="n">
        <f aca="false">I2040*J2040</f>
        <v>179</v>
      </c>
      <c r="M2040" s="61" t="n">
        <f aca="false">L2040-I2040*K2040</f>
        <v>87</v>
      </c>
      <c r="N2040" s="57" t="n">
        <f aca="false">IF(COUNTIFS(E$2:E2040,E2040,C$2:C2040,C2040)=1,1,0)</f>
        <v>0</v>
      </c>
      <c r="O2040" s="57" t="n">
        <f aca="false">IF(COUNTIFS(E$2:E2040,E2040,C$2:C2040,C2040,D$2:D2040,D2040)=1,1,0)</f>
        <v>1</v>
      </c>
      <c r="P2040" s="57" t="n">
        <f aca="false">IF(AND(C2040=Calc!$C$3,OR(Calc!$C$4=0,D2040=Calc!$C$4)),ROW(),0)</f>
        <v>2040</v>
      </c>
    </row>
    <row r="2041" customFormat="false" ht="15" hidden="false" customHeight="false" outlineLevel="0" collapsed="false">
      <c r="A2041" s="57" t="s">
        <v>2594</v>
      </c>
      <c r="B2041" s="58" t="n">
        <v>45847</v>
      </c>
      <c r="C2041" s="57" t="n">
        <f aca="false">YEAR(B2041)</f>
        <v>2025</v>
      </c>
      <c r="D2041" s="57" t="n">
        <f aca="false">MONTH(B2041)</f>
        <v>7</v>
      </c>
      <c r="E2041" s="57" t="s">
        <v>691</v>
      </c>
      <c r="F2041" s="57" t="s">
        <v>69</v>
      </c>
      <c r="G2041" s="57" t="s">
        <v>35</v>
      </c>
      <c r="H2041" s="57" t="s">
        <v>36</v>
      </c>
      <c r="I2041" s="59" t="n">
        <v>3</v>
      </c>
      <c r="J2041" s="60" t="n">
        <v>179</v>
      </c>
      <c r="K2041" s="60" t="n">
        <v>92</v>
      </c>
      <c r="L2041" s="61" t="n">
        <f aca="false">I2041*J2041</f>
        <v>537</v>
      </c>
      <c r="M2041" s="61" t="n">
        <f aca="false">L2041-I2041*K2041</f>
        <v>261</v>
      </c>
      <c r="N2041" s="57" t="n">
        <f aca="false">IF(COUNTIFS(E$2:E2041,E2041,C$2:C2041,C2041)=1,1,0)</f>
        <v>0</v>
      </c>
      <c r="O2041" s="57" t="n">
        <f aca="false">IF(COUNTIFS(E$2:E2041,E2041,C$2:C2041,C2041,D$2:D2041,D2041)=1,1,0)</f>
        <v>1</v>
      </c>
      <c r="P2041" s="57" t="n">
        <f aca="false">IF(AND(C2041=Calc!$C$3,OR(Calc!$C$4=0,D2041=Calc!$C$4)),ROW(),0)</f>
        <v>2041</v>
      </c>
    </row>
    <row r="2042" customFormat="false" ht="15" hidden="false" customHeight="false" outlineLevel="0" collapsed="false">
      <c r="A2042" s="57" t="s">
        <v>2595</v>
      </c>
      <c r="B2042" s="58" t="n">
        <v>45847</v>
      </c>
      <c r="C2042" s="57" t="n">
        <f aca="false">YEAR(B2042)</f>
        <v>2025</v>
      </c>
      <c r="D2042" s="57" t="n">
        <f aca="false">MONTH(B2042)</f>
        <v>7</v>
      </c>
      <c r="E2042" s="57" t="s">
        <v>118</v>
      </c>
      <c r="F2042" s="57" t="s">
        <v>72</v>
      </c>
      <c r="G2042" s="57" t="s">
        <v>40</v>
      </c>
      <c r="H2042" s="57" t="s">
        <v>43</v>
      </c>
      <c r="I2042" s="59" t="n">
        <v>1</v>
      </c>
      <c r="J2042" s="60" t="n">
        <v>29</v>
      </c>
      <c r="K2042" s="60" t="n">
        <v>9</v>
      </c>
      <c r="L2042" s="61" t="n">
        <f aca="false">I2042*J2042</f>
        <v>29</v>
      </c>
      <c r="M2042" s="61" t="n">
        <f aca="false">L2042-I2042*K2042</f>
        <v>20</v>
      </c>
      <c r="N2042" s="57" t="n">
        <f aca="false">IF(COUNTIFS(E$2:E2042,E2042,C$2:C2042,C2042)=1,1,0)</f>
        <v>1</v>
      </c>
      <c r="O2042" s="57" t="n">
        <f aca="false">IF(COUNTIFS(E$2:E2042,E2042,C$2:C2042,C2042,D$2:D2042,D2042)=1,1,0)</f>
        <v>1</v>
      </c>
      <c r="P2042" s="57" t="n">
        <f aca="false">IF(AND(C2042=Calc!$C$3,OR(Calc!$C$4=0,D2042=Calc!$C$4)),ROW(),0)</f>
        <v>2042</v>
      </c>
    </row>
    <row r="2043" customFormat="false" ht="15" hidden="false" customHeight="false" outlineLevel="0" collapsed="false">
      <c r="A2043" s="57" t="s">
        <v>2596</v>
      </c>
      <c r="B2043" s="58" t="n">
        <v>45847</v>
      </c>
      <c r="C2043" s="57" t="n">
        <f aca="false">YEAR(B2043)</f>
        <v>2025</v>
      </c>
      <c r="D2043" s="57" t="n">
        <f aca="false">MONTH(B2043)</f>
        <v>7</v>
      </c>
      <c r="E2043" s="57" t="s">
        <v>2597</v>
      </c>
      <c r="F2043" s="57" t="s">
        <v>81</v>
      </c>
      <c r="G2043" s="57" t="s">
        <v>35</v>
      </c>
      <c r="H2043" s="57" t="s">
        <v>38</v>
      </c>
      <c r="I2043" s="59" t="n">
        <v>2</v>
      </c>
      <c r="J2043" s="60" t="n">
        <v>49</v>
      </c>
      <c r="K2043" s="60" t="n">
        <v>22</v>
      </c>
      <c r="L2043" s="61" t="n">
        <f aca="false">I2043*J2043</f>
        <v>98</v>
      </c>
      <c r="M2043" s="61" t="n">
        <f aca="false">L2043-I2043*K2043</f>
        <v>54</v>
      </c>
      <c r="N2043" s="57" t="n">
        <f aca="false">IF(COUNTIFS(E$2:E2043,E2043,C$2:C2043,C2043)=1,1,0)</f>
        <v>1</v>
      </c>
      <c r="O2043" s="57" t="n">
        <f aca="false">IF(COUNTIFS(E$2:E2043,E2043,C$2:C2043,C2043,D$2:D2043,D2043)=1,1,0)</f>
        <v>1</v>
      </c>
      <c r="P2043" s="57" t="n">
        <f aca="false">IF(AND(C2043=Calc!$C$3,OR(Calc!$C$4=0,D2043=Calc!$C$4)),ROW(),0)</f>
        <v>2043</v>
      </c>
    </row>
    <row r="2044" customFormat="false" ht="15" hidden="false" customHeight="false" outlineLevel="0" collapsed="false">
      <c r="A2044" s="57" t="s">
        <v>2598</v>
      </c>
      <c r="B2044" s="58" t="n">
        <v>45847</v>
      </c>
      <c r="C2044" s="57" t="n">
        <f aca="false">YEAR(B2044)</f>
        <v>2025</v>
      </c>
      <c r="D2044" s="57" t="n">
        <f aca="false">MONTH(B2044)</f>
        <v>7</v>
      </c>
      <c r="E2044" s="57" t="s">
        <v>168</v>
      </c>
      <c r="F2044" s="57" t="s">
        <v>81</v>
      </c>
      <c r="G2044" s="57" t="s">
        <v>45</v>
      </c>
      <c r="H2044" s="57" t="s">
        <v>46</v>
      </c>
      <c r="I2044" s="59" t="n">
        <v>2</v>
      </c>
      <c r="J2044" s="60" t="n">
        <v>149</v>
      </c>
      <c r="K2044" s="60" t="n">
        <v>71</v>
      </c>
      <c r="L2044" s="61" t="n">
        <f aca="false">I2044*J2044</f>
        <v>298</v>
      </c>
      <c r="M2044" s="61" t="n">
        <f aca="false">L2044-I2044*K2044</f>
        <v>156</v>
      </c>
      <c r="N2044" s="57" t="n">
        <f aca="false">IF(COUNTIFS(E$2:E2044,E2044,C$2:C2044,C2044)=1,1,0)</f>
        <v>0</v>
      </c>
      <c r="O2044" s="57" t="n">
        <f aca="false">IF(COUNTIFS(E$2:E2044,E2044,C$2:C2044,C2044,D$2:D2044,D2044)=1,1,0)</f>
        <v>0</v>
      </c>
      <c r="P2044" s="57" t="n">
        <f aca="false">IF(AND(C2044=Calc!$C$3,OR(Calc!$C$4=0,D2044=Calc!$C$4)),ROW(),0)</f>
        <v>2044</v>
      </c>
    </row>
    <row r="2045" customFormat="false" ht="15" hidden="false" customHeight="false" outlineLevel="0" collapsed="false">
      <c r="A2045" s="57" t="s">
        <v>2599</v>
      </c>
      <c r="B2045" s="58" t="n">
        <v>45848</v>
      </c>
      <c r="C2045" s="57" t="n">
        <f aca="false">YEAR(B2045)</f>
        <v>2025</v>
      </c>
      <c r="D2045" s="57" t="n">
        <f aca="false">MONTH(B2045)</f>
        <v>7</v>
      </c>
      <c r="E2045" s="57" t="s">
        <v>675</v>
      </c>
      <c r="F2045" s="57" t="s">
        <v>69</v>
      </c>
      <c r="G2045" s="57" t="s">
        <v>50</v>
      </c>
      <c r="H2045" s="57" t="s">
        <v>52</v>
      </c>
      <c r="I2045" s="59" t="n">
        <v>1</v>
      </c>
      <c r="J2045" s="60" t="n">
        <v>45</v>
      </c>
      <c r="K2045" s="60" t="n">
        <v>14</v>
      </c>
      <c r="L2045" s="61" t="n">
        <f aca="false">I2045*J2045</f>
        <v>45</v>
      </c>
      <c r="M2045" s="61" t="n">
        <f aca="false">L2045-I2045*K2045</f>
        <v>31</v>
      </c>
      <c r="N2045" s="57" t="n">
        <f aca="false">IF(COUNTIFS(E$2:E2045,E2045,C$2:C2045,C2045)=1,1,0)</f>
        <v>0</v>
      </c>
      <c r="O2045" s="57" t="n">
        <f aca="false">IF(COUNTIFS(E$2:E2045,E2045,C$2:C2045,C2045,D$2:D2045,D2045)=1,1,0)</f>
        <v>1</v>
      </c>
      <c r="P2045" s="57" t="n">
        <f aca="false">IF(AND(C2045=Calc!$C$3,OR(Calc!$C$4=0,D2045=Calc!$C$4)),ROW(),0)</f>
        <v>2045</v>
      </c>
    </row>
    <row r="2046" customFormat="false" ht="15" hidden="false" customHeight="false" outlineLevel="0" collapsed="false">
      <c r="A2046" s="57" t="s">
        <v>2600</v>
      </c>
      <c r="B2046" s="58" t="n">
        <v>45848</v>
      </c>
      <c r="C2046" s="57" t="n">
        <f aca="false">YEAR(B2046)</f>
        <v>2025</v>
      </c>
      <c r="D2046" s="57" t="n">
        <f aca="false">MONTH(B2046)</f>
        <v>7</v>
      </c>
      <c r="E2046" s="57" t="s">
        <v>838</v>
      </c>
      <c r="F2046" s="57" t="s">
        <v>69</v>
      </c>
      <c r="G2046" s="57" t="s">
        <v>54</v>
      </c>
      <c r="H2046" s="57" t="s">
        <v>53</v>
      </c>
      <c r="I2046" s="59" t="n">
        <v>2</v>
      </c>
      <c r="J2046" s="60" t="n">
        <v>39</v>
      </c>
      <c r="K2046" s="60" t="n">
        <v>13</v>
      </c>
      <c r="L2046" s="61" t="n">
        <f aca="false">I2046*J2046</f>
        <v>78</v>
      </c>
      <c r="M2046" s="61" t="n">
        <f aca="false">L2046-I2046*K2046</f>
        <v>52</v>
      </c>
      <c r="N2046" s="57" t="n">
        <f aca="false">IF(COUNTIFS(E$2:E2046,E2046,C$2:C2046,C2046)=1,1,0)</f>
        <v>1</v>
      </c>
      <c r="O2046" s="57" t="n">
        <f aca="false">IF(COUNTIFS(E$2:E2046,E2046,C$2:C2046,C2046,D$2:D2046,D2046)=1,1,0)</f>
        <v>1</v>
      </c>
      <c r="P2046" s="57" t="n">
        <f aca="false">IF(AND(C2046=Calc!$C$3,OR(Calc!$C$4=0,D2046=Calc!$C$4)),ROW(),0)</f>
        <v>2046</v>
      </c>
    </row>
    <row r="2047" customFormat="false" ht="15" hidden="false" customHeight="false" outlineLevel="0" collapsed="false">
      <c r="A2047" s="57" t="s">
        <v>2601</v>
      </c>
      <c r="B2047" s="58" t="n">
        <v>45848</v>
      </c>
      <c r="C2047" s="57" t="n">
        <f aca="false">YEAR(B2047)</f>
        <v>2025</v>
      </c>
      <c r="D2047" s="57" t="n">
        <f aca="false">MONTH(B2047)</f>
        <v>7</v>
      </c>
      <c r="E2047" s="57" t="s">
        <v>687</v>
      </c>
      <c r="F2047" s="57" t="s">
        <v>75</v>
      </c>
      <c r="G2047" s="57" t="s">
        <v>35</v>
      </c>
      <c r="H2047" s="57" t="s">
        <v>38</v>
      </c>
      <c r="I2047" s="59" t="n">
        <v>1</v>
      </c>
      <c r="J2047" s="60" t="n">
        <v>49</v>
      </c>
      <c r="K2047" s="60" t="n">
        <v>22</v>
      </c>
      <c r="L2047" s="61" t="n">
        <f aca="false">I2047*J2047</f>
        <v>49</v>
      </c>
      <c r="M2047" s="61" t="n">
        <f aca="false">L2047-I2047*K2047</f>
        <v>27</v>
      </c>
      <c r="N2047" s="57" t="n">
        <f aca="false">IF(COUNTIFS(E$2:E2047,E2047,C$2:C2047,C2047)=1,1,0)</f>
        <v>0</v>
      </c>
      <c r="O2047" s="57" t="n">
        <f aca="false">IF(COUNTIFS(E$2:E2047,E2047,C$2:C2047,C2047,D$2:D2047,D2047)=1,1,0)</f>
        <v>1</v>
      </c>
      <c r="P2047" s="57" t="n">
        <f aca="false">IF(AND(C2047=Calc!$C$3,OR(Calc!$C$4=0,D2047=Calc!$C$4)),ROW(),0)</f>
        <v>2047</v>
      </c>
    </row>
    <row r="2048" customFormat="false" ht="15" hidden="false" customHeight="false" outlineLevel="0" collapsed="false">
      <c r="A2048" s="57" t="s">
        <v>2602</v>
      </c>
      <c r="B2048" s="58" t="n">
        <v>45848</v>
      </c>
      <c r="C2048" s="57" t="n">
        <f aca="false">YEAR(B2048)</f>
        <v>2025</v>
      </c>
      <c r="D2048" s="57" t="n">
        <f aca="false">MONTH(B2048)</f>
        <v>7</v>
      </c>
      <c r="E2048" s="57" t="s">
        <v>2398</v>
      </c>
      <c r="F2048" s="57" t="s">
        <v>81</v>
      </c>
      <c r="G2048" s="57" t="s">
        <v>45</v>
      </c>
      <c r="H2048" s="57" t="s">
        <v>48</v>
      </c>
      <c r="I2048" s="59" t="n">
        <v>1</v>
      </c>
      <c r="J2048" s="60" t="n">
        <v>99</v>
      </c>
      <c r="K2048" s="60" t="n">
        <v>38</v>
      </c>
      <c r="L2048" s="61" t="n">
        <f aca="false">I2048*J2048</f>
        <v>99</v>
      </c>
      <c r="M2048" s="61" t="n">
        <f aca="false">L2048-I2048*K2048</f>
        <v>61</v>
      </c>
      <c r="N2048" s="57" t="n">
        <f aca="false">IF(COUNTIFS(E$2:E2048,E2048,C$2:C2048,C2048)=1,1,0)</f>
        <v>0</v>
      </c>
      <c r="O2048" s="57" t="n">
        <f aca="false">IF(COUNTIFS(E$2:E2048,E2048,C$2:C2048,C2048,D$2:D2048,D2048)=1,1,0)</f>
        <v>1</v>
      </c>
      <c r="P2048" s="57" t="n">
        <f aca="false">IF(AND(C2048=Calc!$C$3,OR(Calc!$C$4=0,D2048=Calc!$C$4)),ROW(),0)</f>
        <v>2048</v>
      </c>
    </row>
    <row r="2049" customFormat="false" ht="15" hidden="false" customHeight="false" outlineLevel="0" collapsed="false">
      <c r="A2049" s="57" t="s">
        <v>2603</v>
      </c>
      <c r="B2049" s="58" t="n">
        <v>45848</v>
      </c>
      <c r="C2049" s="57" t="n">
        <f aca="false">YEAR(B2049)</f>
        <v>2025</v>
      </c>
      <c r="D2049" s="57" t="n">
        <f aca="false">MONTH(B2049)</f>
        <v>7</v>
      </c>
      <c r="E2049" s="57" t="s">
        <v>133</v>
      </c>
      <c r="F2049" s="57" t="s">
        <v>72</v>
      </c>
      <c r="G2049" s="57" t="s">
        <v>35</v>
      </c>
      <c r="H2049" s="57" t="s">
        <v>37</v>
      </c>
      <c r="I2049" s="59" t="n">
        <v>2</v>
      </c>
      <c r="J2049" s="60" t="n">
        <v>59</v>
      </c>
      <c r="K2049" s="60" t="n">
        <v>27</v>
      </c>
      <c r="L2049" s="61" t="n">
        <f aca="false">I2049*J2049</f>
        <v>118</v>
      </c>
      <c r="M2049" s="61" t="n">
        <f aca="false">L2049-I2049*K2049</f>
        <v>64</v>
      </c>
      <c r="N2049" s="57" t="n">
        <f aca="false">IF(COUNTIFS(E$2:E2049,E2049,C$2:C2049,C2049)=1,1,0)</f>
        <v>1</v>
      </c>
      <c r="O2049" s="57" t="n">
        <f aca="false">IF(COUNTIFS(E$2:E2049,E2049,C$2:C2049,C2049,D$2:D2049,D2049)=1,1,0)</f>
        <v>1</v>
      </c>
      <c r="P2049" s="57" t="n">
        <f aca="false">IF(AND(C2049=Calc!$C$3,OR(Calc!$C$4=0,D2049=Calc!$C$4)),ROW(),0)</f>
        <v>2049</v>
      </c>
    </row>
    <row r="2050" customFormat="false" ht="15" hidden="false" customHeight="false" outlineLevel="0" collapsed="false">
      <c r="A2050" s="57" t="s">
        <v>2604</v>
      </c>
      <c r="B2050" s="58" t="n">
        <v>45849</v>
      </c>
      <c r="C2050" s="57" t="n">
        <f aca="false">YEAR(B2050)</f>
        <v>2025</v>
      </c>
      <c r="D2050" s="57" t="n">
        <f aca="false">MONTH(B2050)</f>
        <v>7</v>
      </c>
      <c r="E2050" s="57" t="s">
        <v>687</v>
      </c>
      <c r="F2050" s="57" t="s">
        <v>75</v>
      </c>
      <c r="G2050" s="57" t="s">
        <v>35</v>
      </c>
      <c r="H2050" s="57" t="s">
        <v>36</v>
      </c>
      <c r="I2050" s="59" t="n">
        <v>1</v>
      </c>
      <c r="J2050" s="60" t="n">
        <v>179</v>
      </c>
      <c r="K2050" s="60" t="n">
        <v>92</v>
      </c>
      <c r="L2050" s="61" t="n">
        <f aca="false">I2050*J2050</f>
        <v>179</v>
      </c>
      <c r="M2050" s="61" t="n">
        <f aca="false">L2050-I2050*K2050</f>
        <v>87</v>
      </c>
      <c r="N2050" s="57" t="n">
        <f aca="false">IF(COUNTIFS(E$2:E2050,E2050,C$2:C2050,C2050)=1,1,0)</f>
        <v>0</v>
      </c>
      <c r="O2050" s="57" t="n">
        <f aca="false">IF(COUNTIFS(E$2:E2050,E2050,C$2:C2050,C2050,D$2:D2050,D2050)=1,1,0)</f>
        <v>0</v>
      </c>
      <c r="P2050" s="57" t="n">
        <f aca="false">IF(AND(C2050=Calc!$C$3,OR(Calc!$C$4=0,D2050=Calc!$C$4)),ROW(),0)</f>
        <v>2050</v>
      </c>
    </row>
    <row r="2051" customFormat="false" ht="15" hidden="false" customHeight="false" outlineLevel="0" collapsed="false">
      <c r="A2051" s="57" t="s">
        <v>2605</v>
      </c>
      <c r="B2051" s="58" t="n">
        <v>45849</v>
      </c>
      <c r="C2051" s="57" t="n">
        <f aca="false">YEAR(B2051)</f>
        <v>2025</v>
      </c>
      <c r="D2051" s="57" t="n">
        <f aca="false">MONTH(B2051)</f>
        <v>7</v>
      </c>
      <c r="E2051" s="57" t="s">
        <v>104</v>
      </c>
      <c r="F2051" s="57" t="s">
        <v>78</v>
      </c>
      <c r="G2051" s="57" t="s">
        <v>35</v>
      </c>
      <c r="H2051" s="57" t="s">
        <v>37</v>
      </c>
      <c r="I2051" s="59" t="n">
        <v>1</v>
      </c>
      <c r="J2051" s="60" t="n">
        <v>59</v>
      </c>
      <c r="K2051" s="60" t="n">
        <v>27</v>
      </c>
      <c r="L2051" s="61" t="n">
        <f aca="false">I2051*J2051</f>
        <v>59</v>
      </c>
      <c r="M2051" s="61" t="n">
        <f aca="false">L2051-I2051*K2051</f>
        <v>32</v>
      </c>
      <c r="N2051" s="57" t="n">
        <f aca="false">IF(COUNTIFS(E$2:E2051,E2051,C$2:C2051,C2051)=1,1,0)</f>
        <v>0</v>
      </c>
      <c r="O2051" s="57" t="n">
        <f aca="false">IF(COUNTIFS(E$2:E2051,E2051,C$2:C2051,C2051,D$2:D2051,D2051)=1,1,0)</f>
        <v>0</v>
      </c>
      <c r="P2051" s="57" t="n">
        <f aca="false">IF(AND(C2051=Calc!$C$3,OR(Calc!$C$4=0,D2051=Calc!$C$4)),ROW(),0)</f>
        <v>2051</v>
      </c>
    </row>
    <row r="2052" customFormat="false" ht="15" hidden="false" customHeight="false" outlineLevel="0" collapsed="false">
      <c r="A2052" s="57" t="s">
        <v>2606</v>
      </c>
      <c r="B2052" s="58" t="n">
        <v>45849</v>
      </c>
      <c r="C2052" s="57" t="n">
        <f aca="false">YEAR(B2052)</f>
        <v>2025</v>
      </c>
      <c r="D2052" s="57" t="n">
        <f aca="false">MONTH(B2052)</f>
        <v>7</v>
      </c>
      <c r="E2052" s="57" t="s">
        <v>1977</v>
      </c>
      <c r="F2052" s="57" t="s">
        <v>69</v>
      </c>
      <c r="G2052" s="57" t="s">
        <v>40</v>
      </c>
      <c r="H2052" s="57" t="s">
        <v>41</v>
      </c>
      <c r="I2052" s="59" t="n">
        <v>1</v>
      </c>
      <c r="J2052" s="60" t="n">
        <v>46</v>
      </c>
      <c r="K2052" s="60" t="n">
        <v>16</v>
      </c>
      <c r="L2052" s="61" t="n">
        <f aca="false">I2052*J2052</f>
        <v>46</v>
      </c>
      <c r="M2052" s="61" t="n">
        <f aca="false">L2052-I2052*K2052</f>
        <v>30</v>
      </c>
      <c r="N2052" s="57" t="n">
        <f aca="false">IF(COUNTIFS(E$2:E2052,E2052,C$2:C2052,C2052)=1,1,0)</f>
        <v>0</v>
      </c>
      <c r="O2052" s="57" t="n">
        <f aca="false">IF(COUNTIFS(E$2:E2052,E2052,C$2:C2052,C2052,D$2:D2052,D2052)=1,1,0)</f>
        <v>1</v>
      </c>
      <c r="P2052" s="57" t="n">
        <f aca="false">IF(AND(C2052=Calc!$C$3,OR(Calc!$C$4=0,D2052=Calc!$C$4)),ROW(),0)</f>
        <v>2052</v>
      </c>
    </row>
    <row r="2053" customFormat="false" ht="15" hidden="false" customHeight="false" outlineLevel="0" collapsed="false">
      <c r="A2053" s="57" t="s">
        <v>2607</v>
      </c>
      <c r="B2053" s="58" t="n">
        <v>45849</v>
      </c>
      <c r="C2053" s="57" t="n">
        <f aca="false">YEAR(B2053)</f>
        <v>2025</v>
      </c>
      <c r="D2053" s="57" t="n">
        <f aca="false">MONTH(B2053)</f>
        <v>7</v>
      </c>
      <c r="E2053" s="57" t="s">
        <v>580</v>
      </c>
      <c r="F2053" s="57" t="s">
        <v>75</v>
      </c>
      <c r="G2053" s="57" t="s">
        <v>45</v>
      </c>
      <c r="H2053" s="57" t="s">
        <v>48</v>
      </c>
      <c r="I2053" s="59" t="n">
        <v>1</v>
      </c>
      <c r="J2053" s="60" t="n">
        <v>99</v>
      </c>
      <c r="K2053" s="60" t="n">
        <v>38</v>
      </c>
      <c r="L2053" s="61" t="n">
        <f aca="false">I2053*J2053</f>
        <v>99</v>
      </c>
      <c r="M2053" s="61" t="n">
        <f aca="false">L2053-I2053*K2053</f>
        <v>61</v>
      </c>
      <c r="N2053" s="57" t="n">
        <f aca="false">IF(COUNTIFS(E$2:E2053,E2053,C$2:C2053,C2053)=1,1,0)</f>
        <v>0</v>
      </c>
      <c r="O2053" s="57" t="n">
        <f aca="false">IF(COUNTIFS(E$2:E2053,E2053,C$2:C2053,C2053,D$2:D2053,D2053)=1,1,0)</f>
        <v>1</v>
      </c>
      <c r="P2053" s="57" t="n">
        <f aca="false">IF(AND(C2053=Calc!$C$3,OR(Calc!$C$4=0,D2053=Calc!$C$4)),ROW(),0)</f>
        <v>2053</v>
      </c>
    </row>
    <row r="2054" customFormat="false" ht="15" hidden="false" customHeight="false" outlineLevel="0" collapsed="false">
      <c r="A2054" s="57" t="s">
        <v>2608</v>
      </c>
      <c r="B2054" s="58" t="n">
        <v>45850</v>
      </c>
      <c r="C2054" s="57" t="n">
        <f aca="false">YEAR(B2054)</f>
        <v>2025</v>
      </c>
      <c r="D2054" s="57" t="n">
        <f aca="false">MONTH(B2054)</f>
        <v>7</v>
      </c>
      <c r="E2054" s="57" t="s">
        <v>344</v>
      </c>
      <c r="F2054" s="57" t="s">
        <v>81</v>
      </c>
      <c r="G2054" s="57" t="s">
        <v>45</v>
      </c>
      <c r="H2054" s="57" t="s">
        <v>47</v>
      </c>
      <c r="I2054" s="59" t="n">
        <v>3</v>
      </c>
      <c r="J2054" s="60" t="n">
        <v>34</v>
      </c>
      <c r="K2054" s="60" t="n">
        <v>12</v>
      </c>
      <c r="L2054" s="61" t="n">
        <f aca="false">I2054*J2054</f>
        <v>102</v>
      </c>
      <c r="M2054" s="61" t="n">
        <f aca="false">L2054-I2054*K2054</f>
        <v>66</v>
      </c>
      <c r="N2054" s="57" t="n">
        <f aca="false">IF(COUNTIFS(E$2:E2054,E2054,C$2:C2054,C2054)=1,1,0)</f>
        <v>0</v>
      </c>
      <c r="O2054" s="57" t="n">
        <f aca="false">IF(COUNTIFS(E$2:E2054,E2054,C$2:C2054,C2054,D$2:D2054,D2054)=1,1,0)</f>
        <v>0</v>
      </c>
      <c r="P2054" s="57" t="n">
        <f aca="false">IF(AND(C2054=Calc!$C$3,OR(Calc!$C$4=0,D2054=Calc!$C$4)),ROW(),0)</f>
        <v>2054</v>
      </c>
    </row>
    <row r="2055" customFormat="false" ht="15" hidden="false" customHeight="false" outlineLevel="0" collapsed="false">
      <c r="A2055" s="57" t="s">
        <v>2609</v>
      </c>
      <c r="B2055" s="58" t="n">
        <v>45850</v>
      </c>
      <c r="C2055" s="57" t="n">
        <f aca="false">YEAR(B2055)</f>
        <v>2025</v>
      </c>
      <c r="D2055" s="57" t="n">
        <f aca="false">MONTH(B2055)</f>
        <v>7</v>
      </c>
      <c r="E2055" s="57" t="s">
        <v>294</v>
      </c>
      <c r="F2055" s="57" t="s">
        <v>69</v>
      </c>
      <c r="G2055" s="57" t="s">
        <v>40</v>
      </c>
      <c r="H2055" s="57" t="s">
        <v>42</v>
      </c>
      <c r="I2055" s="59" t="n">
        <v>1</v>
      </c>
      <c r="J2055" s="60" t="n">
        <v>79</v>
      </c>
      <c r="K2055" s="60" t="n">
        <v>31</v>
      </c>
      <c r="L2055" s="61" t="n">
        <f aca="false">I2055*J2055</f>
        <v>79</v>
      </c>
      <c r="M2055" s="61" t="n">
        <f aca="false">L2055-I2055*K2055</f>
        <v>48</v>
      </c>
      <c r="N2055" s="57" t="n">
        <f aca="false">IF(COUNTIFS(E$2:E2055,E2055,C$2:C2055,C2055)=1,1,0)</f>
        <v>0</v>
      </c>
      <c r="O2055" s="57" t="n">
        <f aca="false">IF(COUNTIFS(E$2:E2055,E2055,C$2:C2055,C2055,D$2:D2055,D2055)=1,1,0)</f>
        <v>1</v>
      </c>
      <c r="P2055" s="57" t="n">
        <f aca="false">IF(AND(C2055=Calc!$C$3,OR(Calc!$C$4=0,D2055=Calc!$C$4)),ROW(),0)</f>
        <v>2055</v>
      </c>
    </row>
    <row r="2056" customFormat="false" ht="15" hidden="false" customHeight="false" outlineLevel="0" collapsed="false">
      <c r="A2056" s="57" t="s">
        <v>2610</v>
      </c>
      <c r="B2056" s="58" t="n">
        <v>45850</v>
      </c>
      <c r="C2056" s="57" t="n">
        <f aca="false">YEAR(B2056)</f>
        <v>2025</v>
      </c>
      <c r="D2056" s="57" t="n">
        <f aca="false">MONTH(B2056)</f>
        <v>7</v>
      </c>
      <c r="E2056" s="57" t="s">
        <v>836</v>
      </c>
      <c r="F2056" s="57" t="s">
        <v>69</v>
      </c>
      <c r="G2056" s="57" t="s">
        <v>40</v>
      </c>
      <c r="H2056" s="57" t="s">
        <v>43</v>
      </c>
      <c r="I2056" s="59" t="n">
        <v>1</v>
      </c>
      <c r="J2056" s="60" t="n">
        <v>29</v>
      </c>
      <c r="K2056" s="60" t="n">
        <v>9</v>
      </c>
      <c r="L2056" s="61" t="n">
        <f aca="false">I2056*J2056</f>
        <v>29</v>
      </c>
      <c r="M2056" s="61" t="n">
        <f aca="false">L2056-I2056*K2056</f>
        <v>20</v>
      </c>
      <c r="N2056" s="57" t="n">
        <f aca="false">IF(COUNTIFS(E$2:E2056,E2056,C$2:C2056,C2056)=1,1,0)</f>
        <v>1</v>
      </c>
      <c r="O2056" s="57" t="n">
        <f aca="false">IF(COUNTIFS(E$2:E2056,E2056,C$2:C2056,C2056,D$2:D2056,D2056)=1,1,0)</f>
        <v>1</v>
      </c>
      <c r="P2056" s="57" t="n">
        <f aca="false">IF(AND(C2056=Calc!$C$3,OR(Calc!$C$4=0,D2056=Calc!$C$4)),ROW(),0)</f>
        <v>2056</v>
      </c>
    </row>
    <row r="2057" customFormat="false" ht="15" hidden="false" customHeight="false" outlineLevel="0" collapsed="false">
      <c r="A2057" s="57" t="s">
        <v>2611</v>
      </c>
      <c r="B2057" s="58" t="n">
        <v>45850</v>
      </c>
      <c r="C2057" s="57" t="n">
        <f aca="false">YEAR(B2057)</f>
        <v>2025</v>
      </c>
      <c r="D2057" s="57" t="n">
        <f aca="false">MONTH(B2057)</f>
        <v>7</v>
      </c>
      <c r="E2057" s="57" t="s">
        <v>1392</v>
      </c>
      <c r="F2057" s="57" t="s">
        <v>78</v>
      </c>
      <c r="G2057" s="57" t="s">
        <v>45</v>
      </c>
      <c r="H2057" s="57" t="s">
        <v>46</v>
      </c>
      <c r="I2057" s="59" t="n">
        <v>2</v>
      </c>
      <c r="J2057" s="60" t="n">
        <v>149</v>
      </c>
      <c r="K2057" s="60" t="n">
        <v>71</v>
      </c>
      <c r="L2057" s="61" t="n">
        <f aca="false">I2057*J2057</f>
        <v>298</v>
      </c>
      <c r="M2057" s="61" t="n">
        <f aca="false">L2057-I2057*K2057</f>
        <v>156</v>
      </c>
      <c r="N2057" s="57" t="n">
        <f aca="false">IF(COUNTIFS(E$2:E2057,E2057,C$2:C2057,C2057)=1,1,0)</f>
        <v>0</v>
      </c>
      <c r="O2057" s="57" t="n">
        <f aca="false">IF(COUNTIFS(E$2:E2057,E2057,C$2:C2057,C2057,D$2:D2057,D2057)=1,1,0)</f>
        <v>1</v>
      </c>
      <c r="P2057" s="57" t="n">
        <f aca="false">IF(AND(C2057=Calc!$C$3,OR(Calc!$C$4=0,D2057=Calc!$C$4)),ROW(),0)</f>
        <v>2057</v>
      </c>
    </row>
    <row r="2058" customFormat="false" ht="15" hidden="false" customHeight="false" outlineLevel="0" collapsed="false">
      <c r="A2058" s="57" t="s">
        <v>2612</v>
      </c>
      <c r="B2058" s="58" t="n">
        <v>45851</v>
      </c>
      <c r="C2058" s="57" t="n">
        <f aca="false">YEAR(B2058)</f>
        <v>2025</v>
      </c>
      <c r="D2058" s="57" t="n">
        <f aca="false">MONTH(B2058)</f>
        <v>7</v>
      </c>
      <c r="E2058" s="57" t="s">
        <v>520</v>
      </c>
      <c r="F2058" s="57" t="s">
        <v>78</v>
      </c>
      <c r="G2058" s="57" t="s">
        <v>40</v>
      </c>
      <c r="H2058" s="57" t="s">
        <v>43</v>
      </c>
      <c r="I2058" s="59" t="n">
        <v>3</v>
      </c>
      <c r="J2058" s="60" t="n">
        <v>29</v>
      </c>
      <c r="K2058" s="60" t="n">
        <v>9</v>
      </c>
      <c r="L2058" s="61" t="n">
        <f aca="false">I2058*J2058</f>
        <v>87</v>
      </c>
      <c r="M2058" s="61" t="n">
        <f aca="false">L2058-I2058*K2058</f>
        <v>60</v>
      </c>
      <c r="N2058" s="57" t="n">
        <f aca="false">IF(COUNTIFS(E$2:E2058,E2058,C$2:C2058,C2058)=1,1,0)</f>
        <v>1</v>
      </c>
      <c r="O2058" s="57" t="n">
        <f aca="false">IF(COUNTIFS(E$2:E2058,E2058,C$2:C2058,C2058,D$2:D2058,D2058)=1,1,0)</f>
        <v>1</v>
      </c>
      <c r="P2058" s="57" t="n">
        <f aca="false">IF(AND(C2058=Calc!$C$3,OR(Calc!$C$4=0,D2058=Calc!$C$4)),ROW(),0)</f>
        <v>2058</v>
      </c>
    </row>
    <row r="2059" customFormat="false" ht="15" hidden="false" customHeight="false" outlineLevel="0" collapsed="false">
      <c r="A2059" s="57" t="s">
        <v>2613</v>
      </c>
      <c r="B2059" s="58" t="n">
        <v>45851</v>
      </c>
      <c r="C2059" s="57" t="n">
        <f aca="false">YEAR(B2059)</f>
        <v>2025</v>
      </c>
      <c r="D2059" s="57" t="n">
        <f aca="false">MONTH(B2059)</f>
        <v>7</v>
      </c>
      <c r="E2059" s="57" t="s">
        <v>215</v>
      </c>
      <c r="F2059" s="57" t="s">
        <v>75</v>
      </c>
      <c r="G2059" s="57" t="s">
        <v>45</v>
      </c>
      <c r="H2059" s="57" t="s">
        <v>47</v>
      </c>
      <c r="I2059" s="59" t="n">
        <v>2</v>
      </c>
      <c r="J2059" s="60" t="n">
        <v>34</v>
      </c>
      <c r="K2059" s="60" t="n">
        <v>12</v>
      </c>
      <c r="L2059" s="61" t="n">
        <f aca="false">I2059*J2059</f>
        <v>68</v>
      </c>
      <c r="M2059" s="61" t="n">
        <f aca="false">L2059-I2059*K2059</f>
        <v>44</v>
      </c>
      <c r="N2059" s="57" t="n">
        <f aca="false">IF(COUNTIFS(E$2:E2059,E2059,C$2:C2059,C2059)=1,1,0)</f>
        <v>0</v>
      </c>
      <c r="O2059" s="57" t="n">
        <f aca="false">IF(COUNTIFS(E$2:E2059,E2059,C$2:C2059,C2059,D$2:D2059,D2059)=1,1,0)</f>
        <v>1</v>
      </c>
      <c r="P2059" s="57" t="n">
        <f aca="false">IF(AND(C2059=Calc!$C$3,OR(Calc!$C$4=0,D2059=Calc!$C$4)),ROW(),0)</f>
        <v>2059</v>
      </c>
    </row>
    <row r="2060" customFormat="false" ht="15" hidden="false" customHeight="false" outlineLevel="0" collapsed="false">
      <c r="A2060" s="57" t="s">
        <v>2614</v>
      </c>
      <c r="B2060" s="58" t="n">
        <v>45851</v>
      </c>
      <c r="C2060" s="57" t="n">
        <f aca="false">YEAR(B2060)</f>
        <v>2025</v>
      </c>
      <c r="D2060" s="57" t="n">
        <f aca="false">MONTH(B2060)</f>
        <v>7</v>
      </c>
      <c r="E2060" s="57" t="s">
        <v>1151</v>
      </c>
      <c r="F2060" s="57" t="s">
        <v>78</v>
      </c>
      <c r="G2060" s="57" t="s">
        <v>35</v>
      </c>
      <c r="H2060" s="57" t="s">
        <v>36</v>
      </c>
      <c r="I2060" s="59" t="n">
        <v>1</v>
      </c>
      <c r="J2060" s="60" t="n">
        <v>179</v>
      </c>
      <c r="K2060" s="60" t="n">
        <v>92</v>
      </c>
      <c r="L2060" s="61" t="n">
        <f aca="false">I2060*J2060</f>
        <v>179</v>
      </c>
      <c r="M2060" s="61" t="n">
        <f aca="false">L2060-I2060*K2060</f>
        <v>87</v>
      </c>
      <c r="N2060" s="57" t="n">
        <f aca="false">IF(COUNTIFS(E$2:E2060,E2060,C$2:C2060,C2060)=1,1,0)</f>
        <v>0</v>
      </c>
      <c r="O2060" s="57" t="n">
        <f aca="false">IF(COUNTIFS(E$2:E2060,E2060,C$2:C2060,C2060,D$2:D2060,D2060)=1,1,0)</f>
        <v>1</v>
      </c>
      <c r="P2060" s="57" t="n">
        <f aca="false">IF(AND(C2060=Calc!$C$3,OR(Calc!$C$4=0,D2060=Calc!$C$4)),ROW(),0)</f>
        <v>2060</v>
      </c>
    </row>
    <row r="2061" customFormat="false" ht="15" hidden="false" customHeight="false" outlineLevel="0" collapsed="false">
      <c r="A2061" s="57" t="s">
        <v>2615</v>
      </c>
      <c r="B2061" s="58" t="n">
        <v>45851</v>
      </c>
      <c r="C2061" s="57" t="n">
        <f aca="false">YEAR(B2061)</f>
        <v>2025</v>
      </c>
      <c r="D2061" s="57" t="n">
        <f aca="false">MONTH(B2061)</f>
        <v>7</v>
      </c>
      <c r="E2061" s="57" t="s">
        <v>539</v>
      </c>
      <c r="F2061" s="57" t="s">
        <v>81</v>
      </c>
      <c r="G2061" s="57" t="s">
        <v>35</v>
      </c>
      <c r="H2061" s="57" t="s">
        <v>38</v>
      </c>
      <c r="I2061" s="59" t="n">
        <v>1</v>
      </c>
      <c r="J2061" s="60" t="n">
        <v>49</v>
      </c>
      <c r="K2061" s="60" t="n">
        <v>22</v>
      </c>
      <c r="L2061" s="61" t="n">
        <f aca="false">I2061*J2061</f>
        <v>49</v>
      </c>
      <c r="M2061" s="61" t="n">
        <f aca="false">L2061-I2061*K2061</f>
        <v>27</v>
      </c>
      <c r="N2061" s="57" t="n">
        <f aca="false">IF(COUNTIFS(E$2:E2061,E2061,C$2:C2061,C2061)=1,1,0)</f>
        <v>0</v>
      </c>
      <c r="O2061" s="57" t="n">
        <f aca="false">IF(COUNTIFS(E$2:E2061,E2061,C$2:C2061,C2061,D$2:D2061,D2061)=1,1,0)</f>
        <v>1</v>
      </c>
      <c r="P2061" s="57" t="n">
        <f aca="false">IF(AND(C2061=Calc!$C$3,OR(Calc!$C$4=0,D2061=Calc!$C$4)),ROW(),0)</f>
        <v>2061</v>
      </c>
    </row>
    <row r="2062" customFormat="false" ht="15" hidden="false" customHeight="false" outlineLevel="0" collapsed="false">
      <c r="A2062" s="57" t="s">
        <v>2616</v>
      </c>
      <c r="B2062" s="58" t="n">
        <v>45852</v>
      </c>
      <c r="C2062" s="57" t="n">
        <f aca="false">YEAR(B2062)</f>
        <v>2025</v>
      </c>
      <c r="D2062" s="57" t="n">
        <f aca="false">MONTH(B2062)</f>
        <v>7</v>
      </c>
      <c r="E2062" s="57" t="s">
        <v>215</v>
      </c>
      <c r="F2062" s="57" t="s">
        <v>75</v>
      </c>
      <c r="G2062" s="57" t="s">
        <v>35</v>
      </c>
      <c r="H2062" s="57" t="s">
        <v>37</v>
      </c>
      <c r="I2062" s="59" t="n">
        <v>2</v>
      </c>
      <c r="J2062" s="60" t="n">
        <v>59</v>
      </c>
      <c r="K2062" s="60" t="n">
        <v>27</v>
      </c>
      <c r="L2062" s="61" t="n">
        <f aca="false">I2062*J2062</f>
        <v>118</v>
      </c>
      <c r="M2062" s="61" t="n">
        <f aca="false">L2062-I2062*K2062</f>
        <v>64</v>
      </c>
      <c r="N2062" s="57" t="n">
        <f aca="false">IF(COUNTIFS(E$2:E2062,E2062,C$2:C2062,C2062)=1,1,0)</f>
        <v>0</v>
      </c>
      <c r="O2062" s="57" t="n">
        <f aca="false">IF(COUNTIFS(E$2:E2062,E2062,C$2:C2062,C2062,D$2:D2062,D2062)=1,1,0)</f>
        <v>0</v>
      </c>
      <c r="P2062" s="57" t="n">
        <f aca="false">IF(AND(C2062=Calc!$C$3,OR(Calc!$C$4=0,D2062=Calc!$C$4)),ROW(),0)</f>
        <v>2062</v>
      </c>
    </row>
    <row r="2063" customFormat="false" ht="15" hidden="false" customHeight="false" outlineLevel="0" collapsed="false">
      <c r="A2063" s="57" t="s">
        <v>2617</v>
      </c>
      <c r="B2063" s="58" t="n">
        <v>45852</v>
      </c>
      <c r="C2063" s="57" t="n">
        <f aca="false">YEAR(B2063)</f>
        <v>2025</v>
      </c>
      <c r="D2063" s="57" t="n">
        <f aca="false">MONTH(B2063)</f>
        <v>7</v>
      </c>
      <c r="E2063" s="57" t="s">
        <v>235</v>
      </c>
      <c r="F2063" s="57" t="s">
        <v>69</v>
      </c>
      <c r="G2063" s="57" t="s">
        <v>45</v>
      </c>
      <c r="H2063" s="57" t="s">
        <v>47</v>
      </c>
      <c r="I2063" s="59" t="n">
        <v>1</v>
      </c>
      <c r="J2063" s="60" t="n">
        <v>34</v>
      </c>
      <c r="K2063" s="60" t="n">
        <v>12</v>
      </c>
      <c r="L2063" s="61" t="n">
        <f aca="false">I2063*J2063</f>
        <v>34</v>
      </c>
      <c r="M2063" s="61" t="n">
        <f aca="false">L2063-I2063*K2063</f>
        <v>22</v>
      </c>
      <c r="N2063" s="57" t="n">
        <f aca="false">IF(COUNTIFS(E$2:E2063,E2063,C$2:C2063,C2063)=1,1,0)</f>
        <v>0</v>
      </c>
      <c r="O2063" s="57" t="n">
        <f aca="false">IF(COUNTIFS(E$2:E2063,E2063,C$2:C2063,C2063,D$2:D2063,D2063)=1,1,0)</f>
        <v>1</v>
      </c>
      <c r="P2063" s="57" t="n">
        <f aca="false">IF(AND(C2063=Calc!$C$3,OR(Calc!$C$4=0,D2063=Calc!$C$4)),ROW(),0)</f>
        <v>2063</v>
      </c>
    </row>
    <row r="2064" customFormat="false" ht="15" hidden="false" customHeight="false" outlineLevel="0" collapsed="false">
      <c r="A2064" s="57" t="s">
        <v>2618</v>
      </c>
      <c r="B2064" s="58" t="n">
        <v>45852</v>
      </c>
      <c r="C2064" s="57" t="n">
        <f aca="false">YEAR(B2064)</f>
        <v>2025</v>
      </c>
      <c r="D2064" s="57" t="n">
        <f aca="false">MONTH(B2064)</f>
        <v>7</v>
      </c>
      <c r="E2064" s="57" t="s">
        <v>924</v>
      </c>
      <c r="F2064" s="57" t="s">
        <v>72</v>
      </c>
      <c r="G2064" s="57" t="s">
        <v>40</v>
      </c>
      <c r="H2064" s="57" t="s">
        <v>43</v>
      </c>
      <c r="I2064" s="59" t="n">
        <v>1</v>
      </c>
      <c r="J2064" s="60" t="n">
        <v>29</v>
      </c>
      <c r="K2064" s="60" t="n">
        <v>9</v>
      </c>
      <c r="L2064" s="61" t="n">
        <f aca="false">I2064*J2064</f>
        <v>29</v>
      </c>
      <c r="M2064" s="61" t="n">
        <f aca="false">L2064-I2064*K2064</f>
        <v>20</v>
      </c>
      <c r="N2064" s="57" t="n">
        <f aca="false">IF(COUNTIFS(E$2:E2064,E2064,C$2:C2064,C2064)=1,1,0)</f>
        <v>0</v>
      </c>
      <c r="O2064" s="57" t="n">
        <f aca="false">IF(COUNTIFS(E$2:E2064,E2064,C$2:C2064,C2064,D$2:D2064,D2064)=1,1,0)</f>
        <v>1</v>
      </c>
      <c r="P2064" s="57" t="n">
        <f aca="false">IF(AND(C2064=Calc!$C$3,OR(Calc!$C$4=0,D2064=Calc!$C$4)),ROW(),0)</f>
        <v>2064</v>
      </c>
    </row>
    <row r="2065" customFormat="false" ht="15" hidden="false" customHeight="false" outlineLevel="0" collapsed="false">
      <c r="A2065" s="57" t="s">
        <v>2619</v>
      </c>
      <c r="B2065" s="58" t="n">
        <v>45852</v>
      </c>
      <c r="C2065" s="57" t="n">
        <f aca="false">YEAR(B2065)</f>
        <v>2025</v>
      </c>
      <c r="D2065" s="57" t="n">
        <f aca="false">MONTH(B2065)</f>
        <v>7</v>
      </c>
      <c r="E2065" s="57" t="s">
        <v>530</v>
      </c>
      <c r="F2065" s="57" t="s">
        <v>72</v>
      </c>
      <c r="G2065" s="57" t="s">
        <v>50</v>
      </c>
      <c r="H2065" s="57" t="s">
        <v>52</v>
      </c>
      <c r="I2065" s="59" t="n">
        <v>3</v>
      </c>
      <c r="J2065" s="60" t="n">
        <v>45</v>
      </c>
      <c r="K2065" s="60" t="n">
        <v>14</v>
      </c>
      <c r="L2065" s="61" t="n">
        <f aca="false">I2065*J2065</f>
        <v>135</v>
      </c>
      <c r="M2065" s="61" t="n">
        <f aca="false">L2065-I2065*K2065</f>
        <v>93</v>
      </c>
      <c r="N2065" s="57" t="n">
        <f aca="false">IF(COUNTIFS(E$2:E2065,E2065,C$2:C2065,C2065)=1,1,0)</f>
        <v>0</v>
      </c>
      <c r="O2065" s="57" t="n">
        <f aca="false">IF(COUNTIFS(E$2:E2065,E2065,C$2:C2065,C2065,D$2:D2065,D2065)=1,1,0)</f>
        <v>1</v>
      </c>
      <c r="P2065" s="57" t="n">
        <f aca="false">IF(AND(C2065=Calc!$C$3,OR(Calc!$C$4=0,D2065=Calc!$C$4)),ROW(),0)</f>
        <v>2065</v>
      </c>
    </row>
    <row r="2066" customFormat="false" ht="15" hidden="false" customHeight="false" outlineLevel="0" collapsed="false">
      <c r="A2066" s="57" t="s">
        <v>2620</v>
      </c>
      <c r="B2066" s="58" t="n">
        <v>45852</v>
      </c>
      <c r="C2066" s="57" t="n">
        <f aca="false">YEAR(B2066)</f>
        <v>2025</v>
      </c>
      <c r="D2066" s="57" t="n">
        <f aca="false">MONTH(B2066)</f>
        <v>7</v>
      </c>
      <c r="E2066" s="57" t="s">
        <v>68</v>
      </c>
      <c r="F2066" s="57" t="s">
        <v>69</v>
      </c>
      <c r="G2066" s="57" t="s">
        <v>40</v>
      </c>
      <c r="H2066" s="57" t="s">
        <v>39</v>
      </c>
      <c r="I2066" s="59" t="n">
        <v>1</v>
      </c>
      <c r="J2066" s="60" t="n">
        <v>54</v>
      </c>
      <c r="K2066" s="60" t="n">
        <v>19</v>
      </c>
      <c r="L2066" s="61" t="n">
        <f aca="false">I2066*J2066</f>
        <v>54</v>
      </c>
      <c r="M2066" s="61" t="n">
        <f aca="false">L2066-I2066*K2066</f>
        <v>35</v>
      </c>
      <c r="N2066" s="57" t="n">
        <f aca="false">IF(COUNTIFS(E$2:E2066,E2066,C$2:C2066,C2066)=1,1,0)</f>
        <v>0</v>
      </c>
      <c r="O2066" s="57" t="n">
        <f aca="false">IF(COUNTIFS(E$2:E2066,E2066,C$2:C2066,C2066,D$2:D2066,D2066)=1,1,0)</f>
        <v>1</v>
      </c>
      <c r="P2066" s="57" t="n">
        <f aca="false">IF(AND(C2066=Calc!$C$3,OR(Calc!$C$4=0,D2066=Calc!$C$4)),ROW(),0)</f>
        <v>2066</v>
      </c>
    </row>
    <row r="2067" customFormat="false" ht="15" hidden="false" customHeight="false" outlineLevel="0" collapsed="false">
      <c r="A2067" s="57" t="s">
        <v>2621</v>
      </c>
      <c r="B2067" s="58" t="n">
        <v>45852</v>
      </c>
      <c r="C2067" s="57" t="n">
        <f aca="false">YEAR(B2067)</f>
        <v>2025</v>
      </c>
      <c r="D2067" s="57" t="n">
        <f aca="false">MONTH(B2067)</f>
        <v>7</v>
      </c>
      <c r="E2067" s="57" t="s">
        <v>1234</v>
      </c>
      <c r="F2067" s="57" t="s">
        <v>78</v>
      </c>
      <c r="G2067" s="57" t="s">
        <v>40</v>
      </c>
      <c r="H2067" s="57" t="s">
        <v>39</v>
      </c>
      <c r="I2067" s="59" t="n">
        <v>1</v>
      </c>
      <c r="J2067" s="60" t="n">
        <v>54</v>
      </c>
      <c r="K2067" s="60" t="n">
        <v>19</v>
      </c>
      <c r="L2067" s="61" t="n">
        <f aca="false">I2067*J2067</f>
        <v>54</v>
      </c>
      <c r="M2067" s="61" t="n">
        <f aca="false">L2067-I2067*K2067</f>
        <v>35</v>
      </c>
      <c r="N2067" s="57" t="n">
        <f aca="false">IF(COUNTIFS(E$2:E2067,E2067,C$2:C2067,C2067)=1,1,0)</f>
        <v>0</v>
      </c>
      <c r="O2067" s="57" t="n">
        <f aca="false">IF(COUNTIFS(E$2:E2067,E2067,C$2:C2067,C2067,D$2:D2067,D2067)=1,1,0)</f>
        <v>1</v>
      </c>
      <c r="P2067" s="57" t="n">
        <f aca="false">IF(AND(C2067=Calc!$C$3,OR(Calc!$C$4=0,D2067=Calc!$C$4)),ROW(),0)</f>
        <v>2067</v>
      </c>
    </row>
    <row r="2068" customFormat="false" ht="15" hidden="false" customHeight="false" outlineLevel="0" collapsed="false">
      <c r="A2068" s="57" t="s">
        <v>2622</v>
      </c>
      <c r="B2068" s="58" t="n">
        <v>45853</v>
      </c>
      <c r="C2068" s="57" t="n">
        <f aca="false">YEAR(B2068)</f>
        <v>2025</v>
      </c>
      <c r="D2068" s="57" t="n">
        <f aca="false">MONTH(B2068)</f>
        <v>7</v>
      </c>
      <c r="E2068" s="57" t="s">
        <v>924</v>
      </c>
      <c r="F2068" s="57" t="s">
        <v>72</v>
      </c>
      <c r="G2068" s="57" t="s">
        <v>45</v>
      </c>
      <c r="H2068" s="57" t="s">
        <v>44</v>
      </c>
      <c r="I2068" s="59" t="n">
        <v>1</v>
      </c>
      <c r="J2068" s="60" t="n">
        <v>119</v>
      </c>
      <c r="K2068" s="60" t="n">
        <v>63</v>
      </c>
      <c r="L2068" s="61" t="n">
        <f aca="false">I2068*J2068</f>
        <v>119</v>
      </c>
      <c r="M2068" s="61" t="n">
        <f aca="false">L2068-I2068*K2068</f>
        <v>56</v>
      </c>
      <c r="N2068" s="57" t="n">
        <f aca="false">IF(COUNTIFS(E$2:E2068,E2068,C$2:C2068,C2068)=1,1,0)</f>
        <v>0</v>
      </c>
      <c r="O2068" s="57" t="n">
        <f aca="false">IF(COUNTIFS(E$2:E2068,E2068,C$2:C2068,C2068,D$2:D2068,D2068)=1,1,0)</f>
        <v>0</v>
      </c>
      <c r="P2068" s="57" t="n">
        <f aca="false">IF(AND(C2068=Calc!$C$3,OR(Calc!$C$4=0,D2068=Calc!$C$4)),ROW(),0)</f>
        <v>2068</v>
      </c>
    </row>
    <row r="2069" customFormat="false" ht="15" hidden="false" customHeight="false" outlineLevel="0" collapsed="false">
      <c r="A2069" s="57" t="s">
        <v>2623</v>
      </c>
      <c r="B2069" s="58" t="n">
        <v>45853</v>
      </c>
      <c r="C2069" s="57" t="n">
        <f aca="false">YEAR(B2069)</f>
        <v>2025</v>
      </c>
      <c r="D2069" s="57" t="n">
        <f aca="false">MONTH(B2069)</f>
        <v>7</v>
      </c>
      <c r="E2069" s="57" t="s">
        <v>140</v>
      </c>
      <c r="F2069" s="57" t="s">
        <v>75</v>
      </c>
      <c r="G2069" s="57" t="s">
        <v>35</v>
      </c>
      <c r="H2069" s="57" t="s">
        <v>37</v>
      </c>
      <c r="I2069" s="59" t="n">
        <v>1</v>
      </c>
      <c r="J2069" s="60" t="n">
        <v>59</v>
      </c>
      <c r="K2069" s="60" t="n">
        <v>27</v>
      </c>
      <c r="L2069" s="61" t="n">
        <f aca="false">I2069*J2069</f>
        <v>59</v>
      </c>
      <c r="M2069" s="61" t="n">
        <f aca="false">L2069-I2069*K2069</f>
        <v>32</v>
      </c>
      <c r="N2069" s="57" t="n">
        <f aca="false">IF(COUNTIFS(E$2:E2069,E2069,C$2:C2069,C2069)=1,1,0)</f>
        <v>0</v>
      </c>
      <c r="O2069" s="57" t="n">
        <f aca="false">IF(COUNTIFS(E$2:E2069,E2069,C$2:C2069,C2069,D$2:D2069,D2069)=1,1,0)</f>
        <v>1</v>
      </c>
      <c r="P2069" s="57" t="n">
        <f aca="false">IF(AND(C2069=Calc!$C$3,OR(Calc!$C$4=0,D2069=Calc!$C$4)),ROW(),0)</f>
        <v>2069</v>
      </c>
    </row>
    <row r="2070" customFormat="false" ht="15" hidden="false" customHeight="false" outlineLevel="0" collapsed="false">
      <c r="A2070" s="57" t="s">
        <v>2624</v>
      </c>
      <c r="B2070" s="58" t="n">
        <v>45854</v>
      </c>
      <c r="C2070" s="57" t="n">
        <f aca="false">YEAR(B2070)</f>
        <v>2025</v>
      </c>
      <c r="D2070" s="57" t="n">
        <f aca="false">MONTH(B2070)</f>
        <v>7</v>
      </c>
      <c r="E2070" s="57" t="s">
        <v>68</v>
      </c>
      <c r="F2070" s="57" t="s">
        <v>69</v>
      </c>
      <c r="G2070" s="57" t="s">
        <v>40</v>
      </c>
      <c r="H2070" s="57" t="s">
        <v>42</v>
      </c>
      <c r="I2070" s="59" t="n">
        <v>1</v>
      </c>
      <c r="J2070" s="60" t="n">
        <v>79</v>
      </c>
      <c r="K2070" s="60" t="n">
        <v>31</v>
      </c>
      <c r="L2070" s="61" t="n">
        <f aca="false">I2070*J2070</f>
        <v>79</v>
      </c>
      <c r="M2070" s="61" t="n">
        <f aca="false">L2070-I2070*K2070</f>
        <v>48</v>
      </c>
      <c r="N2070" s="57" t="n">
        <f aca="false">IF(COUNTIFS(E$2:E2070,E2070,C$2:C2070,C2070)=1,1,0)</f>
        <v>0</v>
      </c>
      <c r="O2070" s="57" t="n">
        <f aca="false">IF(COUNTIFS(E$2:E2070,E2070,C$2:C2070,C2070,D$2:D2070,D2070)=1,1,0)</f>
        <v>0</v>
      </c>
      <c r="P2070" s="57" t="n">
        <f aca="false">IF(AND(C2070=Calc!$C$3,OR(Calc!$C$4=0,D2070=Calc!$C$4)),ROW(),0)</f>
        <v>2070</v>
      </c>
    </row>
    <row r="2071" customFormat="false" ht="15" hidden="false" customHeight="false" outlineLevel="0" collapsed="false">
      <c r="A2071" s="57" t="s">
        <v>2625</v>
      </c>
      <c r="B2071" s="58" t="n">
        <v>45854</v>
      </c>
      <c r="C2071" s="57" t="n">
        <f aca="false">YEAR(B2071)</f>
        <v>2025</v>
      </c>
      <c r="D2071" s="57" t="n">
        <f aca="false">MONTH(B2071)</f>
        <v>7</v>
      </c>
      <c r="E2071" s="57" t="s">
        <v>761</v>
      </c>
      <c r="F2071" s="57" t="s">
        <v>75</v>
      </c>
      <c r="G2071" s="57" t="s">
        <v>35</v>
      </c>
      <c r="H2071" s="57" t="s">
        <v>38</v>
      </c>
      <c r="I2071" s="59" t="n">
        <v>1</v>
      </c>
      <c r="J2071" s="60" t="n">
        <v>49</v>
      </c>
      <c r="K2071" s="60" t="n">
        <v>22</v>
      </c>
      <c r="L2071" s="61" t="n">
        <f aca="false">I2071*J2071</f>
        <v>49</v>
      </c>
      <c r="M2071" s="61" t="n">
        <f aca="false">L2071-I2071*K2071</f>
        <v>27</v>
      </c>
      <c r="N2071" s="57" t="n">
        <f aca="false">IF(COUNTIFS(E$2:E2071,E2071,C$2:C2071,C2071)=1,1,0)</f>
        <v>0</v>
      </c>
      <c r="O2071" s="57" t="n">
        <f aca="false">IF(COUNTIFS(E$2:E2071,E2071,C$2:C2071,C2071,D$2:D2071,D2071)=1,1,0)</f>
        <v>1</v>
      </c>
      <c r="P2071" s="57" t="n">
        <f aca="false">IF(AND(C2071=Calc!$C$3,OR(Calc!$C$4=0,D2071=Calc!$C$4)),ROW(),0)</f>
        <v>2071</v>
      </c>
    </row>
    <row r="2072" customFormat="false" ht="15" hidden="false" customHeight="false" outlineLevel="0" collapsed="false">
      <c r="A2072" s="57" t="s">
        <v>2626</v>
      </c>
      <c r="B2072" s="58" t="n">
        <v>45854</v>
      </c>
      <c r="C2072" s="57" t="n">
        <f aca="false">YEAR(B2072)</f>
        <v>2025</v>
      </c>
      <c r="D2072" s="57" t="n">
        <f aca="false">MONTH(B2072)</f>
        <v>7</v>
      </c>
      <c r="E2072" s="57" t="s">
        <v>323</v>
      </c>
      <c r="F2072" s="57" t="s">
        <v>75</v>
      </c>
      <c r="G2072" s="57" t="s">
        <v>35</v>
      </c>
      <c r="H2072" s="57" t="s">
        <v>36</v>
      </c>
      <c r="I2072" s="59" t="n">
        <v>1</v>
      </c>
      <c r="J2072" s="60" t="n">
        <v>179</v>
      </c>
      <c r="K2072" s="60" t="n">
        <v>92</v>
      </c>
      <c r="L2072" s="61" t="n">
        <f aca="false">I2072*J2072</f>
        <v>179</v>
      </c>
      <c r="M2072" s="61" t="n">
        <f aca="false">L2072-I2072*K2072</f>
        <v>87</v>
      </c>
      <c r="N2072" s="57" t="n">
        <f aca="false">IF(COUNTIFS(E$2:E2072,E2072,C$2:C2072,C2072)=1,1,0)</f>
        <v>0</v>
      </c>
      <c r="O2072" s="57" t="n">
        <f aca="false">IF(COUNTIFS(E$2:E2072,E2072,C$2:C2072,C2072,D$2:D2072,D2072)=1,1,0)</f>
        <v>1</v>
      </c>
      <c r="P2072" s="57" t="n">
        <f aca="false">IF(AND(C2072=Calc!$C$3,OR(Calc!$C$4=0,D2072=Calc!$C$4)),ROW(),0)</f>
        <v>2072</v>
      </c>
    </row>
    <row r="2073" customFormat="false" ht="15" hidden="false" customHeight="false" outlineLevel="0" collapsed="false">
      <c r="A2073" s="57" t="s">
        <v>2627</v>
      </c>
      <c r="B2073" s="58" t="n">
        <v>45854</v>
      </c>
      <c r="C2073" s="57" t="n">
        <f aca="false">YEAR(B2073)</f>
        <v>2025</v>
      </c>
      <c r="D2073" s="57" t="n">
        <f aca="false">MONTH(B2073)</f>
        <v>7</v>
      </c>
      <c r="E2073" s="57" t="s">
        <v>206</v>
      </c>
      <c r="F2073" s="57" t="s">
        <v>78</v>
      </c>
      <c r="G2073" s="57" t="s">
        <v>45</v>
      </c>
      <c r="H2073" s="57" t="s">
        <v>46</v>
      </c>
      <c r="I2073" s="59" t="n">
        <v>1</v>
      </c>
      <c r="J2073" s="60" t="n">
        <v>149</v>
      </c>
      <c r="K2073" s="60" t="n">
        <v>71</v>
      </c>
      <c r="L2073" s="61" t="n">
        <f aca="false">I2073*J2073</f>
        <v>149</v>
      </c>
      <c r="M2073" s="61" t="n">
        <f aca="false">L2073-I2073*K2073</f>
        <v>78</v>
      </c>
      <c r="N2073" s="57" t="n">
        <f aca="false">IF(COUNTIFS(E$2:E2073,E2073,C$2:C2073,C2073)=1,1,0)</f>
        <v>0</v>
      </c>
      <c r="O2073" s="57" t="n">
        <f aca="false">IF(COUNTIFS(E$2:E2073,E2073,C$2:C2073,C2073,D$2:D2073,D2073)=1,1,0)</f>
        <v>1</v>
      </c>
      <c r="P2073" s="57" t="n">
        <f aca="false">IF(AND(C2073=Calc!$C$3,OR(Calc!$C$4=0,D2073=Calc!$C$4)),ROW(),0)</f>
        <v>2073</v>
      </c>
    </row>
    <row r="2074" customFormat="false" ht="15" hidden="false" customHeight="false" outlineLevel="0" collapsed="false">
      <c r="A2074" s="57" t="s">
        <v>2628</v>
      </c>
      <c r="B2074" s="58" t="n">
        <v>45854</v>
      </c>
      <c r="C2074" s="57" t="n">
        <f aca="false">YEAR(B2074)</f>
        <v>2025</v>
      </c>
      <c r="D2074" s="57" t="n">
        <f aca="false">MONTH(B2074)</f>
        <v>7</v>
      </c>
      <c r="E2074" s="57" t="s">
        <v>347</v>
      </c>
      <c r="F2074" s="57" t="s">
        <v>72</v>
      </c>
      <c r="G2074" s="57" t="s">
        <v>45</v>
      </c>
      <c r="H2074" s="57" t="s">
        <v>46</v>
      </c>
      <c r="I2074" s="59" t="n">
        <v>1</v>
      </c>
      <c r="J2074" s="60" t="n">
        <v>149</v>
      </c>
      <c r="K2074" s="60" t="n">
        <v>71</v>
      </c>
      <c r="L2074" s="61" t="n">
        <f aca="false">I2074*J2074</f>
        <v>149</v>
      </c>
      <c r="M2074" s="61" t="n">
        <f aca="false">L2074-I2074*K2074</f>
        <v>78</v>
      </c>
      <c r="N2074" s="57" t="n">
        <f aca="false">IF(COUNTIFS(E$2:E2074,E2074,C$2:C2074,C2074)=1,1,0)</f>
        <v>0</v>
      </c>
      <c r="O2074" s="57" t="n">
        <f aca="false">IF(COUNTIFS(E$2:E2074,E2074,C$2:C2074,C2074,D$2:D2074,D2074)=1,1,0)</f>
        <v>1</v>
      </c>
      <c r="P2074" s="57" t="n">
        <f aca="false">IF(AND(C2074=Calc!$C$3,OR(Calc!$C$4=0,D2074=Calc!$C$4)),ROW(),0)</f>
        <v>2074</v>
      </c>
    </row>
    <row r="2075" customFormat="false" ht="15" hidden="false" customHeight="false" outlineLevel="0" collapsed="false">
      <c r="A2075" s="57" t="s">
        <v>2629</v>
      </c>
      <c r="B2075" s="58" t="n">
        <v>45855</v>
      </c>
      <c r="C2075" s="57" t="n">
        <f aca="false">YEAR(B2075)</f>
        <v>2025</v>
      </c>
      <c r="D2075" s="57" t="n">
        <f aca="false">MONTH(B2075)</f>
        <v>7</v>
      </c>
      <c r="E2075" s="57" t="s">
        <v>1046</v>
      </c>
      <c r="F2075" s="57" t="s">
        <v>69</v>
      </c>
      <c r="G2075" s="57" t="s">
        <v>40</v>
      </c>
      <c r="H2075" s="57" t="s">
        <v>41</v>
      </c>
      <c r="I2075" s="59" t="n">
        <v>2</v>
      </c>
      <c r="J2075" s="60" t="n">
        <v>46</v>
      </c>
      <c r="K2075" s="60" t="n">
        <v>16</v>
      </c>
      <c r="L2075" s="61" t="n">
        <f aca="false">I2075*J2075</f>
        <v>92</v>
      </c>
      <c r="M2075" s="61" t="n">
        <f aca="false">L2075-I2075*K2075</f>
        <v>60</v>
      </c>
      <c r="N2075" s="57" t="n">
        <f aca="false">IF(COUNTIFS(E$2:E2075,E2075,C$2:C2075,C2075)=1,1,0)</f>
        <v>0</v>
      </c>
      <c r="O2075" s="57" t="n">
        <f aca="false">IF(COUNTIFS(E$2:E2075,E2075,C$2:C2075,C2075,D$2:D2075,D2075)=1,1,0)</f>
        <v>1</v>
      </c>
      <c r="P2075" s="57" t="n">
        <f aca="false">IF(AND(C2075=Calc!$C$3,OR(Calc!$C$4=0,D2075=Calc!$C$4)),ROW(),0)</f>
        <v>2075</v>
      </c>
    </row>
    <row r="2076" customFormat="false" ht="15" hidden="false" customHeight="false" outlineLevel="0" collapsed="false">
      <c r="A2076" s="57" t="s">
        <v>2630</v>
      </c>
      <c r="B2076" s="58" t="n">
        <v>45855</v>
      </c>
      <c r="C2076" s="57" t="n">
        <f aca="false">YEAR(B2076)</f>
        <v>2025</v>
      </c>
      <c r="D2076" s="57" t="n">
        <f aca="false">MONTH(B2076)</f>
        <v>7</v>
      </c>
      <c r="E2076" s="57" t="s">
        <v>1638</v>
      </c>
      <c r="F2076" s="57" t="s">
        <v>78</v>
      </c>
      <c r="G2076" s="57" t="s">
        <v>54</v>
      </c>
      <c r="H2076" s="57" t="s">
        <v>53</v>
      </c>
      <c r="I2076" s="59" t="n">
        <v>1</v>
      </c>
      <c r="J2076" s="60" t="n">
        <v>39</v>
      </c>
      <c r="K2076" s="60" t="n">
        <v>13</v>
      </c>
      <c r="L2076" s="61" t="n">
        <f aca="false">I2076*J2076</f>
        <v>39</v>
      </c>
      <c r="M2076" s="61" t="n">
        <f aca="false">L2076-I2076*K2076</f>
        <v>26</v>
      </c>
      <c r="N2076" s="57" t="n">
        <f aca="false">IF(COUNTIFS(E$2:E2076,E2076,C$2:C2076,C2076)=1,1,0)</f>
        <v>1</v>
      </c>
      <c r="O2076" s="57" t="n">
        <f aca="false">IF(COUNTIFS(E$2:E2076,E2076,C$2:C2076,C2076,D$2:D2076,D2076)=1,1,0)</f>
        <v>1</v>
      </c>
      <c r="P2076" s="57" t="n">
        <f aca="false">IF(AND(C2076=Calc!$C$3,OR(Calc!$C$4=0,D2076=Calc!$C$4)),ROW(),0)</f>
        <v>2076</v>
      </c>
    </row>
    <row r="2077" customFormat="false" ht="15" hidden="false" customHeight="false" outlineLevel="0" collapsed="false">
      <c r="A2077" s="57" t="s">
        <v>2631</v>
      </c>
      <c r="B2077" s="58" t="n">
        <v>45855</v>
      </c>
      <c r="C2077" s="57" t="n">
        <f aca="false">YEAR(B2077)</f>
        <v>2025</v>
      </c>
      <c r="D2077" s="57" t="n">
        <f aca="false">MONTH(B2077)</f>
        <v>7</v>
      </c>
      <c r="E2077" s="57" t="s">
        <v>193</v>
      </c>
      <c r="F2077" s="57" t="s">
        <v>78</v>
      </c>
      <c r="G2077" s="57" t="s">
        <v>35</v>
      </c>
      <c r="H2077" s="57" t="s">
        <v>36</v>
      </c>
      <c r="I2077" s="59" t="n">
        <v>1</v>
      </c>
      <c r="J2077" s="60" t="n">
        <v>179</v>
      </c>
      <c r="K2077" s="60" t="n">
        <v>92</v>
      </c>
      <c r="L2077" s="61" t="n">
        <f aca="false">I2077*J2077</f>
        <v>179</v>
      </c>
      <c r="M2077" s="61" t="n">
        <f aca="false">L2077-I2077*K2077</f>
        <v>87</v>
      </c>
      <c r="N2077" s="57" t="n">
        <f aca="false">IF(COUNTIFS(E$2:E2077,E2077,C$2:C2077,C2077)=1,1,0)</f>
        <v>0</v>
      </c>
      <c r="O2077" s="57" t="n">
        <f aca="false">IF(COUNTIFS(E$2:E2077,E2077,C$2:C2077,C2077,D$2:D2077,D2077)=1,1,0)</f>
        <v>1</v>
      </c>
      <c r="P2077" s="57" t="n">
        <f aca="false">IF(AND(C2077=Calc!$C$3,OR(Calc!$C$4=0,D2077=Calc!$C$4)),ROW(),0)</f>
        <v>2077</v>
      </c>
    </row>
    <row r="2078" customFormat="false" ht="15" hidden="false" customHeight="false" outlineLevel="0" collapsed="false">
      <c r="A2078" s="57" t="s">
        <v>2632</v>
      </c>
      <c r="B2078" s="58" t="n">
        <v>45855</v>
      </c>
      <c r="C2078" s="57" t="n">
        <f aca="false">YEAR(B2078)</f>
        <v>2025</v>
      </c>
      <c r="D2078" s="57" t="n">
        <f aca="false">MONTH(B2078)</f>
        <v>7</v>
      </c>
      <c r="E2078" s="57" t="s">
        <v>687</v>
      </c>
      <c r="F2078" s="57" t="s">
        <v>75</v>
      </c>
      <c r="G2078" s="57" t="s">
        <v>35</v>
      </c>
      <c r="H2078" s="57" t="s">
        <v>37</v>
      </c>
      <c r="I2078" s="59" t="n">
        <v>2</v>
      </c>
      <c r="J2078" s="60" t="n">
        <v>59</v>
      </c>
      <c r="K2078" s="60" t="n">
        <v>27</v>
      </c>
      <c r="L2078" s="61" t="n">
        <f aca="false">I2078*J2078</f>
        <v>118</v>
      </c>
      <c r="M2078" s="61" t="n">
        <f aca="false">L2078-I2078*K2078</f>
        <v>64</v>
      </c>
      <c r="N2078" s="57" t="n">
        <f aca="false">IF(COUNTIFS(E$2:E2078,E2078,C$2:C2078,C2078)=1,1,0)</f>
        <v>0</v>
      </c>
      <c r="O2078" s="57" t="n">
        <f aca="false">IF(COUNTIFS(E$2:E2078,E2078,C$2:C2078,C2078,D$2:D2078,D2078)=1,1,0)</f>
        <v>0</v>
      </c>
      <c r="P2078" s="57" t="n">
        <f aca="false">IF(AND(C2078=Calc!$C$3,OR(Calc!$C$4=0,D2078=Calc!$C$4)),ROW(),0)</f>
        <v>2078</v>
      </c>
    </row>
    <row r="2079" customFormat="false" ht="15" hidden="false" customHeight="false" outlineLevel="0" collapsed="false">
      <c r="A2079" s="57" t="s">
        <v>2633</v>
      </c>
      <c r="B2079" s="58" t="n">
        <v>45855</v>
      </c>
      <c r="C2079" s="57" t="n">
        <f aca="false">YEAR(B2079)</f>
        <v>2025</v>
      </c>
      <c r="D2079" s="57" t="n">
        <f aca="false">MONTH(B2079)</f>
        <v>7</v>
      </c>
      <c r="E2079" s="57" t="s">
        <v>2529</v>
      </c>
      <c r="F2079" s="57" t="s">
        <v>69</v>
      </c>
      <c r="G2079" s="57" t="s">
        <v>40</v>
      </c>
      <c r="H2079" s="57" t="s">
        <v>42</v>
      </c>
      <c r="I2079" s="59" t="n">
        <v>2</v>
      </c>
      <c r="J2079" s="60" t="n">
        <v>79</v>
      </c>
      <c r="K2079" s="60" t="n">
        <v>31</v>
      </c>
      <c r="L2079" s="61" t="n">
        <f aca="false">I2079*J2079</f>
        <v>158</v>
      </c>
      <c r="M2079" s="61" t="n">
        <f aca="false">L2079-I2079*K2079</f>
        <v>96</v>
      </c>
      <c r="N2079" s="57" t="n">
        <f aca="false">IF(COUNTIFS(E$2:E2079,E2079,C$2:C2079,C2079)=1,1,0)</f>
        <v>0</v>
      </c>
      <c r="O2079" s="57" t="n">
        <f aca="false">IF(COUNTIFS(E$2:E2079,E2079,C$2:C2079,C2079,D$2:D2079,D2079)=1,1,0)</f>
        <v>1</v>
      </c>
      <c r="P2079" s="57" t="n">
        <f aca="false">IF(AND(C2079=Calc!$C$3,OR(Calc!$C$4=0,D2079=Calc!$C$4)),ROW(),0)</f>
        <v>2079</v>
      </c>
    </row>
    <row r="2080" customFormat="false" ht="15" hidden="false" customHeight="false" outlineLevel="0" collapsed="false">
      <c r="A2080" s="57" t="s">
        <v>2634</v>
      </c>
      <c r="B2080" s="58" t="n">
        <v>45856</v>
      </c>
      <c r="C2080" s="57" t="n">
        <f aca="false">YEAR(B2080)</f>
        <v>2025</v>
      </c>
      <c r="D2080" s="57" t="n">
        <f aca="false">MONTH(B2080)</f>
        <v>7</v>
      </c>
      <c r="E2080" s="57" t="s">
        <v>512</v>
      </c>
      <c r="F2080" s="57" t="s">
        <v>75</v>
      </c>
      <c r="G2080" s="57" t="s">
        <v>40</v>
      </c>
      <c r="H2080" s="57" t="s">
        <v>39</v>
      </c>
      <c r="I2080" s="59" t="n">
        <v>1</v>
      </c>
      <c r="J2080" s="60" t="n">
        <v>54</v>
      </c>
      <c r="K2080" s="60" t="n">
        <v>19</v>
      </c>
      <c r="L2080" s="61" t="n">
        <f aca="false">I2080*J2080</f>
        <v>54</v>
      </c>
      <c r="M2080" s="61" t="n">
        <f aca="false">L2080-I2080*K2080</f>
        <v>35</v>
      </c>
      <c r="N2080" s="57" t="n">
        <f aca="false">IF(COUNTIFS(E$2:E2080,E2080,C$2:C2080,C2080)=1,1,0)</f>
        <v>0</v>
      </c>
      <c r="O2080" s="57" t="n">
        <f aca="false">IF(COUNTIFS(E$2:E2080,E2080,C$2:C2080,C2080,D$2:D2080,D2080)=1,1,0)</f>
        <v>1</v>
      </c>
      <c r="P2080" s="57" t="n">
        <f aca="false">IF(AND(C2080=Calc!$C$3,OR(Calc!$C$4=0,D2080=Calc!$C$4)),ROW(),0)</f>
        <v>2080</v>
      </c>
    </row>
    <row r="2081" customFormat="false" ht="15" hidden="false" customHeight="false" outlineLevel="0" collapsed="false">
      <c r="A2081" s="57" t="s">
        <v>2635</v>
      </c>
      <c r="B2081" s="58" t="n">
        <v>45856</v>
      </c>
      <c r="C2081" s="57" t="n">
        <f aca="false">YEAR(B2081)</f>
        <v>2025</v>
      </c>
      <c r="D2081" s="57" t="n">
        <f aca="false">MONTH(B2081)</f>
        <v>7</v>
      </c>
      <c r="E2081" s="57" t="s">
        <v>836</v>
      </c>
      <c r="F2081" s="57" t="s">
        <v>69</v>
      </c>
      <c r="G2081" s="57" t="s">
        <v>35</v>
      </c>
      <c r="H2081" s="57" t="s">
        <v>37</v>
      </c>
      <c r="I2081" s="59" t="n">
        <v>2</v>
      </c>
      <c r="J2081" s="60" t="n">
        <v>59</v>
      </c>
      <c r="K2081" s="60" t="n">
        <v>27</v>
      </c>
      <c r="L2081" s="61" t="n">
        <f aca="false">I2081*J2081</f>
        <v>118</v>
      </c>
      <c r="M2081" s="61" t="n">
        <f aca="false">L2081-I2081*K2081</f>
        <v>64</v>
      </c>
      <c r="N2081" s="57" t="n">
        <f aca="false">IF(COUNTIFS(E$2:E2081,E2081,C$2:C2081,C2081)=1,1,0)</f>
        <v>0</v>
      </c>
      <c r="O2081" s="57" t="n">
        <f aca="false">IF(COUNTIFS(E$2:E2081,E2081,C$2:C2081,C2081,D$2:D2081,D2081)=1,1,0)</f>
        <v>0</v>
      </c>
      <c r="P2081" s="57" t="n">
        <f aca="false">IF(AND(C2081=Calc!$C$3,OR(Calc!$C$4=0,D2081=Calc!$C$4)),ROW(),0)</f>
        <v>2081</v>
      </c>
    </row>
    <row r="2082" customFormat="false" ht="15" hidden="false" customHeight="false" outlineLevel="0" collapsed="false">
      <c r="A2082" s="57" t="s">
        <v>2636</v>
      </c>
      <c r="B2082" s="58" t="n">
        <v>45856</v>
      </c>
      <c r="C2082" s="57" t="n">
        <f aca="false">YEAR(B2082)</f>
        <v>2025</v>
      </c>
      <c r="D2082" s="57" t="n">
        <f aca="false">MONTH(B2082)</f>
        <v>7</v>
      </c>
      <c r="E2082" s="57" t="s">
        <v>1218</v>
      </c>
      <c r="F2082" s="57" t="s">
        <v>81</v>
      </c>
      <c r="G2082" s="57" t="s">
        <v>35</v>
      </c>
      <c r="H2082" s="57" t="s">
        <v>34</v>
      </c>
      <c r="I2082" s="59" t="n">
        <v>1</v>
      </c>
      <c r="J2082" s="60" t="n">
        <v>89</v>
      </c>
      <c r="K2082" s="60" t="n">
        <v>41</v>
      </c>
      <c r="L2082" s="61" t="n">
        <f aca="false">I2082*J2082</f>
        <v>89</v>
      </c>
      <c r="M2082" s="61" t="n">
        <f aca="false">L2082-I2082*K2082</f>
        <v>48</v>
      </c>
      <c r="N2082" s="57" t="n">
        <f aca="false">IF(COUNTIFS(E$2:E2082,E2082,C$2:C2082,C2082)=1,1,0)</f>
        <v>0</v>
      </c>
      <c r="O2082" s="57" t="n">
        <f aca="false">IF(COUNTIFS(E$2:E2082,E2082,C$2:C2082,C2082,D$2:D2082,D2082)=1,1,0)</f>
        <v>1</v>
      </c>
      <c r="P2082" s="57" t="n">
        <f aca="false">IF(AND(C2082=Calc!$C$3,OR(Calc!$C$4=0,D2082=Calc!$C$4)),ROW(),0)</f>
        <v>2082</v>
      </c>
    </row>
    <row r="2083" customFormat="false" ht="15" hidden="false" customHeight="false" outlineLevel="0" collapsed="false">
      <c r="A2083" s="57" t="s">
        <v>2637</v>
      </c>
      <c r="B2083" s="58" t="n">
        <v>45856</v>
      </c>
      <c r="C2083" s="57" t="n">
        <f aca="false">YEAR(B2083)</f>
        <v>2025</v>
      </c>
      <c r="D2083" s="57" t="n">
        <f aca="false">MONTH(B2083)</f>
        <v>7</v>
      </c>
      <c r="E2083" s="57" t="s">
        <v>135</v>
      </c>
      <c r="F2083" s="57" t="s">
        <v>69</v>
      </c>
      <c r="G2083" s="57" t="s">
        <v>35</v>
      </c>
      <c r="H2083" s="57" t="s">
        <v>37</v>
      </c>
      <c r="I2083" s="59" t="n">
        <v>2</v>
      </c>
      <c r="J2083" s="60" t="n">
        <v>59</v>
      </c>
      <c r="K2083" s="60" t="n">
        <v>27</v>
      </c>
      <c r="L2083" s="61" t="n">
        <f aca="false">I2083*J2083</f>
        <v>118</v>
      </c>
      <c r="M2083" s="61" t="n">
        <f aca="false">L2083-I2083*K2083</f>
        <v>64</v>
      </c>
      <c r="N2083" s="57" t="n">
        <f aca="false">IF(COUNTIFS(E$2:E2083,E2083,C$2:C2083,C2083)=1,1,0)</f>
        <v>1</v>
      </c>
      <c r="O2083" s="57" t="n">
        <f aca="false">IF(COUNTIFS(E$2:E2083,E2083,C$2:C2083,C2083,D$2:D2083,D2083)=1,1,0)</f>
        <v>1</v>
      </c>
      <c r="P2083" s="57" t="n">
        <f aca="false">IF(AND(C2083=Calc!$C$3,OR(Calc!$C$4=0,D2083=Calc!$C$4)),ROW(),0)</f>
        <v>2083</v>
      </c>
    </row>
    <row r="2084" customFormat="false" ht="15" hidden="false" customHeight="false" outlineLevel="0" collapsed="false">
      <c r="A2084" s="57" t="s">
        <v>2638</v>
      </c>
      <c r="B2084" s="58" t="n">
        <v>45857</v>
      </c>
      <c r="C2084" s="57" t="n">
        <f aca="false">YEAR(B2084)</f>
        <v>2025</v>
      </c>
      <c r="D2084" s="57" t="n">
        <f aca="false">MONTH(B2084)</f>
        <v>7</v>
      </c>
      <c r="E2084" s="57" t="s">
        <v>1398</v>
      </c>
      <c r="F2084" s="57" t="s">
        <v>69</v>
      </c>
      <c r="G2084" s="57" t="s">
        <v>54</v>
      </c>
      <c r="H2084" s="57" t="s">
        <v>55</v>
      </c>
      <c r="I2084" s="59" t="n">
        <v>1</v>
      </c>
      <c r="J2084" s="60" t="n">
        <v>64</v>
      </c>
      <c r="K2084" s="60" t="n">
        <v>25</v>
      </c>
      <c r="L2084" s="61" t="n">
        <f aca="false">I2084*J2084</f>
        <v>64</v>
      </c>
      <c r="M2084" s="61" t="n">
        <f aca="false">L2084-I2084*K2084</f>
        <v>39</v>
      </c>
      <c r="N2084" s="57" t="n">
        <f aca="false">IF(COUNTIFS(E$2:E2084,E2084,C$2:C2084,C2084)=1,1,0)</f>
        <v>1</v>
      </c>
      <c r="O2084" s="57" t="n">
        <f aca="false">IF(COUNTIFS(E$2:E2084,E2084,C$2:C2084,C2084,D$2:D2084,D2084)=1,1,0)</f>
        <v>1</v>
      </c>
      <c r="P2084" s="57" t="n">
        <f aca="false">IF(AND(C2084=Calc!$C$3,OR(Calc!$C$4=0,D2084=Calc!$C$4)),ROW(),0)</f>
        <v>2084</v>
      </c>
    </row>
    <row r="2085" customFormat="false" ht="15" hidden="false" customHeight="false" outlineLevel="0" collapsed="false">
      <c r="A2085" s="57" t="s">
        <v>2639</v>
      </c>
      <c r="B2085" s="58" t="n">
        <v>45857</v>
      </c>
      <c r="C2085" s="57" t="n">
        <f aca="false">YEAR(B2085)</f>
        <v>2025</v>
      </c>
      <c r="D2085" s="57" t="n">
        <f aca="false">MONTH(B2085)</f>
        <v>7</v>
      </c>
      <c r="E2085" s="57" t="s">
        <v>1567</v>
      </c>
      <c r="F2085" s="57" t="s">
        <v>75</v>
      </c>
      <c r="G2085" s="57" t="s">
        <v>45</v>
      </c>
      <c r="H2085" s="57" t="s">
        <v>48</v>
      </c>
      <c r="I2085" s="59" t="n">
        <v>2</v>
      </c>
      <c r="J2085" s="60" t="n">
        <v>99</v>
      </c>
      <c r="K2085" s="60" t="n">
        <v>38</v>
      </c>
      <c r="L2085" s="61" t="n">
        <f aca="false">I2085*J2085</f>
        <v>198</v>
      </c>
      <c r="M2085" s="61" t="n">
        <f aca="false">L2085-I2085*K2085</f>
        <v>122</v>
      </c>
      <c r="N2085" s="57" t="n">
        <f aca="false">IF(COUNTIFS(E$2:E2085,E2085,C$2:C2085,C2085)=1,1,0)</f>
        <v>1</v>
      </c>
      <c r="O2085" s="57" t="n">
        <f aca="false">IF(COUNTIFS(E$2:E2085,E2085,C$2:C2085,C2085,D$2:D2085,D2085)=1,1,0)</f>
        <v>1</v>
      </c>
      <c r="P2085" s="57" t="n">
        <f aca="false">IF(AND(C2085=Calc!$C$3,OR(Calc!$C$4=0,D2085=Calc!$C$4)),ROW(),0)</f>
        <v>2085</v>
      </c>
    </row>
    <row r="2086" customFormat="false" ht="15" hidden="false" customHeight="false" outlineLevel="0" collapsed="false">
      <c r="A2086" s="57" t="s">
        <v>2640</v>
      </c>
      <c r="B2086" s="58" t="n">
        <v>45857</v>
      </c>
      <c r="C2086" s="57" t="n">
        <f aca="false">YEAR(B2086)</f>
        <v>2025</v>
      </c>
      <c r="D2086" s="57" t="n">
        <f aca="false">MONTH(B2086)</f>
        <v>7</v>
      </c>
      <c r="E2086" s="57" t="s">
        <v>611</v>
      </c>
      <c r="F2086" s="57" t="s">
        <v>78</v>
      </c>
      <c r="G2086" s="57" t="s">
        <v>35</v>
      </c>
      <c r="H2086" s="57" t="s">
        <v>34</v>
      </c>
      <c r="I2086" s="59" t="n">
        <v>2</v>
      </c>
      <c r="J2086" s="60" t="n">
        <v>89</v>
      </c>
      <c r="K2086" s="60" t="n">
        <v>41</v>
      </c>
      <c r="L2086" s="61" t="n">
        <f aca="false">I2086*J2086</f>
        <v>178</v>
      </c>
      <c r="M2086" s="61" t="n">
        <f aca="false">L2086-I2086*K2086</f>
        <v>96</v>
      </c>
      <c r="N2086" s="57" t="n">
        <f aca="false">IF(COUNTIFS(E$2:E2086,E2086,C$2:C2086,C2086)=1,1,0)</f>
        <v>0</v>
      </c>
      <c r="O2086" s="57" t="n">
        <f aca="false">IF(COUNTIFS(E$2:E2086,E2086,C$2:C2086,C2086,D$2:D2086,D2086)=1,1,0)</f>
        <v>1</v>
      </c>
      <c r="P2086" s="57" t="n">
        <f aca="false">IF(AND(C2086=Calc!$C$3,OR(Calc!$C$4=0,D2086=Calc!$C$4)),ROW(),0)</f>
        <v>2086</v>
      </c>
    </row>
    <row r="2087" customFormat="false" ht="15" hidden="false" customHeight="false" outlineLevel="0" collapsed="false">
      <c r="A2087" s="57" t="s">
        <v>2641</v>
      </c>
      <c r="B2087" s="58" t="n">
        <v>45857</v>
      </c>
      <c r="C2087" s="57" t="n">
        <f aca="false">YEAR(B2087)</f>
        <v>2025</v>
      </c>
      <c r="D2087" s="57" t="n">
        <f aca="false">MONTH(B2087)</f>
        <v>7</v>
      </c>
      <c r="E2087" s="57" t="s">
        <v>514</v>
      </c>
      <c r="F2087" s="57" t="s">
        <v>72</v>
      </c>
      <c r="G2087" s="57" t="s">
        <v>45</v>
      </c>
      <c r="H2087" s="57" t="s">
        <v>44</v>
      </c>
      <c r="I2087" s="59" t="n">
        <v>1</v>
      </c>
      <c r="J2087" s="60" t="n">
        <v>119</v>
      </c>
      <c r="K2087" s="60" t="n">
        <v>63</v>
      </c>
      <c r="L2087" s="61" t="n">
        <f aca="false">I2087*J2087</f>
        <v>119</v>
      </c>
      <c r="M2087" s="61" t="n">
        <f aca="false">L2087-I2087*K2087</f>
        <v>56</v>
      </c>
      <c r="N2087" s="57" t="n">
        <f aca="false">IF(COUNTIFS(E$2:E2087,E2087,C$2:C2087,C2087)=1,1,0)</f>
        <v>0</v>
      </c>
      <c r="O2087" s="57" t="n">
        <f aca="false">IF(COUNTIFS(E$2:E2087,E2087,C$2:C2087,C2087,D$2:D2087,D2087)=1,1,0)</f>
        <v>1</v>
      </c>
      <c r="P2087" s="57" t="n">
        <f aca="false">IF(AND(C2087=Calc!$C$3,OR(Calc!$C$4=0,D2087=Calc!$C$4)),ROW(),0)</f>
        <v>2087</v>
      </c>
    </row>
    <row r="2088" customFormat="false" ht="15" hidden="false" customHeight="false" outlineLevel="0" collapsed="false">
      <c r="A2088" s="57" t="s">
        <v>2642</v>
      </c>
      <c r="B2088" s="58" t="n">
        <v>45858</v>
      </c>
      <c r="C2088" s="57" t="n">
        <f aca="false">YEAR(B2088)</f>
        <v>2025</v>
      </c>
      <c r="D2088" s="57" t="n">
        <f aca="false">MONTH(B2088)</f>
        <v>7</v>
      </c>
      <c r="E2088" s="57" t="s">
        <v>594</v>
      </c>
      <c r="F2088" s="57" t="s">
        <v>81</v>
      </c>
      <c r="G2088" s="57" t="s">
        <v>35</v>
      </c>
      <c r="H2088" s="57" t="s">
        <v>34</v>
      </c>
      <c r="I2088" s="59" t="n">
        <v>1</v>
      </c>
      <c r="J2088" s="60" t="n">
        <v>89</v>
      </c>
      <c r="K2088" s="60" t="n">
        <v>41</v>
      </c>
      <c r="L2088" s="61" t="n">
        <f aca="false">I2088*J2088</f>
        <v>89</v>
      </c>
      <c r="M2088" s="61" t="n">
        <f aca="false">L2088-I2088*K2088</f>
        <v>48</v>
      </c>
      <c r="N2088" s="57" t="n">
        <f aca="false">IF(COUNTIFS(E$2:E2088,E2088,C$2:C2088,C2088)=1,1,0)</f>
        <v>0</v>
      </c>
      <c r="O2088" s="57" t="n">
        <f aca="false">IF(COUNTIFS(E$2:E2088,E2088,C$2:C2088,C2088,D$2:D2088,D2088)=1,1,0)</f>
        <v>1</v>
      </c>
      <c r="P2088" s="57" t="n">
        <f aca="false">IF(AND(C2088=Calc!$C$3,OR(Calc!$C$4=0,D2088=Calc!$C$4)),ROW(),0)</f>
        <v>2088</v>
      </c>
    </row>
    <row r="2089" customFormat="false" ht="15" hidden="false" customHeight="false" outlineLevel="0" collapsed="false">
      <c r="A2089" s="57" t="s">
        <v>2643</v>
      </c>
      <c r="B2089" s="58" t="n">
        <v>45858</v>
      </c>
      <c r="C2089" s="57" t="n">
        <f aca="false">YEAR(B2089)</f>
        <v>2025</v>
      </c>
      <c r="D2089" s="57" t="n">
        <f aca="false">MONTH(B2089)</f>
        <v>7</v>
      </c>
      <c r="E2089" s="57" t="s">
        <v>156</v>
      </c>
      <c r="F2089" s="57" t="s">
        <v>75</v>
      </c>
      <c r="G2089" s="57" t="s">
        <v>50</v>
      </c>
      <c r="H2089" s="57" t="s">
        <v>52</v>
      </c>
      <c r="I2089" s="59" t="n">
        <v>1</v>
      </c>
      <c r="J2089" s="60" t="n">
        <v>45</v>
      </c>
      <c r="K2089" s="60" t="n">
        <v>14</v>
      </c>
      <c r="L2089" s="61" t="n">
        <f aca="false">I2089*J2089</f>
        <v>45</v>
      </c>
      <c r="M2089" s="61" t="n">
        <f aca="false">L2089-I2089*K2089</f>
        <v>31</v>
      </c>
      <c r="N2089" s="57" t="n">
        <f aca="false">IF(COUNTIFS(E$2:E2089,E2089,C$2:C2089,C2089)=1,1,0)</f>
        <v>0</v>
      </c>
      <c r="O2089" s="57" t="n">
        <f aca="false">IF(COUNTIFS(E$2:E2089,E2089,C$2:C2089,C2089,D$2:D2089,D2089)=1,1,0)</f>
        <v>1</v>
      </c>
      <c r="P2089" s="57" t="n">
        <f aca="false">IF(AND(C2089=Calc!$C$3,OR(Calc!$C$4=0,D2089=Calc!$C$4)),ROW(),0)</f>
        <v>2089</v>
      </c>
    </row>
    <row r="2090" customFormat="false" ht="15" hidden="false" customHeight="false" outlineLevel="0" collapsed="false">
      <c r="A2090" s="57" t="s">
        <v>2644</v>
      </c>
      <c r="B2090" s="58" t="n">
        <v>45858</v>
      </c>
      <c r="C2090" s="57" t="n">
        <f aca="false">YEAR(B2090)</f>
        <v>2025</v>
      </c>
      <c r="D2090" s="57" t="n">
        <f aca="false">MONTH(B2090)</f>
        <v>7</v>
      </c>
      <c r="E2090" s="57" t="s">
        <v>1547</v>
      </c>
      <c r="F2090" s="57" t="s">
        <v>75</v>
      </c>
      <c r="G2090" s="57" t="s">
        <v>35</v>
      </c>
      <c r="H2090" s="57" t="s">
        <v>36</v>
      </c>
      <c r="I2090" s="59" t="n">
        <v>1</v>
      </c>
      <c r="J2090" s="60" t="n">
        <v>179</v>
      </c>
      <c r="K2090" s="60" t="n">
        <v>92</v>
      </c>
      <c r="L2090" s="61" t="n">
        <f aca="false">I2090*J2090</f>
        <v>179</v>
      </c>
      <c r="M2090" s="61" t="n">
        <f aca="false">L2090-I2090*K2090</f>
        <v>87</v>
      </c>
      <c r="N2090" s="57" t="n">
        <f aca="false">IF(COUNTIFS(E$2:E2090,E2090,C$2:C2090,C2090)=1,1,0)</f>
        <v>1</v>
      </c>
      <c r="O2090" s="57" t="n">
        <f aca="false">IF(COUNTIFS(E$2:E2090,E2090,C$2:C2090,C2090,D$2:D2090,D2090)=1,1,0)</f>
        <v>1</v>
      </c>
      <c r="P2090" s="57" t="n">
        <f aca="false">IF(AND(C2090=Calc!$C$3,OR(Calc!$C$4=0,D2090=Calc!$C$4)),ROW(),0)</f>
        <v>2090</v>
      </c>
    </row>
    <row r="2091" customFormat="false" ht="15" hidden="false" customHeight="false" outlineLevel="0" collapsed="false">
      <c r="A2091" s="57" t="s">
        <v>2645</v>
      </c>
      <c r="B2091" s="58" t="n">
        <v>45858</v>
      </c>
      <c r="C2091" s="57" t="n">
        <f aca="false">YEAR(B2091)</f>
        <v>2025</v>
      </c>
      <c r="D2091" s="57" t="n">
        <f aca="false">MONTH(B2091)</f>
        <v>7</v>
      </c>
      <c r="E2091" s="57" t="s">
        <v>170</v>
      </c>
      <c r="F2091" s="57" t="s">
        <v>69</v>
      </c>
      <c r="G2091" s="57" t="s">
        <v>35</v>
      </c>
      <c r="H2091" s="57" t="s">
        <v>36</v>
      </c>
      <c r="I2091" s="59" t="n">
        <v>1</v>
      </c>
      <c r="J2091" s="60" t="n">
        <v>179</v>
      </c>
      <c r="K2091" s="60" t="n">
        <v>92</v>
      </c>
      <c r="L2091" s="61" t="n">
        <f aca="false">I2091*J2091</f>
        <v>179</v>
      </c>
      <c r="M2091" s="61" t="n">
        <f aca="false">L2091-I2091*K2091</f>
        <v>87</v>
      </c>
      <c r="N2091" s="57" t="n">
        <f aca="false">IF(COUNTIFS(E$2:E2091,E2091,C$2:C2091,C2091)=1,1,0)</f>
        <v>0</v>
      </c>
      <c r="O2091" s="57" t="n">
        <f aca="false">IF(COUNTIFS(E$2:E2091,E2091,C$2:C2091,C2091,D$2:D2091,D2091)=1,1,0)</f>
        <v>1</v>
      </c>
      <c r="P2091" s="57" t="n">
        <f aca="false">IF(AND(C2091=Calc!$C$3,OR(Calc!$C$4=0,D2091=Calc!$C$4)),ROW(),0)</f>
        <v>2091</v>
      </c>
    </row>
    <row r="2092" customFormat="false" ht="15" hidden="false" customHeight="false" outlineLevel="0" collapsed="false">
      <c r="A2092" s="57" t="s">
        <v>2646</v>
      </c>
      <c r="B2092" s="58" t="n">
        <v>45859</v>
      </c>
      <c r="C2092" s="57" t="n">
        <f aca="false">YEAR(B2092)</f>
        <v>2025</v>
      </c>
      <c r="D2092" s="57" t="n">
        <f aca="false">MONTH(B2092)</f>
        <v>7</v>
      </c>
      <c r="E2092" s="57" t="s">
        <v>662</v>
      </c>
      <c r="F2092" s="57" t="s">
        <v>69</v>
      </c>
      <c r="G2092" s="57" t="s">
        <v>45</v>
      </c>
      <c r="H2092" s="57" t="s">
        <v>46</v>
      </c>
      <c r="I2092" s="59" t="n">
        <v>1</v>
      </c>
      <c r="J2092" s="60" t="n">
        <v>149</v>
      </c>
      <c r="K2092" s="60" t="n">
        <v>71</v>
      </c>
      <c r="L2092" s="61" t="n">
        <f aca="false">I2092*J2092</f>
        <v>149</v>
      </c>
      <c r="M2092" s="61" t="n">
        <f aca="false">L2092-I2092*K2092</f>
        <v>78</v>
      </c>
      <c r="N2092" s="57" t="n">
        <f aca="false">IF(COUNTIFS(E$2:E2092,E2092,C$2:C2092,C2092)=1,1,0)</f>
        <v>0</v>
      </c>
      <c r="O2092" s="57" t="n">
        <f aca="false">IF(COUNTIFS(E$2:E2092,E2092,C$2:C2092,C2092,D$2:D2092,D2092)=1,1,0)</f>
        <v>1</v>
      </c>
      <c r="P2092" s="57" t="n">
        <f aca="false">IF(AND(C2092=Calc!$C$3,OR(Calc!$C$4=0,D2092=Calc!$C$4)),ROW(),0)</f>
        <v>2092</v>
      </c>
    </row>
    <row r="2093" customFormat="false" ht="15" hidden="false" customHeight="false" outlineLevel="0" collapsed="false">
      <c r="A2093" s="57" t="s">
        <v>2647</v>
      </c>
      <c r="B2093" s="58" t="n">
        <v>45859</v>
      </c>
      <c r="C2093" s="57" t="n">
        <f aca="false">YEAR(B2093)</f>
        <v>2025</v>
      </c>
      <c r="D2093" s="57" t="n">
        <f aca="false">MONTH(B2093)</f>
        <v>7</v>
      </c>
      <c r="E2093" s="57" t="s">
        <v>494</v>
      </c>
      <c r="F2093" s="57" t="s">
        <v>78</v>
      </c>
      <c r="G2093" s="57" t="s">
        <v>40</v>
      </c>
      <c r="H2093" s="57" t="s">
        <v>43</v>
      </c>
      <c r="I2093" s="59" t="n">
        <v>1</v>
      </c>
      <c r="J2093" s="60" t="n">
        <v>29</v>
      </c>
      <c r="K2093" s="60" t="n">
        <v>9</v>
      </c>
      <c r="L2093" s="61" t="n">
        <f aca="false">I2093*J2093</f>
        <v>29</v>
      </c>
      <c r="M2093" s="61" t="n">
        <f aca="false">L2093-I2093*K2093</f>
        <v>20</v>
      </c>
      <c r="N2093" s="57" t="n">
        <f aca="false">IF(COUNTIFS(E$2:E2093,E2093,C$2:C2093,C2093)=1,1,0)</f>
        <v>0</v>
      </c>
      <c r="O2093" s="57" t="n">
        <f aca="false">IF(COUNTIFS(E$2:E2093,E2093,C$2:C2093,C2093,D$2:D2093,D2093)=1,1,0)</f>
        <v>1</v>
      </c>
      <c r="P2093" s="57" t="n">
        <f aca="false">IF(AND(C2093=Calc!$C$3,OR(Calc!$C$4=0,D2093=Calc!$C$4)),ROW(),0)</f>
        <v>2093</v>
      </c>
    </row>
    <row r="2094" customFormat="false" ht="15" hidden="false" customHeight="false" outlineLevel="0" collapsed="false">
      <c r="A2094" s="57" t="s">
        <v>2648</v>
      </c>
      <c r="B2094" s="58" t="n">
        <v>45859</v>
      </c>
      <c r="C2094" s="57" t="n">
        <f aca="false">YEAR(B2094)</f>
        <v>2025</v>
      </c>
      <c r="D2094" s="57" t="n">
        <f aca="false">MONTH(B2094)</f>
        <v>7</v>
      </c>
      <c r="E2094" s="57" t="s">
        <v>168</v>
      </c>
      <c r="F2094" s="57" t="s">
        <v>81</v>
      </c>
      <c r="G2094" s="57" t="s">
        <v>45</v>
      </c>
      <c r="H2094" s="57" t="s">
        <v>44</v>
      </c>
      <c r="I2094" s="59" t="n">
        <v>1</v>
      </c>
      <c r="J2094" s="60" t="n">
        <v>119</v>
      </c>
      <c r="K2094" s="60" t="n">
        <v>63</v>
      </c>
      <c r="L2094" s="61" t="n">
        <f aca="false">I2094*J2094</f>
        <v>119</v>
      </c>
      <c r="M2094" s="61" t="n">
        <f aca="false">L2094-I2094*K2094</f>
        <v>56</v>
      </c>
      <c r="N2094" s="57" t="n">
        <f aca="false">IF(COUNTIFS(E$2:E2094,E2094,C$2:C2094,C2094)=1,1,0)</f>
        <v>0</v>
      </c>
      <c r="O2094" s="57" t="n">
        <f aca="false">IF(COUNTIFS(E$2:E2094,E2094,C$2:C2094,C2094,D$2:D2094,D2094)=1,1,0)</f>
        <v>0</v>
      </c>
      <c r="P2094" s="57" t="n">
        <f aca="false">IF(AND(C2094=Calc!$C$3,OR(Calc!$C$4=0,D2094=Calc!$C$4)),ROW(),0)</f>
        <v>2094</v>
      </c>
    </row>
    <row r="2095" customFormat="false" ht="15" hidden="false" customHeight="false" outlineLevel="0" collapsed="false">
      <c r="A2095" s="57" t="s">
        <v>2649</v>
      </c>
      <c r="B2095" s="58" t="n">
        <v>45859</v>
      </c>
      <c r="C2095" s="57" t="n">
        <f aca="false">YEAR(B2095)</f>
        <v>2025</v>
      </c>
      <c r="D2095" s="57" t="n">
        <f aca="false">MONTH(B2095)</f>
        <v>7</v>
      </c>
      <c r="E2095" s="57" t="s">
        <v>1304</v>
      </c>
      <c r="F2095" s="57" t="s">
        <v>78</v>
      </c>
      <c r="G2095" s="57" t="s">
        <v>45</v>
      </c>
      <c r="H2095" s="57" t="s">
        <v>47</v>
      </c>
      <c r="I2095" s="59" t="n">
        <v>1</v>
      </c>
      <c r="J2095" s="60" t="n">
        <v>34</v>
      </c>
      <c r="K2095" s="60" t="n">
        <v>12</v>
      </c>
      <c r="L2095" s="61" t="n">
        <f aca="false">I2095*J2095</f>
        <v>34</v>
      </c>
      <c r="M2095" s="61" t="n">
        <f aca="false">L2095-I2095*K2095</f>
        <v>22</v>
      </c>
      <c r="N2095" s="57" t="n">
        <f aca="false">IF(COUNTIFS(E$2:E2095,E2095,C$2:C2095,C2095)=1,1,0)</f>
        <v>0</v>
      </c>
      <c r="O2095" s="57" t="n">
        <f aca="false">IF(COUNTIFS(E$2:E2095,E2095,C$2:C2095,C2095,D$2:D2095,D2095)=1,1,0)</f>
        <v>1</v>
      </c>
      <c r="P2095" s="57" t="n">
        <f aca="false">IF(AND(C2095=Calc!$C$3,OR(Calc!$C$4=0,D2095=Calc!$C$4)),ROW(),0)</f>
        <v>2095</v>
      </c>
    </row>
    <row r="2096" customFormat="false" ht="15" hidden="false" customHeight="false" outlineLevel="0" collapsed="false">
      <c r="A2096" s="57" t="s">
        <v>2650</v>
      </c>
      <c r="B2096" s="58" t="n">
        <v>45860</v>
      </c>
      <c r="C2096" s="57" t="n">
        <f aca="false">YEAR(B2096)</f>
        <v>2025</v>
      </c>
      <c r="D2096" s="57" t="n">
        <f aca="false">MONTH(B2096)</f>
        <v>7</v>
      </c>
      <c r="E2096" s="57" t="s">
        <v>313</v>
      </c>
      <c r="F2096" s="57" t="s">
        <v>75</v>
      </c>
      <c r="G2096" s="57" t="s">
        <v>35</v>
      </c>
      <c r="H2096" s="57" t="s">
        <v>36</v>
      </c>
      <c r="I2096" s="59" t="n">
        <v>1</v>
      </c>
      <c r="J2096" s="60" t="n">
        <v>179</v>
      </c>
      <c r="K2096" s="60" t="n">
        <v>92</v>
      </c>
      <c r="L2096" s="61" t="n">
        <f aca="false">I2096*J2096</f>
        <v>179</v>
      </c>
      <c r="M2096" s="61" t="n">
        <f aca="false">L2096-I2096*K2096</f>
        <v>87</v>
      </c>
      <c r="N2096" s="57" t="n">
        <f aca="false">IF(COUNTIFS(E$2:E2096,E2096,C$2:C2096,C2096)=1,1,0)</f>
        <v>0</v>
      </c>
      <c r="O2096" s="57" t="n">
        <f aca="false">IF(COUNTIFS(E$2:E2096,E2096,C$2:C2096,C2096,D$2:D2096,D2096)=1,1,0)</f>
        <v>1</v>
      </c>
      <c r="P2096" s="57" t="n">
        <f aca="false">IF(AND(C2096=Calc!$C$3,OR(Calc!$C$4=0,D2096=Calc!$C$4)),ROW(),0)</f>
        <v>2096</v>
      </c>
    </row>
    <row r="2097" customFormat="false" ht="15" hidden="false" customHeight="false" outlineLevel="0" collapsed="false">
      <c r="A2097" s="57" t="s">
        <v>2651</v>
      </c>
      <c r="B2097" s="58" t="n">
        <v>45860</v>
      </c>
      <c r="C2097" s="57" t="n">
        <f aca="false">YEAR(B2097)</f>
        <v>2025</v>
      </c>
      <c r="D2097" s="57" t="n">
        <f aca="false">MONTH(B2097)</f>
        <v>7</v>
      </c>
      <c r="E2097" s="57" t="s">
        <v>937</v>
      </c>
      <c r="F2097" s="57" t="s">
        <v>81</v>
      </c>
      <c r="G2097" s="57" t="s">
        <v>35</v>
      </c>
      <c r="H2097" s="57" t="s">
        <v>38</v>
      </c>
      <c r="I2097" s="59" t="n">
        <v>1</v>
      </c>
      <c r="J2097" s="60" t="n">
        <v>49</v>
      </c>
      <c r="K2097" s="60" t="n">
        <v>22</v>
      </c>
      <c r="L2097" s="61" t="n">
        <f aca="false">I2097*J2097</f>
        <v>49</v>
      </c>
      <c r="M2097" s="61" t="n">
        <f aca="false">L2097-I2097*K2097</f>
        <v>27</v>
      </c>
      <c r="N2097" s="57" t="n">
        <f aca="false">IF(COUNTIFS(E$2:E2097,E2097,C$2:C2097,C2097)=1,1,0)</f>
        <v>0</v>
      </c>
      <c r="O2097" s="57" t="n">
        <f aca="false">IF(COUNTIFS(E$2:E2097,E2097,C$2:C2097,C2097,D$2:D2097,D2097)=1,1,0)</f>
        <v>1</v>
      </c>
      <c r="P2097" s="57" t="n">
        <f aca="false">IF(AND(C2097=Calc!$C$3,OR(Calc!$C$4=0,D2097=Calc!$C$4)),ROW(),0)</f>
        <v>2097</v>
      </c>
    </row>
    <row r="2098" customFormat="false" ht="15" hidden="false" customHeight="false" outlineLevel="0" collapsed="false">
      <c r="A2098" s="57" t="s">
        <v>2652</v>
      </c>
      <c r="B2098" s="58" t="n">
        <v>45861</v>
      </c>
      <c r="C2098" s="57" t="n">
        <f aca="false">YEAR(B2098)</f>
        <v>2025</v>
      </c>
      <c r="D2098" s="57" t="n">
        <f aca="false">MONTH(B2098)</f>
        <v>7</v>
      </c>
      <c r="E2098" s="57" t="s">
        <v>411</v>
      </c>
      <c r="F2098" s="57" t="s">
        <v>72</v>
      </c>
      <c r="G2098" s="57" t="s">
        <v>45</v>
      </c>
      <c r="H2098" s="57" t="s">
        <v>47</v>
      </c>
      <c r="I2098" s="59" t="n">
        <v>1</v>
      </c>
      <c r="J2098" s="60" t="n">
        <v>34</v>
      </c>
      <c r="K2098" s="60" t="n">
        <v>12</v>
      </c>
      <c r="L2098" s="61" t="n">
        <f aca="false">I2098*J2098</f>
        <v>34</v>
      </c>
      <c r="M2098" s="61" t="n">
        <f aca="false">L2098-I2098*K2098</f>
        <v>22</v>
      </c>
      <c r="N2098" s="57" t="n">
        <f aca="false">IF(COUNTIFS(E$2:E2098,E2098,C$2:C2098,C2098)=1,1,0)</f>
        <v>1</v>
      </c>
      <c r="O2098" s="57" t="n">
        <f aca="false">IF(COUNTIFS(E$2:E2098,E2098,C$2:C2098,C2098,D$2:D2098,D2098)=1,1,0)</f>
        <v>1</v>
      </c>
      <c r="P2098" s="57" t="n">
        <f aca="false">IF(AND(C2098=Calc!$C$3,OR(Calc!$C$4=0,D2098=Calc!$C$4)),ROW(),0)</f>
        <v>2098</v>
      </c>
    </row>
    <row r="2099" customFormat="false" ht="15" hidden="false" customHeight="false" outlineLevel="0" collapsed="false">
      <c r="A2099" s="57" t="s">
        <v>2653</v>
      </c>
      <c r="B2099" s="58" t="n">
        <v>45861</v>
      </c>
      <c r="C2099" s="57" t="n">
        <f aca="false">YEAR(B2099)</f>
        <v>2025</v>
      </c>
      <c r="D2099" s="57" t="n">
        <f aca="false">MONTH(B2099)</f>
        <v>7</v>
      </c>
      <c r="E2099" s="57" t="s">
        <v>89</v>
      </c>
      <c r="F2099" s="57" t="s">
        <v>81</v>
      </c>
      <c r="G2099" s="57" t="s">
        <v>35</v>
      </c>
      <c r="H2099" s="57" t="s">
        <v>37</v>
      </c>
      <c r="I2099" s="59" t="n">
        <v>2</v>
      </c>
      <c r="J2099" s="60" t="n">
        <v>59</v>
      </c>
      <c r="K2099" s="60" t="n">
        <v>27</v>
      </c>
      <c r="L2099" s="61" t="n">
        <f aca="false">I2099*J2099</f>
        <v>118</v>
      </c>
      <c r="M2099" s="61" t="n">
        <f aca="false">L2099-I2099*K2099</f>
        <v>64</v>
      </c>
      <c r="N2099" s="57" t="n">
        <f aca="false">IF(COUNTIFS(E$2:E2099,E2099,C$2:C2099,C2099)=1,1,0)</f>
        <v>0</v>
      </c>
      <c r="O2099" s="57" t="n">
        <f aca="false">IF(COUNTIFS(E$2:E2099,E2099,C$2:C2099,C2099,D$2:D2099,D2099)=1,1,0)</f>
        <v>1</v>
      </c>
      <c r="P2099" s="57" t="n">
        <f aca="false">IF(AND(C2099=Calc!$C$3,OR(Calc!$C$4=0,D2099=Calc!$C$4)),ROW(),0)</f>
        <v>2099</v>
      </c>
    </row>
    <row r="2100" customFormat="false" ht="15" hidden="false" customHeight="false" outlineLevel="0" collapsed="false">
      <c r="A2100" s="57" t="s">
        <v>2654</v>
      </c>
      <c r="B2100" s="58" t="n">
        <v>45861</v>
      </c>
      <c r="C2100" s="57" t="n">
        <f aca="false">YEAR(B2100)</f>
        <v>2025</v>
      </c>
      <c r="D2100" s="57" t="n">
        <f aca="false">MONTH(B2100)</f>
        <v>7</v>
      </c>
      <c r="E2100" s="57" t="s">
        <v>2177</v>
      </c>
      <c r="F2100" s="57" t="s">
        <v>78</v>
      </c>
      <c r="G2100" s="57" t="s">
        <v>35</v>
      </c>
      <c r="H2100" s="57" t="s">
        <v>38</v>
      </c>
      <c r="I2100" s="59" t="n">
        <v>2</v>
      </c>
      <c r="J2100" s="60" t="n">
        <v>49</v>
      </c>
      <c r="K2100" s="60" t="n">
        <v>22</v>
      </c>
      <c r="L2100" s="61" t="n">
        <f aca="false">I2100*J2100</f>
        <v>98</v>
      </c>
      <c r="M2100" s="61" t="n">
        <f aca="false">L2100-I2100*K2100</f>
        <v>54</v>
      </c>
      <c r="N2100" s="57" t="n">
        <f aca="false">IF(COUNTIFS(E$2:E2100,E2100,C$2:C2100,C2100)=1,1,0)</f>
        <v>0</v>
      </c>
      <c r="O2100" s="57" t="n">
        <f aca="false">IF(COUNTIFS(E$2:E2100,E2100,C$2:C2100,C2100,D$2:D2100,D2100)=1,1,0)</f>
        <v>1</v>
      </c>
      <c r="P2100" s="57" t="n">
        <f aca="false">IF(AND(C2100=Calc!$C$3,OR(Calc!$C$4=0,D2100=Calc!$C$4)),ROW(),0)</f>
        <v>2100</v>
      </c>
    </row>
    <row r="2101" customFormat="false" ht="15" hidden="false" customHeight="false" outlineLevel="0" collapsed="false">
      <c r="A2101" s="57" t="s">
        <v>2655</v>
      </c>
      <c r="B2101" s="58" t="n">
        <v>45861</v>
      </c>
      <c r="C2101" s="57" t="n">
        <f aca="false">YEAR(B2101)</f>
        <v>2025</v>
      </c>
      <c r="D2101" s="57" t="n">
        <f aca="false">MONTH(B2101)</f>
        <v>7</v>
      </c>
      <c r="E2101" s="57" t="s">
        <v>402</v>
      </c>
      <c r="F2101" s="57" t="s">
        <v>75</v>
      </c>
      <c r="G2101" s="57" t="s">
        <v>35</v>
      </c>
      <c r="H2101" s="57" t="s">
        <v>36</v>
      </c>
      <c r="I2101" s="59" t="n">
        <v>2</v>
      </c>
      <c r="J2101" s="60" t="n">
        <v>179</v>
      </c>
      <c r="K2101" s="60" t="n">
        <v>92</v>
      </c>
      <c r="L2101" s="61" t="n">
        <f aca="false">I2101*J2101</f>
        <v>358</v>
      </c>
      <c r="M2101" s="61" t="n">
        <f aca="false">L2101-I2101*K2101</f>
        <v>174</v>
      </c>
      <c r="N2101" s="57" t="n">
        <f aca="false">IF(COUNTIFS(E$2:E2101,E2101,C$2:C2101,C2101)=1,1,0)</f>
        <v>1</v>
      </c>
      <c r="O2101" s="57" t="n">
        <f aca="false">IF(COUNTIFS(E$2:E2101,E2101,C$2:C2101,C2101,D$2:D2101,D2101)=1,1,0)</f>
        <v>1</v>
      </c>
      <c r="P2101" s="57" t="n">
        <f aca="false">IF(AND(C2101=Calc!$C$3,OR(Calc!$C$4=0,D2101=Calc!$C$4)),ROW(),0)</f>
        <v>2101</v>
      </c>
    </row>
    <row r="2102" customFormat="false" ht="15" hidden="false" customHeight="false" outlineLevel="0" collapsed="false">
      <c r="A2102" s="57" t="s">
        <v>2656</v>
      </c>
      <c r="B2102" s="58" t="n">
        <v>45861</v>
      </c>
      <c r="C2102" s="57" t="n">
        <f aca="false">YEAR(B2102)</f>
        <v>2025</v>
      </c>
      <c r="D2102" s="57" t="n">
        <f aca="false">MONTH(B2102)</f>
        <v>7</v>
      </c>
      <c r="E2102" s="57" t="s">
        <v>1491</v>
      </c>
      <c r="F2102" s="57" t="s">
        <v>69</v>
      </c>
      <c r="G2102" s="57" t="s">
        <v>45</v>
      </c>
      <c r="H2102" s="57" t="s">
        <v>44</v>
      </c>
      <c r="I2102" s="59" t="n">
        <v>1</v>
      </c>
      <c r="J2102" s="60" t="n">
        <v>119</v>
      </c>
      <c r="K2102" s="60" t="n">
        <v>63</v>
      </c>
      <c r="L2102" s="61" t="n">
        <f aca="false">I2102*J2102</f>
        <v>119</v>
      </c>
      <c r="M2102" s="61" t="n">
        <f aca="false">L2102-I2102*K2102</f>
        <v>56</v>
      </c>
      <c r="N2102" s="57" t="n">
        <f aca="false">IF(COUNTIFS(E$2:E2102,E2102,C$2:C2102,C2102)=1,1,0)</f>
        <v>0</v>
      </c>
      <c r="O2102" s="57" t="n">
        <f aca="false">IF(COUNTIFS(E$2:E2102,E2102,C$2:C2102,C2102,D$2:D2102,D2102)=1,1,0)</f>
        <v>1</v>
      </c>
      <c r="P2102" s="57" t="n">
        <f aca="false">IF(AND(C2102=Calc!$C$3,OR(Calc!$C$4=0,D2102=Calc!$C$4)),ROW(),0)</f>
        <v>2102</v>
      </c>
    </row>
    <row r="2103" customFormat="false" ht="15" hidden="false" customHeight="false" outlineLevel="0" collapsed="false">
      <c r="A2103" s="57" t="s">
        <v>2657</v>
      </c>
      <c r="B2103" s="58" t="n">
        <v>45862</v>
      </c>
      <c r="C2103" s="57" t="n">
        <f aca="false">YEAR(B2103)</f>
        <v>2025</v>
      </c>
      <c r="D2103" s="57" t="n">
        <f aca="false">MONTH(B2103)</f>
        <v>7</v>
      </c>
      <c r="E2103" s="57" t="s">
        <v>179</v>
      </c>
      <c r="F2103" s="57" t="s">
        <v>78</v>
      </c>
      <c r="G2103" s="57" t="s">
        <v>35</v>
      </c>
      <c r="H2103" s="57" t="s">
        <v>36</v>
      </c>
      <c r="I2103" s="59" t="n">
        <v>1</v>
      </c>
      <c r="J2103" s="60" t="n">
        <v>179</v>
      </c>
      <c r="K2103" s="60" t="n">
        <v>92</v>
      </c>
      <c r="L2103" s="61" t="n">
        <f aca="false">I2103*J2103</f>
        <v>179</v>
      </c>
      <c r="M2103" s="61" t="n">
        <f aca="false">L2103-I2103*K2103</f>
        <v>87</v>
      </c>
      <c r="N2103" s="57" t="n">
        <f aca="false">IF(COUNTIFS(E$2:E2103,E2103,C$2:C2103,C2103)=1,1,0)</f>
        <v>1</v>
      </c>
      <c r="O2103" s="57" t="n">
        <f aca="false">IF(COUNTIFS(E$2:E2103,E2103,C$2:C2103,C2103,D$2:D2103,D2103)=1,1,0)</f>
        <v>1</v>
      </c>
      <c r="P2103" s="57" t="n">
        <f aca="false">IF(AND(C2103=Calc!$C$3,OR(Calc!$C$4=0,D2103=Calc!$C$4)),ROW(),0)</f>
        <v>2103</v>
      </c>
    </row>
    <row r="2104" customFormat="false" ht="15" hidden="false" customHeight="false" outlineLevel="0" collapsed="false">
      <c r="A2104" s="57" t="s">
        <v>2658</v>
      </c>
      <c r="B2104" s="58" t="n">
        <v>45862</v>
      </c>
      <c r="C2104" s="57" t="n">
        <f aca="false">YEAR(B2104)</f>
        <v>2025</v>
      </c>
      <c r="D2104" s="57" t="n">
        <f aca="false">MONTH(B2104)</f>
        <v>7</v>
      </c>
      <c r="E2104" s="57" t="s">
        <v>231</v>
      </c>
      <c r="F2104" s="57" t="s">
        <v>72</v>
      </c>
      <c r="G2104" s="57" t="s">
        <v>40</v>
      </c>
      <c r="H2104" s="57" t="s">
        <v>43</v>
      </c>
      <c r="I2104" s="59" t="n">
        <v>2</v>
      </c>
      <c r="J2104" s="60" t="n">
        <v>29</v>
      </c>
      <c r="K2104" s="60" t="n">
        <v>9</v>
      </c>
      <c r="L2104" s="61" t="n">
        <f aca="false">I2104*J2104</f>
        <v>58</v>
      </c>
      <c r="M2104" s="61" t="n">
        <f aca="false">L2104-I2104*K2104</f>
        <v>40</v>
      </c>
      <c r="N2104" s="57" t="n">
        <f aca="false">IF(COUNTIFS(E$2:E2104,E2104,C$2:C2104,C2104)=1,1,0)</f>
        <v>1</v>
      </c>
      <c r="O2104" s="57" t="n">
        <f aca="false">IF(COUNTIFS(E$2:E2104,E2104,C$2:C2104,C2104,D$2:D2104,D2104)=1,1,0)</f>
        <v>1</v>
      </c>
      <c r="P2104" s="57" t="n">
        <f aca="false">IF(AND(C2104=Calc!$C$3,OR(Calc!$C$4=0,D2104=Calc!$C$4)),ROW(),0)</f>
        <v>2104</v>
      </c>
    </row>
    <row r="2105" customFormat="false" ht="15" hidden="false" customHeight="false" outlineLevel="0" collapsed="false">
      <c r="A2105" s="57" t="s">
        <v>2659</v>
      </c>
      <c r="B2105" s="58" t="n">
        <v>45862</v>
      </c>
      <c r="C2105" s="57" t="n">
        <f aca="false">YEAR(B2105)</f>
        <v>2025</v>
      </c>
      <c r="D2105" s="57" t="n">
        <f aca="false">MONTH(B2105)</f>
        <v>7</v>
      </c>
      <c r="E2105" s="57" t="s">
        <v>1014</v>
      </c>
      <c r="F2105" s="57" t="s">
        <v>69</v>
      </c>
      <c r="G2105" s="57" t="s">
        <v>40</v>
      </c>
      <c r="H2105" s="57" t="s">
        <v>39</v>
      </c>
      <c r="I2105" s="59" t="n">
        <v>1</v>
      </c>
      <c r="J2105" s="60" t="n">
        <v>54</v>
      </c>
      <c r="K2105" s="60" t="n">
        <v>19</v>
      </c>
      <c r="L2105" s="61" t="n">
        <f aca="false">I2105*J2105</f>
        <v>54</v>
      </c>
      <c r="M2105" s="61" t="n">
        <f aca="false">L2105-I2105*K2105</f>
        <v>35</v>
      </c>
      <c r="N2105" s="57" t="n">
        <f aca="false">IF(COUNTIFS(E$2:E2105,E2105,C$2:C2105,C2105)=1,1,0)</f>
        <v>0</v>
      </c>
      <c r="O2105" s="57" t="n">
        <f aca="false">IF(COUNTIFS(E$2:E2105,E2105,C$2:C2105,C2105,D$2:D2105,D2105)=1,1,0)</f>
        <v>0</v>
      </c>
      <c r="P2105" s="57" t="n">
        <f aca="false">IF(AND(C2105=Calc!$C$3,OR(Calc!$C$4=0,D2105=Calc!$C$4)),ROW(),0)</f>
        <v>2105</v>
      </c>
    </row>
    <row r="2106" customFormat="false" ht="15" hidden="false" customHeight="false" outlineLevel="0" collapsed="false">
      <c r="A2106" s="57" t="s">
        <v>2660</v>
      </c>
      <c r="B2106" s="58" t="n">
        <v>45862</v>
      </c>
      <c r="C2106" s="57" t="n">
        <f aca="false">YEAR(B2106)</f>
        <v>2025</v>
      </c>
      <c r="D2106" s="57" t="n">
        <f aca="false">MONTH(B2106)</f>
        <v>7</v>
      </c>
      <c r="E2106" s="57" t="s">
        <v>386</v>
      </c>
      <c r="F2106" s="57" t="s">
        <v>78</v>
      </c>
      <c r="G2106" s="57" t="s">
        <v>45</v>
      </c>
      <c r="H2106" s="57" t="s">
        <v>46</v>
      </c>
      <c r="I2106" s="59" t="n">
        <v>1</v>
      </c>
      <c r="J2106" s="60" t="n">
        <v>149</v>
      </c>
      <c r="K2106" s="60" t="n">
        <v>71</v>
      </c>
      <c r="L2106" s="61" t="n">
        <f aca="false">I2106*J2106</f>
        <v>149</v>
      </c>
      <c r="M2106" s="61" t="n">
        <f aca="false">L2106-I2106*K2106</f>
        <v>78</v>
      </c>
      <c r="N2106" s="57" t="n">
        <f aca="false">IF(COUNTIFS(E$2:E2106,E2106,C$2:C2106,C2106)=1,1,0)</f>
        <v>0</v>
      </c>
      <c r="O2106" s="57" t="n">
        <f aca="false">IF(COUNTIFS(E$2:E2106,E2106,C$2:C2106,C2106,D$2:D2106,D2106)=1,1,0)</f>
        <v>1</v>
      </c>
      <c r="P2106" s="57" t="n">
        <f aca="false">IF(AND(C2106=Calc!$C$3,OR(Calc!$C$4=0,D2106=Calc!$C$4)),ROW(),0)</f>
        <v>2106</v>
      </c>
    </row>
    <row r="2107" customFormat="false" ht="15" hidden="false" customHeight="false" outlineLevel="0" collapsed="false">
      <c r="A2107" s="57" t="s">
        <v>2661</v>
      </c>
      <c r="B2107" s="58" t="n">
        <v>45863</v>
      </c>
      <c r="C2107" s="57" t="n">
        <f aca="false">YEAR(B2107)</f>
        <v>2025</v>
      </c>
      <c r="D2107" s="57" t="n">
        <f aca="false">MONTH(B2107)</f>
        <v>7</v>
      </c>
      <c r="E2107" s="57" t="s">
        <v>140</v>
      </c>
      <c r="F2107" s="57" t="s">
        <v>75</v>
      </c>
      <c r="G2107" s="57" t="s">
        <v>45</v>
      </c>
      <c r="H2107" s="57" t="s">
        <v>48</v>
      </c>
      <c r="I2107" s="59" t="n">
        <v>1</v>
      </c>
      <c r="J2107" s="60" t="n">
        <v>99</v>
      </c>
      <c r="K2107" s="60" t="n">
        <v>38</v>
      </c>
      <c r="L2107" s="61" t="n">
        <f aca="false">I2107*J2107</f>
        <v>99</v>
      </c>
      <c r="M2107" s="61" t="n">
        <f aca="false">L2107-I2107*K2107</f>
        <v>61</v>
      </c>
      <c r="N2107" s="57" t="n">
        <f aca="false">IF(COUNTIFS(E$2:E2107,E2107,C$2:C2107,C2107)=1,1,0)</f>
        <v>0</v>
      </c>
      <c r="O2107" s="57" t="n">
        <f aca="false">IF(COUNTIFS(E$2:E2107,E2107,C$2:C2107,C2107,D$2:D2107,D2107)=1,1,0)</f>
        <v>0</v>
      </c>
      <c r="P2107" s="57" t="n">
        <f aca="false">IF(AND(C2107=Calc!$C$3,OR(Calc!$C$4=0,D2107=Calc!$C$4)),ROW(),0)</f>
        <v>2107</v>
      </c>
    </row>
    <row r="2108" customFormat="false" ht="15" hidden="false" customHeight="false" outlineLevel="0" collapsed="false">
      <c r="A2108" s="57" t="s">
        <v>2662</v>
      </c>
      <c r="B2108" s="58" t="n">
        <v>45863</v>
      </c>
      <c r="C2108" s="57" t="n">
        <f aca="false">YEAR(B2108)</f>
        <v>2025</v>
      </c>
      <c r="D2108" s="57" t="n">
        <f aca="false">MONTH(B2108)</f>
        <v>7</v>
      </c>
      <c r="E2108" s="57" t="s">
        <v>120</v>
      </c>
      <c r="F2108" s="57" t="s">
        <v>78</v>
      </c>
      <c r="G2108" s="57" t="s">
        <v>35</v>
      </c>
      <c r="H2108" s="57" t="s">
        <v>37</v>
      </c>
      <c r="I2108" s="59" t="n">
        <v>2</v>
      </c>
      <c r="J2108" s="60" t="n">
        <v>59</v>
      </c>
      <c r="K2108" s="60" t="n">
        <v>27</v>
      </c>
      <c r="L2108" s="61" t="n">
        <f aca="false">I2108*J2108</f>
        <v>118</v>
      </c>
      <c r="M2108" s="61" t="n">
        <f aca="false">L2108-I2108*K2108</f>
        <v>64</v>
      </c>
      <c r="N2108" s="57" t="n">
        <f aca="false">IF(COUNTIFS(E$2:E2108,E2108,C$2:C2108,C2108)=1,1,0)</f>
        <v>1</v>
      </c>
      <c r="O2108" s="57" t="n">
        <f aca="false">IF(COUNTIFS(E$2:E2108,E2108,C$2:C2108,C2108,D$2:D2108,D2108)=1,1,0)</f>
        <v>1</v>
      </c>
      <c r="P2108" s="57" t="n">
        <f aca="false">IF(AND(C2108=Calc!$C$3,OR(Calc!$C$4=0,D2108=Calc!$C$4)),ROW(),0)</f>
        <v>2108</v>
      </c>
    </row>
    <row r="2109" customFormat="false" ht="15" hidden="false" customHeight="false" outlineLevel="0" collapsed="false">
      <c r="A2109" s="57" t="s">
        <v>2663</v>
      </c>
      <c r="B2109" s="58" t="n">
        <v>45863</v>
      </c>
      <c r="C2109" s="57" t="n">
        <f aca="false">YEAR(B2109)</f>
        <v>2025</v>
      </c>
      <c r="D2109" s="57" t="n">
        <f aca="false">MONTH(B2109)</f>
        <v>7</v>
      </c>
      <c r="E2109" s="57" t="s">
        <v>302</v>
      </c>
      <c r="F2109" s="57" t="s">
        <v>81</v>
      </c>
      <c r="G2109" s="57" t="s">
        <v>50</v>
      </c>
      <c r="H2109" s="57" t="s">
        <v>51</v>
      </c>
      <c r="I2109" s="59" t="n">
        <v>1</v>
      </c>
      <c r="J2109" s="60" t="n">
        <v>69</v>
      </c>
      <c r="K2109" s="60" t="n">
        <v>29</v>
      </c>
      <c r="L2109" s="61" t="n">
        <f aca="false">I2109*J2109</f>
        <v>69</v>
      </c>
      <c r="M2109" s="61" t="n">
        <f aca="false">L2109-I2109*K2109</f>
        <v>40</v>
      </c>
      <c r="N2109" s="57" t="n">
        <f aca="false">IF(COUNTIFS(E$2:E2109,E2109,C$2:C2109,C2109)=1,1,0)</f>
        <v>0</v>
      </c>
      <c r="O2109" s="57" t="n">
        <f aca="false">IF(COUNTIFS(E$2:E2109,E2109,C$2:C2109,C2109,D$2:D2109,D2109)=1,1,0)</f>
        <v>1</v>
      </c>
      <c r="P2109" s="57" t="n">
        <f aca="false">IF(AND(C2109=Calc!$C$3,OR(Calc!$C$4=0,D2109=Calc!$C$4)),ROW(),0)</f>
        <v>2109</v>
      </c>
    </row>
    <row r="2110" customFormat="false" ht="15" hidden="false" customHeight="false" outlineLevel="0" collapsed="false">
      <c r="A2110" s="57" t="s">
        <v>2664</v>
      </c>
      <c r="B2110" s="58" t="n">
        <v>45864</v>
      </c>
      <c r="C2110" s="57" t="n">
        <f aca="false">YEAR(B2110)</f>
        <v>2025</v>
      </c>
      <c r="D2110" s="57" t="n">
        <f aca="false">MONTH(B2110)</f>
        <v>7</v>
      </c>
      <c r="E2110" s="57" t="s">
        <v>1940</v>
      </c>
      <c r="F2110" s="57" t="s">
        <v>75</v>
      </c>
      <c r="G2110" s="57" t="s">
        <v>35</v>
      </c>
      <c r="H2110" s="57" t="s">
        <v>37</v>
      </c>
      <c r="I2110" s="59" t="n">
        <v>1</v>
      </c>
      <c r="J2110" s="60" t="n">
        <v>59</v>
      </c>
      <c r="K2110" s="60" t="n">
        <v>27</v>
      </c>
      <c r="L2110" s="61" t="n">
        <f aca="false">I2110*J2110</f>
        <v>59</v>
      </c>
      <c r="M2110" s="61" t="n">
        <f aca="false">L2110-I2110*K2110</f>
        <v>32</v>
      </c>
      <c r="N2110" s="57" t="n">
        <f aca="false">IF(COUNTIFS(E$2:E2110,E2110,C$2:C2110,C2110)=1,1,0)</f>
        <v>0</v>
      </c>
      <c r="O2110" s="57" t="n">
        <f aca="false">IF(COUNTIFS(E$2:E2110,E2110,C$2:C2110,C2110,D$2:D2110,D2110)=1,1,0)</f>
        <v>1</v>
      </c>
      <c r="P2110" s="57" t="n">
        <f aca="false">IF(AND(C2110=Calc!$C$3,OR(Calc!$C$4=0,D2110=Calc!$C$4)),ROW(),0)</f>
        <v>2110</v>
      </c>
    </row>
    <row r="2111" customFormat="false" ht="15" hidden="false" customHeight="false" outlineLevel="0" collapsed="false">
      <c r="A2111" s="57" t="s">
        <v>2665</v>
      </c>
      <c r="B2111" s="58" t="n">
        <v>45864</v>
      </c>
      <c r="C2111" s="57" t="n">
        <f aca="false">YEAR(B2111)</f>
        <v>2025</v>
      </c>
      <c r="D2111" s="57" t="n">
        <f aca="false">MONTH(B2111)</f>
        <v>7</v>
      </c>
      <c r="E2111" s="57" t="s">
        <v>409</v>
      </c>
      <c r="F2111" s="57" t="s">
        <v>75</v>
      </c>
      <c r="G2111" s="57" t="s">
        <v>40</v>
      </c>
      <c r="H2111" s="57" t="s">
        <v>43</v>
      </c>
      <c r="I2111" s="59" t="n">
        <v>2</v>
      </c>
      <c r="J2111" s="60" t="n">
        <v>29</v>
      </c>
      <c r="K2111" s="60" t="n">
        <v>9</v>
      </c>
      <c r="L2111" s="61" t="n">
        <f aca="false">I2111*J2111</f>
        <v>58</v>
      </c>
      <c r="M2111" s="61" t="n">
        <f aca="false">L2111-I2111*K2111</f>
        <v>40</v>
      </c>
      <c r="N2111" s="57" t="n">
        <f aca="false">IF(COUNTIFS(E$2:E2111,E2111,C$2:C2111,C2111)=1,1,0)</f>
        <v>0</v>
      </c>
      <c r="O2111" s="57" t="n">
        <f aca="false">IF(COUNTIFS(E$2:E2111,E2111,C$2:C2111,C2111,D$2:D2111,D2111)=1,1,0)</f>
        <v>1</v>
      </c>
      <c r="P2111" s="57" t="n">
        <f aca="false">IF(AND(C2111=Calc!$C$3,OR(Calc!$C$4=0,D2111=Calc!$C$4)),ROW(),0)</f>
        <v>2111</v>
      </c>
    </row>
    <row r="2112" customFormat="false" ht="15" hidden="false" customHeight="false" outlineLevel="0" collapsed="false">
      <c r="A2112" s="57" t="s">
        <v>2666</v>
      </c>
      <c r="B2112" s="58" t="n">
        <v>45864</v>
      </c>
      <c r="C2112" s="57" t="n">
        <f aca="false">YEAR(B2112)</f>
        <v>2025</v>
      </c>
      <c r="D2112" s="57" t="n">
        <f aca="false">MONTH(B2112)</f>
        <v>7</v>
      </c>
      <c r="E2112" s="57" t="s">
        <v>1046</v>
      </c>
      <c r="F2112" s="57" t="s">
        <v>69</v>
      </c>
      <c r="G2112" s="57" t="s">
        <v>50</v>
      </c>
      <c r="H2112" s="57" t="s">
        <v>49</v>
      </c>
      <c r="I2112" s="59" t="n">
        <v>1</v>
      </c>
      <c r="J2112" s="60" t="n">
        <v>32</v>
      </c>
      <c r="K2112" s="60" t="n">
        <v>7</v>
      </c>
      <c r="L2112" s="61" t="n">
        <f aca="false">I2112*J2112</f>
        <v>32</v>
      </c>
      <c r="M2112" s="61" t="n">
        <f aca="false">L2112-I2112*K2112</f>
        <v>25</v>
      </c>
      <c r="N2112" s="57" t="n">
        <f aca="false">IF(COUNTIFS(E$2:E2112,E2112,C$2:C2112,C2112)=1,1,0)</f>
        <v>0</v>
      </c>
      <c r="O2112" s="57" t="n">
        <f aca="false">IF(COUNTIFS(E$2:E2112,E2112,C$2:C2112,C2112,D$2:D2112,D2112)=1,1,0)</f>
        <v>0</v>
      </c>
      <c r="P2112" s="57" t="n">
        <f aca="false">IF(AND(C2112=Calc!$C$3,OR(Calc!$C$4=0,D2112=Calc!$C$4)),ROW(),0)</f>
        <v>2112</v>
      </c>
    </row>
    <row r="2113" customFormat="false" ht="15" hidden="false" customHeight="false" outlineLevel="0" collapsed="false">
      <c r="A2113" s="57" t="s">
        <v>2667</v>
      </c>
      <c r="B2113" s="58" t="n">
        <v>45864</v>
      </c>
      <c r="C2113" s="57" t="n">
        <f aca="false">YEAR(B2113)</f>
        <v>2025</v>
      </c>
      <c r="D2113" s="57" t="n">
        <f aca="false">MONTH(B2113)</f>
        <v>7</v>
      </c>
      <c r="E2113" s="57" t="s">
        <v>537</v>
      </c>
      <c r="F2113" s="57" t="s">
        <v>75</v>
      </c>
      <c r="G2113" s="57" t="s">
        <v>40</v>
      </c>
      <c r="H2113" s="57" t="s">
        <v>41</v>
      </c>
      <c r="I2113" s="59" t="n">
        <v>1</v>
      </c>
      <c r="J2113" s="60" t="n">
        <v>46</v>
      </c>
      <c r="K2113" s="60" t="n">
        <v>16</v>
      </c>
      <c r="L2113" s="61" t="n">
        <f aca="false">I2113*J2113</f>
        <v>46</v>
      </c>
      <c r="M2113" s="61" t="n">
        <f aca="false">L2113-I2113*K2113</f>
        <v>30</v>
      </c>
      <c r="N2113" s="57" t="n">
        <f aca="false">IF(COUNTIFS(E$2:E2113,E2113,C$2:C2113,C2113)=1,1,0)</f>
        <v>0</v>
      </c>
      <c r="O2113" s="57" t="n">
        <f aca="false">IF(COUNTIFS(E$2:E2113,E2113,C$2:C2113,C2113,D$2:D2113,D2113)=1,1,0)</f>
        <v>1</v>
      </c>
      <c r="P2113" s="57" t="n">
        <f aca="false">IF(AND(C2113=Calc!$C$3,OR(Calc!$C$4=0,D2113=Calc!$C$4)),ROW(),0)</f>
        <v>2113</v>
      </c>
    </row>
    <row r="2114" customFormat="false" ht="15" hidden="false" customHeight="false" outlineLevel="0" collapsed="false">
      <c r="A2114" s="57" t="s">
        <v>2668</v>
      </c>
      <c r="B2114" s="58" t="n">
        <v>45865</v>
      </c>
      <c r="C2114" s="57" t="n">
        <f aca="false">YEAR(B2114)</f>
        <v>2025</v>
      </c>
      <c r="D2114" s="57" t="n">
        <f aca="false">MONTH(B2114)</f>
        <v>7</v>
      </c>
      <c r="E2114" s="57" t="s">
        <v>140</v>
      </c>
      <c r="F2114" s="57" t="s">
        <v>75</v>
      </c>
      <c r="G2114" s="57" t="s">
        <v>35</v>
      </c>
      <c r="H2114" s="57" t="s">
        <v>38</v>
      </c>
      <c r="I2114" s="59" t="n">
        <v>1</v>
      </c>
      <c r="J2114" s="60" t="n">
        <v>49</v>
      </c>
      <c r="K2114" s="60" t="n">
        <v>22</v>
      </c>
      <c r="L2114" s="61" t="n">
        <f aca="false">I2114*J2114</f>
        <v>49</v>
      </c>
      <c r="M2114" s="61" t="n">
        <f aca="false">L2114-I2114*K2114</f>
        <v>27</v>
      </c>
      <c r="N2114" s="57" t="n">
        <f aca="false">IF(COUNTIFS(E$2:E2114,E2114,C$2:C2114,C2114)=1,1,0)</f>
        <v>0</v>
      </c>
      <c r="O2114" s="57" t="n">
        <f aca="false">IF(COUNTIFS(E$2:E2114,E2114,C$2:C2114,C2114,D$2:D2114,D2114)=1,1,0)</f>
        <v>0</v>
      </c>
      <c r="P2114" s="57" t="n">
        <f aca="false">IF(AND(C2114=Calc!$C$3,OR(Calc!$C$4=0,D2114=Calc!$C$4)),ROW(),0)</f>
        <v>2114</v>
      </c>
    </row>
    <row r="2115" customFormat="false" ht="15" hidden="false" customHeight="false" outlineLevel="0" collapsed="false">
      <c r="A2115" s="57" t="s">
        <v>2669</v>
      </c>
      <c r="B2115" s="58" t="n">
        <v>45865</v>
      </c>
      <c r="C2115" s="57" t="n">
        <f aca="false">YEAR(B2115)</f>
        <v>2025</v>
      </c>
      <c r="D2115" s="57" t="n">
        <f aca="false">MONTH(B2115)</f>
        <v>7</v>
      </c>
      <c r="E2115" s="57" t="s">
        <v>1854</v>
      </c>
      <c r="F2115" s="57" t="s">
        <v>69</v>
      </c>
      <c r="G2115" s="57" t="s">
        <v>45</v>
      </c>
      <c r="H2115" s="57" t="s">
        <v>47</v>
      </c>
      <c r="I2115" s="59" t="n">
        <v>1</v>
      </c>
      <c r="J2115" s="60" t="n">
        <v>34</v>
      </c>
      <c r="K2115" s="60" t="n">
        <v>12</v>
      </c>
      <c r="L2115" s="61" t="n">
        <f aca="false">I2115*J2115</f>
        <v>34</v>
      </c>
      <c r="M2115" s="61" t="n">
        <f aca="false">L2115-I2115*K2115</f>
        <v>22</v>
      </c>
      <c r="N2115" s="57" t="n">
        <f aca="false">IF(COUNTIFS(E$2:E2115,E2115,C$2:C2115,C2115)=1,1,0)</f>
        <v>0</v>
      </c>
      <c r="O2115" s="57" t="n">
        <f aca="false">IF(COUNTIFS(E$2:E2115,E2115,C$2:C2115,C2115,D$2:D2115,D2115)=1,1,0)</f>
        <v>1</v>
      </c>
      <c r="P2115" s="57" t="n">
        <f aca="false">IF(AND(C2115=Calc!$C$3,OR(Calc!$C$4=0,D2115=Calc!$C$4)),ROW(),0)</f>
        <v>2115</v>
      </c>
    </row>
    <row r="2116" customFormat="false" ht="15" hidden="false" customHeight="false" outlineLevel="0" collapsed="false">
      <c r="A2116" s="57" t="s">
        <v>2670</v>
      </c>
      <c r="B2116" s="58" t="n">
        <v>45865</v>
      </c>
      <c r="C2116" s="57" t="n">
        <f aca="false">YEAR(B2116)</f>
        <v>2025</v>
      </c>
      <c r="D2116" s="57" t="n">
        <f aca="false">MONTH(B2116)</f>
        <v>7</v>
      </c>
      <c r="E2116" s="57" t="s">
        <v>168</v>
      </c>
      <c r="F2116" s="57" t="s">
        <v>81</v>
      </c>
      <c r="G2116" s="57" t="s">
        <v>40</v>
      </c>
      <c r="H2116" s="57" t="s">
        <v>42</v>
      </c>
      <c r="I2116" s="59" t="n">
        <v>1</v>
      </c>
      <c r="J2116" s="60" t="n">
        <v>79</v>
      </c>
      <c r="K2116" s="60" t="n">
        <v>31</v>
      </c>
      <c r="L2116" s="61" t="n">
        <f aca="false">I2116*J2116</f>
        <v>79</v>
      </c>
      <c r="M2116" s="61" t="n">
        <f aca="false">L2116-I2116*K2116</f>
        <v>48</v>
      </c>
      <c r="N2116" s="57" t="n">
        <f aca="false">IF(COUNTIFS(E$2:E2116,E2116,C$2:C2116,C2116)=1,1,0)</f>
        <v>0</v>
      </c>
      <c r="O2116" s="57" t="n">
        <f aca="false">IF(COUNTIFS(E$2:E2116,E2116,C$2:C2116,C2116,D$2:D2116,D2116)=1,1,0)</f>
        <v>0</v>
      </c>
      <c r="P2116" s="57" t="n">
        <f aca="false">IF(AND(C2116=Calc!$C$3,OR(Calc!$C$4=0,D2116=Calc!$C$4)),ROW(),0)</f>
        <v>2116</v>
      </c>
    </row>
    <row r="2117" customFormat="false" ht="15" hidden="false" customHeight="false" outlineLevel="0" collapsed="false">
      <c r="A2117" s="57" t="s">
        <v>2671</v>
      </c>
      <c r="B2117" s="58" t="n">
        <v>45865</v>
      </c>
      <c r="C2117" s="57" t="n">
        <f aca="false">YEAR(B2117)</f>
        <v>2025</v>
      </c>
      <c r="D2117" s="57" t="n">
        <f aca="false">MONTH(B2117)</f>
        <v>7</v>
      </c>
      <c r="E2117" s="57" t="s">
        <v>1728</v>
      </c>
      <c r="F2117" s="57" t="s">
        <v>75</v>
      </c>
      <c r="G2117" s="57" t="s">
        <v>45</v>
      </c>
      <c r="H2117" s="57" t="s">
        <v>48</v>
      </c>
      <c r="I2117" s="59" t="n">
        <v>1</v>
      </c>
      <c r="J2117" s="60" t="n">
        <v>99</v>
      </c>
      <c r="K2117" s="60" t="n">
        <v>38</v>
      </c>
      <c r="L2117" s="61" t="n">
        <f aca="false">I2117*J2117</f>
        <v>99</v>
      </c>
      <c r="M2117" s="61" t="n">
        <f aca="false">L2117-I2117*K2117</f>
        <v>61</v>
      </c>
      <c r="N2117" s="57" t="n">
        <f aca="false">IF(COUNTIFS(E$2:E2117,E2117,C$2:C2117,C2117)=1,1,0)</f>
        <v>0</v>
      </c>
      <c r="O2117" s="57" t="n">
        <f aca="false">IF(COUNTIFS(E$2:E2117,E2117,C$2:C2117,C2117,D$2:D2117,D2117)=1,1,0)</f>
        <v>1</v>
      </c>
      <c r="P2117" s="57" t="n">
        <f aca="false">IF(AND(C2117=Calc!$C$3,OR(Calc!$C$4=0,D2117=Calc!$C$4)),ROW(),0)</f>
        <v>2117</v>
      </c>
    </row>
    <row r="2118" customFormat="false" ht="15" hidden="false" customHeight="false" outlineLevel="0" collapsed="false">
      <c r="A2118" s="57" t="s">
        <v>2672</v>
      </c>
      <c r="B2118" s="58" t="n">
        <v>45865</v>
      </c>
      <c r="C2118" s="57" t="n">
        <f aca="false">YEAR(B2118)</f>
        <v>2025</v>
      </c>
      <c r="D2118" s="57" t="n">
        <f aca="false">MONTH(B2118)</f>
        <v>7</v>
      </c>
      <c r="E2118" s="57" t="s">
        <v>2501</v>
      </c>
      <c r="F2118" s="57" t="s">
        <v>75</v>
      </c>
      <c r="G2118" s="57" t="s">
        <v>45</v>
      </c>
      <c r="H2118" s="57" t="s">
        <v>48</v>
      </c>
      <c r="I2118" s="59" t="n">
        <v>1</v>
      </c>
      <c r="J2118" s="60" t="n">
        <v>99</v>
      </c>
      <c r="K2118" s="60" t="n">
        <v>38</v>
      </c>
      <c r="L2118" s="61" t="n">
        <f aca="false">I2118*J2118</f>
        <v>99</v>
      </c>
      <c r="M2118" s="61" t="n">
        <f aca="false">L2118-I2118*K2118</f>
        <v>61</v>
      </c>
      <c r="N2118" s="57" t="n">
        <f aca="false">IF(COUNTIFS(E$2:E2118,E2118,C$2:C2118,C2118)=1,1,0)</f>
        <v>0</v>
      </c>
      <c r="O2118" s="57" t="n">
        <f aca="false">IF(COUNTIFS(E$2:E2118,E2118,C$2:C2118,C2118,D$2:D2118,D2118)=1,1,0)</f>
        <v>1</v>
      </c>
      <c r="P2118" s="57" t="n">
        <f aca="false">IF(AND(C2118=Calc!$C$3,OR(Calc!$C$4=0,D2118=Calc!$C$4)),ROW(),0)</f>
        <v>2118</v>
      </c>
    </row>
    <row r="2119" customFormat="false" ht="15" hidden="false" customHeight="false" outlineLevel="0" collapsed="false">
      <c r="A2119" s="57" t="s">
        <v>2673</v>
      </c>
      <c r="B2119" s="58" t="n">
        <v>45866</v>
      </c>
      <c r="C2119" s="57" t="n">
        <f aca="false">YEAR(B2119)</f>
        <v>2025</v>
      </c>
      <c r="D2119" s="57" t="n">
        <f aca="false">MONTH(B2119)</f>
        <v>7</v>
      </c>
      <c r="E2119" s="57" t="s">
        <v>68</v>
      </c>
      <c r="F2119" s="57" t="s">
        <v>69</v>
      </c>
      <c r="G2119" s="57" t="s">
        <v>35</v>
      </c>
      <c r="H2119" s="57" t="s">
        <v>36</v>
      </c>
      <c r="I2119" s="59" t="n">
        <v>2</v>
      </c>
      <c r="J2119" s="60" t="n">
        <v>179</v>
      </c>
      <c r="K2119" s="60" t="n">
        <v>92</v>
      </c>
      <c r="L2119" s="61" t="n">
        <f aca="false">I2119*J2119</f>
        <v>358</v>
      </c>
      <c r="M2119" s="61" t="n">
        <f aca="false">L2119-I2119*K2119</f>
        <v>174</v>
      </c>
      <c r="N2119" s="57" t="n">
        <f aca="false">IF(COUNTIFS(E$2:E2119,E2119,C$2:C2119,C2119)=1,1,0)</f>
        <v>0</v>
      </c>
      <c r="O2119" s="57" t="n">
        <f aca="false">IF(COUNTIFS(E$2:E2119,E2119,C$2:C2119,C2119,D$2:D2119,D2119)=1,1,0)</f>
        <v>0</v>
      </c>
      <c r="P2119" s="57" t="n">
        <f aca="false">IF(AND(C2119=Calc!$C$3,OR(Calc!$C$4=0,D2119=Calc!$C$4)),ROW(),0)</f>
        <v>2119</v>
      </c>
    </row>
    <row r="2120" customFormat="false" ht="15" hidden="false" customHeight="false" outlineLevel="0" collapsed="false">
      <c r="A2120" s="57" t="s">
        <v>2674</v>
      </c>
      <c r="B2120" s="58" t="n">
        <v>45866</v>
      </c>
      <c r="C2120" s="57" t="n">
        <f aca="false">YEAR(B2120)</f>
        <v>2025</v>
      </c>
      <c r="D2120" s="57" t="n">
        <f aca="false">MONTH(B2120)</f>
        <v>7</v>
      </c>
      <c r="E2120" s="57" t="s">
        <v>646</v>
      </c>
      <c r="F2120" s="57" t="s">
        <v>81</v>
      </c>
      <c r="G2120" s="57" t="s">
        <v>54</v>
      </c>
      <c r="H2120" s="57" t="s">
        <v>53</v>
      </c>
      <c r="I2120" s="59" t="n">
        <v>1</v>
      </c>
      <c r="J2120" s="60" t="n">
        <v>39</v>
      </c>
      <c r="K2120" s="60" t="n">
        <v>13</v>
      </c>
      <c r="L2120" s="61" t="n">
        <f aca="false">I2120*J2120</f>
        <v>39</v>
      </c>
      <c r="M2120" s="61" t="n">
        <f aca="false">L2120-I2120*K2120</f>
        <v>26</v>
      </c>
      <c r="N2120" s="57" t="n">
        <f aca="false">IF(COUNTIFS(E$2:E2120,E2120,C$2:C2120,C2120)=1,1,0)</f>
        <v>1</v>
      </c>
      <c r="O2120" s="57" t="n">
        <f aca="false">IF(COUNTIFS(E$2:E2120,E2120,C$2:C2120,C2120,D$2:D2120,D2120)=1,1,0)</f>
        <v>1</v>
      </c>
      <c r="P2120" s="57" t="n">
        <f aca="false">IF(AND(C2120=Calc!$C$3,OR(Calc!$C$4=0,D2120=Calc!$C$4)),ROW(),0)</f>
        <v>2120</v>
      </c>
    </row>
    <row r="2121" customFormat="false" ht="15" hidden="false" customHeight="false" outlineLevel="0" collapsed="false">
      <c r="A2121" s="57" t="s">
        <v>2675</v>
      </c>
      <c r="B2121" s="58" t="n">
        <v>45866</v>
      </c>
      <c r="C2121" s="57" t="n">
        <f aca="false">YEAR(B2121)</f>
        <v>2025</v>
      </c>
      <c r="D2121" s="57" t="n">
        <f aca="false">MONTH(B2121)</f>
        <v>7</v>
      </c>
      <c r="E2121" s="57" t="s">
        <v>1650</v>
      </c>
      <c r="F2121" s="57" t="s">
        <v>72</v>
      </c>
      <c r="G2121" s="57" t="s">
        <v>50</v>
      </c>
      <c r="H2121" s="57" t="s">
        <v>49</v>
      </c>
      <c r="I2121" s="59" t="n">
        <v>3</v>
      </c>
      <c r="J2121" s="60" t="n">
        <v>32</v>
      </c>
      <c r="K2121" s="60" t="n">
        <v>7</v>
      </c>
      <c r="L2121" s="61" t="n">
        <f aca="false">I2121*J2121</f>
        <v>96</v>
      </c>
      <c r="M2121" s="61" t="n">
        <f aca="false">L2121-I2121*K2121</f>
        <v>75</v>
      </c>
      <c r="N2121" s="57" t="n">
        <f aca="false">IF(COUNTIFS(E$2:E2121,E2121,C$2:C2121,C2121)=1,1,0)</f>
        <v>1</v>
      </c>
      <c r="O2121" s="57" t="n">
        <f aca="false">IF(COUNTIFS(E$2:E2121,E2121,C$2:C2121,C2121,D$2:D2121,D2121)=1,1,0)</f>
        <v>1</v>
      </c>
      <c r="P2121" s="57" t="n">
        <f aca="false">IF(AND(C2121=Calc!$C$3,OR(Calc!$C$4=0,D2121=Calc!$C$4)),ROW(),0)</f>
        <v>2121</v>
      </c>
    </row>
    <row r="2122" customFormat="false" ht="15" hidden="false" customHeight="false" outlineLevel="0" collapsed="false">
      <c r="A2122" s="57" t="s">
        <v>2676</v>
      </c>
      <c r="B2122" s="58" t="n">
        <v>45866</v>
      </c>
      <c r="C2122" s="57" t="n">
        <f aca="false">YEAR(B2122)</f>
        <v>2025</v>
      </c>
      <c r="D2122" s="57" t="n">
        <f aca="false">MONTH(B2122)</f>
        <v>7</v>
      </c>
      <c r="E2122" s="57" t="s">
        <v>2677</v>
      </c>
      <c r="F2122" s="57" t="s">
        <v>75</v>
      </c>
      <c r="G2122" s="57" t="s">
        <v>35</v>
      </c>
      <c r="H2122" s="57" t="s">
        <v>38</v>
      </c>
      <c r="I2122" s="59" t="n">
        <v>1</v>
      </c>
      <c r="J2122" s="60" t="n">
        <v>49</v>
      </c>
      <c r="K2122" s="60" t="n">
        <v>22</v>
      </c>
      <c r="L2122" s="61" t="n">
        <f aca="false">I2122*J2122</f>
        <v>49</v>
      </c>
      <c r="M2122" s="61" t="n">
        <f aca="false">L2122-I2122*K2122</f>
        <v>27</v>
      </c>
      <c r="N2122" s="57" t="n">
        <f aca="false">IF(COUNTIFS(E$2:E2122,E2122,C$2:C2122,C2122)=1,1,0)</f>
        <v>1</v>
      </c>
      <c r="O2122" s="57" t="n">
        <f aca="false">IF(COUNTIFS(E$2:E2122,E2122,C$2:C2122,C2122,D$2:D2122,D2122)=1,1,0)</f>
        <v>1</v>
      </c>
      <c r="P2122" s="57" t="n">
        <f aca="false">IF(AND(C2122=Calc!$C$3,OR(Calc!$C$4=0,D2122=Calc!$C$4)),ROW(),0)</f>
        <v>2122</v>
      </c>
    </row>
    <row r="2123" customFormat="false" ht="15" hidden="false" customHeight="false" outlineLevel="0" collapsed="false">
      <c r="A2123" s="57" t="s">
        <v>2678</v>
      </c>
      <c r="B2123" s="58" t="n">
        <v>45867</v>
      </c>
      <c r="C2123" s="57" t="n">
        <f aca="false">YEAR(B2123)</f>
        <v>2025</v>
      </c>
      <c r="D2123" s="57" t="n">
        <f aca="false">MONTH(B2123)</f>
        <v>7</v>
      </c>
      <c r="E2123" s="57" t="s">
        <v>424</v>
      </c>
      <c r="F2123" s="57" t="s">
        <v>78</v>
      </c>
      <c r="G2123" s="57" t="s">
        <v>40</v>
      </c>
      <c r="H2123" s="57" t="s">
        <v>43</v>
      </c>
      <c r="I2123" s="59" t="n">
        <v>1</v>
      </c>
      <c r="J2123" s="60" t="n">
        <v>29</v>
      </c>
      <c r="K2123" s="60" t="n">
        <v>9</v>
      </c>
      <c r="L2123" s="61" t="n">
        <f aca="false">I2123*J2123</f>
        <v>29</v>
      </c>
      <c r="M2123" s="61" t="n">
        <f aca="false">L2123-I2123*K2123</f>
        <v>20</v>
      </c>
      <c r="N2123" s="57" t="n">
        <f aca="false">IF(COUNTIFS(E$2:E2123,E2123,C$2:C2123,C2123)=1,1,0)</f>
        <v>0</v>
      </c>
      <c r="O2123" s="57" t="n">
        <f aca="false">IF(COUNTIFS(E$2:E2123,E2123,C$2:C2123,C2123,D$2:D2123,D2123)=1,1,0)</f>
        <v>0</v>
      </c>
      <c r="P2123" s="57" t="n">
        <f aca="false">IF(AND(C2123=Calc!$C$3,OR(Calc!$C$4=0,D2123=Calc!$C$4)),ROW(),0)</f>
        <v>2123</v>
      </c>
    </row>
    <row r="2124" customFormat="false" ht="15" hidden="false" customHeight="false" outlineLevel="0" collapsed="false">
      <c r="A2124" s="57" t="s">
        <v>2679</v>
      </c>
      <c r="B2124" s="58" t="n">
        <v>45867</v>
      </c>
      <c r="C2124" s="57" t="n">
        <f aca="false">YEAR(B2124)</f>
        <v>2025</v>
      </c>
      <c r="D2124" s="57" t="n">
        <f aca="false">MONTH(B2124)</f>
        <v>7</v>
      </c>
      <c r="E2124" s="57" t="s">
        <v>605</v>
      </c>
      <c r="F2124" s="57" t="s">
        <v>78</v>
      </c>
      <c r="G2124" s="57" t="s">
        <v>50</v>
      </c>
      <c r="H2124" s="57" t="s">
        <v>52</v>
      </c>
      <c r="I2124" s="59" t="n">
        <v>2</v>
      </c>
      <c r="J2124" s="60" t="n">
        <v>45</v>
      </c>
      <c r="K2124" s="60" t="n">
        <v>14</v>
      </c>
      <c r="L2124" s="61" t="n">
        <f aca="false">I2124*J2124</f>
        <v>90</v>
      </c>
      <c r="M2124" s="61" t="n">
        <f aca="false">L2124-I2124*K2124</f>
        <v>62</v>
      </c>
      <c r="N2124" s="57" t="n">
        <f aca="false">IF(COUNTIFS(E$2:E2124,E2124,C$2:C2124,C2124)=1,1,0)</f>
        <v>1</v>
      </c>
      <c r="O2124" s="57" t="n">
        <f aca="false">IF(COUNTIFS(E$2:E2124,E2124,C$2:C2124,C2124,D$2:D2124,D2124)=1,1,0)</f>
        <v>1</v>
      </c>
      <c r="P2124" s="57" t="n">
        <f aca="false">IF(AND(C2124=Calc!$C$3,OR(Calc!$C$4=0,D2124=Calc!$C$4)),ROW(),0)</f>
        <v>2124</v>
      </c>
    </row>
    <row r="2125" customFormat="false" ht="15" hidden="false" customHeight="false" outlineLevel="0" collapsed="false">
      <c r="A2125" s="57" t="s">
        <v>2680</v>
      </c>
      <c r="B2125" s="58" t="n">
        <v>45867</v>
      </c>
      <c r="C2125" s="57" t="n">
        <f aca="false">YEAR(B2125)</f>
        <v>2025</v>
      </c>
      <c r="D2125" s="57" t="n">
        <f aca="false">MONTH(B2125)</f>
        <v>7</v>
      </c>
      <c r="E2125" s="57" t="s">
        <v>2089</v>
      </c>
      <c r="F2125" s="57" t="s">
        <v>69</v>
      </c>
      <c r="G2125" s="57" t="s">
        <v>40</v>
      </c>
      <c r="H2125" s="57" t="s">
        <v>39</v>
      </c>
      <c r="I2125" s="59" t="n">
        <v>1</v>
      </c>
      <c r="J2125" s="60" t="n">
        <v>54</v>
      </c>
      <c r="K2125" s="60" t="n">
        <v>19</v>
      </c>
      <c r="L2125" s="61" t="n">
        <f aca="false">I2125*J2125</f>
        <v>54</v>
      </c>
      <c r="M2125" s="61" t="n">
        <f aca="false">L2125-I2125*K2125</f>
        <v>35</v>
      </c>
      <c r="N2125" s="57" t="n">
        <f aca="false">IF(COUNTIFS(E$2:E2125,E2125,C$2:C2125,C2125)=1,1,0)</f>
        <v>0</v>
      </c>
      <c r="O2125" s="57" t="n">
        <f aca="false">IF(COUNTIFS(E$2:E2125,E2125,C$2:C2125,C2125,D$2:D2125,D2125)=1,1,0)</f>
        <v>1</v>
      </c>
      <c r="P2125" s="57" t="n">
        <f aca="false">IF(AND(C2125=Calc!$C$3,OR(Calc!$C$4=0,D2125=Calc!$C$4)),ROW(),0)</f>
        <v>2125</v>
      </c>
    </row>
    <row r="2126" customFormat="false" ht="15" hidden="false" customHeight="false" outlineLevel="0" collapsed="false">
      <c r="A2126" s="57" t="s">
        <v>2681</v>
      </c>
      <c r="B2126" s="58" t="n">
        <v>45868</v>
      </c>
      <c r="C2126" s="57" t="n">
        <f aca="false">YEAR(B2126)</f>
        <v>2025</v>
      </c>
      <c r="D2126" s="57" t="n">
        <f aca="false">MONTH(B2126)</f>
        <v>7</v>
      </c>
      <c r="E2126" s="57" t="s">
        <v>91</v>
      </c>
      <c r="F2126" s="57" t="s">
        <v>69</v>
      </c>
      <c r="G2126" s="57" t="s">
        <v>45</v>
      </c>
      <c r="H2126" s="57" t="s">
        <v>44</v>
      </c>
      <c r="I2126" s="59" t="n">
        <v>1</v>
      </c>
      <c r="J2126" s="60" t="n">
        <v>119</v>
      </c>
      <c r="K2126" s="60" t="n">
        <v>63</v>
      </c>
      <c r="L2126" s="61" t="n">
        <f aca="false">I2126*J2126</f>
        <v>119</v>
      </c>
      <c r="M2126" s="61" t="n">
        <f aca="false">L2126-I2126*K2126</f>
        <v>56</v>
      </c>
      <c r="N2126" s="57" t="n">
        <f aca="false">IF(COUNTIFS(E$2:E2126,E2126,C$2:C2126,C2126)=1,1,0)</f>
        <v>0</v>
      </c>
      <c r="O2126" s="57" t="n">
        <f aca="false">IF(COUNTIFS(E$2:E2126,E2126,C$2:C2126,C2126,D$2:D2126,D2126)=1,1,0)</f>
        <v>1</v>
      </c>
      <c r="P2126" s="57" t="n">
        <f aca="false">IF(AND(C2126=Calc!$C$3,OR(Calc!$C$4=0,D2126=Calc!$C$4)),ROW(),0)</f>
        <v>2126</v>
      </c>
    </row>
    <row r="2127" customFormat="false" ht="15" hidden="false" customHeight="false" outlineLevel="0" collapsed="false">
      <c r="A2127" s="57" t="s">
        <v>2682</v>
      </c>
      <c r="B2127" s="58" t="n">
        <v>45868</v>
      </c>
      <c r="C2127" s="57" t="n">
        <f aca="false">YEAR(B2127)</f>
        <v>2025</v>
      </c>
      <c r="D2127" s="57" t="n">
        <f aca="false">MONTH(B2127)</f>
        <v>7</v>
      </c>
      <c r="E2127" s="57" t="s">
        <v>903</v>
      </c>
      <c r="F2127" s="57" t="s">
        <v>69</v>
      </c>
      <c r="G2127" s="57" t="s">
        <v>45</v>
      </c>
      <c r="H2127" s="57" t="s">
        <v>47</v>
      </c>
      <c r="I2127" s="59" t="n">
        <v>2</v>
      </c>
      <c r="J2127" s="60" t="n">
        <v>34</v>
      </c>
      <c r="K2127" s="60" t="n">
        <v>12</v>
      </c>
      <c r="L2127" s="61" t="n">
        <f aca="false">I2127*J2127</f>
        <v>68</v>
      </c>
      <c r="M2127" s="61" t="n">
        <f aca="false">L2127-I2127*K2127</f>
        <v>44</v>
      </c>
      <c r="N2127" s="57" t="n">
        <f aca="false">IF(COUNTIFS(E$2:E2127,E2127,C$2:C2127,C2127)=1,1,0)</f>
        <v>1</v>
      </c>
      <c r="O2127" s="57" t="n">
        <f aca="false">IF(COUNTIFS(E$2:E2127,E2127,C$2:C2127,C2127,D$2:D2127,D2127)=1,1,0)</f>
        <v>1</v>
      </c>
      <c r="P2127" s="57" t="n">
        <f aca="false">IF(AND(C2127=Calc!$C$3,OR(Calc!$C$4=0,D2127=Calc!$C$4)),ROW(),0)</f>
        <v>2127</v>
      </c>
    </row>
    <row r="2128" customFormat="false" ht="15" hidden="false" customHeight="false" outlineLevel="0" collapsed="false">
      <c r="A2128" s="57" t="s">
        <v>2683</v>
      </c>
      <c r="B2128" s="58" t="n">
        <v>45868</v>
      </c>
      <c r="C2128" s="57" t="n">
        <f aca="false">YEAR(B2128)</f>
        <v>2025</v>
      </c>
      <c r="D2128" s="57" t="n">
        <f aca="false">MONTH(B2128)</f>
        <v>7</v>
      </c>
      <c r="E2128" s="57" t="s">
        <v>95</v>
      </c>
      <c r="F2128" s="57" t="s">
        <v>75</v>
      </c>
      <c r="G2128" s="57" t="s">
        <v>54</v>
      </c>
      <c r="H2128" s="57" t="s">
        <v>56</v>
      </c>
      <c r="I2128" s="59" t="n">
        <v>1</v>
      </c>
      <c r="J2128" s="60" t="n">
        <v>42</v>
      </c>
      <c r="K2128" s="60" t="n">
        <v>17</v>
      </c>
      <c r="L2128" s="61" t="n">
        <f aca="false">I2128*J2128</f>
        <v>42</v>
      </c>
      <c r="M2128" s="61" t="n">
        <f aca="false">L2128-I2128*K2128</f>
        <v>25</v>
      </c>
      <c r="N2128" s="57" t="n">
        <f aca="false">IF(COUNTIFS(E$2:E2128,E2128,C$2:C2128,C2128)=1,1,0)</f>
        <v>0</v>
      </c>
      <c r="O2128" s="57" t="n">
        <f aca="false">IF(COUNTIFS(E$2:E2128,E2128,C$2:C2128,C2128,D$2:D2128,D2128)=1,1,0)</f>
        <v>1</v>
      </c>
      <c r="P2128" s="57" t="n">
        <f aca="false">IF(AND(C2128=Calc!$C$3,OR(Calc!$C$4=0,D2128=Calc!$C$4)),ROW(),0)</f>
        <v>2128</v>
      </c>
    </row>
    <row r="2129" customFormat="false" ht="15" hidden="false" customHeight="false" outlineLevel="0" collapsed="false">
      <c r="A2129" s="57" t="s">
        <v>2684</v>
      </c>
      <c r="B2129" s="58" t="n">
        <v>45868</v>
      </c>
      <c r="C2129" s="57" t="n">
        <f aca="false">YEAR(B2129)</f>
        <v>2025</v>
      </c>
      <c r="D2129" s="57" t="n">
        <f aca="false">MONTH(B2129)</f>
        <v>7</v>
      </c>
      <c r="E2129" s="57" t="s">
        <v>978</v>
      </c>
      <c r="F2129" s="57" t="s">
        <v>75</v>
      </c>
      <c r="G2129" s="57" t="s">
        <v>45</v>
      </c>
      <c r="H2129" s="57" t="s">
        <v>47</v>
      </c>
      <c r="I2129" s="59" t="n">
        <v>2</v>
      </c>
      <c r="J2129" s="60" t="n">
        <v>34</v>
      </c>
      <c r="K2129" s="60" t="n">
        <v>12</v>
      </c>
      <c r="L2129" s="61" t="n">
        <f aca="false">I2129*J2129</f>
        <v>68</v>
      </c>
      <c r="M2129" s="61" t="n">
        <f aca="false">L2129-I2129*K2129</f>
        <v>44</v>
      </c>
      <c r="N2129" s="57" t="n">
        <f aca="false">IF(COUNTIFS(E$2:E2129,E2129,C$2:C2129,C2129)=1,1,0)</f>
        <v>1</v>
      </c>
      <c r="O2129" s="57" t="n">
        <f aca="false">IF(COUNTIFS(E$2:E2129,E2129,C$2:C2129,C2129,D$2:D2129,D2129)=1,1,0)</f>
        <v>1</v>
      </c>
      <c r="P2129" s="57" t="n">
        <f aca="false">IF(AND(C2129=Calc!$C$3,OR(Calc!$C$4=0,D2129=Calc!$C$4)),ROW(),0)</f>
        <v>2129</v>
      </c>
    </row>
    <row r="2130" customFormat="false" ht="15" hidden="false" customHeight="false" outlineLevel="0" collapsed="false">
      <c r="A2130" s="57" t="s">
        <v>2685</v>
      </c>
      <c r="B2130" s="58" t="n">
        <v>45869</v>
      </c>
      <c r="C2130" s="57" t="n">
        <f aca="false">YEAR(B2130)</f>
        <v>2025</v>
      </c>
      <c r="D2130" s="57" t="n">
        <f aca="false">MONTH(B2130)</f>
        <v>7</v>
      </c>
      <c r="E2130" s="57" t="s">
        <v>265</v>
      </c>
      <c r="F2130" s="57" t="s">
        <v>78</v>
      </c>
      <c r="G2130" s="57" t="s">
        <v>45</v>
      </c>
      <c r="H2130" s="57" t="s">
        <v>47</v>
      </c>
      <c r="I2130" s="59" t="n">
        <v>1</v>
      </c>
      <c r="J2130" s="60" t="n">
        <v>34</v>
      </c>
      <c r="K2130" s="60" t="n">
        <v>12</v>
      </c>
      <c r="L2130" s="61" t="n">
        <f aca="false">I2130*J2130</f>
        <v>34</v>
      </c>
      <c r="M2130" s="61" t="n">
        <f aca="false">L2130-I2130*K2130</f>
        <v>22</v>
      </c>
      <c r="N2130" s="57" t="n">
        <f aca="false">IF(COUNTIFS(E$2:E2130,E2130,C$2:C2130,C2130)=1,1,0)</f>
        <v>0</v>
      </c>
      <c r="O2130" s="57" t="n">
        <f aca="false">IF(COUNTIFS(E$2:E2130,E2130,C$2:C2130,C2130,D$2:D2130,D2130)=1,1,0)</f>
        <v>0</v>
      </c>
      <c r="P2130" s="57" t="n">
        <f aca="false">IF(AND(C2130=Calc!$C$3,OR(Calc!$C$4=0,D2130=Calc!$C$4)),ROW(),0)</f>
        <v>2130</v>
      </c>
    </row>
    <row r="2131" customFormat="false" ht="15" hidden="false" customHeight="false" outlineLevel="0" collapsed="false">
      <c r="A2131" s="57" t="s">
        <v>2686</v>
      </c>
      <c r="B2131" s="58" t="n">
        <v>45869</v>
      </c>
      <c r="C2131" s="57" t="n">
        <f aca="false">YEAR(B2131)</f>
        <v>2025</v>
      </c>
      <c r="D2131" s="57" t="n">
        <f aca="false">MONTH(B2131)</f>
        <v>7</v>
      </c>
      <c r="E2131" s="57" t="s">
        <v>440</v>
      </c>
      <c r="F2131" s="57" t="s">
        <v>78</v>
      </c>
      <c r="G2131" s="57" t="s">
        <v>35</v>
      </c>
      <c r="H2131" s="57" t="s">
        <v>34</v>
      </c>
      <c r="I2131" s="59" t="n">
        <v>1</v>
      </c>
      <c r="J2131" s="60" t="n">
        <v>89</v>
      </c>
      <c r="K2131" s="60" t="n">
        <v>41</v>
      </c>
      <c r="L2131" s="61" t="n">
        <f aca="false">I2131*J2131</f>
        <v>89</v>
      </c>
      <c r="M2131" s="61" t="n">
        <f aca="false">L2131-I2131*K2131</f>
        <v>48</v>
      </c>
      <c r="N2131" s="57" t="n">
        <f aca="false">IF(COUNTIFS(E$2:E2131,E2131,C$2:C2131,C2131)=1,1,0)</f>
        <v>0</v>
      </c>
      <c r="O2131" s="57" t="n">
        <f aca="false">IF(COUNTIFS(E$2:E2131,E2131,C$2:C2131,C2131,D$2:D2131,D2131)=1,1,0)</f>
        <v>1</v>
      </c>
      <c r="P2131" s="57" t="n">
        <f aca="false">IF(AND(C2131=Calc!$C$3,OR(Calc!$C$4=0,D2131=Calc!$C$4)),ROW(),0)</f>
        <v>2131</v>
      </c>
    </row>
    <row r="2132" customFormat="false" ht="15" hidden="false" customHeight="false" outlineLevel="0" collapsed="false">
      <c r="A2132" s="57" t="s">
        <v>2687</v>
      </c>
      <c r="B2132" s="58" t="n">
        <v>45869</v>
      </c>
      <c r="C2132" s="57" t="n">
        <f aca="false">YEAR(B2132)</f>
        <v>2025</v>
      </c>
      <c r="D2132" s="57" t="n">
        <f aca="false">MONTH(B2132)</f>
        <v>7</v>
      </c>
      <c r="E2132" s="57" t="s">
        <v>719</v>
      </c>
      <c r="F2132" s="57" t="s">
        <v>81</v>
      </c>
      <c r="G2132" s="57" t="s">
        <v>45</v>
      </c>
      <c r="H2132" s="57" t="s">
        <v>44</v>
      </c>
      <c r="I2132" s="59" t="n">
        <v>1</v>
      </c>
      <c r="J2132" s="60" t="n">
        <v>119</v>
      </c>
      <c r="K2132" s="60" t="n">
        <v>63</v>
      </c>
      <c r="L2132" s="61" t="n">
        <f aca="false">I2132*J2132</f>
        <v>119</v>
      </c>
      <c r="M2132" s="61" t="n">
        <f aca="false">L2132-I2132*K2132</f>
        <v>56</v>
      </c>
      <c r="N2132" s="57" t="n">
        <f aca="false">IF(COUNTIFS(E$2:E2132,E2132,C$2:C2132,C2132)=1,1,0)</f>
        <v>1</v>
      </c>
      <c r="O2132" s="57" t="n">
        <f aca="false">IF(COUNTIFS(E$2:E2132,E2132,C$2:C2132,C2132,D$2:D2132,D2132)=1,1,0)</f>
        <v>1</v>
      </c>
      <c r="P2132" s="57" t="n">
        <f aca="false">IF(AND(C2132=Calc!$C$3,OR(Calc!$C$4=0,D2132=Calc!$C$4)),ROW(),0)</f>
        <v>2132</v>
      </c>
    </row>
    <row r="2133" customFormat="false" ht="15" hidden="false" customHeight="false" outlineLevel="0" collapsed="false">
      <c r="A2133" s="57" t="s">
        <v>2688</v>
      </c>
      <c r="B2133" s="58" t="n">
        <v>45869</v>
      </c>
      <c r="C2133" s="57" t="n">
        <f aca="false">YEAR(B2133)</f>
        <v>2025</v>
      </c>
      <c r="D2133" s="57" t="n">
        <f aca="false">MONTH(B2133)</f>
        <v>7</v>
      </c>
      <c r="E2133" s="57" t="s">
        <v>311</v>
      </c>
      <c r="F2133" s="57" t="s">
        <v>69</v>
      </c>
      <c r="G2133" s="57" t="s">
        <v>35</v>
      </c>
      <c r="H2133" s="57" t="s">
        <v>34</v>
      </c>
      <c r="I2133" s="59" t="n">
        <v>2</v>
      </c>
      <c r="J2133" s="60" t="n">
        <v>89</v>
      </c>
      <c r="K2133" s="60" t="n">
        <v>41</v>
      </c>
      <c r="L2133" s="61" t="n">
        <f aca="false">I2133*J2133</f>
        <v>178</v>
      </c>
      <c r="M2133" s="61" t="n">
        <f aca="false">L2133-I2133*K2133</f>
        <v>96</v>
      </c>
      <c r="N2133" s="57" t="n">
        <f aca="false">IF(COUNTIFS(E$2:E2133,E2133,C$2:C2133,C2133)=1,1,0)</f>
        <v>0</v>
      </c>
      <c r="O2133" s="57" t="n">
        <f aca="false">IF(COUNTIFS(E$2:E2133,E2133,C$2:C2133,C2133,D$2:D2133,D2133)=1,1,0)</f>
        <v>1</v>
      </c>
      <c r="P2133" s="57" t="n">
        <f aca="false">IF(AND(C2133=Calc!$C$3,OR(Calc!$C$4=0,D2133=Calc!$C$4)),ROW(),0)</f>
        <v>2133</v>
      </c>
    </row>
    <row r="2134" customFormat="false" ht="15" hidden="false" customHeight="false" outlineLevel="0" collapsed="false">
      <c r="A2134" s="57" t="s">
        <v>2689</v>
      </c>
      <c r="B2134" s="58" t="n">
        <v>45869</v>
      </c>
      <c r="C2134" s="57" t="n">
        <f aca="false">YEAR(B2134)</f>
        <v>2025</v>
      </c>
      <c r="D2134" s="57" t="n">
        <f aca="false">MONTH(B2134)</f>
        <v>7</v>
      </c>
      <c r="E2134" s="57" t="s">
        <v>112</v>
      </c>
      <c r="F2134" s="57" t="s">
        <v>81</v>
      </c>
      <c r="G2134" s="57" t="s">
        <v>40</v>
      </c>
      <c r="H2134" s="57" t="s">
        <v>41</v>
      </c>
      <c r="I2134" s="59" t="n">
        <v>1</v>
      </c>
      <c r="J2134" s="60" t="n">
        <v>46</v>
      </c>
      <c r="K2134" s="60" t="n">
        <v>16</v>
      </c>
      <c r="L2134" s="61" t="n">
        <f aca="false">I2134*J2134</f>
        <v>46</v>
      </c>
      <c r="M2134" s="61" t="n">
        <f aca="false">L2134-I2134*K2134</f>
        <v>30</v>
      </c>
      <c r="N2134" s="57" t="n">
        <f aca="false">IF(COUNTIFS(E$2:E2134,E2134,C$2:C2134,C2134)=1,1,0)</f>
        <v>0</v>
      </c>
      <c r="O2134" s="57" t="n">
        <f aca="false">IF(COUNTIFS(E$2:E2134,E2134,C$2:C2134,C2134,D$2:D2134,D2134)=1,1,0)</f>
        <v>0</v>
      </c>
      <c r="P2134" s="57" t="n">
        <f aca="false">IF(AND(C2134=Calc!$C$3,OR(Calc!$C$4=0,D2134=Calc!$C$4)),ROW(),0)</f>
        <v>2134</v>
      </c>
    </row>
    <row r="2135" customFormat="false" ht="15" hidden="false" customHeight="false" outlineLevel="0" collapsed="false">
      <c r="A2135" s="57" t="s">
        <v>2690</v>
      </c>
      <c r="B2135" s="58" t="n">
        <v>45870</v>
      </c>
      <c r="C2135" s="57" t="n">
        <f aca="false">YEAR(B2135)</f>
        <v>2025</v>
      </c>
      <c r="D2135" s="57" t="n">
        <f aca="false">MONTH(B2135)</f>
        <v>8</v>
      </c>
      <c r="E2135" s="57" t="s">
        <v>1493</v>
      </c>
      <c r="F2135" s="57" t="s">
        <v>69</v>
      </c>
      <c r="G2135" s="57" t="s">
        <v>45</v>
      </c>
      <c r="H2135" s="57" t="s">
        <v>47</v>
      </c>
      <c r="I2135" s="59" t="n">
        <v>1</v>
      </c>
      <c r="J2135" s="60" t="n">
        <v>34</v>
      </c>
      <c r="K2135" s="60" t="n">
        <v>12</v>
      </c>
      <c r="L2135" s="61" t="n">
        <f aca="false">I2135*J2135</f>
        <v>34</v>
      </c>
      <c r="M2135" s="61" t="n">
        <f aca="false">L2135-I2135*K2135</f>
        <v>22</v>
      </c>
      <c r="N2135" s="57" t="n">
        <f aca="false">IF(COUNTIFS(E$2:E2135,E2135,C$2:C2135,C2135)=1,1,0)</f>
        <v>0</v>
      </c>
      <c r="O2135" s="57" t="n">
        <f aca="false">IF(COUNTIFS(E$2:E2135,E2135,C$2:C2135,C2135,D$2:D2135,D2135)=1,1,0)</f>
        <v>1</v>
      </c>
      <c r="P2135" s="57" t="n">
        <f aca="false">IF(AND(C2135=Calc!$C$3,OR(Calc!$C$4=0,D2135=Calc!$C$4)),ROW(),0)</f>
        <v>2135</v>
      </c>
    </row>
    <row r="2136" customFormat="false" ht="15" hidden="false" customHeight="false" outlineLevel="0" collapsed="false">
      <c r="A2136" s="57" t="s">
        <v>2691</v>
      </c>
      <c r="B2136" s="58" t="n">
        <v>45870</v>
      </c>
      <c r="C2136" s="57" t="n">
        <f aca="false">YEAR(B2136)</f>
        <v>2025</v>
      </c>
      <c r="D2136" s="57" t="n">
        <f aca="false">MONTH(B2136)</f>
        <v>8</v>
      </c>
      <c r="E2136" s="57" t="s">
        <v>338</v>
      </c>
      <c r="F2136" s="57" t="s">
        <v>78</v>
      </c>
      <c r="G2136" s="57" t="s">
        <v>54</v>
      </c>
      <c r="H2136" s="57" t="s">
        <v>53</v>
      </c>
      <c r="I2136" s="59" t="n">
        <v>2</v>
      </c>
      <c r="J2136" s="60" t="n">
        <v>39</v>
      </c>
      <c r="K2136" s="60" t="n">
        <v>13</v>
      </c>
      <c r="L2136" s="61" t="n">
        <f aca="false">I2136*J2136</f>
        <v>78</v>
      </c>
      <c r="M2136" s="61" t="n">
        <f aca="false">L2136-I2136*K2136</f>
        <v>52</v>
      </c>
      <c r="N2136" s="57" t="n">
        <f aca="false">IF(COUNTIFS(E$2:E2136,E2136,C$2:C2136,C2136)=1,1,0)</f>
        <v>0</v>
      </c>
      <c r="O2136" s="57" t="n">
        <f aca="false">IF(COUNTIFS(E$2:E2136,E2136,C$2:C2136,C2136,D$2:D2136,D2136)=1,1,0)</f>
        <v>1</v>
      </c>
      <c r="P2136" s="57" t="n">
        <f aca="false">IF(AND(C2136=Calc!$C$3,OR(Calc!$C$4=0,D2136=Calc!$C$4)),ROW(),0)</f>
        <v>2136</v>
      </c>
    </row>
    <row r="2137" customFormat="false" ht="15" hidden="false" customHeight="false" outlineLevel="0" collapsed="false">
      <c r="A2137" s="57" t="s">
        <v>2692</v>
      </c>
      <c r="B2137" s="58" t="n">
        <v>45870</v>
      </c>
      <c r="C2137" s="57" t="n">
        <f aca="false">YEAR(B2137)</f>
        <v>2025</v>
      </c>
      <c r="D2137" s="57" t="n">
        <f aca="false">MONTH(B2137)</f>
        <v>8</v>
      </c>
      <c r="E2137" s="57" t="s">
        <v>120</v>
      </c>
      <c r="F2137" s="57" t="s">
        <v>78</v>
      </c>
      <c r="G2137" s="57" t="s">
        <v>40</v>
      </c>
      <c r="H2137" s="57" t="s">
        <v>41</v>
      </c>
      <c r="I2137" s="59" t="n">
        <v>1</v>
      </c>
      <c r="J2137" s="60" t="n">
        <v>46</v>
      </c>
      <c r="K2137" s="60" t="n">
        <v>16</v>
      </c>
      <c r="L2137" s="61" t="n">
        <f aca="false">I2137*J2137</f>
        <v>46</v>
      </c>
      <c r="M2137" s="61" t="n">
        <f aca="false">L2137-I2137*K2137</f>
        <v>30</v>
      </c>
      <c r="N2137" s="57" t="n">
        <f aca="false">IF(COUNTIFS(E$2:E2137,E2137,C$2:C2137,C2137)=1,1,0)</f>
        <v>0</v>
      </c>
      <c r="O2137" s="57" t="n">
        <f aca="false">IF(COUNTIFS(E$2:E2137,E2137,C$2:C2137,C2137,D$2:D2137,D2137)=1,1,0)</f>
        <v>1</v>
      </c>
      <c r="P2137" s="57" t="n">
        <f aca="false">IF(AND(C2137=Calc!$C$3,OR(Calc!$C$4=0,D2137=Calc!$C$4)),ROW(),0)</f>
        <v>2137</v>
      </c>
    </row>
    <row r="2138" customFormat="false" ht="15" hidden="false" customHeight="false" outlineLevel="0" collapsed="false">
      <c r="A2138" s="57" t="s">
        <v>2693</v>
      </c>
      <c r="B2138" s="58" t="n">
        <v>45871</v>
      </c>
      <c r="C2138" s="57" t="n">
        <f aca="false">YEAR(B2138)</f>
        <v>2025</v>
      </c>
      <c r="D2138" s="57" t="n">
        <f aca="false">MONTH(B2138)</f>
        <v>8</v>
      </c>
      <c r="E2138" s="57" t="s">
        <v>1022</v>
      </c>
      <c r="F2138" s="57" t="s">
        <v>75</v>
      </c>
      <c r="G2138" s="57" t="s">
        <v>40</v>
      </c>
      <c r="H2138" s="57" t="s">
        <v>41</v>
      </c>
      <c r="I2138" s="59" t="n">
        <v>1</v>
      </c>
      <c r="J2138" s="60" t="n">
        <v>46</v>
      </c>
      <c r="K2138" s="60" t="n">
        <v>16</v>
      </c>
      <c r="L2138" s="61" t="n">
        <f aca="false">I2138*J2138</f>
        <v>46</v>
      </c>
      <c r="M2138" s="61" t="n">
        <f aca="false">L2138-I2138*K2138</f>
        <v>30</v>
      </c>
      <c r="N2138" s="57" t="n">
        <f aca="false">IF(COUNTIFS(E$2:E2138,E2138,C$2:C2138,C2138)=1,1,0)</f>
        <v>0</v>
      </c>
      <c r="O2138" s="57" t="n">
        <f aca="false">IF(COUNTIFS(E$2:E2138,E2138,C$2:C2138,C2138,D$2:D2138,D2138)=1,1,0)</f>
        <v>1</v>
      </c>
      <c r="P2138" s="57" t="n">
        <f aca="false">IF(AND(C2138=Calc!$C$3,OR(Calc!$C$4=0,D2138=Calc!$C$4)),ROW(),0)</f>
        <v>2138</v>
      </c>
    </row>
    <row r="2139" customFormat="false" ht="15" hidden="false" customHeight="false" outlineLevel="0" collapsed="false">
      <c r="A2139" s="57" t="s">
        <v>2694</v>
      </c>
      <c r="B2139" s="58" t="n">
        <v>45871</v>
      </c>
      <c r="C2139" s="57" t="n">
        <f aca="false">YEAR(B2139)</f>
        <v>2025</v>
      </c>
      <c r="D2139" s="57" t="n">
        <f aca="false">MONTH(B2139)</f>
        <v>8</v>
      </c>
      <c r="E2139" s="57" t="s">
        <v>1329</v>
      </c>
      <c r="F2139" s="57" t="s">
        <v>69</v>
      </c>
      <c r="G2139" s="57" t="s">
        <v>35</v>
      </c>
      <c r="H2139" s="57" t="s">
        <v>34</v>
      </c>
      <c r="I2139" s="59" t="n">
        <v>1</v>
      </c>
      <c r="J2139" s="60" t="n">
        <v>89</v>
      </c>
      <c r="K2139" s="60" t="n">
        <v>41</v>
      </c>
      <c r="L2139" s="61" t="n">
        <f aca="false">I2139*J2139</f>
        <v>89</v>
      </c>
      <c r="M2139" s="61" t="n">
        <f aca="false">L2139-I2139*K2139</f>
        <v>48</v>
      </c>
      <c r="N2139" s="57" t="n">
        <f aca="false">IF(COUNTIFS(E$2:E2139,E2139,C$2:C2139,C2139)=1,1,0)</f>
        <v>1</v>
      </c>
      <c r="O2139" s="57" t="n">
        <f aca="false">IF(COUNTIFS(E$2:E2139,E2139,C$2:C2139,C2139,D$2:D2139,D2139)=1,1,0)</f>
        <v>1</v>
      </c>
      <c r="P2139" s="57" t="n">
        <f aca="false">IF(AND(C2139=Calc!$C$3,OR(Calc!$C$4=0,D2139=Calc!$C$4)),ROW(),0)</f>
        <v>2139</v>
      </c>
    </row>
    <row r="2140" customFormat="false" ht="15" hidden="false" customHeight="false" outlineLevel="0" collapsed="false">
      <c r="A2140" s="57" t="s">
        <v>2695</v>
      </c>
      <c r="B2140" s="58" t="n">
        <v>45871</v>
      </c>
      <c r="C2140" s="57" t="n">
        <f aca="false">YEAR(B2140)</f>
        <v>2025</v>
      </c>
      <c r="D2140" s="57" t="n">
        <f aca="false">MONTH(B2140)</f>
        <v>8</v>
      </c>
      <c r="E2140" s="57" t="s">
        <v>1032</v>
      </c>
      <c r="F2140" s="57" t="s">
        <v>75</v>
      </c>
      <c r="G2140" s="57" t="s">
        <v>45</v>
      </c>
      <c r="H2140" s="57" t="s">
        <v>48</v>
      </c>
      <c r="I2140" s="59" t="n">
        <v>2</v>
      </c>
      <c r="J2140" s="60" t="n">
        <v>99</v>
      </c>
      <c r="K2140" s="60" t="n">
        <v>38</v>
      </c>
      <c r="L2140" s="61" t="n">
        <f aca="false">I2140*J2140</f>
        <v>198</v>
      </c>
      <c r="M2140" s="61" t="n">
        <f aca="false">L2140-I2140*K2140</f>
        <v>122</v>
      </c>
      <c r="N2140" s="57" t="n">
        <f aca="false">IF(COUNTIFS(E$2:E2140,E2140,C$2:C2140,C2140)=1,1,0)</f>
        <v>0</v>
      </c>
      <c r="O2140" s="57" t="n">
        <f aca="false">IF(COUNTIFS(E$2:E2140,E2140,C$2:C2140,C2140,D$2:D2140,D2140)=1,1,0)</f>
        <v>1</v>
      </c>
      <c r="P2140" s="57" t="n">
        <f aca="false">IF(AND(C2140=Calc!$C$3,OR(Calc!$C$4=0,D2140=Calc!$C$4)),ROW(),0)</f>
        <v>2140</v>
      </c>
    </row>
    <row r="2141" customFormat="false" ht="15" hidden="false" customHeight="false" outlineLevel="0" collapsed="false">
      <c r="A2141" s="57" t="s">
        <v>2696</v>
      </c>
      <c r="B2141" s="58" t="n">
        <v>45871</v>
      </c>
      <c r="C2141" s="57" t="n">
        <f aca="false">YEAR(B2141)</f>
        <v>2025</v>
      </c>
      <c r="D2141" s="57" t="n">
        <f aca="false">MONTH(B2141)</f>
        <v>8</v>
      </c>
      <c r="E2141" s="57" t="s">
        <v>1014</v>
      </c>
      <c r="F2141" s="57" t="s">
        <v>69</v>
      </c>
      <c r="G2141" s="57" t="s">
        <v>35</v>
      </c>
      <c r="H2141" s="57" t="s">
        <v>38</v>
      </c>
      <c r="I2141" s="59" t="n">
        <v>1</v>
      </c>
      <c r="J2141" s="60" t="n">
        <v>49</v>
      </c>
      <c r="K2141" s="60" t="n">
        <v>22</v>
      </c>
      <c r="L2141" s="61" t="n">
        <f aca="false">I2141*J2141</f>
        <v>49</v>
      </c>
      <c r="M2141" s="61" t="n">
        <f aca="false">L2141-I2141*K2141</f>
        <v>27</v>
      </c>
      <c r="N2141" s="57" t="n">
        <f aca="false">IF(COUNTIFS(E$2:E2141,E2141,C$2:C2141,C2141)=1,1,0)</f>
        <v>0</v>
      </c>
      <c r="O2141" s="57" t="n">
        <f aca="false">IF(COUNTIFS(E$2:E2141,E2141,C$2:C2141,C2141,D$2:D2141,D2141)=1,1,0)</f>
        <v>1</v>
      </c>
      <c r="P2141" s="57" t="n">
        <f aca="false">IF(AND(C2141=Calc!$C$3,OR(Calc!$C$4=0,D2141=Calc!$C$4)),ROW(),0)</f>
        <v>2141</v>
      </c>
    </row>
    <row r="2142" customFormat="false" ht="15" hidden="false" customHeight="false" outlineLevel="0" collapsed="false">
      <c r="A2142" s="57" t="s">
        <v>2697</v>
      </c>
      <c r="B2142" s="58" t="n">
        <v>45871</v>
      </c>
      <c r="C2142" s="57" t="n">
        <f aca="false">YEAR(B2142)</f>
        <v>2025</v>
      </c>
      <c r="D2142" s="57" t="n">
        <f aca="false">MONTH(B2142)</f>
        <v>8</v>
      </c>
      <c r="E2142" s="57" t="s">
        <v>424</v>
      </c>
      <c r="F2142" s="57" t="s">
        <v>78</v>
      </c>
      <c r="G2142" s="57" t="s">
        <v>40</v>
      </c>
      <c r="H2142" s="57" t="s">
        <v>42</v>
      </c>
      <c r="I2142" s="59" t="n">
        <v>1</v>
      </c>
      <c r="J2142" s="60" t="n">
        <v>79</v>
      </c>
      <c r="K2142" s="60" t="n">
        <v>31</v>
      </c>
      <c r="L2142" s="61" t="n">
        <f aca="false">I2142*J2142</f>
        <v>79</v>
      </c>
      <c r="M2142" s="61" t="n">
        <f aca="false">L2142-I2142*K2142</f>
        <v>48</v>
      </c>
      <c r="N2142" s="57" t="n">
        <f aca="false">IF(COUNTIFS(E$2:E2142,E2142,C$2:C2142,C2142)=1,1,0)</f>
        <v>0</v>
      </c>
      <c r="O2142" s="57" t="n">
        <f aca="false">IF(COUNTIFS(E$2:E2142,E2142,C$2:C2142,C2142,D$2:D2142,D2142)=1,1,0)</f>
        <v>1</v>
      </c>
      <c r="P2142" s="57" t="n">
        <f aca="false">IF(AND(C2142=Calc!$C$3,OR(Calc!$C$4=0,D2142=Calc!$C$4)),ROW(),0)</f>
        <v>2142</v>
      </c>
    </row>
    <row r="2143" customFormat="false" ht="15" hidden="false" customHeight="false" outlineLevel="0" collapsed="false">
      <c r="A2143" s="57" t="s">
        <v>2698</v>
      </c>
      <c r="B2143" s="58" t="n">
        <v>45872</v>
      </c>
      <c r="C2143" s="57" t="n">
        <f aca="false">YEAR(B2143)</f>
        <v>2025</v>
      </c>
      <c r="D2143" s="57" t="n">
        <f aca="false">MONTH(B2143)</f>
        <v>8</v>
      </c>
      <c r="E2143" s="57" t="s">
        <v>836</v>
      </c>
      <c r="F2143" s="57" t="s">
        <v>69</v>
      </c>
      <c r="G2143" s="57" t="s">
        <v>40</v>
      </c>
      <c r="H2143" s="57" t="s">
        <v>39</v>
      </c>
      <c r="I2143" s="59" t="n">
        <v>1</v>
      </c>
      <c r="J2143" s="60" t="n">
        <v>54</v>
      </c>
      <c r="K2143" s="60" t="n">
        <v>19</v>
      </c>
      <c r="L2143" s="61" t="n">
        <f aca="false">I2143*J2143</f>
        <v>54</v>
      </c>
      <c r="M2143" s="61" t="n">
        <f aca="false">L2143-I2143*K2143</f>
        <v>35</v>
      </c>
      <c r="N2143" s="57" t="n">
        <f aca="false">IF(COUNTIFS(E$2:E2143,E2143,C$2:C2143,C2143)=1,1,0)</f>
        <v>0</v>
      </c>
      <c r="O2143" s="57" t="n">
        <f aca="false">IF(COUNTIFS(E$2:E2143,E2143,C$2:C2143,C2143,D$2:D2143,D2143)=1,1,0)</f>
        <v>1</v>
      </c>
      <c r="P2143" s="57" t="n">
        <f aca="false">IF(AND(C2143=Calc!$C$3,OR(Calc!$C$4=0,D2143=Calc!$C$4)),ROW(),0)</f>
        <v>2143</v>
      </c>
    </row>
    <row r="2144" customFormat="false" ht="15" hidden="false" customHeight="false" outlineLevel="0" collapsed="false">
      <c r="A2144" s="57" t="s">
        <v>2699</v>
      </c>
      <c r="B2144" s="58" t="n">
        <v>45872</v>
      </c>
      <c r="C2144" s="57" t="n">
        <f aca="false">YEAR(B2144)</f>
        <v>2025</v>
      </c>
      <c r="D2144" s="57" t="n">
        <f aca="false">MONTH(B2144)</f>
        <v>8</v>
      </c>
      <c r="E2144" s="57" t="s">
        <v>152</v>
      </c>
      <c r="F2144" s="57" t="s">
        <v>72</v>
      </c>
      <c r="G2144" s="57" t="s">
        <v>40</v>
      </c>
      <c r="H2144" s="57" t="s">
        <v>42</v>
      </c>
      <c r="I2144" s="59" t="n">
        <v>1</v>
      </c>
      <c r="J2144" s="60" t="n">
        <v>79</v>
      </c>
      <c r="K2144" s="60" t="n">
        <v>31</v>
      </c>
      <c r="L2144" s="61" t="n">
        <f aca="false">I2144*J2144</f>
        <v>79</v>
      </c>
      <c r="M2144" s="61" t="n">
        <f aca="false">L2144-I2144*K2144</f>
        <v>48</v>
      </c>
      <c r="N2144" s="57" t="n">
        <f aca="false">IF(COUNTIFS(E$2:E2144,E2144,C$2:C2144,C2144)=1,1,0)</f>
        <v>0</v>
      </c>
      <c r="O2144" s="57" t="n">
        <f aca="false">IF(COUNTIFS(E$2:E2144,E2144,C$2:C2144,C2144,D$2:D2144,D2144)=1,1,0)</f>
        <v>1</v>
      </c>
      <c r="P2144" s="57" t="n">
        <f aca="false">IF(AND(C2144=Calc!$C$3,OR(Calc!$C$4=0,D2144=Calc!$C$4)),ROW(),0)</f>
        <v>2144</v>
      </c>
    </row>
    <row r="2145" customFormat="false" ht="15" hidden="false" customHeight="false" outlineLevel="0" collapsed="false">
      <c r="A2145" s="57" t="s">
        <v>2700</v>
      </c>
      <c r="B2145" s="58" t="n">
        <v>45872</v>
      </c>
      <c r="C2145" s="57" t="n">
        <f aca="false">YEAR(B2145)</f>
        <v>2025</v>
      </c>
      <c r="D2145" s="57" t="n">
        <f aca="false">MONTH(B2145)</f>
        <v>8</v>
      </c>
      <c r="E2145" s="57" t="s">
        <v>380</v>
      </c>
      <c r="F2145" s="57" t="s">
        <v>69</v>
      </c>
      <c r="G2145" s="57" t="s">
        <v>35</v>
      </c>
      <c r="H2145" s="57" t="s">
        <v>34</v>
      </c>
      <c r="I2145" s="59" t="n">
        <v>2</v>
      </c>
      <c r="J2145" s="60" t="n">
        <v>89</v>
      </c>
      <c r="K2145" s="60" t="n">
        <v>41</v>
      </c>
      <c r="L2145" s="61" t="n">
        <f aca="false">I2145*J2145</f>
        <v>178</v>
      </c>
      <c r="M2145" s="61" t="n">
        <f aca="false">L2145-I2145*K2145</f>
        <v>96</v>
      </c>
      <c r="N2145" s="57" t="n">
        <f aca="false">IF(COUNTIFS(E$2:E2145,E2145,C$2:C2145,C2145)=1,1,0)</f>
        <v>0</v>
      </c>
      <c r="O2145" s="57" t="n">
        <f aca="false">IF(COUNTIFS(E$2:E2145,E2145,C$2:C2145,C2145,D$2:D2145,D2145)=1,1,0)</f>
        <v>1</v>
      </c>
      <c r="P2145" s="57" t="n">
        <f aca="false">IF(AND(C2145=Calc!$C$3,OR(Calc!$C$4=0,D2145=Calc!$C$4)),ROW(),0)</f>
        <v>2145</v>
      </c>
    </row>
    <row r="2146" customFormat="false" ht="15" hidden="false" customHeight="false" outlineLevel="0" collapsed="false">
      <c r="A2146" s="57" t="s">
        <v>2701</v>
      </c>
      <c r="B2146" s="58" t="n">
        <v>45872</v>
      </c>
      <c r="C2146" s="57" t="n">
        <f aca="false">YEAR(B2146)</f>
        <v>2025</v>
      </c>
      <c r="D2146" s="57" t="n">
        <f aca="false">MONTH(B2146)</f>
        <v>8</v>
      </c>
      <c r="E2146" s="57" t="s">
        <v>93</v>
      </c>
      <c r="F2146" s="57" t="s">
        <v>81</v>
      </c>
      <c r="G2146" s="57" t="s">
        <v>35</v>
      </c>
      <c r="H2146" s="57" t="s">
        <v>37</v>
      </c>
      <c r="I2146" s="59" t="n">
        <v>1</v>
      </c>
      <c r="J2146" s="60" t="n">
        <v>59</v>
      </c>
      <c r="K2146" s="60" t="n">
        <v>27</v>
      </c>
      <c r="L2146" s="61" t="n">
        <f aca="false">I2146*J2146</f>
        <v>59</v>
      </c>
      <c r="M2146" s="61" t="n">
        <f aca="false">L2146-I2146*K2146</f>
        <v>32</v>
      </c>
      <c r="N2146" s="57" t="n">
        <f aca="false">IF(COUNTIFS(E$2:E2146,E2146,C$2:C2146,C2146)=1,1,0)</f>
        <v>0</v>
      </c>
      <c r="O2146" s="57" t="n">
        <f aca="false">IF(COUNTIFS(E$2:E2146,E2146,C$2:C2146,C2146,D$2:D2146,D2146)=1,1,0)</f>
        <v>1</v>
      </c>
      <c r="P2146" s="57" t="n">
        <f aca="false">IF(AND(C2146=Calc!$C$3,OR(Calc!$C$4=0,D2146=Calc!$C$4)),ROW(),0)</f>
        <v>2146</v>
      </c>
    </row>
    <row r="2147" customFormat="false" ht="15" hidden="false" customHeight="false" outlineLevel="0" collapsed="false">
      <c r="A2147" s="57" t="s">
        <v>2702</v>
      </c>
      <c r="B2147" s="58" t="n">
        <v>45873</v>
      </c>
      <c r="C2147" s="57" t="n">
        <f aca="false">YEAR(B2147)</f>
        <v>2025</v>
      </c>
      <c r="D2147" s="57" t="n">
        <f aca="false">MONTH(B2147)</f>
        <v>8</v>
      </c>
      <c r="E2147" s="57" t="s">
        <v>323</v>
      </c>
      <c r="F2147" s="57" t="s">
        <v>75</v>
      </c>
      <c r="G2147" s="57" t="s">
        <v>50</v>
      </c>
      <c r="H2147" s="57" t="s">
        <v>49</v>
      </c>
      <c r="I2147" s="59" t="n">
        <v>1</v>
      </c>
      <c r="J2147" s="60" t="n">
        <v>32</v>
      </c>
      <c r="K2147" s="60" t="n">
        <v>7</v>
      </c>
      <c r="L2147" s="61" t="n">
        <f aca="false">I2147*J2147</f>
        <v>32</v>
      </c>
      <c r="M2147" s="61" t="n">
        <f aca="false">L2147-I2147*K2147</f>
        <v>25</v>
      </c>
      <c r="N2147" s="57" t="n">
        <f aca="false">IF(COUNTIFS(E$2:E2147,E2147,C$2:C2147,C2147)=1,1,0)</f>
        <v>0</v>
      </c>
      <c r="O2147" s="57" t="n">
        <f aca="false">IF(COUNTIFS(E$2:E2147,E2147,C$2:C2147,C2147,D$2:D2147,D2147)=1,1,0)</f>
        <v>1</v>
      </c>
      <c r="P2147" s="57" t="n">
        <f aca="false">IF(AND(C2147=Calc!$C$3,OR(Calc!$C$4=0,D2147=Calc!$C$4)),ROW(),0)</f>
        <v>2147</v>
      </c>
    </row>
    <row r="2148" customFormat="false" ht="15" hidden="false" customHeight="false" outlineLevel="0" collapsed="false">
      <c r="A2148" s="57" t="s">
        <v>2703</v>
      </c>
      <c r="B2148" s="58" t="n">
        <v>45873</v>
      </c>
      <c r="C2148" s="57" t="n">
        <f aca="false">YEAR(B2148)</f>
        <v>2025</v>
      </c>
      <c r="D2148" s="57" t="n">
        <f aca="false">MONTH(B2148)</f>
        <v>8</v>
      </c>
      <c r="E2148" s="57" t="s">
        <v>275</v>
      </c>
      <c r="F2148" s="57" t="s">
        <v>75</v>
      </c>
      <c r="G2148" s="57" t="s">
        <v>45</v>
      </c>
      <c r="H2148" s="57" t="s">
        <v>44</v>
      </c>
      <c r="I2148" s="59" t="n">
        <v>1</v>
      </c>
      <c r="J2148" s="60" t="n">
        <v>119</v>
      </c>
      <c r="K2148" s="60" t="n">
        <v>63</v>
      </c>
      <c r="L2148" s="61" t="n">
        <f aca="false">I2148*J2148</f>
        <v>119</v>
      </c>
      <c r="M2148" s="61" t="n">
        <f aca="false">L2148-I2148*K2148</f>
        <v>56</v>
      </c>
      <c r="N2148" s="57" t="n">
        <f aca="false">IF(COUNTIFS(E$2:E2148,E2148,C$2:C2148,C2148)=1,1,0)</f>
        <v>0</v>
      </c>
      <c r="O2148" s="57" t="n">
        <f aca="false">IF(COUNTIFS(E$2:E2148,E2148,C$2:C2148,C2148,D$2:D2148,D2148)=1,1,0)</f>
        <v>1</v>
      </c>
      <c r="P2148" s="57" t="n">
        <f aca="false">IF(AND(C2148=Calc!$C$3,OR(Calc!$C$4=0,D2148=Calc!$C$4)),ROW(),0)</f>
        <v>2148</v>
      </c>
    </row>
    <row r="2149" customFormat="false" ht="15" hidden="false" customHeight="false" outlineLevel="0" collapsed="false">
      <c r="A2149" s="57" t="s">
        <v>2704</v>
      </c>
      <c r="B2149" s="58" t="n">
        <v>45873</v>
      </c>
      <c r="C2149" s="57" t="n">
        <f aca="false">YEAR(B2149)</f>
        <v>2025</v>
      </c>
      <c r="D2149" s="57" t="n">
        <f aca="false">MONTH(B2149)</f>
        <v>8</v>
      </c>
      <c r="E2149" s="57" t="s">
        <v>1290</v>
      </c>
      <c r="F2149" s="57" t="s">
        <v>75</v>
      </c>
      <c r="G2149" s="57" t="s">
        <v>50</v>
      </c>
      <c r="H2149" s="57" t="s">
        <v>51</v>
      </c>
      <c r="I2149" s="59" t="n">
        <v>2</v>
      </c>
      <c r="J2149" s="60" t="n">
        <v>69</v>
      </c>
      <c r="K2149" s="60" t="n">
        <v>29</v>
      </c>
      <c r="L2149" s="61" t="n">
        <f aca="false">I2149*J2149</f>
        <v>138</v>
      </c>
      <c r="M2149" s="61" t="n">
        <f aca="false">L2149-I2149*K2149</f>
        <v>80</v>
      </c>
      <c r="N2149" s="57" t="n">
        <f aca="false">IF(COUNTIFS(E$2:E2149,E2149,C$2:C2149,C2149)=1,1,0)</f>
        <v>0</v>
      </c>
      <c r="O2149" s="57" t="n">
        <f aca="false">IF(COUNTIFS(E$2:E2149,E2149,C$2:C2149,C2149,D$2:D2149,D2149)=1,1,0)</f>
        <v>1</v>
      </c>
      <c r="P2149" s="57" t="n">
        <f aca="false">IF(AND(C2149=Calc!$C$3,OR(Calc!$C$4=0,D2149=Calc!$C$4)),ROW(),0)</f>
        <v>2149</v>
      </c>
    </row>
    <row r="2150" customFormat="false" ht="15" hidden="false" customHeight="false" outlineLevel="0" collapsed="false">
      <c r="A2150" s="57" t="s">
        <v>2705</v>
      </c>
      <c r="B2150" s="58" t="n">
        <v>45873</v>
      </c>
      <c r="C2150" s="57" t="n">
        <f aca="false">YEAR(B2150)</f>
        <v>2025</v>
      </c>
      <c r="D2150" s="57" t="n">
        <f aca="false">MONTH(B2150)</f>
        <v>8</v>
      </c>
      <c r="E2150" s="57" t="s">
        <v>1124</v>
      </c>
      <c r="F2150" s="57" t="s">
        <v>75</v>
      </c>
      <c r="G2150" s="57" t="s">
        <v>54</v>
      </c>
      <c r="H2150" s="57" t="s">
        <v>55</v>
      </c>
      <c r="I2150" s="59" t="n">
        <v>1</v>
      </c>
      <c r="J2150" s="60" t="n">
        <v>64</v>
      </c>
      <c r="K2150" s="60" t="n">
        <v>25</v>
      </c>
      <c r="L2150" s="61" t="n">
        <f aca="false">I2150*J2150</f>
        <v>64</v>
      </c>
      <c r="M2150" s="61" t="n">
        <f aca="false">L2150-I2150*K2150</f>
        <v>39</v>
      </c>
      <c r="N2150" s="57" t="n">
        <f aca="false">IF(COUNTIFS(E$2:E2150,E2150,C$2:C2150,C2150)=1,1,0)</f>
        <v>1</v>
      </c>
      <c r="O2150" s="57" t="n">
        <f aca="false">IF(COUNTIFS(E$2:E2150,E2150,C$2:C2150,C2150,D$2:D2150,D2150)=1,1,0)</f>
        <v>1</v>
      </c>
      <c r="P2150" s="57" t="n">
        <f aca="false">IF(AND(C2150=Calc!$C$3,OR(Calc!$C$4=0,D2150=Calc!$C$4)),ROW(),0)</f>
        <v>2150</v>
      </c>
    </row>
    <row r="2151" customFormat="false" ht="15" hidden="false" customHeight="false" outlineLevel="0" collapsed="false">
      <c r="A2151" s="57" t="s">
        <v>2706</v>
      </c>
      <c r="B2151" s="58" t="n">
        <v>45873</v>
      </c>
      <c r="C2151" s="57" t="n">
        <f aca="false">YEAR(B2151)</f>
        <v>2025</v>
      </c>
      <c r="D2151" s="57" t="n">
        <f aca="false">MONTH(B2151)</f>
        <v>8</v>
      </c>
      <c r="E2151" s="57" t="s">
        <v>399</v>
      </c>
      <c r="F2151" s="57" t="s">
        <v>69</v>
      </c>
      <c r="G2151" s="57" t="s">
        <v>40</v>
      </c>
      <c r="H2151" s="57" t="s">
        <v>39</v>
      </c>
      <c r="I2151" s="59" t="n">
        <v>1</v>
      </c>
      <c r="J2151" s="60" t="n">
        <v>54</v>
      </c>
      <c r="K2151" s="60" t="n">
        <v>19</v>
      </c>
      <c r="L2151" s="61" t="n">
        <f aca="false">I2151*J2151</f>
        <v>54</v>
      </c>
      <c r="M2151" s="61" t="n">
        <f aca="false">L2151-I2151*K2151</f>
        <v>35</v>
      </c>
      <c r="N2151" s="57" t="n">
        <f aca="false">IF(COUNTIFS(E$2:E2151,E2151,C$2:C2151,C2151)=1,1,0)</f>
        <v>1</v>
      </c>
      <c r="O2151" s="57" t="n">
        <f aca="false">IF(COUNTIFS(E$2:E2151,E2151,C$2:C2151,C2151,D$2:D2151,D2151)=1,1,0)</f>
        <v>1</v>
      </c>
      <c r="P2151" s="57" t="n">
        <f aca="false">IF(AND(C2151=Calc!$C$3,OR(Calc!$C$4=0,D2151=Calc!$C$4)),ROW(),0)</f>
        <v>2151</v>
      </c>
    </row>
    <row r="2152" customFormat="false" ht="15" hidden="false" customHeight="false" outlineLevel="0" collapsed="false">
      <c r="A2152" s="57" t="s">
        <v>2707</v>
      </c>
      <c r="B2152" s="58" t="n">
        <v>45874</v>
      </c>
      <c r="C2152" s="57" t="n">
        <f aca="false">YEAR(B2152)</f>
        <v>2025</v>
      </c>
      <c r="D2152" s="57" t="n">
        <f aca="false">MONTH(B2152)</f>
        <v>8</v>
      </c>
      <c r="E2152" s="57" t="s">
        <v>1446</v>
      </c>
      <c r="F2152" s="57" t="s">
        <v>78</v>
      </c>
      <c r="G2152" s="57" t="s">
        <v>35</v>
      </c>
      <c r="H2152" s="57" t="s">
        <v>37</v>
      </c>
      <c r="I2152" s="59" t="n">
        <v>1</v>
      </c>
      <c r="J2152" s="60" t="n">
        <v>59</v>
      </c>
      <c r="K2152" s="60" t="n">
        <v>27</v>
      </c>
      <c r="L2152" s="61" t="n">
        <f aca="false">I2152*J2152</f>
        <v>59</v>
      </c>
      <c r="M2152" s="61" t="n">
        <f aca="false">L2152-I2152*K2152</f>
        <v>32</v>
      </c>
      <c r="N2152" s="57" t="n">
        <f aca="false">IF(COUNTIFS(E$2:E2152,E2152,C$2:C2152,C2152)=1,1,0)</f>
        <v>0</v>
      </c>
      <c r="O2152" s="57" t="n">
        <f aca="false">IF(COUNTIFS(E$2:E2152,E2152,C$2:C2152,C2152,D$2:D2152,D2152)=1,1,0)</f>
        <v>1</v>
      </c>
      <c r="P2152" s="57" t="n">
        <f aca="false">IF(AND(C2152=Calc!$C$3,OR(Calc!$C$4=0,D2152=Calc!$C$4)),ROW(),0)</f>
        <v>2152</v>
      </c>
    </row>
    <row r="2153" customFormat="false" ht="15" hidden="false" customHeight="false" outlineLevel="0" collapsed="false">
      <c r="A2153" s="57" t="s">
        <v>2708</v>
      </c>
      <c r="B2153" s="58" t="n">
        <v>45874</v>
      </c>
      <c r="C2153" s="57" t="n">
        <f aca="false">YEAR(B2153)</f>
        <v>2025</v>
      </c>
      <c r="D2153" s="57" t="n">
        <f aca="false">MONTH(B2153)</f>
        <v>8</v>
      </c>
      <c r="E2153" s="57" t="s">
        <v>104</v>
      </c>
      <c r="F2153" s="57" t="s">
        <v>78</v>
      </c>
      <c r="G2153" s="57" t="s">
        <v>35</v>
      </c>
      <c r="H2153" s="57" t="s">
        <v>34</v>
      </c>
      <c r="I2153" s="59" t="n">
        <v>1</v>
      </c>
      <c r="J2153" s="60" t="n">
        <v>89</v>
      </c>
      <c r="K2153" s="60" t="n">
        <v>41</v>
      </c>
      <c r="L2153" s="61" t="n">
        <f aca="false">I2153*J2153</f>
        <v>89</v>
      </c>
      <c r="M2153" s="61" t="n">
        <f aca="false">L2153-I2153*K2153</f>
        <v>48</v>
      </c>
      <c r="N2153" s="57" t="n">
        <f aca="false">IF(COUNTIFS(E$2:E2153,E2153,C$2:C2153,C2153)=1,1,0)</f>
        <v>0</v>
      </c>
      <c r="O2153" s="57" t="n">
        <f aca="false">IF(COUNTIFS(E$2:E2153,E2153,C$2:C2153,C2153,D$2:D2153,D2153)=1,1,0)</f>
        <v>1</v>
      </c>
      <c r="P2153" s="57" t="n">
        <f aca="false">IF(AND(C2153=Calc!$C$3,OR(Calc!$C$4=0,D2153=Calc!$C$4)),ROW(),0)</f>
        <v>2153</v>
      </c>
    </row>
    <row r="2154" customFormat="false" ht="15" hidden="false" customHeight="false" outlineLevel="0" collapsed="false">
      <c r="A2154" s="57" t="s">
        <v>2709</v>
      </c>
      <c r="B2154" s="58" t="n">
        <v>45874</v>
      </c>
      <c r="C2154" s="57" t="n">
        <f aca="false">YEAR(B2154)</f>
        <v>2025</v>
      </c>
      <c r="D2154" s="57" t="n">
        <f aca="false">MONTH(B2154)</f>
        <v>8</v>
      </c>
      <c r="E2154" s="57" t="s">
        <v>311</v>
      </c>
      <c r="F2154" s="57" t="s">
        <v>69</v>
      </c>
      <c r="G2154" s="57" t="s">
        <v>35</v>
      </c>
      <c r="H2154" s="57" t="s">
        <v>36</v>
      </c>
      <c r="I2154" s="59" t="n">
        <v>1</v>
      </c>
      <c r="J2154" s="60" t="n">
        <v>179</v>
      </c>
      <c r="K2154" s="60" t="n">
        <v>92</v>
      </c>
      <c r="L2154" s="61" t="n">
        <f aca="false">I2154*J2154</f>
        <v>179</v>
      </c>
      <c r="M2154" s="61" t="n">
        <f aca="false">L2154-I2154*K2154</f>
        <v>87</v>
      </c>
      <c r="N2154" s="57" t="n">
        <f aca="false">IF(COUNTIFS(E$2:E2154,E2154,C$2:C2154,C2154)=1,1,0)</f>
        <v>0</v>
      </c>
      <c r="O2154" s="57" t="n">
        <f aca="false">IF(COUNTIFS(E$2:E2154,E2154,C$2:C2154,C2154,D$2:D2154,D2154)=1,1,0)</f>
        <v>1</v>
      </c>
      <c r="P2154" s="57" t="n">
        <f aca="false">IF(AND(C2154=Calc!$C$3,OR(Calc!$C$4=0,D2154=Calc!$C$4)),ROW(),0)</f>
        <v>2154</v>
      </c>
    </row>
    <row r="2155" customFormat="false" ht="15" hidden="false" customHeight="false" outlineLevel="0" collapsed="false">
      <c r="A2155" s="57" t="s">
        <v>2710</v>
      </c>
      <c r="B2155" s="58" t="n">
        <v>45874</v>
      </c>
      <c r="C2155" s="57" t="n">
        <f aca="false">YEAR(B2155)</f>
        <v>2025</v>
      </c>
      <c r="D2155" s="57" t="n">
        <f aca="false">MONTH(B2155)</f>
        <v>8</v>
      </c>
      <c r="E2155" s="57" t="s">
        <v>144</v>
      </c>
      <c r="F2155" s="57" t="s">
        <v>78</v>
      </c>
      <c r="G2155" s="57" t="s">
        <v>35</v>
      </c>
      <c r="H2155" s="57" t="s">
        <v>36</v>
      </c>
      <c r="I2155" s="59" t="n">
        <v>2</v>
      </c>
      <c r="J2155" s="60" t="n">
        <v>179</v>
      </c>
      <c r="K2155" s="60" t="n">
        <v>92</v>
      </c>
      <c r="L2155" s="61" t="n">
        <f aca="false">I2155*J2155</f>
        <v>358</v>
      </c>
      <c r="M2155" s="61" t="n">
        <f aca="false">L2155-I2155*K2155</f>
        <v>174</v>
      </c>
      <c r="N2155" s="57" t="n">
        <f aca="false">IF(COUNTIFS(E$2:E2155,E2155,C$2:C2155,C2155)=1,1,0)</f>
        <v>0</v>
      </c>
      <c r="O2155" s="57" t="n">
        <f aca="false">IF(COUNTIFS(E$2:E2155,E2155,C$2:C2155,C2155,D$2:D2155,D2155)=1,1,0)</f>
        <v>1</v>
      </c>
      <c r="P2155" s="57" t="n">
        <f aca="false">IF(AND(C2155=Calc!$C$3,OR(Calc!$C$4=0,D2155=Calc!$C$4)),ROW(),0)</f>
        <v>2155</v>
      </c>
    </row>
    <row r="2156" customFormat="false" ht="15" hidden="false" customHeight="false" outlineLevel="0" collapsed="false">
      <c r="A2156" s="57" t="s">
        <v>2711</v>
      </c>
      <c r="B2156" s="58" t="n">
        <v>45875</v>
      </c>
      <c r="C2156" s="57" t="n">
        <f aca="false">YEAR(B2156)</f>
        <v>2025</v>
      </c>
      <c r="D2156" s="57" t="n">
        <f aca="false">MONTH(B2156)</f>
        <v>8</v>
      </c>
      <c r="E2156" s="57" t="s">
        <v>125</v>
      </c>
      <c r="F2156" s="57" t="s">
        <v>69</v>
      </c>
      <c r="G2156" s="57" t="s">
        <v>45</v>
      </c>
      <c r="H2156" s="57" t="s">
        <v>47</v>
      </c>
      <c r="I2156" s="59" t="n">
        <v>2</v>
      </c>
      <c r="J2156" s="60" t="n">
        <v>34</v>
      </c>
      <c r="K2156" s="60" t="n">
        <v>12</v>
      </c>
      <c r="L2156" s="61" t="n">
        <f aca="false">I2156*J2156</f>
        <v>68</v>
      </c>
      <c r="M2156" s="61" t="n">
        <f aca="false">L2156-I2156*K2156</f>
        <v>44</v>
      </c>
      <c r="N2156" s="57" t="n">
        <f aca="false">IF(COUNTIFS(E$2:E2156,E2156,C$2:C2156,C2156)=1,1,0)</f>
        <v>0</v>
      </c>
      <c r="O2156" s="57" t="n">
        <f aca="false">IF(COUNTIFS(E$2:E2156,E2156,C$2:C2156,C2156,D$2:D2156,D2156)=1,1,0)</f>
        <v>1</v>
      </c>
      <c r="P2156" s="57" t="n">
        <f aca="false">IF(AND(C2156=Calc!$C$3,OR(Calc!$C$4=0,D2156=Calc!$C$4)),ROW(),0)</f>
        <v>2156</v>
      </c>
    </row>
    <row r="2157" customFormat="false" ht="15" hidden="false" customHeight="false" outlineLevel="0" collapsed="false">
      <c r="A2157" s="57" t="s">
        <v>2712</v>
      </c>
      <c r="B2157" s="58" t="n">
        <v>45875</v>
      </c>
      <c r="C2157" s="57" t="n">
        <f aca="false">YEAR(B2157)</f>
        <v>2025</v>
      </c>
      <c r="D2157" s="57" t="n">
        <f aca="false">MONTH(B2157)</f>
        <v>8</v>
      </c>
      <c r="E2157" s="57" t="s">
        <v>415</v>
      </c>
      <c r="F2157" s="57" t="s">
        <v>75</v>
      </c>
      <c r="G2157" s="57" t="s">
        <v>35</v>
      </c>
      <c r="H2157" s="57" t="s">
        <v>38</v>
      </c>
      <c r="I2157" s="59" t="n">
        <v>2</v>
      </c>
      <c r="J2157" s="60" t="n">
        <v>49</v>
      </c>
      <c r="K2157" s="60" t="n">
        <v>22</v>
      </c>
      <c r="L2157" s="61" t="n">
        <f aca="false">I2157*J2157</f>
        <v>98</v>
      </c>
      <c r="M2157" s="61" t="n">
        <f aca="false">L2157-I2157*K2157</f>
        <v>54</v>
      </c>
      <c r="N2157" s="57" t="n">
        <f aca="false">IF(COUNTIFS(E$2:E2157,E2157,C$2:C2157,C2157)=1,1,0)</f>
        <v>1</v>
      </c>
      <c r="O2157" s="57" t="n">
        <f aca="false">IF(COUNTIFS(E$2:E2157,E2157,C$2:C2157,C2157,D$2:D2157,D2157)=1,1,0)</f>
        <v>1</v>
      </c>
      <c r="P2157" s="57" t="n">
        <f aca="false">IF(AND(C2157=Calc!$C$3,OR(Calc!$C$4=0,D2157=Calc!$C$4)),ROW(),0)</f>
        <v>2157</v>
      </c>
    </row>
    <row r="2158" customFormat="false" ht="15" hidden="false" customHeight="false" outlineLevel="0" collapsed="false">
      <c r="A2158" s="57" t="s">
        <v>2713</v>
      </c>
      <c r="B2158" s="58" t="n">
        <v>45875</v>
      </c>
      <c r="C2158" s="57" t="n">
        <f aca="false">YEAR(B2158)</f>
        <v>2025</v>
      </c>
      <c r="D2158" s="57" t="n">
        <f aca="false">MONTH(B2158)</f>
        <v>8</v>
      </c>
      <c r="E2158" s="57" t="s">
        <v>1519</v>
      </c>
      <c r="F2158" s="57" t="s">
        <v>75</v>
      </c>
      <c r="G2158" s="57" t="s">
        <v>35</v>
      </c>
      <c r="H2158" s="57" t="s">
        <v>36</v>
      </c>
      <c r="I2158" s="59" t="n">
        <v>2</v>
      </c>
      <c r="J2158" s="60" t="n">
        <v>179</v>
      </c>
      <c r="K2158" s="60" t="n">
        <v>92</v>
      </c>
      <c r="L2158" s="61" t="n">
        <f aca="false">I2158*J2158</f>
        <v>358</v>
      </c>
      <c r="M2158" s="61" t="n">
        <f aca="false">L2158-I2158*K2158</f>
        <v>174</v>
      </c>
      <c r="N2158" s="57" t="n">
        <f aca="false">IF(COUNTIFS(E$2:E2158,E2158,C$2:C2158,C2158)=1,1,0)</f>
        <v>1</v>
      </c>
      <c r="O2158" s="57" t="n">
        <f aca="false">IF(COUNTIFS(E$2:E2158,E2158,C$2:C2158,C2158,D$2:D2158,D2158)=1,1,0)</f>
        <v>1</v>
      </c>
      <c r="P2158" s="57" t="n">
        <f aca="false">IF(AND(C2158=Calc!$C$3,OR(Calc!$C$4=0,D2158=Calc!$C$4)),ROW(),0)</f>
        <v>2158</v>
      </c>
    </row>
    <row r="2159" customFormat="false" ht="15" hidden="false" customHeight="false" outlineLevel="0" collapsed="false">
      <c r="A2159" s="57" t="s">
        <v>2714</v>
      </c>
      <c r="B2159" s="58" t="n">
        <v>45875</v>
      </c>
      <c r="C2159" s="57" t="n">
        <f aca="false">YEAR(B2159)</f>
        <v>2025</v>
      </c>
      <c r="D2159" s="57" t="n">
        <f aca="false">MONTH(B2159)</f>
        <v>8</v>
      </c>
      <c r="E2159" s="57" t="s">
        <v>584</v>
      </c>
      <c r="F2159" s="57" t="s">
        <v>75</v>
      </c>
      <c r="G2159" s="57" t="s">
        <v>35</v>
      </c>
      <c r="H2159" s="57" t="s">
        <v>38</v>
      </c>
      <c r="I2159" s="59" t="n">
        <v>1</v>
      </c>
      <c r="J2159" s="60" t="n">
        <v>49</v>
      </c>
      <c r="K2159" s="60" t="n">
        <v>22</v>
      </c>
      <c r="L2159" s="61" t="n">
        <f aca="false">I2159*J2159</f>
        <v>49</v>
      </c>
      <c r="M2159" s="61" t="n">
        <f aca="false">L2159-I2159*K2159</f>
        <v>27</v>
      </c>
      <c r="N2159" s="57" t="n">
        <f aca="false">IF(COUNTIFS(E$2:E2159,E2159,C$2:C2159,C2159)=1,1,0)</f>
        <v>0</v>
      </c>
      <c r="O2159" s="57" t="n">
        <f aca="false">IF(COUNTIFS(E$2:E2159,E2159,C$2:C2159,C2159,D$2:D2159,D2159)=1,1,0)</f>
        <v>1</v>
      </c>
      <c r="P2159" s="57" t="n">
        <f aca="false">IF(AND(C2159=Calc!$C$3,OR(Calc!$C$4=0,D2159=Calc!$C$4)),ROW(),0)</f>
        <v>2159</v>
      </c>
    </row>
    <row r="2160" customFormat="false" ht="15" hidden="false" customHeight="false" outlineLevel="0" collapsed="false">
      <c r="A2160" s="57" t="s">
        <v>2715</v>
      </c>
      <c r="B2160" s="58" t="n">
        <v>45876</v>
      </c>
      <c r="C2160" s="57" t="n">
        <f aca="false">YEAR(B2160)</f>
        <v>2025</v>
      </c>
      <c r="D2160" s="57" t="n">
        <f aca="false">MONTH(B2160)</f>
        <v>8</v>
      </c>
      <c r="E2160" s="57" t="s">
        <v>1080</v>
      </c>
      <c r="F2160" s="57" t="s">
        <v>75</v>
      </c>
      <c r="G2160" s="57" t="s">
        <v>45</v>
      </c>
      <c r="H2160" s="57" t="s">
        <v>47</v>
      </c>
      <c r="I2160" s="59" t="n">
        <v>1</v>
      </c>
      <c r="J2160" s="60" t="n">
        <v>34</v>
      </c>
      <c r="K2160" s="60" t="n">
        <v>12</v>
      </c>
      <c r="L2160" s="61" t="n">
        <f aca="false">I2160*J2160</f>
        <v>34</v>
      </c>
      <c r="M2160" s="61" t="n">
        <f aca="false">L2160-I2160*K2160</f>
        <v>22</v>
      </c>
      <c r="N2160" s="57" t="n">
        <f aca="false">IF(COUNTIFS(E$2:E2160,E2160,C$2:C2160,C2160)=1,1,0)</f>
        <v>0</v>
      </c>
      <c r="O2160" s="57" t="n">
        <f aca="false">IF(COUNTIFS(E$2:E2160,E2160,C$2:C2160,C2160,D$2:D2160,D2160)=1,1,0)</f>
        <v>1</v>
      </c>
      <c r="P2160" s="57" t="n">
        <f aca="false">IF(AND(C2160=Calc!$C$3,OR(Calc!$C$4=0,D2160=Calc!$C$4)),ROW(),0)</f>
        <v>2160</v>
      </c>
    </row>
    <row r="2161" customFormat="false" ht="15" hidden="false" customHeight="false" outlineLevel="0" collapsed="false">
      <c r="A2161" s="57" t="s">
        <v>2716</v>
      </c>
      <c r="B2161" s="58" t="n">
        <v>45876</v>
      </c>
      <c r="C2161" s="57" t="n">
        <f aca="false">YEAR(B2161)</f>
        <v>2025</v>
      </c>
      <c r="D2161" s="57" t="n">
        <f aca="false">MONTH(B2161)</f>
        <v>8</v>
      </c>
      <c r="E2161" s="57" t="s">
        <v>1014</v>
      </c>
      <c r="F2161" s="57" t="s">
        <v>69</v>
      </c>
      <c r="G2161" s="57" t="s">
        <v>45</v>
      </c>
      <c r="H2161" s="57" t="s">
        <v>48</v>
      </c>
      <c r="I2161" s="59" t="n">
        <v>1</v>
      </c>
      <c r="J2161" s="60" t="n">
        <v>99</v>
      </c>
      <c r="K2161" s="60" t="n">
        <v>38</v>
      </c>
      <c r="L2161" s="61" t="n">
        <f aca="false">I2161*J2161</f>
        <v>99</v>
      </c>
      <c r="M2161" s="61" t="n">
        <f aca="false">L2161-I2161*K2161</f>
        <v>61</v>
      </c>
      <c r="N2161" s="57" t="n">
        <f aca="false">IF(COUNTIFS(E$2:E2161,E2161,C$2:C2161,C2161)=1,1,0)</f>
        <v>0</v>
      </c>
      <c r="O2161" s="57" t="n">
        <f aca="false">IF(COUNTIFS(E$2:E2161,E2161,C$2:C2161,C2161,D$2:D2161,D2161)=1,1,0)</f>
        <v>0</v>
      </c>
      <c r="P2161" s="57" t="n">
        <f aca="false">IF(AND(C2161=Calc!$C$3,OR(Calc!$C$4=0,D2161=Calc!$C$4)),ROW(),0)</f>
        <v>2161</v>
      </c>
    </row>
    <row r="2162" customFormat="false" ht="15" hidden="false" customHeight="false" outlineLevel="0" collapsed="false">
      <c r="A2162" s="57" t="s">
        <v>2717</v>
      </c>
      <c r="B2162" s="58" t="n">
        <v>45876</v>
      </c>
      <c r="C2162" s="57" t="n">
        <f aca="false">YEAR(B2162)</f>
        <v>2025</v>
      </c>
      <c r="D2162" s="57" t="n">
        <f aca="false">MONTH(B2162)</f>
        <v>8</v>
      </c>
      <c r="E2162" s="57" t="s">
        <v>838</v>
      </c>
      <c r="F2162" s="57" t="s">
        <v>69</v>
      </c>
      <c r="G2162" s="57" t="s">
        <v>54</v>
      </c>
      <c r="H2162" s="57" t="s">
        <v>56</v>
      </c>
      <c r="I2162" s="59" t="n">
        <v>1</v>
      </c>
      <c r="J2162" s="60" t="n">
        <v>42</v>
      </c>
      <c r="K2162" s="60" t="n">
        <v>17</v>
      </c>
      <c r="L2162" s="61" t="n">
        <f aca="false">I2162*J2162</f>
        <v>42</v>
      </c>
      <c r="M2162" s="61" t="n">
        <f aca="false">L2162-I2162*K2162</f>
        <v>25</v>
      </c>
      <c r="N2162" s="57" t="n">
        <f aca="false">IF(COUNTIFS(E$2:E2162,E2162,C$2:C2162,C2162)=1,1,0)</f>
        <v>0</v>
      </c>
      <c r="O2162" s="57" t="n">
        <f aca="false">IF(COUNTIFS(E$2:E2162,E2162,C$2:C2162,C2162,D$2:D2162,D2162)=1,1,0)</f>
        <v>1</v>
      </c>
      <c r="P2162" s="57" t="n">
        <f aca="false">IF(AND(C2162=Calc!$C$3,OR(Calc!$C$4=0,D2162=Calc!$C$4)),ROW(),0)</f>
        <v>2162</v>
      </c>
    </row>
    <row r="2163" customFormat="false" ht="15" hidden="false" customHeight="false" outlineLevel="0" collapsed="false">
      <c r="A2163" s="57" t="s">
        <v>2718</v>
      </c>
      <c r="B2163" s="58" t="n">
        <v>45877</v>
      </c>
      <c r="C2163" s="57" t="n">
        <f aca="false">YEAR(B2163)</f>
        <v>2025</v>
      </c>
      <c r="D2163" s="57" t="n">
        <f aca="false">MONTH(B2163)</f>
        <v>8</v>
      </c>
      <c r="E2163" s="57" t="s">
        <v>168</v>
      </c>
      <c r="F2163" s="57" t="s">
        <v>81</v>
      </c>
      <c r="G2163" s="57" t="s">
        <v>35</v>
      </c>
      <c r="H2163" s="57" t="s">
        <v>37</v>
      </c>
      <c r="I2163" s="59" t="n">
        <v>1</v>
      </c>
      <c r="J2163" s="60" t="n">
        <v>59</v>
      </c>
      <c r="K2163" s="60" t="n">
        <v>27</v>
      </c>
      <c r="L2163" s="61" t="n">
        <f aca="false">I2163*J2163</f>
        <v>59</v>
      </c>
      <c r="M2163" s="61" t="n">
        <f aca="false">L2163-I2163*K2163</f>
        <v>32</v>
      </c>
      <c r="N2163" s="57" t="n">
        <f aca="false">IF(COUNTIFS(E$2:E2163,E2163,C$2:C2163,C2163)=1,1,0)</f>
        <v>0</v>
      </c>
      <c r="O2163" s="57" t="n">
        <f aca="false">IF(COUNTIFS(E$2:E2163,E2163,C$2:C2163,C2163,D$2:D2163,D2163)=1,1,0)</f>
        <v>1</v>
      </c>
      <c r="P2163" s="57" t="n">
        <f aca="false">IF(AND(C2163=Calc!$C$3,OR(Calc!$C$4=0,D2163=Calc!$C$4)),ROW(),0)</f>
        <v>2163</v>
      </c>
    </row>
    <row r="2164" customFormat="false" ht="15" hidden="false" customHeight="false" outlineLevel="0" collapsed="false">
      <c r="A2164" s="57" t="s">
        <v>2719</v>
      </c>
      <c r="B2164" s="58" t="n">
        <v>45877</v>
      </c>
      <c r="C2164" s="57" t="n">
        <f aca="false">YEAR(B2164)</f>
        <v>2025</v>
      </c>
      <c r="D2164" s="57" t="n">
        <f aca="false">MONTH(B2164)</f>
        <v>8</v>
      </c>
      <c r="E2164" s="57" t="s">
        <v>1188</v>
      </c>
      <c r="F2164" s="57" t="s">
        <v>75</v>
      </c>
      <c r="G2164" s="57" t="s">
        <v>35</v>
      </c>
      <c r="H2164" s="57" t="s">
        <v>34</v>
      </c>
      <c r="I2164" s="59" t="n">
        <v>2</v>
      </c>
      <c r="J2164" s="60" t="n">
        <v>89</v>
      </c>
      <c r="K2164" s="60" t="n">
        <v>41</v>
      </c>
      <c r="L2164" s="61" t="n">
        <f aca="false">I2164*J2164</f>
        <v>178</v>
      </c>
      <c r="M2164" s="61" t="n">
        <f aca="false">L2164-I2164*K2164</f>
        <v>96</v>
      </c>
      <c r="N2164" s="57" t="n">
        <f aca="false">IF(COUNTIFS(E$2:E2164,E2164,C$2:C2164,C2164)=1,1,0)</f>
        <v>1</v>
      </c>
      <c r="O2164" s="57" t="n">
        <f aca="false">IF(COUNTIFS(E$2:E2164,E2164,C$2:C2164,C2164,D$2:D2164,D2164)=1,1,0)</f>
        <v>1</v>
      </c>
      <c r="P2164" s="57" t="n">
        <f aca="false">IF(AND(C2164=Calc!$C$3,OR(Calc!$C$4=0,D2164=Calc!$C$4)),ROW(),0)</f>
        <v>2164</v>
      </c>
    </row>
    <row r="2165" customFormat="false" ht="15" hidden="false" customHeight="false" outlineLevel="0" collapsed="false">
      <c r="A2165" s="57" t="s">
        <v>2720</v>
      </c>
      <c r="B2165" s="58" t="n">
        <v>45877</v>
      </c>
      <c r="C2165" s="57" t="n">
        <f aca="false">YEAR(B2165)</f>
        <v>2025</v>
      </c>
      <c r="D2165" s="57" t="n">
        <f aca="false">MONTH(B2165)</f>
        <v>8</v>
      </c>
      <c r="E2165" s="57" t="s">
        <v>725</v>
      </c>
      <c r="F2165" s="57" t="s">
        <v>69</v>
      </c>
      <c r="G2165" s="57" t="s">
        <v>35</v>
      </c>
      <c r="H2165" s="57" t="s">
        <v>36</v>
      </c>
      <c r="I2165" s="59" t="n">
        <v>3</v>
      </c>
      <c r="J2165" s="60" t="n">
        <v>179</v>
      </c>
      <c r="K2165" s="60" t="n">
        <v>92</v>
      </c>
      <c r="L2165" s="61" t="n">
        <f aca="false">I2165*J2165</f>
        <v>537</v>
      </c>
      <c r="M2165" s="61" t="n">
        <f aca="false">L2165-I2165*K2165</f>
        <v>261</v>
      </c>
      <c r="N2165" s="57" t="n">
        <f aca="false">IF(COUNTIFS(E$2:E2165,E2165,C$2:C2165,C2165)=1,1,0)</f>
        <v>1</v>
      </c>
      <c r="O2165" s="57" t="n">
        <f aca="false">IF(COUNTIFS(E$2:E2165,E2165,C$2:C2165,C2165,D$2:D2165,D2165)=1,1,0)</f>
        <v>1</v>
      </c>
      <c r="P2165" s="57" t="n">
        <f aca="false">IF(AND(C2165=Calc!$C$3,OR(Calc!$C$4=0,D2165=Calc!$C$4)),ROW(),0)</f>
        <v>2165</v>
      </c>
    </row>
    <row r="2166" customFormat="false" ht="15" hidden="false" customHeight="false" outlineLevel="0" collapsed="false">
      <c r="A2166" s="57" t="s">
        <v>2721</v>
      </c>
      <c r="B2166" s="58" t="n">
        <v>45877</v>
      </c>
      <c r="C2166" s="57" t="n">
        <f aca="false">YEAR(B2166)</f>
        <v>2025</v>
      </c>
      <c r="D2166" s="57" t="n">
        <f aca="false">MONTH(B2166)</f>
        <v>8</v>
      </c>
      <c r="E2166" s="57" t="s">
        <v>613</v>
      </c>
      <c r="F2166" s="57" t="s">
        <v>72</v>
      </c>
      <c r="G2166" s="57" t="s">
        <v>35</v>
      </c>
      <c r="H2166" s="57" t="s">
        <v>36</v>
      </c>
      <c r="I2166" s="59" t="n">
        <v>1</v>
      </c>
      <c r="J2166" s="60" t="n">
        <v>179</v>
      </c>
      <c r="K2166" s="60" t="n">
        <v>92</v>
      </c>
      <c r="L2166" s="61" t="n">
        <f aca="false">I2166*J2166</f>
        <v>179</v>
      </c>
      <c r="M2166" s="61" t="n">
        <f aca="false">L2166-I2166*K2166</f>
        <v>87</v>
      </c>
      <c r="N2166" s="57" t="n">
        <f aca="false">IF(COUNTIFS(E$2:E2166,E2166,C$2:C2166,C2166)=1,1,0)</f>
        <v>0</v>
      </c>
      <c r="O2166" s="57" t="n">
        <f aca="false">IF(COUNTIFS(E$2:E2166,E2166,C$2:C2166,C2166,D$2:D2166,D2166)=1,1,0)</f>
        <v>1</v>
      </c>
      <c r="P2166" s="57" t="n">
        <f aca="false">IF(AND(C2166=Calc!$C$3,OR(Calc!$C$4=0,D2166=Calc!$C$4)),ROW(),0)</f>
        <v>2166</v>
      </c>
    </row>
    <row r="2167" customFormat="false" ht="15" hidden="false" customHeight="false" outlineLevel="0" collapsed="false">
      <c r="A2167" s="57" t="s">
        <v>2722</v>
      </c>
      <c r="B2167" s="58" t="n">
        <v>45878</v>
      </c>
      <c r="C2167" s="57" t="n">
        <f aca="false">YEAR(B2167)</f>
        <v>2025</v>
      </c>
      <c r="D2167" s="57" t="n">
        <f aca="false">MONTH(B2167)</f>
        <v>8</v>
      </c>
      <c r="E2167" s="57" t="s">
        <v>409</v>
      </c>
      <c r="F2167" s="57" t="s">
        <v>75</v>
      </c>
      <c r="G2167" s="57" t="s">
        <v>35</v>
      </c>
      <c r="H2167" s="57" t="s">
        <v>37</v>
      </c>
      <c r="I2167" s="59" t="n">
        <v>1</v>
      </c>
      <c r="J2167" s="60" t="n">
        <v>59</v>
      </c>
      <c r="K2167" s="60" t="n">
        <v>27</v>
      </c>
      <c r="L2167" s="61" t="n">
        <f aca="false">I2167*J2167</f>
        <v>59</v>
      </c>
      <c r="M2167" s="61" t="n">
        <f aca="false">L2167-I2167*K2167</f>
        <v>32</v>
      </c>
      <c r="N2167" s="57" t="n">
        <f aca="false">IF(COUNTIFS(E$2:E2167,E2167,C$2:C2167,C2167)=1,1,0)</f>
        <v>0</v>
      </c>
      <c r="O2167" s="57" t="n">
        <f aca="false">IF(COUNTIFS(E$2:E2167,E2167,C$2:C2167,C2167,D$2:D2167,D2167)=1,1,0)</f>
        <v>1</v>
      </c>
      <c r="P2167" s="57" t="n">
        <f aca="false">IF(AND(C2167=Calc!$C$3,OR(Calc!$C$4=0,D2167=Calc!$C$4)),ROW(),0)</f>
        <v>2167</v>
      </c>
    </row>
    <row r="2168" customFormat="false" ht="15" hidden="false" customHeight="false" outlineLevel="0" collapsed="false">
      <c r="A2168" s="57" t="s">
        <v>2723</v>
      </c>
      <c r="B2168" s="58" t="n">
        <v>45878</v>
      </c>
      <c r="C2168" s="57" t="n">
        <f aca="false">YEAR(B2168)</f>
        <v>2025</v>
      </c>
      <c r="D2168" s="57" t="n">
        <f aca="false">MONTH(B2168)</f>
        <v>8</v>
      </c>
      <c r="E2168" s="57" t="s">
        <v>773</v>
      </c>
      <c r="F2168" s="57" t="s">
        <v>69</v>
      </c>
      <c r="G2168" s="57" t="s">
        <v>35</v>
      </c>
      <c r="H2168" s="57" t="s">
        <v>37</v>
      </c>
      <c r="I2168" s="59" t="n">
        <v>1</v>
      </c>
      <c r="J2168" s="60" t="n">
        <v>59</v>
      </c>
      <c r="K2168" s="60" t="n">
        <v>27</v>
      </c>
      <c r="L2168" s="61" t="n">
        <f aca="false">I2168*J2168</f>
        <v>59</v>
      </c>
      <c r="M2168" s="61" t="n">
        <f aca="false">L2168-I2168*K2168</f>
        <v>32</v>
      </c>
      <c r="N2168" s="57" t="n">
        <f aca="false">IF(COUNTIFS(E$2:E2168,E2168,C$2:C2168,C2168)=1,1,0)</f>
        <v>0</v>
      </c>
      <c r="O2168" s="57" t="n">
        <f aca="false">IF(COUNTIFS(E$2:E2168,E2168,C$2:C2168,C2168,D$2:D2168,D2168)=1,1,0)</f>
        <v>1</v>
      </c>
      <c r="P2168" s="57" t="n">
        <f aca="false">IF(AND(C2168=Calc!$C$3,OR(Calc!$C$4=0,D2168=Calc!$C$4)),ROW(),0)</f>
        <v>2168</v>
      </c>
    </row>
    <row r="2169" customFormat="false" ht="15" hidden="false" customHeight="false" outlineLevel="0" collapsed="false">
      <c r="A2169" s="57" t="s">
        <v>2724</v>
      </c>
      <c r="B2169" s="58" t="n">
        <v>45879</v>
      </c>
      <c r="C2169" s="57" t="n">
        <f aca="false">YEAR(B2169)</f>
        <v>2025</v>
      </c>
      <c r="D2169" s="57" t="n">
        <f aca="false">MONTH(B2169)</f>
        <v>8</v>
      </c>
      <c r="E2169" s="57" t="s">
        <v>1509</v>
      </c>
      <c r="F2169" s="57" t="s">
        <v>75</v>
      </c>
      <c r="G2169" s="57" t="s">
        <v>40</v>
      </c>
      <c r="H2169" s="57" t="s">
        <v>39</v>
      </c>
      <c r="I2169" s="59" t="n">
        <v>2</v>
      </c>
      <c r="J2169" s="60" t="n">
        <v>54</v>
      </c>
      <c r="K2169" s="60" t="n">
        <v>19</v>
      </c>
      <c r="L2169" s="61" t="n">
        <f aca="false">I2169*J2169</f>
        <v>108</v>
      </c>
      <c r="M2169" s="61" t="n">
        <f aca="false">L2169-I2169*K2169</f>
        <v>70</v>
      </c>
      <c r="N2169" s="57" t="n">
        <f aca="false">IF(COUNTIFS(E$2:E2169,E2169,C$2:C2169,C2169)=1,1,0)</f>
        <v>0</v>
      </c>
      <c r="O2169" s="57" t="n">
        <f aca="false">IF(COUNTIFS(E$2:E2169,E2169,C$2:C2169,C2169,D$2:D2169,D2169)=1,1,0)</f>
        <v>1</v>
      </c>
      <c r="P2169" s="57" t="n">
        <f aca="false">IF(AND(C2169=Calc!$C$3,OR(Calc!$C$4=0,D2169=Calc!$C$4)),ROW(),0)</f>
        <v>2169</v>
      </c>
    </row>
    <row r="2170" customFormat="false" ht="15" hidden="false" customHeight="false" outlineLevel="0" collapsed="false">
      <c r="A2170" s="57" t="s">
        <v>2725</v>
      </c>
      <c r="B2170" s="58" t="n">
        <v>45879</v>
      </c>
      <c r="C2170" s="57" t="n">
        <f aca="false">YEAR(B2170)</f>
        <v>2025</v>
      </c>
      <c r="D2170" s="57" t="n">
        <f aca="false">MONTH(B2170)</f>
        <v>8</v>
      </c>
      <c r="E2170" s="57" t="s">
        <v>240</v>
      </c>
      <c r="F2170" s="57" t="s">
        <v>75</v>
      </c>
      <c r="G2170" s="57" t="s">
        <v>35</v>
      </c>
      <c r="H2170" s="57" t="s">
        <v>38</v>
      </c>
      <c r="I2170" s="59" t="n">
        <v>1</v>
      </c>
      <c r="J2170" s="60" t="n">
        <v>49</v>
      </c>
      <c r="K2170" s="60" t="n">
        <v>22</v>
      </c>
      <c r="L2170" s="61" t="n">
        <f aca="false">I2170*J2170</f>
        <v>49</v>
      </c>
      <c r="M2170" s="61" t="n">
        <f aca="false">L2170-I2170*K2170</f>
        <v>27</v>
      </c>
      <c r="N2170" s="57" t="n">
        <f aca="false">IF(COUNTIFS(E$2:E2170,E2170,C$2:C2170,C2170)=1,1,0)</f>
        <v>0</v>
      </c>
      <c r="O2170" s="57" t="n">
        <f aca="false">IF(COUNTIFS(E$2:E2170,E2170,C$2:C2170,C2170,D$2:D2170,D2170)=1,1,0)</f>
        <v>1</v>
      </c>
      <c r="P2170" s="57" t="n">
        <f aca="false">IF(AND(C2170=Calc!$C$3,OR(Calc!$C$4=0,D2170=Calc!$C$4)),ROW(),0)</f>
        <v>2170</v>
      </c>
    </row>
    <row r="2171" customFormat="false" ht="15" hidden="false" customHeight="false" outlineLevel="0" collapsed="false">
      <c r="A2171" s="57" t="s">
        <v>2726</v>
      </c>
      <c r="B2171" s="58" t="n">
        <v>45879</v>
      </c>
      <c r="C2171" s="57" t="n">
        <f aca="false">YEAR(B2171)</f>
        <v>2025</v>
      </c>
      <c r="D2171" s="57" t="n">
        <f aca="false">MONTH(B2171)</f>
        <v>8</v>
      </c>
      <c r="E2171" s="57" t="s">
        <v>424</v>
      </c>
      <c r="F2171" s="57" t="s">
        <v>78</v>
      </c>
      <c r="G2171" s="57" t="s">
        <v>54</v>
      </c>
      <c r="H2171" s="57" t="s">
        <v>53</v>
      </c>
      <c r="I2171" s="59" t="n">
        <v>1</v>
      </c>
      <c r="J2171" s="60" t="n">
        <v>39</v>
      </c>
      <c r="K2171" s="60" t="n">
        <v>13</v>
      </c>
      <c r="L2171" s="61" t="n">
        <f aca="false">I2171*J2171</f>
        <v>39</v>
      </c>
      <c r="M2171" s="61" t="n">
        <f aca="false">L2171-I2171*K2171</f>
        <v>26</v>
      </c>
      <c r="N2171" s="57" t="n">
        <f aca="false">IF(COUNTIFS(E$2:E2171,E2171,C$2:C2171,C2171)=1,1,0)</f>
        <v>0</v>
      </c>
      <c r="O2171" s="57" t="n">
        <f aca="false">IF(COUNTIFS(E$2:E2171,E2171,C$2:C2171,C2171,D$2:D2171,D2171)=1,1,0)</f>
        <v>0</v>
      </c>
      <c r="P2171" s="57" t="n">
        <f aca="false">IF(AND(C2171=Calc!$C$3,OR(Calc!$C$4=0,D2171=Calc!$C$4)),ROW(),0)</f>
        <v>2171</v>
      </c>
    </row>
    <row r="2172" customFormat="false" ht="15" hidden="false" customHeight="false" outlineLevel="0" collapsed="false">
      <c r="A2172" s="57" t="s">
        <v>2727</v>
      </c>
      <c r="B2172" s="58" t="n">
        <v>45879</v>
      </c>
      <c r="C2172" s="57" t="n">
        <f aca="false">YEAR(B2172)</f>
        <v>2025</v>
      </c>
      <c r="D2172" s="57" t="n">
        <f aca="false">MONTH(B2172)</f>
        <v>8</v>
      </c>
      <c r="E2172" s="57" t="s">
        <v>594</v>
      </c>
      <c r="F2172" s="57" t="s">
        <v>81</v>
      </c>
      <c r="G2172" s="57" t="s">
        <v>35</v>
      </c>
      <c r="H2172" s="57" t="s">
        <v>36</v>
      </c>
      <c r="I2172" s="59" t="n">
        <v>1</v>
      </c>
      <c r="J2172" s="60" t="n">
        <v>179</v>
      </c>
      <c r="K2172" s="60" t="n">
        <v>92</v>
      </c>
      <c r="L2172" s="61" t="n">
        <f aca="false">I2172*J2172</f>
        <v>179</v>
      </c>
      <c r="M2172" s="61" t="n">
        <f aca="false">L2172-I2172*K2172</f>
        <v>87</v>
      </c>
      <c r="N2172" s="57" t="n">
        <f aca="false">IF(COUNTIFS(E$2:E2172,E2172,C$2:C2172,C2172)=1,1,0)</f>
        <v>0</v>
      </c>
      <c r="O2172" s="57" t="n">
        <f aca="false">IF(COUNTIFS(E$2:E2172,E2172,C$2:C2172,C2172,D$2:D2172,D2172)=1,1,0)</f>
        <v>1</v>
      </c>
      <c r="P2172" s="57" t="n">
        <f aca="false">IF(AND(C2172=Calc!$C$3,OR(Calc!$C$4=0,D2172=Calc!$C$4)),ROW(),0)</f>
        <v>2172</v>
      </c>
    </row>
    <row r="2173" customFormat="false" ht="15" hidden="false" customHeight="false" outlineLevel="0" collapsed="false">
      <c r="A2173" s="57" t="s">
        <v>2728</v>
      </c>
      <c r="B2173" s="58" t="n">
        <v>45879</v>
      </c>
      <c r="C2173" s="57" t="n">
        <f aca="false">YEAR(B2173)</f>
        <v>2025</v>
      </c>
      <c r="D2173" s="57" t="n">
        <f aca="false">MONTH(B2173)</f>
        <v>8</v>
      </c>
      <c r="E2173" s="57" t="s">
        <v>181</v>
      </c>
      <c r="F2173" s="57" t="s">
        <v>69</v>
      </c>
      <c r="G2173" s="57" t="s">
        <v>35</v>
      </c>
      <c r="H2173" s="57" t="s">
        <v>37</v>
      </c>
      <c r="I2173" s="59" t="n">
        <v>1</v>
      </c>
      <c r="J2173" s="60" t="n">
        <v>59</v>
      </c>
      <c r="K2173" s="60" t="n">
        <v>27</v>
      </c>
      <c r="L2173" s="61" t="n">
        <f aca="false">I2173*J2173</f>
        <v>59</v>
      </c>
      <c r="M2173" s="61" t="n">
        <f aca="false">L2173-I2173*K2173</f>
        <v>32</v>
      </c>
      <c r="N2173" s="57" t="n">
        <f aca="false">IF(COUNTIFS(E$2:E2173,E2173,C$2:C2173,C2173)=1,1,0)</f>
        <v>0</v>
      </c>
      <c r="O2173" s="57" t="n">
        <f aca="false">IF(COUNTIFS(E$2:E2173,E2173,C$2:C2173,C2173,D$2:D2173,D2173)=1,1,0)</f>
        <v>1</v>
      </c>
      <c r="P2173" s="57" t="n">
        <f aca="false">IF(AND(C2173=Calc!$C$3,OR(Calc!$C$4=0,D2173=Calc!$C$4)),ROW(),0)</f>
        <v>2173</v>
      </c>
    </row>
    <row r="2174" customFormat="false" ht="15" hidden="false" customHeight="false" outlineLevel="0" collapsed="false">
      <c r="A2174" s="57" t="s">
        <v>2729</v>
      </c>
      <c r="B2174" s="58" t="n">
        <v>45879</v>
      </c>
      <c r="C2174" s="57" t="n">
        <f aca="false">YEAR(B2174)</f>
        <v>2025</v>
      </c>
      <c r="D2174" s="57" t="n">
        <f aca="false">MONTH(B2174)</f>
        <v>8</v>
      </c>
      <c r="E2174" s="57" t="s">
        <v>2730</v>
      </c>
      <c r="F2174" s="57" t="s">
        <v>81</v>
      </c>
      <c r="G2174" s="57" t="s">
        <v>40</v>
      </c>
      <c r="H2174" s="57" t="s">
        <v>41</v>
      </c>
      <c r="I2174" s="59" t="n">
        <v>1</v>
      </c>
      <c r="J2174" s="60" t="n">
        <v>46</v>
      </c>
      <c r="K2174" s="60" t="n">
        <v>16</v>
      </c>
      <c r="L2174" s="61" t="n">
        <f aca="false">I2174*J2174</f>
        <v>46</v>
      </c>
      <c r="M2174" s="61" t="n">
        <f aca="false">L2174-I2174*K2174</f>
        <v>30</v>
      </c>
      <c r="N2174" s="57" t="n">
        <f aca="false">IF(COUNTIFS(E$2:E2174,E2174,C$2:C2174,C2174)=1,1,0)</f>
        <v>1</v>
      </c>
      <c r="O2174" s="57" t="n">
        <f aca="false">IF(COUNTIFS(E$2:E2174,E2174,C$2:C2174,C2174,D$2:D2174,D2174)=1,1,0)</f>
        <v>1</v>
      </c>
      <c r="P2174" s="57" t="n">
        <f aca="false">IF(AND(C2174=Calc!$C$3,OR(Calc!$C$4=0,D2174=Calc!$C$4)),ROW(),0)</f>
        <v>2174</v>
      </c>
    </row>
    <row r="2175" customFormat="false" ht="15" hidden="false" customHeight="false" outlineLevel="0" collapsed="false">
      <c r="A2175" s="57" t="s">
        <v>2731</v>
      </c>
      <c r="B2175" s="58" t="n">
        <v>45879</v>
      </c>
      <c r="C2175" s="57" t="n">
        <f aca="false">YEAR(B2175)</f>
        <v>2025</v>
      </c>
      <c r="D2175" s="57" t="n">
        <f aca="false">MONTH(B2175)</f>
        <v>8</v>
      </c>
      <c r="E2175" s="57" t="s">
        <v>1139</v>
      </c>
      <c r="F2175" s="57" t="s">
        <v>72</v>
      </c>
      <c r="G2175" s="57" t="s">
        <v>35</v>
      </c>
      <c r="H2175" s="57" t="s">
        <v>34</v>
      </c>
      <c r="I2175" s="59" t="n">
        <v>1</v>
      </c>
      <c r="J2175" s="60" t="n">
        <v>89</v>
      </c>
      <c r="K2175" s="60" t="n">
        <v>41</v>
      </c>
      <c r="L2175" s="61" t="n">
        <f aca="false">I2175*J2175</f>
        <v>89</v>
      </c>
      <c r="M2175" s="61" t="n">
        <f aca="false">L2175-I2175*K2175</f>
        <v>48</v>
      </c>
      <c r="N2175" s="57" t="n">
        <f aca="false">IF(COUNTIFS(E$2:E2175,E2175,C$2:C2175,C2175)=1,1,0)</f>
        <v>1</v>
      </c>
      <c r="O2175" s="57" t="n">
        <f aca="false">IF(COUNTIFS(E$2:E2175,E2175,C$2:C2175,C2175,D$2:D2175,D2175)=1,1,0)</f>
        <v>1</v>
      </c>
      <c r="P2175" s="57" t="n">
        <f aca="false">IF(AND(C2175=Calc!$C$3,OR(Calc!$C$4=0,D2175=Calc!$C$4)),ROW(),0)</f>
        <v>2175</v>
      </c>
    </row>
    <row r="2176" customFormat="false" ht="15" hidden="false" customHeight="false" outlineLevel="0" collapsed="false">
      <c r="A2176" s="57" t="s">
        <v>2732</v>
      </c>
      <c r="B2176" s="58" t="n">
        <v>45880</v>
      </c>
      <c r="C2176" s="57" t="n">
        <f aca="false">YEAR(B2176)</f>
        <v>2025</v>
      </c>
      <c r="D2176" s="57" t="n">
        <f aca="false">MONTH(B2176)</f>
        <v>8</v>
      </c>
      <c r="E2176" s="57" t="s">
        <v>275</v>
      </c>
      <c r="F2176" s="57" t="s">
        <v>75</v>
      </c>
      <c r="G2176" s="57" t="s">
        <v>35</v>
      </c>
      <c r="H2176" s="57" t="s">
        <v>38</v>
      </c>
      <c r="I2176" s="59" t="n">
        <v>1</v>
      </c>
      <c r="J2176" s="60" t="n">
        <v>49</v>
      </c>
      <c r="K2176" s="60" t="n">
        <v>22</v>
      </c>
      <c r="L2176" s="61" t="n">
        <f aca="false">I2176*J2176</f>
        <v>49</v>
      </c>
      <c r="M2176" s="61" t="n">
        <f aca="false">L2176-I2176*K2176</f>
        <v>27</v>
      </c>
      <c r="N2176" s="57" t="n">
        <f aca="false">IF(COUNTIFS(E$2:E2176,E2176,C$2:C2176,C2176)=1,1,0)</f>
        <v>0</v>
      </c>
      <c r="O2176" s="57" t="n">
        <f aca="false">IF(COUNTIFS(E$2:E2176,E2176,C$2:C2176,C2176,D$2:D2176,D2176)=1,1,0)</f>
        <v>0</v>
      </c>
      <c r="P2176" s="57" t="n">
        <f aca="false">IF(AND(C2176=Calc!$C$3,OR(Calc!$C$4=0,D2176=Calc!$C$4)),ROW(),0)</f>
        <v>2176</v>
      </c>
    </row>
    <row r="2177" customFormat="false" ht="15" hidden="false" customHeight="false" outlineLevel="0" collapsed="false">
      <c r="A2177" s="57" t="s">
        <v>2733</v>
      </c>
      <c r="B2177" s="58" t="n">
        <v>45880</v>
      </c>
      <c r="C2177" s="57" t="n">
        <f aca="false">YEAR(B2177)</f>
        <v>2025</v>
      </c>
      <c r="D2177" s="57" t="n">
        <f aca="false">MONTH(B2177)</f>
        <v>8</v>
      </c>
      <c r="E2177" s="57" t="s">
        <v>843</v>
      </c>
      <c r="F2177" s="57" t="s">
        <v>75</v>
      </c>
      <c r="G2177" s="57" t="s">
        <v>40</v>
      </c>
      <c r="H2177" s="57" t="s">
        <v>43</v>
      </c>
      <c r="I2177" s="59" t="n">
        <v>1</v>
      </c>
      <c r="J2177" s="60" t="n">
        <v>29</v>
      </c>
      <c r="K2177" s="60" t="n">
        <v>9</v>
      </c>
      <c r="L2177" s="61" t="n">
        <f aca="false">I2177*J2177</f>
        <v>29</v>
      </c>
      <c r="M2177" s="61" t="n">
        <f aca="false">L2177-I2177*K2177</f>
        <v>20</v>
      </c>
      <c r="N2177" s="57" t="n">
        <f aca="false">IF(COUNTIFS(E$2:E2177,E2177,C$2:C2177,C2177)=1,1,0)</f>
        <v>0</v>
      </c>
      <c r="O2177" s="57" t="n">
        <f aca="false">IF(COUNTIFS(E$2:E2177,E2177,C$2:C2177,C2177,D$2:D2177,D2177)=1,1,0)</f>
        <v>1</v>
      </c>
      <c r="P2177" s="57" t="n">
        <f aca="false">IF(AND(C2177=Calc!$C$3,OR(Calc!$C$4=0,D2177=Calc!$C$4)),ROW(),0)</f>
        <v>2177</v>
      </c>
    </row>
    <row r="2178" customFormat="false" ht="15" hidden="false" customHeight="false" outlineLevel="0" collapsed="false">
      <c r="A2178" s="57" t="s">
        <v>2734</v>
      </c>
      <c r="B2178" s="58" t="n">
        <v>45880</v>
      </c>
      <c r="C2178" s="57" t="n">
        <f aca="false">YEAR(B2178)</f>
        <v>2025</v>
      </c>
      <c r="D2178" s="57" t="n">
        <f aca="false">MONTH(B2178)</f>
        <v>8</v>
      </c>
      <c r="E2178" s="57" t="s">
        <v>1114</v>
      </c>
      <c r="F2178" s="57" t="s">
        <v>75</v>
      </c>
      <c r="G2178" s="57" t="s">
        <v>35</v>
      </c>
      <c r="H2178" s="57" t="s">
        <v>36</v>
      </c>
      <c r="I2178" s="59" t="n">
        <v>1</v>
      </c>
      <c r="J2178" s="60" t="n">
        <v>179</v>
      </c>
      <c r="K2178" s="60" t="n">
        <v>92</v>
      </c>
      <c r="L2178" s="61" t="n">
        <f aca="false">I2178*J2178</f>
        <v>179</v>
      </c>
      <c r="M2178" s="61" t="n">
        <f aca="false">L2178-I2178*K2178</f>
        <v>87</v>
      </c>
      <c r="N2178" s="57" t="n">
        <f aca="false">IF(COUNTIFS(E$2:E2178,E2178,C$2:C2178,C2178)=1,1,0)</f>
        <v>0</v>
      </c>
      <c r="O2178" s="57" t="n">
        <f aca="false">IF(COUNTIFS(E$2:E2178,E2178,C$2:C2178,C2178,D$2:D2178,D2178)=1,1,0)</f>
        <v>1</v>
      </c>
      <c r="P2178" s="57" t="n">
        <f aca="false">IF(AND(C2178=Calc!$C$3,OR(Calc!$C$4=0,D2178=Calc!$C$4)),ROW(),0)</f>
        <v>2178</v>
      </c>
    </row>
    <row r="2179" customFormat="false" ht="15" hidden="false" customHeight="false" outlineLevel="0" collapsed="false">
      <c r="A2179" s="57" t="s">
        <v>2735</v>
      </c>
      <c r="B2179" s="58" t="n">
        <v>45880</v>
      </c>
      <c r="C2179" s="57" t="n">
        <f aca="false">YEAR(B2179)</f>
        <v>2025</v>
      </c>
      <c r="D2179" s="57" t="n">
        <f aca="false">MONTH(B2179)</f>
        <v>8</v>
      </c>
      <c r="E2179" s="57" t="s">
        <v>380</v>
      </c>
      <c r="F2179" s="57" t="s">
        <v>69</v>
      </c>
      <c r="G2179" s="57" t="s">
        <v>35</v>
      </c>
      <c r="H2179" s="57" t="s">
        <v>37</v>
      </c>
      <c r="I2179" s="59" t="n">
        <v>1</v>
      </c>
      <c r="J2179" s="60" t="n">
        <v>59</v>
      </c>
      <c r="K2179" s="60" t="n">
        <v>27</v>
      </c>
      <c r="L2179" s="61" t="n">
        <f aca="false">I2179*J2179</f>
        <v>59</v>
      </c>
      <c r="M2179" s="61" t="n">
        <f aca="false">L2179-I2179*K2179</f>
        <v>32</v>
      </c>
      <c r="N2179" s="57" t="n">
        <f aca="false">IF(COUNTIFS(E$2:E2179,E2179,C$2:C2179,C2179)=1,1,0)</f>
        <v>0</v>
      </c>
      <c r="O2179" s="57" t="n">
        <f aca="false">IF(COUNTIFS(E$2:E2179,E2179,C$2:C2179,C2179,D$2:D2179,D2179)=1,1,0)</f>
        <v>0</v>
      </c>
      <c r="P2179" s="57" t="n">
        <f aca="false">IF(AND(C2179=Calc!$C$3,OR(Calc!$C$4=0,D2179=Calc!$C$4)),ROW(),0)</f>
        <v>2179</v>
      </c>
    </row>
    <row r="2180" customFormat="false" ht="15" hidden="false" customHeight="false" outlineLevel="0" collapsed="false">
      <c r="A2180" s="57" t="s">
        <v>2736</v>
      </c>
      <c r="B2180" s="58" t="n">
        <v>45880</v>
      </c>
      <c r="C2180" s="57" t="n">
        <f aca="false">YEAR(B2180)</f>
        <v>2025</v>
      </c>
      <c r="D2180" s="57" t="n">
        <f aca="false">MONTH(B2180)</f>
        <v>8</v>
      </c>
      <c r="E2180" s="57" t="s">
        <v>1329</v>
      </c>
      <c r="F2180" s="57" t="s">
        <v>69</v>
      </c>
      <c r="G2180" s="57" t="s">
        <v>40</v>
      </c>
      <c r="H2180" s="57" t="s">
        <v>41</v>
      </c>
      <c r="I2180" s="59" t="n">
        <v>3</v>
      </c>
      <c r="J2180" s="60" t="n">
        <v>46</v>
      </c>
      <c r="K2180" s="60" t="n">
        <v>16</v>
      </c>
      <c r="L2180" s="61" t="n">
        <f aca="false">I2180*J2180</f>
        <v>138</v>
      </c>
      <c r="M2180" s="61" t="n">
        <f aca="false">L2180-I2180*K2180</f>
        <v>90</v>
      </c>
      <c r="N2180" s="57" t="n">
        <f aca="false">IF(COUNTIFS(E$2:E2180,E2180,C$2:C2180,C2180)=1,1,0)</f>
        <v>0</v>
      </c>
      <c r="O2180" s="57" t="n">
        <f aca="false">IF(COUNTIFS(E$2:E2180,E2180,C$2:C2180,C2180,D$2:D2180,D2180)=1,1,0)</f>
        <v>0</v>
      </c>
      <c r="P2180" s="57" t="n">
        <f aca="false">IF(AND(C2180=Calc!$C$3,OR(Calc!$C$4=0,D2180=Calc!$C$4)),ROW(),0)</f>
        <v>2180</v>
      </c>
    </row>
    <row r="2181" customFormat="false" ht="15" hidden="false" customHeight="false" outlineLevel="0" collapsed="false">
      <c r="A2181" s="57" t="s">
        <v>2737</v>
      </c>
      <c r="B2181" s="58" t="n">
        <v>45881</v>
      </c>
      <c r="C2181" s="57" t="n">
        <f aca="false">YEAR(B2181)</f>
        <v>2025</v>
      </c>
      <c r="D2181" s="57" t="n">
        <f aca="false">MONTH(B2181)</f>
        <v>8</v>
      </c>
      <c r="E2181" s="57" t="s">
        <v>1523</v>
      </c>
      <c r="F2181" s="57" t="s">
        <v>69</v>
      </c>
      <c r="G2181" s="57" t="s">
        <v>50</v>
      </c>
      <c r="H2181" s="57" t="s">
        <v>52</v>
      </c>
      <c r="I2181" s="59" t="n">
        <v>1</v>
      </c>
      <c r="J2181" s="60" t="n">
        <v>45</v>
      </c>
      <c r="K2181" s="60" t="n">
        <v>14</v>
      </c>
      <c r="L2181" s="61" t="n">
        <f aca="false">I2181*J2181</f>
        <v>45</v>
      </c>
      <c r="M2181" s="61" t="n">
        <f aca="false">L2181-I2181*K2181</f>
        <v>31</v>
      </c>
      <c r="N2181" s="57" t="n">
        <f aca="false">IF(COUNTIFS(E$2:E2181,E2181,C$2:C2181,C2181)=1,1,0)</f>
        <v>0</v>
      </c>
      <c r="O2181" s="57" t="n">
        <f aca="false">IF(COUNTIFS(E$2:E2181,E2181,C$2:C2181,C2181,D$2:D2181,D2181)=1,1,0)</f>
        <v>1</v>
      </c>
      <c r="P2181" s="57" t="n">
        <f aca="false">IF(AND(C2181=Calc!$C$3,OR(Calc!$C$4=0,D2181=Calc!$C$4)),ROW(),0)</f>
        <v>2181</v>
      </c>
    </row>
    <row r="2182" customFormat="false" ht="15" hidden="false" customHeight="false" outlineLevel="0" collapsed="false">
      <c r="A2182" s="57" t="s">
        <v>2738</v>
      </c>
      <c r="B2182" s="58" t="n">
        <v>45881</v>
      </c>
      <c r="C2182" s="57" t="n">
        <f aca="false">YEAR(B2182)</f>
        <v>2025</v>
      </c>
      <c r="D2182" s="57" t="n">
        <f aca="false">MONTH(B2182)</f>
        <v>8</v>
      </c>
      <c r="E2182" s="57" t="s">
        <v>500</v>
      </c>
      <c r="F2182" s="57" t="s">
        <v>72</v>
      </c>
      <c r="G2182" s="57" t="s">
        <v>45</v>
      </c>
      <c r="H2182" s="57" t="s">
        <v>48</v>
      </c>
      <c r="I2182" s="59" t="n">
        <v>1</v>
      </c>
      <c r="J2182" s="60" t="n">
        <v>99</v>
      </c>
      <c r="K2182" s="60" t="n">
        <v>38</v>
      </c>
      <c r="L2182" s="61" t="n">
        <f aca="false">I2182*J2182</f>
        <v>99</v>
      </c>
      <c r="M2182" s="61" t="n">
        <f aca="false">L2182-I2182*K2182</f>
        <v>61</v>
      </c>
      <c r="N2182" s="57" t="n">
        <f aca="false">IF(COUNTIFS(E$2:E2182,E2182,C$2:C2182,C2182)=1,1,0)</f>
        <v>0</v>
      </c>
      <c r="O2182" s="57" t="n">
        <f aca="false">IF(COUNTIFS(E$2:E2182,E2182,C$2:C2182,C2182,D$2:D2182,D2182)=1,1,0)</f>
        <v>1</v>
      </c>
      <c r="P2182" s="57" t="n">
        <f aca="false">IF(AND(C2182=Calc!$C$3,OR(Calc!$C$4=0,D2182=Calc!$C$4)),ROW(),0)</f>
        <v>2182</v>
      </c>
    </row>
    <row r="2183" customFormat="false" ht="15" hidden="false" customHeight="false" outlineLevel="0" collapsed="false">
      <c r="A2183" s="57" t="s">
        <v>2739</v>
      </c>
      <c r="B2183" s="58" t="n">
        <v>45881</v>
      </c>
      <c r="C2183" s="57" t="n">
        <f aca="false">YEAR(B2183)</f>
        <v>2025</v>
      </c>
      <c r="D2183" s="57" t="n">
        <f aca="false">MONTH(B2183)</f>
        <v>8</v>
      </c>
      <c r="E2183" s="57" t="s">
        <v>566</v>
      </c>
      <c r="F2183" s="57" t="s">
        <v>69</v>
      </c>
      <c r="G2183" s="57" t="s">
        <v>35</v>
      </c>
      <c r="H2183" s="57" t="s">
        <v>38</v>
      </c>
      <c r="I2183" s="59" t="n">
        <v>1</v>
      </c>
      <c r="J2183" s="60" t="n">
        <v>49</v>
      </c>
      <c r="K2183" s="60" t="n">
        <v>22</v>
      </c>
      <c r="L2183" s="61" t="n">
        <f aca="false">I2183*J2183</f>
        <v>49</v>
      </c>
      <c r="M2183" s="61" t="n">
        <f aca="false">L2183-I2183*K2183</f>
        <v>27</v>
      </c>
      <c r="N2183" s="57" t="n">
        <f aca="false">IF(COUNTIFS(E$2:E2183,E2183,C$2:C2183,C2183)=1,1,0)</f>
        <v>0</v>
      </c>
      <c r="O2183" s="57" t="n">
        <f aca="false">IF(COUNTIFS(E$2:E2183,E2183,C$2:C2183,C2183,D$2:D2183,D2183)=1,1,0)</f>
        <v>1</v>
      </c>
      <c r="P2183" s="57" t="n">
        <f aca="false">IF(AND(C2183=Calc!$C$3,OR(Calc!$C$4=0,D2183=Calc!$C$4)),ROW(),0)</f>
        <v>2183</v>
      </c>
    </row>
    <row r="2184" customFormat="false" ht="15" hidden="false" customHeight="false" outlineLevel="0" collapsed="false">
      <c r="A2184" s="57" t="s">
        <v>2740</v>
      </c>
      <c r="B2184" s="58" t="n">
        <v>45882</v>
      </c>
      <c r="C2184" s="57" t="n">
        <f aca="false">YEAR(B2184)</f>
        <v>2025</v>
      </c>
      <c r="D2184" s="57" t="n">
        <f aca="false">MONTH(B2184)</f>
        <v>8</v>
      </c>
      <c r="E2184" s="57" t="s">
        <v>114</v>
      </c>
      <c r="F2184" s="57" t="s">
        <v>69</v>
      </c>
      <c r="G2184" s="57" t="s">
        <v>45</v>
      </c>
      <c r="H2184" s="57" t="s">
        <v>46</v>
      </c>
      <c r="I2184" s="59" t="n">
        <v>1</v>
      </c>
      <c r="J2184" s="60" t="n">
        <v>149</v>
      </c>
      <c r="K2184" s="60" t="n">
        <v>71</v>
      </c>
      <c r="L2184" s="61" t="n">
        <f aca="false">I2184*J2184</f>
        <v>149</v>
      </c>
      <c r="M2184" s="61" t="n">
        <f aca="false">L2184-I2184*K2184</f>
        <v>78</v>
      </c>
      <c r="N2184" s="57" t="n">
        <f aca="false">IF(COUNTIFS(E$2:E2184,E2184,C$2:C2184,C2184)=1,1,0)</f>
        <v>1</v>
      </c>
      <c r="O2184" s="57" t="n">
        <f aca="false">IF(COUNTIFS(E$2:E2184,E2184,C$2:C2184,C2184,D$2:D2184,D2184)=1,1,0)</f>
        <v>1</v>
      </c>
      <c r="P2184" s="57" t="n">
        <f aca="false">IF(AND(C2184=Calc!$C$3,OR(Calc!$C$4=0,D2184=Calc!$C$4)),ROW(),0)</f>
        <v>2184</v>
      </c>
    </row>
    <row r="2185" customFormat="false" ht="15" hidden="false" customHeight="false" outlineLevel="0" collapsed="false">
      <c r="A2185" s="57" t="s">
        <v>2741</v>
      </c>
      <c r="B2185" s="58" t="n">
        <v>45882</v>
      </c>
      <c r="C2185" s="57" t="n">
        <f aca="false">YEAR(B2185)</f>
        <v>2025</v>
      </c>
      <c r="D2185" s="57" t="n">
        <f aca="false">MONTH(B2185)</f>
        <v>8</v>
      </c>
      <c r="E2185" s="57" t="s">
        <v>500</v>
      </c>
      <c r="F2185" s="57" t="s">
        <v>72</v>
      </c>
      <c r="G2185" s="57" t="s">
        <v>35</v>
      </c>
      <c r="H2185" s="57" t="s">
        <v>38</v>
      </c>
      <c r="I2185" s="59" t="n">
        <v>1</v>
      </c>
      <c r="J2185" s="60" t="n">
        <v>49</v>
      </c>
      <c r="K2185" s="60" t="n">
        <v>22</v>
      </c>
      <c r="L2185" s="61" t="n">
        <f aca="false">I2185*J2185</f>
        <v>49</v>
      </c>
      <c r="M2185" s="61" t="n">
        <f aca="false">L2185-I2185*K2185</f>
        <v>27</v>
      </c>
      <c r="N2185" s="57" t="n">
        <f aca="false">IF(COUNTIFS(E$2:E2185,E2185,C$2:C2185,C2185)=1,1,0)</f>
        <v>0</v>
      </c>
      <c r="O2185" s="57" t="n">
        <f aca="false">IF(COUNTIFS(E$2:E2185,E2185,C$2:C2185,C2185,D$2:D2185,D2185)=1,1,0)</f>
        <v>0</v>
      </c>
      <c r="P2185" s="57" t="n">
        <f aca="false">IF(AND(C2185=Calc!$C$3,OR(Calc!$C$4=0,D2185=Calc!$C$4)),ROW(),0)</f>
        <v>2185</v>
      </c>
    </row>
    <row r="2186" customFormat="false" ht="15" hidden="false" customHeight="false" outlineLevel="0" collapsed="false">
      <c r="A2186" s="57" t="s">
        <v>2742</v>
      </c>
      <c r="B2186" s="58" t="n">
        <v>45882</v>
      </c>
      <c r="C2186" s="57" t="n">
        <f aca="false">YEAR(B2186)</f>
        <v>2025</v>
      </c>
      <c r="D2186" s="57" t="n">
        <f aca="false">MONTH(B2186)</f>
        <v>8</v>
      </c>
      <c r="E2186" s="57" t="s">
        <v>743</v>
      </c>
      <c r="F2186" s="57" t="s">
        <v>69</v>
      </c>
      <c r="G2186" s="57" t="s">
        <v>40</v>
      </c>
      <c r="H2186" s="57" t="s">
        <v>43</v>
      </c>
      <c r="I2186" s="59" t="n">
        <v>1</v>
      </c>
      <c r="J2186" s="60" t="n">
        <v>29</v>
      </c>
      <c r="K2186" s="60" t="n">
        <v>9</v>
      </c>
      <c r="L2186" s="61" t="n">
        <f aca="false">I2186*J2186</f>
        <v>29</v>
      </c>
      <c r="M2186" s="61" t="n">
        <f aca="false">L2186-I2186*K2186</f>
        <v>20</v>
      </c>
      <c r="N2186" s="57" t="n">
        <f aca="false">IF(COUNTIFS(E$2:E2186,E2186,C$2:C2186,C2186)=1,1,0)</f>
        <v>0</v>
      </c>
      <c r="O2186" s="57" t="n">
        <f aca="false">IF(COUNTIFS(E$2:E2186,E2186,C$2:C2186,C2186,D$2:D2186,D2186)=1,1,0)</f>
        <v>1</v>
      </c>
      <c r="P2186" s="57" t="n">
        <f aca="false">IF(AND(C2186=Calc!$C$3,OR(Calc!$C$4=0,D2186=Calc!$C$4)),ROW(),0)</f>
        <v>2186</v>
      </c>
    </row>
    <row r="2187" customFormat="false" ht="15" hidden="false" customHeight="false" outlineLevel="0" collapsed="false">
      <c r="A2187" s="57" t="s">
        <v>2743</v>
      </c>
      <c r="B2187" s="58" t="n">
        <v>45882</v>
      </c>
      <c r="C2187" s="57" t="n">
        <f aca="false">YEAR(B2187)</f>
        <v>2025</v>
      </c>
      <c r="D2187" s="57" t="n">
        <f aca="false">MONTH(B2187)</f>
        <v>8</v>
      </c>
      <c r="E2187" s="57" t="s">
        <v>629</v>
      </c>
      <c r="F2187" s="57" t="s">
        <v>78</v>
      </c>
      <c r="G2187" s="57" t="s">
        <v>35</v>
      </c>
      <c r="H2187" s="57" t="s">
        <v>36</v>
      </c>
      <c r="I2187" s="59" t="n">
        <v>1</v>
      </c>
      <c r="J2187" s="60" t="n">
        <v>179</v>
      </c>
      <c r="K2187" s="60" t="n">
        <v>92</v>
      </c>
      <c r="L2187" s="61" t="n">
        <f aca="false">I2187*J2187</f>
        <v>179</v>
      </c>
      <c r="M2187" s="61" t="n">
        <f aca="false">L2187-I2187*K2187</f>
        <v>87</v>
      </c>
      <c r="N2187" s="57" t="n">
        <f aca="false">IF(COUNTIFS(E$2:E2187,E2187,C$2:C2187,C2187)=1,1,0)</f>
        <v>0</v>
      </c>
      <c r="O2187" s="57" t="n">
        <f aca="false">IF(COUNTIFS(E$2:E2187,E2187,C$2:C2187,C2187,D$2:D2187,D2187)=1,1,0)</f>
        <v>1</v>
      </c>
      <c r="P2187" s="57" t="n">
        <f aca="false">IF(AND(C2187=Calc!$C$3,OR(Calc!$C$4=0,D2187=Calc!$C$4)),ROW(),0)</f>
        <v>2187</v>
      </c>
    </row>
    <row r="2188" customFormat="false" ht="15" hidden="false" customHeight="false" outlineLevel="0" collapsed="false">
      <c r="A2188" s="57" t="s">
        <v>2744</v>
      </c>
      <c r="B2188" s="58" t="n">
        <v>45883</v>
      </c>
      <c r="C2188" s="57" t="n">
        <f aca="false">YEAR(B2188)</f>
        <v>2025</v>
      </c>
      <c r="D2188" s="57" t="n">
        <f aca="false">MONTH(B2188)</f>
        <v>8</v>
      </c>
      <c r="E2188" s="57" t="s">
        <v>382</v>
      </c>
      <c r="F2188" s="57" t="s">
        <v>69</v>
      </c>
      <c r="G2188" s="57" t="s">
        <v>35</v>
      </c>
      <c r="H2188" s="57" t="s">
        <v>37</v>
      </c>
      <c r="I2188" s="59" t="n">
        <v>1</v>
      </c>
      <c r="J2188" s="60" t="n">
        <v>59</v>
      </c>
      <c r="K2188" s="60" t="n">
        <v>27</v>
      </c>
      <c r="L2188" s="61" t="n">
        <f aca="false">I2188*J2188</f>
        <v>59</v>
      </c>
      <c r="M2188" s="61" t="n">
        <f aca="false">L2188-I2188*K2188</f>
        <v>32</v>
      </c>
      <c r="N2188" s="57" t="n">
        <f aca="false">IF(COUNTIFS(E$2:E2188,E2188,C$2:C2188,C2188)=1,1,0)</f>
        <v>0</v>
      </c>
      <c r="O2188" s="57" t="n">
        <f aca="false">IF(COUNTIFS(E$2:E2188,E2188,C$2:C2188,C2188,D$2:D2188,D2188)=1,1,0)</f>
        <v>1</v>
      </c>
      <c r="P2188" s="57" t="n">
        <f aca="false">IF(AND(C2188=Calc!$C$3,OR(Calc!$C$4=0,D2188=Calc!$C$4)),ROW(),0)</f>
        <v>2188</v>
      </c>
    </row>
    <row r="2189" customFormat="false" ht="15" hidden="false" customHeight="false" outlineLevel="0" collapsed="false">
      <c r="A2189" s="57" t="s">
        <v>2745</v>
      </c>
      <c r="B2189" s="58" t="n">
        <v>45883</v>
      </c>
      <c r="C2189" s="57" t="n">
        <f aca="false">YEAR(B2189)</f>
        <v>2025</v>
      </c>
      <c r="D2189" s="57" t="n">
        <f aca="false">MONTH(B2189)</f>
        <v>8</v>
      </c>
      <c r="E2189" s="57" t="s">
        <v>998</v>
      </c>
      <c r="F2189" s="57" t="s">
        <v>81</v>
      </c>
      <c r="G2189" s="57" t="s">
        <v>45</v>
      </c>
      <c r="H2189" s="57" t="s">
        <v>44</v>
      </c>
      <c r="I2189" s="59" t="n">
        <v>1</v>
      </c>
      <c r="J2189" s="60" t="n">
        <v>119</v>
      </c>
      <c r="K2189" s="60" t="n">
        <v>63</v>
      </c>
      <c r="L2189" s="61" t="n">
        <f aca="false">I2189*J2189</f>
        <v>119</v>
      </c>
      <c r="M2189" s="61" t="n">
        <f aca="false">L2189-I2189*K2189</f>
        <v>56</v>
      </c>
      <c r="N2189" s="57" t="n">
        <f aca="false">IF(COUNTIFS(E$2:E2189,E2189,C$2:C2189,C2189)=1,1,0)</f>
        <v>0</v>
      </c>
      <c r="O2189" s="57" t="n">
        <f aca="false">IF(COUNTIFS(E$2:E2189,E2189,C$2:C2189,C2189,D$2:D2189,D2189)=1,1,0)</f>
        <v>1</v>
      </c>
      <c r="P2189" s="57" t="n">
        <f aca="false">IF(AND(C2189=Calc!$C$3,OR(Calc!$C$4=0,D2189=Calc!$C$4)),ROW(),0)</f>
        <v>2189</v>
      </c>
    </row>
    <row r="2190" customFormat="false" ht="15" hidden="false" customHeight="false" outlineLevel="0" collapsed="false">
      <c r="A2190" s="57" t="s">
        <v>2746</v>
      </c>
      <c r="B2190" s="58" t="n">
        <v>45883</v>
      </c>
      <c r="C2190" s="57" t="n">
        <f aca="false">YEAR(B2190)</f>
        <v>2025</v>
      </c>
      <c r="D2190" s="57" t="n">
        <f aca="false">MONTH(B2190)</f>
        <v>8</v>
      </c>
      <c r="E2190" s="57" t="s">
        <v>446</v>
      </c>
      <c r="F2190" s="57" t="s">
        <v>75</v>
      </c>
      <c r="G2190" s="57" t="s">
        <v>40</v>
      </c>
      <c r="H2190" s="57" t="s">
        <v>43</v>
      </c>
      <c r="I2190" s="59" t="n">
        <v>1</v>
      </c>
      <c r="J2190" s="60" t="n">
        <v>29</v>
      </c>
      <c r="K2190" s="60" t="n">
        <v>9</v>
      </c>
      <c r="L2190" s="61" t="n">
        <f aca="false">I2190*J2190</f>
        <v>29</v>
      </c>
      <c r="M2190" s="61" t="n">
        <f aca="false">L2190-I2190*K2190</f>
        <v>20</v>
      </c>
      <c r="N2190" s="57" t="n">
        <f aca="false">IF(COUNTIFS(E$2:E2190,E2190,C$2:C2190,C2190)=1,1,0)</f>
        <v>0</v>
      </c>
      <c r="O2190" s="57" t="n">
        <f aca="false">IF(COUNTIFS(E$2:E2190,E2190,C$2:C2190,C2190,D$2:D2190,D2190)=1,1,0)</f>
        <v>1</v>
      </c>
      <c r="P2190" s="57" t="n">
        <f aca="false">IF(AND(C2190=Calc!$C$3,OR(Calc!$C$4=0,D2190=Calc!$C$4)),ROW(),0)</f>
        <v>2190</v>
      </c>
    </row>
    <row r="2191" customFormat="false" ht="15" hidden="false" customHeight="false" outlineLevel="0" collapsed="false">
      <c r="A2191" s="57" t="s">
        <v>2747</v>
      </c>
      <c r="B2191" s="58" t="n">
        <v>45884</v>
      </c>
      <c r="C2191" s="57" t="n">
        <f aca="false">YEAR(B2191)</f>
        <v>2025</v>
      </c>
      <c r="D2191" s="57" t="n">
        <f aca="false">MONTH(B2191)</f>
        <v>8</v>
      </c>
      <c r="E2191" s="57" t="s">
        <v>399</v>
      </c>
      <c r="F2191" s="57" t="s">
        <v>69</v>
      </c>
      <c r="G2191" s="57" t="s">
        <v>45</v>
      </c>
      <c r="H2191" s="57" t="s">
        <v>46</v>
      </c>
      <c r="I2191" s="59" t="n">
        <v>1</v>
      </c>
      <c r="J2191" s="60" t="n">
        <v>149</v>
      </c>
      <c r="K2191" s="60" t="n">
        <v>71</v>
      </c>
      <c r="L2191" s="61" t="n">
        <f aca="false">I2191*J2191</f>
        <v>149</v>
      </c>
      <c r="M2191" s="61" t="n">
        <f aca="false">L2191-I2191*K2191</f>
        <v>78</v>
      </c>
      <c r="N2191" s="57" t="n">
        <f aca="false">IF(COUNTIFS(E$2:E2191,E2191,C$2:C2191,C2191)=1,1,0)</f>
        <v>0</v>
      </c>
      <c r="O2191" s="57" t="n">
        <f aca="false">IF(COUNTIFS(E$2:E2191,E2191,C$2:C2191,C2191,D$2:D2191,D2191)=1,1,0)</f>
        <v>0</v>
      </c>
      <c r="P2191" s="57" t="n">
        <f aca="false">IF(AND(C2191=Calc!$C$3,OR(Calc!$C$4=0,D2191=Calc!$C$4)),ROW(),0)</f>
        <v>2191</v>
      </c>
    </row>
    <row r="2192" customFormat="false" ht="15" hidden="false" customHeight="false" outlineLevel="0" collapsed="false">
      <c r="A2192" s="57" t="s">
        <v>2748</v>
      </c>
      <c r="B2192" s="58" t="n">
        <v>45884</v>
      </c>
      <c r="C2192" s="57" t="n">
        <f aca="false">YEAR(B2192)</f>
        <v>2025</v>
      </c>
      <c r="D2192" s="57" t="n">
        <f aca="false">MONTH(B2192)</f>
        <v>8</v>
      </c>
      <c r="E2192" s="57" t="s">
        <v>620</v>
      </c>
      <c r="F2192" s="57" t="s">
        <v>72</v>
      </c>
      <c r="G2192" s="57" t="s">
        <v>40</v>
      </c>
      <c r="H2192" s="57" t="s">
        <v>41</v>
      </c>
      <c r="I2192" s="59" t="n">
        <v>1</v>
      </c>
      <c r="J2192" s="60" t="n">
        <v>46</v>
      </c>
      <c r="K2192" s="60" t="n">
        <v>16</v>
      </c>
      <c r="L2192" s="61" t="n">
        <f aca="false">I2192*J2192</f>
        <v>46</v>
      </c>
      <c r="M2192" s="61" t="n">
        <f aca="false">L2192-I2192*K2192</f>
        <v>30</v>
      </c>
      <c r="N2192" s="57" t="n">
        <f aca="false">IF(COUNTIFS(E$2:E2192,E2192,C$2:C2192,C2192)=1,1,0)</f>
        <v>0</v>
      </c>
      <c r="O2192" s="57" t="n">
        <f aca="false">IF(COUNTIFS(E$2:E2192,E2192,C$2:C2192,C2192,D$2:D2192,D2192)=1,1,0)</f>
        <v>1</v>
      </c>
      <c r="P2192" s="57" t="n">
        <f aca="false">IF(AND(C2192=Calc!$C$3,OR(Calc!$C$4=0,D2192=Calc!$C$4)),ROW(),0)</f>
        <v>2192</v>
      </c>
    </row>
    <row r="2193" customFormat="false" ht="15" hidden="false" customHeight="false" outlineLevel="0" collapsed="false">
      <c r="A2193" s="57" t="s">
        <v>2749</v>
      </c>
      <c r="B2193" s="58" t="n">
        <v>45884</v>
      </c>
      <c r="C2193" s="57" t="n">
        <f aca="false">YEAR(B2193)</f>
        <v>2025</v>
      </c>
      <c r="D2193" s="57" t="n">
        <f aca="false">MONTH(B2193)</f>
        <v>8</v>
      </c>
      <c r="E2193" s="57" t="s">
        <v>395</v>
      </c>
      <c r="F2193" s="57" t="s">
        <v>69</v>
      </c>
      <c r="G2193" s="57" t="s">
        <v>35</v>
      </c>
      <c r="H2193" s="57" t="s">
        <v>36</v>
      </c>
      <c r="I2193" s="59" t="n">
        <v>1</v>
      </c>
      <c r="J2193" s="60" t="n">
        <v>179</v>
      </c>
      <c r="K2193" s="60" t="n">
        <v>92</v>
      </c>
      <c r="L2193" s="61" t="n">
        <f aca="false">I2193*J2193</f>
        <v>179</v>
      </c>
      <c r="M2193" s="61" t="n">
        <f aca="false">L2193-I2193*K2193</f>
        <v>87</v>
      </c>
      <c r="N2193" s="57" t="n">
        <f aca="false">IF(COUNTIFS(E$2:E2193,E2193,C$2:C2193,C2193)=1,1,0)</f>
        <v>0</v>
      </c>
      <c r="O2193" s="57" t="n">
        <f aca="false">IF(COUNTIFS(E$2:E2193,E2193,C$2:C2193,C2193,D$2:D2193,D2193)=1,1,0)</f>
        <v>1</v>
      </c>
      <c r="P2193" s="57" t="n">
        <f aca="false">IF(AND(C2193=Calc!$C$3,OR(Calc!$C$4=0,D2193=Calc!$C$4)),ROW(),0)</f>
        <v>2193</v>
      </c>
    </row>
    <row r="2194" customFormat="false" ht="15" hidden="false" customHeight="false" outlineLevel="0" collapsed="false">
      <c r="A2194" s="57" t="s">
        <v>2750</v>
      </c>
      <c r="B2194" s="58" t="n">
        <v>45884</v>
      </c>
      <c r="C2194" s="57" t="n">
        <f aca="false">YEAR(B2194)</f>
        <v>2025</v>
      </c>
      <c r="D2194" s="57" t="n">
        <f aca="false">MONTH(B2194)</f>
        <v>8</v>
      </c>
      <c r="E2194" s="57" t="s">
        <v>384</v>
      </c>
      <c r="F2194" s="57" t="s">
        <v>72</v>
      </c>
      <c r="G2194" s="57" t="s">
        <v>35</v>
      </c>
      <c r="H2194" s="57" t="s">
        <v>36</v>
      </c>
      <c r="I2194" s="59" t="n">
        <v>1</v>
      </c>
      <c r="J2194" s="60" t="n">
        <v>179</v>
      </c>
      <c r="K2194" s="60" t="n">
        <v>92</v>
      </c>
      <c r="L2194" s="61" t="n">
        <f aca="false">I2194*J2194</f>
        <v>179</v>
      </c>
      <c r="M2194" s="61" t="n">
        <f aca="false">L2194-I2194*K2194</f>
        <v>87</v>
      </c>
      <c r="N2194" s="57" t="n">
        <f aca="false">IF(COUNTIFS(E$2:E2194,E2194,C$2:C2194,C2194)=1,1,0)</f>
        <v>0</v>
      </c>
      <c r="O2194" s="57" t="n">
        <f aca="false">IF(COUNTIFS(E$2:E2194,E2194,C$2:C2194,C2194,D$2:D2194,D2194)=1,1,0)</f>
        <v>1</v>
      </c>
      <c r="P2194" s="57" t="n">
        <f aca="false">IF(AND(C2194=Calc!$C$3,OR(Calc!$C$4=0,D2194=Calc!$C$4)),ROW(),0)</f>
        <v>2194</v>
      </c>
    </row>
    <row r="2195" customFormat="false" ht="15" hidden="false" customHeight="false" outlineLevel="0" collapsed="false">
      <c r="A2195" s="57" t="s">
        <v>2751</v>
      </c>
      <c r="B2195" s="58" t="n">
        <v>45885</v>
      </c>
      <c r="C2195" s="57" t="n">
        <f aca="false">YEAR(B2195)</f>
        <v>2025</v>
      </c>
      <c r="D2195" s="57" t="n">
        <f aca="false">MONTH(B2195)</f>
        <v>8</v>
      </c>
      <c r="E2195" s="57" t="s">
        <v>156</v>
      </c>
      <c r="F2195" s="57" t="s">
        <v>75</v>
      </c>
      <c r="G2195" s="57" t="s">
        <v>35</v>
      </c>
      <c r="H2195" s="57" t="s">
        <v>38</v>
      </c>
      <c r="I2195" s="59" t="n">
        <v>2</v>
      </c>
      <c r="J2195" s="60" t="n">
        <v>49</v>
      </c>
      <c r="K2195" s="60" t="n">
        <v>22</v>
      </c>
      <c r="L2195" s="61" t="n">
        <f aca="false">I2195*J2195</f>
        <v>98</v>
      </c>
      <c r="M2195" s="61" t="n">
        <f aca="false">L2195-I2195*K2195</f>
        <v>54</v>
      </c>
      <c r="N2195" s="57" t="n">
        <f aca="false">IF(COUNTIFS(E$2:E2195,E2195,C$2:C2195,C2195)=1,1,0)</f>
        <v>0</v>
      </c>
      <c r="O2195" s="57" t="n">
        <f aca="false">IF(COUNTIFS(E$2:E2195,E2195,C$2:C2195,C2195,D$2:D2195,D2195)=1,1,0)</f>
        <v>1</v>
      </c>
      <c r="P2195" s="57" t="n">
        <f aca="false">IF(AND(C2195=Calc!$C$3,OR(Calc!$C$4=0,D2195=Calc!$C$4)),ROW(),0)</f>
        <v>2195</v>
      </c>
    </row>
    <row r="2196" customFormat="false" ht="15" hidden="false" customHeight="false" outlineLevel="0" collapsed="false">
      <c r="A2196" s="57" t="s">
        <v>2752</v>
      </c>
      <c r="B2196" s="58" t="n">
        <v>45885</v>
      </c>
      <c r="C2196" s="57" t="n">
        <f aca="false">YEAR(B2196)</f>
        <v>2025</v>
      </c>
      <c r="D2196" s="57" t="n">
        <f aca="false">MONTH(B2196)</f>
        <v>8</v>
      </c>
      <c r="E2196" s="57" t="s">
        <v>582</v>
      </c>
      <c r="F2196" s="57" t="s">
        <v>69</v>
      </c>
      <c r="G2196" s="57" t="s">
        <v>35</v>
      </c>
      <c r="H2196" s="57" t="s">
        <v>34</v>
      </c>
      <c r="I2196" s="59" t="n">
        <v>1</v>
      </c>
      <c r="J2196" s="60" t="n">
        <v>89</v>
      </c>
      <c r="K2196" s="60" t="n">
        <v>41</v>
      </c>
      <c r="L2196" s="61" t="n">
        <f aca="false">I2196*J2196</f>
        <v>89</v>
      </c>
      <c r="M2196" s="61" t="n">
        <f aca="false">L2196-I2196*K2196</f>
        <v>48</v>
      </c>
      <c r="N2196" s="57" t="n">
        <f aca="false">IF(COUNTIFS(E$2:E2196,E2196,C$2:C2196,C2196)=1,1,0)</f>
        <v>1</v>
      </c>
      <c r="O2196" s="57" t="n">
        <f aca="false">IF(COUNTIFS(E$2:E2196,E2196,C$2:C2196,C2196,D$2:D2196,D2196)=1,1,0)</f>
        <v>1</v>
      </c>
      <c r="P2196" s="57" t="n">
        <f aca="false">IF(AND(C2196=Calc!$C$3,OR(Calc!$C$4=0,D2196=Calc!$C$4)),ROW(),0)</f>
        <v>2196</v>
      </c>
    </row>
    <row r="2197" customFormat="false" ht="15" hidden="false" customHeight="false" outlineLevel="0" collapsed="false">
      <c r="A2197" s="57" t="s">
        <v>2753</v>
      </c>
      <c r="B2197" s="58" t="n">
        <v>45885</v>
      </c>
      <c r="C2197" s="57" t="n">
        <f aca="false">YEAR(B2197)</f>
        <v>2025</v>
      </c>
      <c r="D2197" s="57" t="n">
        <f aca="false">MONTH(B2197)</f>
        <v>8</v>
      </c>
      <c r="E2197" s="57" t="s">
        <v>488</v>
      </c>
      <c r="F2197" s="57" t="s">
        <v>69</v>
      </c>
      <c r="G2197" s="57" t="s">
        <v>45</v>
      </c>
      <c r="H2197" s="57" t="s">
        <v>48</v>
      </c>
      <c r="I2197" s="59" t="n">
        <v>1</v>
      </c>
      <c r="J2197" s="60" t="n">
        <v>99</v>
      </c>
      <c r="K2197" s="60" t="n">
        <v>38</v>
      </c>
      <c r="L2197" s="61" t="n">
        <f aca="false">I2197*J2197</f>
        <v>99</v>
      </c>
      <c r="M2197" s="61" t="n">
        <f aca="false">L2197-I2197*K2197</f>
        <v>61</v>
      </c>
      <c r="N2197" s="57" t="n">
        <f aca="false">IF(COUNTIFS(E$2:E2197,E2197,C$2:C2197,C2197)=1,1,0)</f>
        <v>0</v>
      </c>
      <c r="O2197" s="57" t="n">
        <f aca="false">IF(COUNTIFS(E$2:E2197,E2197,C$2:C2197,C2197,D$2:D2197,D2197)=1,1,0)</f>
        <v>1</v>
      </c>
      <c r="P2197" s="57" t="n">
        <f aca="false">IF(AND(C2197=Calc!$C$3,OR(Calc!$C$4=0,D2197=Calc!$C$4)),ROW(),0)</f>
        <v>2197</v>
      </c>
    </row>
    <row r="2198" customFormat="false" ht="15" hidden="false" customHeight="false" outlineLevel="0" collapsed="false">
      <c r="A2198" s="57" t="s">
        <v>2754</v>
      </c>
      <c r="B2198" s="58" t="n">
        <v>45885</v>
      </c>
      <c r="C2198" s="57" t="n">
        <f aca="false">YEAR(B2198)</f>
        <v>2025</v>
      </c>
      <c r="D2198" s="57" t="n">
        <f aca="false">MONTH(B2198)</f>
        <v>8</v>
      </c>
      <c r="E2198" s="57" t="s">
        <v>963</v>
      </c>
      <c r="F2198" s="57" t="s">
        <v>78</v>
      </c>
      <c r="G2198" s="57" t="s">
        <v>40</v>
      </c>
      <c r="H2198" s="57" t="s">
        <v>41</v>
      </c>
      <c r="I2198" s="59" t="n">
        <v>1</v>
      </c>
      <c r="J2198" s="60" t="n">
        <v>46</v>
      </c>
      <c r="K2198" s="60" t="n">
        <v>16</v>
      </c>
      <c r="L2198" s="61" t="n">
        <f aca="false">I2198*J2198</f>
        <v>46</v>
      </c>
      <c r="M2198" s="61" t="n">
        <f aca="false">L2198-I2198*K2198</f>
        <v>30</v>
      </c>
      <c r="N2198" s="57" t="n">
        <f aca="false">IF(COUNTIFS(E$2:E2198,E2198,C$2:C2198,C2198)=1,1,0)</f>
        <v>1</v>
      </c>
      <c r="O2198" s="57" t="n">
        <f aca="false">IF(COUNTIFS(E$2:E2198,E2198,C$2:C2198,C2198,D$2:D2198,D2198)=1,1,0)</f>
        <v>1</v>
      </c>
      <c r="P2198" s="57" t="n">
        <f aca="false">IF(AND(C2198=Calc!$C$3,OR(Calc!$C$4=0,D2198=Calc!$C$4)),ROW(),0)</f>
        <v>2198</v>
      </c>
    </row>
    <row r="2199" customFormat="false" ht="15" hidden="false" customHeight="false" outlineLevel="0" collapsed="false">
      <c r="A2199" s="57" t="s">
        <v>2755</v>
      </c>
      <c r="B2199" s="58" t="n">
        <v>45885</v>
      </c>
      <c r="C2199" s="57" t="n">
        <f aca="false">YEAR(B2199)</f>
        <v>2025</v>
      </c>
      <c r="D2199" s="57" t="n">
        <f aca="false">MONTH(B2199)</f>
        <v>8</v>
      </c>
      <c r="E2199" s="57" t="s">
        <v>1011</v>
      </c>
      <c r="F2199" s="57" t="s">
        <v>78</v>
      </c>
      <c r="G2199" s="57" t="s">
        <v>45</v>
      </c>
      <c r="H2199" s="57" t="s">
        <v>47</v>
      </c>
      <c r="I2199" s="59" t="n">
        <v>1</v>
      </c>
      <c r="J2199" s="60" t="n">
        <v>34</v>
      </c>
      <c r="K2199" s="60" t="n">
        <v>12</v>
      </c>
      <c r="L2199" s="61" t="n">
        <f aca="false">I2199*J2199</f>
        <v>34</v>
      </c>
      <c r="M2199" s="61" t="n">
        <f aca="false">L2199-I2199*K2199</f>
        <v>22</v>
      </c>
      <c r="N2199" s="57" t="n">
        <f aca="false">IF(COUNTIFS(E$2:E2199,E2199,C$2:C2199,C2199)=1,1,0)</f>
        <v>1</v>
      </c>
      <c r="O2199" s="57" t="n">
        <f aca="false">IF(COUNTIFS(E$2:E2199,E2199,C$2:C2199,C2199,D$2:D2199,D2199)=1,1,0)</f>
        <v>1</v>
      </c>
      <c r="P2199" s="57" t="n">
        <f aca="false">IF(AND(C2199=Calc!$C$3,OR(Calc!$C$4=0,D2199=Calc!$C$4)),ROW(),0)</f>
        <v>2199</v>
      </c>
    </row>
    <row r="2200" customFormat="false" ht="15" hidden="false" customHeight="false" outlineLevel="0" collapsed="false">
      <c r="A2200" s="57" t="s">
        <v>2756</v>
      </c>
      <c r="B2200" s="58" t="n">
        <v>45886</v>
      </c>
      <c r="C2200" s="57" t="n">
        <f aca="false">YEAR(B2200)</f>
        <v>2025</v>
      </c>
      <c r="D2200" s="57" t="n">
        <f aca="false">MONTH(B2200)</f>
        <v>8</v>
      </c>
      <c r="E2200" s="57" t="s">
        <v>455</v>
      </c>
      <c r="F2200" s="57" t="s">
        <v>69</v>
      </c>
      <c r="G2200" s="57" t="s">
        <v>35</v>
      </c>
      <c r="H2200" s="57" t="s">
        <v>34</v>
      </c>
      <c r="I2200" s="59" t="n">
        <v>1</v>
      </c>
      <c r="J2200" s="60" t="n">
        <v>89</v>
      </c>
      <c r="K2200" s="60" t="n">
        <v>41</v>
      </c>
      <c r="L2200" s="61" t="n">
        <f aca="false">I2200*J2200</f>
        <v>89</v>
      </c>
      <c r="M2200" s="61" t="n">
        <f aca="false">L2200-I2200*K2200</f>
        <v>48</v>
      </c>
      <c r="N2200" s="57" t="n">
        <f aca="false">IF(COUNTIFS(E$2:E2200,E2200,C$2:C2200,C2200)=1,1,0)</f>
        <v>1</v>
      </c>
      <c r="O2200" s="57" t="n">
        <f aca="false">IF(COUNTIFS(E$2:E2200,E2200,C$2:C2200,C2200,D$2:D2200,D2200)=1,1,0)</f>
        <v>1</v>
      </c>
      <c r="P2200" s="57" t="n">
        <f aca="false">IF(AND(C2200=Calc!$C$3,OR(Calc!$C$4=0,D2200=Calc!$C$4)),ROW(),0)</f>
        <v>2200</v>
      </c>
    </row>
    <row r="2201" customFormat="false" ht="15" hidden="false" customHeight="false" outlineLevel="0" collapsed="false">
      <c r="A2201" s="57" t="s">
        <v>2757</v>
      </c>
      <c r="B2201" s="58" t="n">
        <v>45886</v>
      </c>
      <c r="C2201" s="57" t="n">
        <f aca="false">YEAR(B2201)</f>
        <v>2025</v>
      </c>
      <c r="D2201" s="57" t="n">
        <f aca="false">MONTH(B2201)</f>
        <v>8</v>
      </c>
      <c r="E2201" s="57" t="s">
        <v>213</v>
      </c>
      <c r="F2201" s="57" t="s">
        <v>78</v>
      </c>
      <c r="G2201" s="57" t="s">
        <v>45</v>
      </c>
      <c r="H2201" s="57" t="s">
        <v>44</v>
      </c>
      <c r="I2201" s="59" t="n">
        <v>1</v>
      </c>
      <c r="J2201" s="60" t="n">
        <v>119</v>
      </c>
      <c r="K2201" s="60" t="n">
        <v>63</v>
      </c>
      <c r="L2201" s="61" t="n">
        <f aca="false">I2201*J2201</f>
        <v>119</v>
      </c>
      <c r="M2201" s="61" t="n">
        <f aca="false">L2201-I2201*K2201</f>
        <v>56</v>
      </c>
      <c r="N2201" s="57" t="n">
        <f aca="false">IF(COUNTIFS(E$2:E2201,E2201,C$2:C2201,C2201)=1,1,0)</f>
        <v>1</v>
      </c>
      <c r="O2201" s="57" t="n">
        <f aca="false">IF(COUNTIFS(E$2:E2201,E2201,C$2:C2201,C2201,D$2:D2201,D2201)=1,1,0)</f>
        <v>1</v>
      </c>
      <c r="P2201" s="57" t="n">
        <f aca="false">IF(AND(C2201=Calc!$C$3,OR(Calc!$C$4=0,D2201=Calc!$C$4)),ROW(),0)</f>
        <v>2201</v>
      </c>
    </row>
    <row r="2202" customFormat="false" ht="15" hidden="false" customHeight="false" outlineLevel="0" collapsed="false">
      <c r="A2202" s="57" t="s">
        <v>2758</v>
      </c>
      <c r="B2202" s="58" t="n">
        <v>45886</v>
      </c>
      <c r="C2202" s="57" t="n">
        <f aca="false">YEAR(B2202)</f>
        <v>2025</v>
      </c>
      <c r="D2202" s="57" t="n">
        <f aca="false">MONTH(B2202)</f>
        <v>8</v>
      </c>
      <c r="E2202" s="57" t="s">
        <v>335</v>
      </c>
      <c r="F2202" s="57" t="s">
        <v>81</v>
      </c>
      <c r="G2202" s="57" t="s">
        <v>40</v>
      </c>
      <c r="H2202" s="57" t="s">
        <v>42</v>
      </c>
      <c r="I2202" s="59" t="n">
        <v>1</v>
      </c>
      <c r="J2202" s="60" t="n">
        <v>79</v>
      </c>
      <c r="K2202" s="60" t="n">
        <v>31</v>
      </c>
      <c r="L2202" s="61" t="n">
        <f aca="false">I2202*J2202</f>
        <v>79</v>
      </c>
      <c r="M2202" s="61" t="n">
        <f aca="false">L2202-I2202*K2202</f>
        <v>48</v>
      </c>
      <c r="N2202" s="57" t="n">
        <f aca="false">IF(COUNTIFS(E$2:E2202,E2202,C$2:C2202,C2202)=1,1,0)</f>
        <v>0</v>
      </c>
      <c r="O2202" s="57" t="n">
        <f aca="false">IF(COUNTIFS(E$2:E2202,E2202,C$2:C2202,C2202,D$2:D2202,D2202)=1,1,0)</f>
        <v>1</v>
      </c>
      <c r="P2202" s="57" t="n">
        <f aca="false">IF(AND(C2202=Calc!$C$3,OR(Calc!$C$4=0,D2202=Calc!$C$4)),ROW(),0)</f>
        <v>2202</v>
      </c>
    </row>
    <row r="2203" customFormat="false" ht="15" hidden="false" customHeight="false" outlineLevel="0" collapsed="false">
      <c r="A2203" s="57" t="s">
        <v>2759</v>
      </c>
      <c r="B2203" s="58" t="n">
        <v>45886</v>
      </c>
      <c r="C2203" s="57" t="n">
        <f aca="false">YEAR(B2203)</f>
        <v>2025</v>
      </c>
      <c r="D2203" s="57" t="n">
        <f aca="false">MONTH(B2203)</f>
        <v>8</v>
      </c>
      <c r="E2203" s="57" t="s">
        <v>2760</v>
      </c>
      <c r="F2203" s="57" t="s">
        <v>81</v>
      </c>
      <c r="G2203" s="57" t="s">
        <v>35</v>
      </c>
      <c r="H2203" s="57" t="s">
        <v>36</v>
      </c>
      <c r="I2203" s="59" t="n">
        <v>1</v>
      </c>
      <c r="J2203" s="60" t="n">
        <v>179</v>
      </c>
      <c r="K2203" s="60" t="n">
        <v>92</v>
      </c>
      <c r="L2203" s="61" t="n">
        <f aca="false">I2203*J2203</f>
        <v>179</v>
      </c>
      <c r="M2203" s="61" t="n">
        <f aca="false">L2203-I2203*K2203</f>
        <v>87</v>
      </c>
      <c r="N2203" s="57" t="n">
        <f aca="false">IF(COUNTIFS(E$2:E2203,E2203,C$2:C2203,C2203)=1,1,0)</f>
        <v>1</v>
      </c>
      <c r="O2203" s="57" t="n">
        <f aca="false">IF(COUNTIFS(E$2:E2203,E2203,C$2:C2203,C2203,D$2:D2203,D2203)=1,1,0)</f>
        <v>1</v>
      </c>
      <c r="P2203" s="57" t="n">
        <f aca="false">IF(AND(C2203=Calc!$C$3,OR(Calc!$C$4=0,D2203=Calc!$C$4)),ROW(),0)</f>
        <v>2203</v>
      </c>
    </row>
    <row r="2204" customFormat="false" ht="15" hidden="false" customHeight="false" outlineLevel="0" collapsed="false">
      <c r="A2204" s="57" t="s">
        <v>2761</v>
      </c>
      <c r="B2204" s="58" t="n">
        <v>45886</v>
      </c>
      <c r="C2204" s="57" t="n">
        <f aca="false">YEAR(B2204)</f>
        <v>2025</v>
      </c>
      <c r="D2204" s="57" t="n">
        <f aca="false">MONTH(B2204)</f>
        <v>8</v>
      </c>
      <c r="E2204" s="57" t="s">
        <v>1107</v>
      </c>
      <c r="F2204" s="57" t="s">
        <v>78</v>
      </c>
      <c r="G2204" s="57" t="s">
        <v>35</v>
      </c>
      <c r="H2204" s="57" t="s">
        <v>38</v>
      </c>
      <c r="I2204" s="59" t="n">
        <v>1</v>
      </c>
      <c r="J2204" s="60" t="n">
        <v>49</v>
      </c>
      <c r="K2204" s="60" t="n">
        <v>22</v>
      </c>
      <c r="L2204" s="61" t="n">
        <f aca="false">I2204*J2204</f>
        <v>49</v>
      </c>
      <c r="M2204" s="61" t="n">
        <f aca="false">L2204-I2204*K2204</f>
        <v>27</v>
      </c>
      <c r="N2204" s="57" t="n">
        <f aca="false">IF(COUNTIFS(E$2:E2204,E2204,C$2:C2204,C2204)=1,1,0)</f>
        <v>0</v>
      </c>
      <c r="O2204" s="57" t="n">
        <f aca="false">IF(COUNTIFS(E$2:E2204,E2204,C$2:C2204,C2204,D$2:D2204,D2204)=1,1,0)</f>
        <v>1</v>
      </c>
      <c r="P2204" s="57" t="n">
        <f aca="false">IF(AND(C2204=Calc!$C$3,OR(Calc!$C$4=0,D2204=Calc!$C$4)),ROW(),0)</f>
        <v>2204</v>
      </c>
    </row>
    <row r="2205" customFormat="false" ht="15" hidden="false" customHeight="false" outlineLevel="0" collapsed="false">
      <c r="A2205" s="57" t="s">
        <v>2762</v>
      </c>
      <c r="B2205" s="58" t="n">
        <v>45887</v>
      </c>
      <c r="C2205" s="57" t="n">
        <f aca="false">YEAR(B2205)</f>
        <v>2025</v>
      </c>
      <c r="D2205" s="57" t="n">
        <f aca="false">MONTH(B2205)</f>
        <v>8</v>
      </c>
      <c r="E2205" s="57" t="s">
        <v>298</v>
      </c>
      <c r="F2205" s="57" t="s">
        <v>75</v>
      </c>
      <c r="G2205" s="57" t="s">
        <v>35</v>
      </c>
      <c r="H2205" s="57" t="s">
        <v>34</v>
      </c>
      <c r="I2205" s="59" t="n">
        <v>2</v>
      </c>
      <c r="J2205" s="60" t="n">
        <v>89</v>
      </c>
      <c r="K2205" s="60" t="n">
        <v>41</v>
      </c>
      <c r="L2205" s="61" t="n">
        <f aca="false">I2205*J2205</f>
        <v>178</v>
      </c>
      <c r="M2205" s="61" t="n">
        <f aca="false">L2205-I2205*K2205</f>
        <v>96</v>
      </c>
      <c r="N2205" s="57" t="n">
        <f aca="false">IF(COUNTIFS(E$2:E2205,E2205,C$2:C2205,C2205)=1,1,0)</f>
        <v>1</v>
      </c>
      <c r="O2205" s="57" t="n">
        <f aca="false">IF(COUNTIFS(E$2:E2205,E2205,C$2:C2205,C2205,D$2:D2205,D2205)=1,1,0)</f>
        <v>1</v>
      </c>
      <c r="P2205" s="57" t="n">
        <f aca="false">IF(AND(C2205=Calc!$C$3,OR(Calc!$C$4=0,D2205=Calc!$C$4)),ROW(),0)</f>
        <v>2205</v>
      </c>
    </row>
    <row r="2206" customFormat="false" ht="15" hidden="false" customHeight="false" outlineLevel="0" collapsed="false">
      <c r="A2206" s="57" t="s">
        <v>2763</v>
      </c>
      <c r="B2206" s="58" t="n">
        <v>45887</v>
      </c>
      <c r="C2206" s="57" t="n">
        <f aca="false">YEAR(B2206)</f>
        <v>2025</v>
      </c>
      <c r="D2206" s="57" t="n">
        <f aca="false">MONTH(B2206)</f>
        <v>8</v>
      </c>
      <c r="E2206" s="57" t="s">
        <v>1253</v>
      </c>
      <c r="F2206" s="57" t="s">
        <v>78</v>
      </c>
      <c r="G2206" s="57" t="s">
        <v>45</v>
      </c>
      <c r="H2206" s="57" t="s">
        <v>47</v>
      </c>
      <c r="I2206" s="59" t="n">
        <v>1</v>
      </c>
      <c r="J2206" s="60" t="n">
        <v>34</v>
      </c>
      <c r="K2206" s="60" t="n">
        <v>12</v>
      </c>
      <c r="L2206" s="61" t="n">
        <f aca="false">I2206*J2206</f>
        <v>34</v>
      </c>
      <c r="M2206" s="61" t="n">
        <f aca="false">L2206-I2206*K2206</f>
        <v>22</v>
      </c>
      <c r="N2206" s="57" t="n">
        <f aca="false">IF(COUNTIFS(E$2:E2206,E2206,C$2:C2206,C2206)=1,1,0)</f>
        <v>0</v>
      </c>
      <c r="O2206" s="57" t="n">
        <f aca="false">IF(COUNTIFS(E$2:E2206,E2206,C$2:C2206,C2206,D$2:D2206,D2206)=1,1,0)</f>
        <v>1</v>
      </c>
      <c r="P2206" s="57" t="n">
        <f aca="false">IF(AND(C2206=Calc!$C$3,OR(Calc!$C$4=0,D2206=Calc!$C$4)),ROW(),0)</f>
        <v>2206</v>
      </c>
    </row>
    <row r="2207" customFormat="false" ht="15" hidden="false" customHeight="false" outlineLevel="0" collapsed="false">
      <c r="A2207" s="57" t="s">
        <v>2764</v>
      </c>
      <c r="B2207" s="58" t="n">
        <v>45887</v>
      </c>
      <c r="C2207" s="57" t="n">
        <f aca="false">YEAR(B2207)</f>
        <v>2025</v>
      </c>
      <c r="D2207" s="57" t="n">
        <f aca="false">MONTH(B2207)</f>
        <v>8</v>
      </c>
      <c r="E2207" s="57" t="s">
        <v>1124</v>
      </c>
      <c r="F2207" s="57" t="s">
        <v>75</v>
      </c>
      <c r="G2207" s="57" t="s">
        <v>45</v>
      </c>
      <c r="H2207" s="57" t="s">
        <v>44</v>
      </c>
      <c r="I2207" s="59" t="n">
        <v>1</v>
      </c>
      <c r="J2207" s="60" t="n">
        <v>119</v>
      </c>
      <c r="K2207" s="60" t="n">
        <v>63</v>
      </c>
      <c r="L2207" s="61" t="n">
        <f aca="false">I2207*J2207</f>
        <v>119</v>
      </c>
      <c r="M2207" s="61" t="n">
        <f aca="false">L2207-I2207*K2207</f>
        <v>56</v>
      </c>
      <c r="N2207" s="57" t="n">
        <f aca="false">IF(COUNTIFS(E$2:E2207,E2207,C$2:C2207,C2207)=1,1,0)</f>
        <v>0</v>
      </c>
      <c r="O2207" s="57" t="n">
        <f aca="false">IF(COUNTIFS(E$2:E2207,E2207,C$2:C2207,C2207,D$2:D2207,D2207)=1,1,0)</f>
        <v>0</v>
      </c>
      <c r="P2207" s="57" t="n">
        <f aca="false">IF(AND(C2207=Calc!$C$3,OR(Calc!$C$4=0,D2207=Calc!$C$4)),ROW(),0)</f>
        <v>2207</v>
      </c>
    </row>
    <row r="2208" customFormat="false" ht="15" hidden="false" customHeight="false" outlineLevel="0" collapsed="false">
      <c r="A2208" s="57" t="s">
        <v>2765</v>
      </c>
      <c r="B2208" s="58" t="n">
        <v>45887</v>
      </c>
      <c r="C2208" s="57" t="n">
        <f aca="false">YEAR(B2208)</f>
        <v>2025</v>
      </c>
      <c r="D2208" s="57" t="n">
        <f aca="false">MONTH(B2208)</f>
        <v>8</v>
      </c>
      <c r="E2208" s="57" t="s">
        <v>1382</v>
      </c>
      <c r="F2208" s="57" t="s">
        <v>81</v>
      </c>
      <c r="G2208" s="57" t="s">
        <v>40</v>
      </c>
      <c r="H2208" s="57" t="s">
        <v>39</v>
      </c>
      <c r="I2208" s="59" t="n">
        <v>1</v>
      </c>
      <c r="J2208" s="60" t="n">
        <v>54</v>
      </c>
      <c r="K2208" s="60" t="n">
        <v>19</v>
      </c>
      <c r="L2208" s="61" t="n">
        <f aca="false">I2208*J2208</f>
        <v>54</v>
      </c>
      <c r="M2208" s="61" t="n">
        <f aca="false">L2208-I2208*K2208</f>
        <v>35</v>
      </c>
      <c r="N2208" s="57" t="n">
        <f aca="false">IF(COUNTIFS(E$2:E2208,E2208,C$2:C2208,C2208)=1,1,0)</f>
        <v>1</v>
      </c>
      <c r="O2208" s="57" t="n">
        <f aca="false">IF(COUNTIFS(E$2:E2208,E2208,C$2:C2208,C2208,D$2:D2208,D2208)=1,1,0)</f>
        <v>1</v>
      </c>
      <c r="P2208" s="57" t="n">
        <f aca="false">IF(AND(C2208=Calc!$C$3,OR(Calc!$C$4=0,D2208=Calc!$C$4)),ROW(),0)</f>
        <v>2208</v>
      </c>
    </row>
    <row r="2209" customFormat="false" ht="15" hidden="false" customHeight="false" outlineLevel="0" collapsed="false">
      <c r="A2209" s="57" t="s">
        <v>2766</v>
      </c>
      <c r="B2209" s="58" t="n">
        <v>45888</v>
      </c>
      <c r="C2209" s="57" t="n">
        <f aca="false">YEAR(B2209)</f>
        <v>2025</v>
      </c>
      <c r="D2209" s="57" t="n">
        <f aca="false">MONTH(B2209)</f>
        <v>8</v>
      </c>
      <c r="E2209" s="57" t="s">
        <v>344</v>
      </c>
      <c r="F2209" s="57" t="s">
        <v>81</v>
      </c>
      <c r="G2209" s="57" t="s">
        <v>50</v>
      </c>
      <c r="H2209" s="57" t="s">
        <v>51</v>
      </c>
      <c r="I2209" s="59" t="n">
        <v>1</v>
      </c>
      <c r="J2209" s="60" t="n">
        <v>69</v>
      </c>
      <c r="K2209" s="60" t="n">
        <v>29</v>
      </c>
      <c r="L2209" s="61" t="n">
        <f aca="false">I2209*J2209</f>
        <v>69</v>
      </c>
      <c r="M2209" s="61" t="n">
        <f aca="false">L2209-I2209*K2209</f>
        <v>40</v>
      </c>
      <c r="N2209" s="57" t="n">
        <f aca="false">IF(COUNTIFS(E$2:E2209,E2209,C$2:C2209,C2209)=1,1,0)</f>
        <v>0</v>
      </c>
      <c r="O2209" s="57" t="n">
        <f aca="false">IF(COUNTIFS(E$2:E2209,E2209,C$2:C2209,C2209,D$2:D2209,D2209)=1,1,0)</f>
        <v>1</v>
      </c>
      <c r="P2209" s="57" t="n">
        <f aca="false">IF(AND(C2209=Calc!$C$3,OR(Calc!$C$4=0,D2209=Calc!$C$4)),ROW(),0)</f>
        <v>2209</v>
      </c>
    </row>
    <row r="2210" customFormat="false" ht="15" hidden="false" customHeight="false" outlineLevel="0" collapsed="false">
      <c r="A2210" s="57" t="s">
        <v>2767</v>
      </c>
      <c r="B2210" s="58" t="n">
        <v>45888</v>
      </c>
      <c r="C2210" s="57" t="n">
        <f aca="false">YEAR(B2210)</f>
        <v>2025</v>
      </c>
      <c r="D2210" s="57" t="n">
        <f aca="false">MONTH(B2210)</f>
        <v>8</v>
      </c>
      <c r="E2210" s="57" t="s">
        <v>1309</v>
      </c>
      <c r="F2210" s="57" t="s">
        <v>81</v>
      </c>
      <c r="G2210" s="57" t="s">
        <v>40</v>
      </c>
      <c r="H2210" s="57" t="s">
        <v>43</v>
      </c>
      <c r="I2210" s="59" t="n">
        <v>2</v>
      </c>
      <c r="J2210" s="60" t="n">
        <v>29</v>
      </c>
      <c r="K2210" s="60" t="n">
        <v>9</v>
      </c>
      <c r="L2210" s="61" t="n">
        <f aca="false">I2210*J2210</f>
        <v>58</v>
      </c>
      <c r="M2210" s="61" t="n">
        <f aca="false">L2210-I2210*K2210</f>
        <v>40</v>
      </c>
      <c r="N2210" s="57" t="n">
        <f aca="false">IF(COUNTIFS(E$2:E2210,E2210,C$2:C2210,C2210)=1,1,0)</f>
        <v>1</v>
      </c>
      <c r="O2210" s="57" t="n">
        <f aca="false">IF(COUNTIFS(E$2:E2210,E2210,C$2:C2210,C2210,D$2:D2210,D2210)=1,1,0)</f>
        <v>1</v>
      </c>
      <c r="P2210" s="57" t="n">
        <f aca="false">IF(AND(C2210=Calc!$C$3,OR(Calc!$C$4=0,D2210=Calc!$C$4)),ROW(),0)</f>
        <v>2210</v>
      </c>
    </row>
    <row r="2211" customFormat="false" ht="15" hidden="false" customHeight="false" outlineLevel="0" collapsed="false">
      <c r="A2211" s="57" t="s">
        <v>2768</v>
      </c>
      <c r="B2211" s="58" t="n">
        <v>45889</v>
      </c>
      <c r="C2211" s="57" t="n">
        <f aca="false">YEAR(B2211)</f>
        <v>2025</v>
      </c>
      <c r="D2211" s="57" t="n">
        <f aca="false">MONTH(B2211)</f>
        <v>8</v>
      </c>
      <c r="E2211" s="57" t="s">
        <v>395</v>
      </c>
      <c r="F2211" s="57" t="s">
        <v>69</v>
      </c>
      <c r="G2211" s="57" t="s">
        <v>35</v>
      </c>
      <c r="H2211" s="57" t="s">
        <v>37</v>
      </c>
      <c r="I2211" s="59" t="n">
        <v>1</v>
      </c>
      <c r="J2211" s="60" t="n">
        <v>59</v>
      </c>
      <c r="K2211" s="60" t="n">
        <v>27</v>
      </c>
      <c r="L2211" s="61" t="n">
        <f aca="false">I2211*J2211</f>
        <v>59</v>
      </c>
      <c r="M2211" s="61" t="n">
        <f aca="false">L2211-I2211*K2211</f>
        <v>32</v>
      </c>
      <c r="N2211" s="57" t="n">
        <f aca="false">IF(COUNTIFS(E$2:E2211,E2211,C$2:C2211,C2211)=1,1,0)</f>
        <v>0</v>
      </c>
      <c r="O2211" s="57" t="n">
        <f aca="false">IF(COUNTIFS(E$2:E2211,E2211,C$2:C2211,C2211,D$2:D2211,D2211)=1,1,0)</f>
        <v>0</v>
      </c>
      <c r="P2211" s="57" t="n">
        <f aca="false">IF(AND(C2211=Calc!$C$3,OR(Calc!$C$4=0,D2211=Calc!$C$4)),ROW(),0)</f>
        <v>2211</v>
      </c>
    </row>
    <row r="2212" customFormat="false" ht="15" hidden="false" customHeight="false" outlineLevel="0" collapsed="false">
      <c r="A2212" s="57" t="s">
        <v>2769</v>
      </c>
      <c r="B2212" s="58" t="n">
        <v>45889</v>
      </c>
      <c r="C2212" s="57" t="n">
        <f aca="false">YEAR(B2212)</f>
        <v>2025</v>
      </c>
      <c r="D2212" s="57" t="n">
        <f aca="false">MONTH(B2212)</f>
        <v>8</v>
      </c>
      <c r="E2212" s="57" t="s">
        <v>506</v>
      </c>
      <c r="F2212" s="57" t="s">
        <v>78</v>
      </c>
      <c r="G2212" s="57" t="s">
        <v>35</v>
      </c>
      <c r="H2212" s="57" t="s">
        <v>36</v>
      </c>
      <c r="I2212" s="59" t="n">
        <v>1</v>
      </c>
      <c r="J2212" s="60" t="n">
        <v>179</v>
      </c>
      <c r="K2212" s="60" t="n">
        <v>92</v>
      </c>
      <c r="L2212" s="61" t="n">
        <f aca="false">I2212*J2212</f>
        <v>179</v>
      </c>
      <c r="M2212" s="61" t="n">
        <f aca="false">L2212-I2212*K2212</f>
        <v>87</v>
      </c>
      <c r="N2212" s="57" t="n">
        <f aca="false">IF(COUNTIFS(E$2:E2212,E2212,C$2:C2212,C2212)=1,1,0)</f>
        <v>0</v>
      </c>
      <c r="O2212" s="57" t="n">
        <f aca="false">IF(COUNTIFS(E$2:E2212,E2212,C$2:C2212,C2212,D$2:D2212,D2212)=1,1,0)</f>
        <v>1</v>
      </c>
      <c r="P2212" s="57" t="n">
        <f aca="false">IF(AND(C2212=Calc!$C$3,OR(Calc!$C$4=0,D2212=Calc!$C$4)),ROW(),0)</f>
        <v>2212</v>
      </c>
    </row>
    <row r="2213" customFormat="false" ht="15" hidden="false" customHeight="false" outlineLevel="0" collapsed="false">
      <c r="A2213" s="57" t="s">
        <v>2770</v>
      </c>
      <c r="B2213" s="58" t="n">
        <v>45889</v>
      </c>
      <c r="C2213" s="57" t="n">
        <f aca="false">YEAR(B2213)</f>
        <v>2025</v>
      </c>
      <c r="D2213" s="57" t="n">
        <f aca="false">MONTH(B2213)</f>
        <v>8</v>
      </c>
      <c r="E2213" s="57" t="s">
        <v>1022</v>
      </c>
      <c r="F2213" s="57" t="s">
        <v>75</v>
      </c>
      <c r="G2213" s="57" t="s">
        <v>35</v>
      </c>
      <c r="H2213" s="57" t="s">
        <v>37</v>
      </c>
      <c r="I2213" s="59" t="n">
        <v>1</v>
      </c>
      <c r="J2213" s="60" t="n">
        <v>59</v>
      </c>
      <c r="K2213" s="60" t="n">
        <v>27</v>
      </c>
      <c r="L2213" s="61" t="n">
        <f aca="false">I2213*J2213</f>
        <v>59</v>
      </c>
      <c r="M2213" s="61" t="n">
        <f aca="false">L2213-I2213*K2213</f>
        <v>32</v>
      </c>
      <c r="N2213" s="57" t="n">
        <f aca="false">IF(COUNTIFS(E$2:E2213,E2213,C$2:C2213,C2213)=1,1,0)</f>
        <v>0</v>
      </c>
      <c r="O2213" s="57" t="n">
        <f aca="false">IF(COUNTIFS(E$2:E2213,E2213,C$2:C2213,C2213,D$2:D2213,D2213)=1,1,0)</f>
        <v>0</v>
      </c>
      <c r="P2213" s="57" t="n">
        <f aca="false">IF(AND(C2213=Calc!$C$3,OR(Calc!$C$4=0,D2213=Calc!$C$4)),ROW(),0)</f>
        <v>2213</v>
      </c>
    </row>
    <row r="2214" customFormat="false" ht="15" hidden="false" customHeight="false" outlineLevel="0" collapsed="false">
      <c r="A2214" s="57" t="s">
        <v>2771</v>
      </c>
      <c r="B2214" s="58" t="n">
        <v>45889</v>
      </c>
      <c r="C2214" s="57" t="n">
        <f aca="false">YEAR(B2214)</f>
        <v>2025</v>
      </c>
      <c r="D2214" s="57" t="n">
        <f aca="false">MONTH(B2214)</f>
        <v>8</v>
      </c>
      <c r="E2214" s="57" t="s">
        <v>285</v>
      </c>
      <c r="F2214" s="57" t="s">
        <v>75</v>
      </c>
      <c r="G2214" s="57" t="s">
        <v>35</v>
      </c>
      <c r="H2214" s="57" t="s">
        <v>34</v>
      </c>
      <c r="I2214" s="59" t="n">
        <v>1</v>
      </c>
      <c r="J2214" s="60" t="n">
        <v>89</v>
      </c>
      <c r="K2214" s="60" t="n">
        <v>41</v>
      </c>
      <c r="L2214" s="61" t="n">
        <f aca="false">I2214*J2214</f>
        <v>89</v>
      </c>
      <c r="M2214" s="61" t="n">
        <f aca="false">L2214-I2214*K2214</f>
        <v>48</v>
      </c>
      <c r="N2214" s="57" t="n">
        <f aca="false">IF(COUNTIFS(E$2:E2214,E2214,C$2:C2214,C2214)=1,1,0)</f>
        <v>0</v>
      </c>
      <c r="O2214" s="57" t="n">
        <f aca="false">IF(COUNTIFS(E$2:E2214,E2214,C$2:C2214,C2214,D$2:D2214,D2214)=1,1,0)</f>
        <v>1</v>
      </c>
      <c r="P2214" s="57" t="n">
        <f aca="false">IF(AND(C2214=Calc!$C$3,OR(Calc!$C$4=0,D2214=Calc!$C$4)),ROW(),0)</f>
        <v>2214</v>
      </c>
    </row>
    <row r="2215" customFormat="false" ht="15" hidden="false" customHeight="false" outlineLevel="0" collapsed="false">
      <c r="A2215" s="57" t="s">
        <v>2772</v>
      </c>
      <c r="B2215" s="58" t="n">
        <v>45889</v>
      </c>
      <c r="C2215" s="57" t="n">
        <f aca="false">YEAR(B2215)</f>
        <v>2025</v>
      </c>
      <c r="D2215" s="57" t="n">
        <f aca="false">MONTH(B2215)</f>
        <v>8</v>
      </c>
      <c r="E2215" s="57" t="s">
        <v>578</v>
      </c>
      <c r="F2215" s="57" t="s">
        <v>75</v>
      </c>
      <c r="G2215" s="57" t="s">
        <v>40</v>
      </c>
      <c r="H2215" s="57" t="s">
        <v>39</v>
      </c>
      <c r="I2215" s="59" t="n">
        <v>2</v>
      </c>
      <c r="J2215" s="60" t="n">
        <v>54</v>
      </c>
      <c r="K2215" s="60" t="n">
        <v>19</v>
      </c>
      <c r="L2215" s="61" t="n">
        <f aca="false">I2215*J2215</f>
        <v>108</v>
      </c>
      <c r="M2215" s="61" t="n">
        <f aca="false">L2215-I2215*K2215</f>
        <v>70</v>
      </c>
      <c r="N2215" s="57" t="n">
        <f aca="false">IF(COUNTIFS(E$2:E2215,E2215,C$2:C2215,C2215)=1,1,0)</f>
        <v>1</v>
      </c>
      <c r="O2215" s="57" t="n">
        <f aca="false">IF(COUNTIFS(E$2:E2215,E2215,C$2:C2215,C2215,D$2:D2215,D2215)=1,1,0)</f>
        <v>1</v>
      </c>
      <c r="P2215" s="57" t="n">
        <f aca="false">IF(AND(C2215=Calc!$C$3,OR(Calc!$C$4=0,D2215=Calc!$C$4)),ROW(),0)</f>
        <v>2215</v>
      </c>
    </row>
    <row r="2216" customFormat="false" ht="15" hidden="false" customHeight="false" outlineLevel="0" collapsed="false">
      <c r="A2216" s="57" t="s">
        <v>2773</v>
      </c>
      <c r="B2216" s="58" t="n">
        <v>45890</v>
      </c>
      <c r="C2216" s="57" t="n">
        <f aca="false">YEAR(B2216)</f>
        <v>2025</v>
      </c>
      <c r="D2216" s="57" t="n">
        <f aca="false">MONTH(B2216)</f>
        <v>8</v>
      </c>
      <c r="E2216" s="57" t="s">
        <v>1862</v>
      </c>
      <c r="F2216" s="57" t="s">
        <v>75</v>
      </c>
      <c r="G2216" s="57" t="s">
        <v>35</v>
      </c>
      <c r="H2216" s="57" t="s">
        <v>37</v>
      </c>
      <c r="I2216" s="59" t="n">
        <v>1</v>
      </c>
      <c r="J2216" s="60" t="n">
        <v>59</v>
      </c>
      <c r="K2216" s="60" t="n">
        <v>27</v>
      </c>
      <c r="L2216" s="61" t="n">
        <f aca="false">I2216*J2216</f>
        <v>59</v>
      </c>
      <c r="M2216" s="61" t="n">
        <f aca="false">L2216-I2216*K2216</f>
        <v>32</v>
      </c>
      <c r="N2216" s="57" t="n">
        <f aca="false">IF(COUNTIFS(E$2:E2216,E2216,C$2:C2216,C2216)=1,1,0)</f>
        <v>1</v>
      </c>
      <c r="O2216" s="57" t="n">
        <f aca="false">IF(COUNTIFS(E$2:E2216,E2216,C$2:C2216,C2216,D$2:D2216,D2216)=1,1,0)</f>
        <v>1</v>
      </c>
      <c r="P2216" s="57" t="n">
        <f aca="false">IF(AND(C2216=Calc!$C$3,OR(Calc!$C$4=0,D2216=Calc!$C$4)),ROW(),0)</f>
        <v>2216</v>
      </c>
    </row>
    <row r="2217" customFormat="false" ht="15" hidden="false" customHeight="false" outlineLevel="0" collapsed="false">
      <c r="A2217" s="57" t="s">
        <v>2774</v>
      </c>
      <c r="B2217" s="58" t="n">
        <v>45890</v>
      </c>
      <c r="C2217" s="57" t="n">
        <f aca="false">YEAR(B2217)</f>
        <v>2025</v>
      </c>
      <c r="D2217" s="57" t="n">
        <f aca="false">MONTH(B2217)</f>
        <v>8</v>
      </c>
      <c r="E2217" s="57" t="s">
        <v>114</v>
      </c>
      <c r="F2217" s="57" t="s">
        <v>69</v>
      </c>
      <c r="G2217" s="57" t="s">
        <v>45</v>
      </c>
      <c r="H2217" s="57" t="s">
        <v>46</v>
      </c>
      <c r="I2217" s="59" t="n">
        <v>1</v>
      </c>
      <c r="J2217" s="60" t="n">
        <v>149</v>
      </c>
      <c r="K2217" s="60" t="n">
        <v>71</v>
      </c>
      <c r="L2217" s="61" t="n">
        <f aca="false">I2217*J2217</f>
        <v>149</v>
      </c>
      <c r="M2217" s="61" t="n">
        <f aca="false">L2217-I2217*K2217</f>
        <v>78</v>
      </c>
      <c r="N2217" s="57" t="n">
        <f aca="false">IF(COUNTIFS(E$2:E2217,E2217,C$2:C2217,C2217)=1,1,0)</f>
        <v>0</v>
      </c>
      <c r="O2217" s="57" t="n">
        <f aca="false">IF(COUNTIFS(E$2:E2217,E2217,C$2:C2217,C2217,D$2:D2217,D2217)=1,1,0)</f>
        <v>0</v>
      </c>
      <c r="P2217" s="57" t="n">
        <f aca="false">IF(AND(C2217=Calc!$C$3,OR(Calc!$C$4=0,D2217=Calc!$C$4)),ROW(),0)</f>
        <v>2217</v>
      </c>
    </row>
    <row r="2218" customFormat="false" ht="15" hidden="false" customHeight="false" outlineLevel="0" collapsed="false">
      <c r="A2218" s="57" t="s">
        <v>2775</v>
      </c>
      <c r="B2218" s="58" t="n">
        <v>45890</v>
      </c>
      <c r="C2218" s="57" t="n">
        <f aca="false">YEAR(B2218)</f>
        <v>2025</v>
      </c>
      <c r="D2218" s="57" t="n">
        <f aca="false">MONTH(B2218)</f>
        <v>8</v>
      </c>
      <c r="E2218" s="57" t="s">
        <v>1151</v>
      </c>
      <c r="F2218" s="57" t="s">
        <v>78</v>
      </c>
      <c r="G2218" s="57" t="s">
        <v>50</v>
      </c>
      <c r="H2218" s="57" t="s">
        <v>51</v>
      </c>
      <c r="I2218" s="59" t="n">
        <v>2</v>
      </c>
      <c r="J2218" s="60" t="n">
        <v>69</v>
      </c>
      <c r="K2218" s="60" t="n">
        <v>29</v>
      </c>
      <c r="L2218" s="61" t="n">
        <f aca="false">I2218*J2218</f>
        <v>138</v>
      </c>
      <c r="M2218" s="61" t="n">
        <f aca="false">L2218-I2218*K2218</f>
        <v>80</v>
      </c>
      <c r="N2218" s="57" t="n">
        <f aca="false">IF(COUNTIFS(E$2:E2218,E2218,C$2:C2218,C2218)=1,1,0)</f>
        <v>0</v>
      </c>
      <c r="O2218" s="57" t="n">
        <f aca="false">IF(COUNTIFS(E$2:E2218,E2218,C$2:C2218,C2218,D$2:D2218,D2218)=1,1,0)</f>
        <v>1</v>
      </c>
      <c r="P2218" s="57" t="n">
        <f aca="false">IF(AND(C2218=Calc!$C$3,OR(Calc!$C$4=0,D2218=Calc!$C$4)),ROW(),0)</f>
        <v>2218</v>
      </c>
    </row>
    <row r="2219" customFormat="false" ht="15" hidden="false" customHeight="false" outlineLevel="0" collapsed="false">
      <c r="A2219" s="57" t="s">
        <v>2776</v>
      </c>
      <c r="B2219" s="58" t="n">
        <v>45890</v>
      </c>
      <c r="C2219" s="57" t="n">
        <f aca="false">YEAR(B2219)</f>
        <v>2025</v>
      </c>
      <c r="D2219" s="57" t="n">
        <f aca="false">MONTH(B2219)</f>
        <v>8</v>
      </c>
      <c r="E2219" s="57" t="s">
        <v>181</v>
      </c>
      <c r="F2219" s="57" t="s">
        <v>69</v>
      </c>
      <c r="G2219" s="57" t="s">
        <v>35</v>
      </c>
      <c r="H2219" s="57" t="s">
        <v>34</v>
      </c>
      <c r="I2219" s="59" t="n">
        <v>1</v>
      </c>
      <c r="J2219" s="60" t="n">
        <v>89</v>
      </c>
      <c r="K2219" s="60" t="n">
        <v>41</v>
      </c>
      <c r="L2219" s="61" t="n">
        <f aca="false">I2219*J2219</f>
        <v>89</v>
      </c>
      <c r="M2219" s="61" t="n">
        <f aca="false">L2219-I2219*K2219</f>
        <v>48</v>
      </c>
      <c r="N2219" s="57" t="n">
        <f aca="false">IF(COUNTIFS(E$2:E2219,E2219,C$2:C2219,C2219)=1,1,0)</f>
        <v>0</v>
      </c>
      <c r="O2219" s="57" t="n">
        <f aca="false">IF(COUNTIFS(E$2:E2219,E2219,C$2:C2219,C2219,D$2:D2219,D2219)=1,1,0)</f>
        <v>0</v>
      </c>
      <c r="P2219" s="57" t="n">
        <f aca="false">IF(AND(C2219=Calc!$C$3,OR(Calc!$C$4=0,D2219=Calc!$C$4)),ROW(),0)</f>
        <v>2219</v>
      </c>
    </row>
    <row r="2220" customFormat="false" ht="15" hidden="false" customHeight="false" outlineLevel="0" collapsed="false">
      <c r="A2220" s="57" t="s">
        <v>2777</v>
      </c>
      <c r="B2220" s="58" t="n">
        <v>45890</v>
      </c>
      <c r="C2220" s="57" t="n">
        <f aca="false">YEAR(B2220)</f>
        <v>2025</v>
      </c>
      <c r="D2220" s="57" t="n">
        <f aca="false">MONTH(B2220)</f>
        <v>8</v>
      </c>
      <c r="E2220" s="57" t="s">
        <v>256</v>
      </c>
      <c r="F2220" s="57" t="s">
        <v>69</v>
      </c>
      <c r="G2220" s="57" t="s">
        <v>35</v>
      </c>
      <c r="H2220" s="57" t="s">
        <v>36</v>
      </c>
      <c r="I2220" s="59" t="n">
        <v>1</v>
      </c>
      <c r="J2220" s="60" t="n">
        <v>179</v>
      </c>
      <c r="K2220" s="60" t="n">
        <v>92</v>
      </c>
      <c r="L2220" s="61" t="n">
        <f aca="false">I2220*J2220</f>
        <v>179</v>
      </c>
      <c r="M2220" s="61" t="n">
        <f aca="false">L2220-I2220*K2220</f>
        <v>87</v>
      </c>
      <c r="N2220" s="57" t="n">
        <f aca="false">IF(COUNTIFS(E$2:E2220,E2220,C$2:C2220,C2220)=1,1,0)</f>
        <v>0</v>
      </c>
      <c r="O2220" s="57" t="n">
        <f aca="false">IF(COUNTIFS(E$2:E2220,E2220,C$2:C2220,C2220,D$2:D2220,D2220)=1,1,0)</f>
        <v>1</v>
      </c>
      <c r="P2220" s="57" t="n">
        <f aca="false">IF(AND(C2220=Calc!$C$3,OR(Calc!$C$4=0,D2220=Calc!$C$4)),ROW(),0)</f>
        <v>2220</v>
      </c>
    </row>
    <row r="2221" customFormat="false" ht="15" hidden="false" customHeight="false" outlineLevel="0" collapsed="false">
      <c r="A2221" s="57" t="s">
        <v>2778</v>
      </c>
      <c r="B2221" s="58" t="n">
        <v>45890</v>
      </c>
      <c r="C2221" s="57" t="n">
        <f aca="false">YEAR(B2221)</f>
        <v>2025</v>
      </c>
      <c r="D2221" s="57" t="n">
        <f aca="false">MONTH(B2221)</f>
        <v>8</v>
      </c>
      <c r="E2221" s="57" t="s">
        <v>571</v>
      </c>
      <c r="F2221" s="57" t="s">
        <v>75</v>
      </c>
      <c r="G2221" s="57" t="s">
        <v>40</v>
      </c>
      <c r="H2221" s="57" t="s">
        <v>42</v>
      </c>
      <c r="I2221" s="59" t="n">
        <v>1</v>
      </c>
      <c r="J2221" s="60" t="n">
        <v>79</v>
      </c>
      <c r="K2221" s="60" t="n">
        <v>31</v>
      </c>
      <c r="L2221" s="61" t="n">
        <f aca="false">I2221*J2221</f>
        <v>79</v>
      </c>
      <c r="M2221" s="61" t="n">
        <f aca="false">L2221-I2221*K2221</f>
        <v>48</v>
      </c>
      <c r="N2221" s="57" t="n">
        <f aca="false">IF(COUNTIFS(E$2:E2221,E2221,C$2:C2221,C2221)=1,1,0)</f>
        <v>1</v>
      </c>
      <c r="O2221" s="57" t="n">
        <f aca="false">IF(COUNTIFS(E$2:E2221,E2221,C$2:C2221,C2221,D$2:D2221,D2221)=1,1,0)</f>
        <v>1</v>
      </c>
      <c r="P2221" s="57" t="n">
        <f aca="false">IF(AND(C2221=Calc!$C$3,OR(Calc!$C$4=0,D2221=Calc!$C$4)),ROW(),0)</f>
        <v>2221</v>
      </c>
    </row>
    <row r="2222" customFormat="false" ht="15" hidden="false" customHeight="false" outlineLevel="0" collapsed="false">
      <c r="A2222" s="57" t="s">
        <v>2779</v>
      </c>
      <c r="B2222" s="58" t="n">
        <v>45891</v>
      </c>
      <c r="C2222" s="57" t="n">
        <f aca="false">YEAR(B2222)</f>
        <v>2025</v>
      </c>
      <c r="D2222" s="57" t="n">
        <f aca="false">MONTH(B2222)</f>
        <v>8</v>
      </c>
      <c r="E2222" s="57" t="s">
        <v>1195</v>
      </c>
      <c r="F2222" s="57" t="s">
        <v>72</v>
      </c>
      <c r="G2222" s="57" t="s">
        <v>45</v>
      </c>
      <c r="H2222" s="57" t="s">
        <v>47</v>
      </c>
      <c r="I2222" s="59" t="n">
        <v>2</v>
      </c>
      <c r="J2222" s="60" t="n">
        <v>34</v>
      </c>
      <c r="K2222" s="60" t="n">
        <v>12</v>
      </c>
      <c r="L2222" s="61" t="n">
        <f aca="false">I2222*J2222</f>
        <v>68</v>
      </c>
      <c r="M2222" s="61" t="n">
        <f aca="false">L2222-I2222*K2222</f>
        <v>44</v>
      </c>
      <c r="N2222" s="57" t="n">
        <f aca="false">IF(COUNTIFS(E$2:E2222,E2222,C$2:C2222,C2222)=1,1,0)</f>
        <v>0</v>
      </c>
      <c r="O2222" s="57" t="n">
        <f aca="false">IF(COUNTIFS(E$2:E2222,E2222,C$2:C2222,C2222,D$2:D2222,D2222)=1,1,0)</f>
        <v>1</v>
      </c>
      <c r="P2222" s="57" t="n">
        <f aca="false">IF(AND(C2222=Calc!$C$3,OR(Calc!$C$4=0,D2222=Calc!$C$4)),ROW(),0)</f>
        <v>2222</v>
      </c>
    </row>
    <row r="2223" customFormat="false" ht="15" hidden="false" customHeight="false" outlineLevel="0" collapsed="false">
      <c r="A2223" s="57" t="s">
        <v>2780</v>
      </c>
      <c r="B2223" s="58" t="n">
        <v>45891</v>
      </c>
      <c r="C2223" s="57" t="n">
        <f aca="false">YEAR(B2223)</f>
        <v>2025</v>
      </c>
      <c r="D2223" s="57" t="n">
        <f aca="false">MONTH(B2223)</f>
        <v>8</v>
      </c>
      <c r="E2223" s="57" t="s">
        <v>2781</v>
      </c>
      <c r="F2223" s="57" t="s">
        <v>78</v>
      </c>
      <c r="G2223" s="57" t="s">
        <v>35</v>
      </c>
      <c r="H2223" s="57" t="s">
        <v>36</v>
      </c>
      <c r="I2223" s="59" t="n">
        <v>3</v>
      </c>
      <c r="J2223" s="60" t="n">
        <v>179</v>
      </c>
      <c r="K2223" s="60" t="n">
        <v>92</v>
      </c>
      <c r="L2223" s="61" t="n">
        <f aca="false">I2223*J2223</f>
        <v>537</v>
      </c>
      <c r="M2223" s="61" t="n">
        <f aca="false">L2223-I2223*K2223</f>
        <v>261</v>
      </c>
      <c r="N2223" s="57" t="n">
        <f aca="false">IF(COUNTIFS(E$2:E2223,E2223,C$2:C2223,C2223)=1,1,0)</f>
        <v>1</v>
      </c>
      <c r="O2223" s="57" t="n">
        <f aca="false">IF(COUNTIFS(E$2:E2223,E2223,C$2:C2223,C2223,D$2:D2223,D2223)=1,1,0)</f>
        <v>1</v>
      </c>
      <c r="P2223" s="57" t="n">
        <f aca="false">IF(AND(C2223=Calc!$C$3,OR(Calc!$C$4=0,D2223=Calc!$C$4)),ROW(),0)</f>
        <v>2223</v>
      </c>
    </row>
    <row r="2224" customFormat="false" ht="15" hidden="false" customHeight="false" outlineLevel="0" collapsed="false">
      <c r="A2224" s="57" t="s">
        <v>2782</v>
      </c>
      <c r="B2224" s="58" t="n">
        <v>45891</v>
      </c>
      <c r="C2224" s="57" t="n">
        <f aca="false">YEAR(B2224)</f>
        <v>2025</v>
      </c>
      <c r="D2224" s="57" t="n">
        <f aca="false">MONTH(B2224)</f>
        <v>8</v>
      </c>
      <c r="E2224" s="57" t="s">
        <v>687</v>
      </c>
      <c r="F2224" s="57" t="s">
        <v>75</v>
      </c>
      <c r="G2224" s="57" t="s">
        <v>40</v>
      </c>
      <c r="H2224" s="57" t="s">
        <v>43</v>
      </c>
      <c r="I2224" s="59" t="n">
        <v>1</v>
      </c>
      <c r="J2224" s="60" t="n">
        <v>29</v>
      </c>
      <c r="K2224" s="60" t="n">
        <v>9</v>
      </c>
      <c r="L2224" s="61" t="n">
        <f aca="false">I2224*J2224</f>
        <v>29</v>
      </c>
      <c r="M2224" s="61" t="n">
        <f aca="false">L2224-I2224*K2224</f>
        <v>20</v>
      </c>
      <c r="N2224" s="57" t="n">
        <f aca="false">IF(COUNTIFS(E$2:E2224,E2224,C$2:C2224,C2224)=1,1,0)</f>
        <v>0</v>
      </c>
      <c r="O2224" s="57" t="n">
        <f aca="false">IF(COUNTIFS(E$2:E2224,E2224,C$2:C2224,C2224,D$2:D2224,D2224)=1,1,0)</f>
        <v>1</v>
      </c>
      <c r="P2224" s="57" t="n">
        <f aca="false">IF(AND(C2224=Calc!$C$3,OR(Calc!$C$4=0,D2224=Calc!$C$4)),ROW(),0)</f>
        <v>2224</v>
      </c>
    </row>
    <row r="2225" customFormat="false" ht="15" hidden="false" customHeight="false" outlineLevel="0" collapsed="false">
      <c r="A2225" s="57" t="s">
        <v>2783</v>
      </c>
      <c r="B2225" s="58" t="n">
        <v>45891</v>
      </c>
      <c r="C2225" s="57" t="n">
        <f aca="false">YEAR(B2225)</f>
        <v>2025</v>
      </c>
      <c r="D2225" s="57" t="n">
        <f aca="false">MONTH(B2225)</f>
        <v>8</v>
      </c>
      <c r="E2225" s="57" t="s">
        <v>91</v>
      </c>
      <c r="F2225" s="57" t="s">
        <v>69</v>
      </c>
      <c r="G2225" s="57" t="s">
        <v>35</v>
      </c>
      <c r="H2225" s="57" t="s">
        <v>37</v>
      </c>
      <c r="I2225" s="59" t="n">
        <v>1</v>
      </c>
      <c r="J2225" s="60" t="n">
        <v>59</v>
      </c>
      <c r="K2225" s="60" t="n">
        <v>27</v>
      </c>
      <c r="L2225" s="61" t="n">
        <f aca="false">I2225*J2225</f>
        <v>59</v>
      </c>
      <c r="M2225" s="61" t="n">
        <f aca="false">L2225-I2225*K2225</f>
        <v>32</v>
      </c>
      <c r="N2225" s="57" t="n">
        <f aca="false">IF(COUNTIFS(E$2:E2225,E2225,C$2:C2225,C2225)=1,1,0)</f>
        <v>0</v>
      </c>
      <c r="O2225" s="57" t="n">
        <f aca="false">IF(COUNTIFS(E$2:E2225,E2225,C$2:C2225,C2225,D$2:D2225,D2225)=1,1,0)</f>
        <v>1</v>
      </c>
      <c r="P2225" s="57" t="n">
        <f aca="false">IF(AND(C2225=Calc!$C$3,OR(Calc!$C$4=0,D2225=Calc!$C$4)),ROW(),0)</f>
        <v>2225</v>
      </c>
    </row>
    <row r="2226" customFormat="false" ht="15" hidden="false" customHeight="false" outlineLevel="0" collapsed="false">
      <c r="A2226" s="57" t="s">
        <v>2784</v>
      </c>
      <c r="B2226" s="58" t="n">
        <v>45891</v>
      </c>
      <c r="C2226" s="57" t="n">
        <f aca="false">YEAR(B2226)</f>
        <v>2025</v>
      </c>
      <c r="D2226" s="57" t="n">
        <f aca="false">MONTH(B2226)</f>
        <v>8</v>
      </c>
      <c r="E2226" s="57" t="s">
        <v>850</v>
      </c>
      <c r="F2226" s="57" t="s">
        <v>78</v>
      </c>
      <c r="G2226" s="57" t="s">
        <v>40</v>
      </c>
      <c r="H2226" s="57" t="s">
        <v>39</v>
      </c>
      <c r="I2226" s="59" t="n">
        <v>1</v>
      </c>
      <c r="J2226" s="60" t="n">
        <v>54</v>
      </c>
      <c r="K2226" s="60" t="n">
        <v>19</v>
      </c>
      <c r="L2226" s="61" t="n">
        <f aca="false">I2226*J2226</f>
        <v>54</v>
      </c>
      <c r="M2226" s="61" t="n">
        <f aca="false">L2226-I2226*K2226</f>
        <v>35</v>
      </c>
      <c r="N2226" s="57" t="n">
        <f aca="false">IF(COUNTIFS(E$2:E2226,E2226,C$2:C2226,C2226)=1,1,0)</f>
        <v>1</v>
      </c>
      <c r="O2226" s="57" t="n">
        <f aca="false">IF(COUNTIFS(E$2:E2226,E2226,C$2:C2226,C2226,D$2:D2226,D2226)=1,1,0)</f>
        <v>1</v>
      </c>
      <c r="P2226" s="57" t="n">
        <f aca="false">IF(AND(C2226=Calc!$C$3,OR(Calc!$C$4=0,D2226=Calc!$C$4)),ROW(),0)</f>
        <v>2226</v>
      </c>
    </row>
    <row r="2227" customFormat="false" ht="15" hidden="false" customHeight="false" outlineLevel="0" collapsed="false">
      <c r="A2227" s="57" t="s">
        <v>2785</v>
      </c>
      <c r="B2227" s="58" t="n">
        <v>45892</v>
      </c>
      <c r="C2227" s="57" t="n">
        <f aca="false">YEAR(B2227)</f>
        <v>2025</v>
      </c>
      <c r="D2227" s="57" t="n">
        <f aca="false">MONTH(B2227)</f>
        <v>8</v>
      </c>
      <c r="E2227" s="57" t="s">
        <v>1149</v>
      </c>
      <c r="F2227" s="57" t="s">
        <v>78</v>
      </c>
      <c r="G2227" s="57" t="s">
        <v>35</v>
      </c>
      <c r="H2227" s="57" t="s">
        <v>36</v>
      </c>
      <c r="I2227" s="59" t="n">
        <v>1</v>
      </c>
      <c r="J2227" s="60" t="n">
        <v>179</v>
      </c>
      <c r="K2227" s="60" t="n">
        <v>92</v>
      </c>
      <c r="L2227" s="61" t="n">
        <f aca="false">I2227*J2227</f>
        <v>179</v>
      </c>
      <c r="M2227" s="61" t="n">
        <f aca="false">L2227-I2227*K2227</f>
        <v>87</v>
      </c>
      <c r="N2227" s="57" t="n">
        <f aca="false">IF(COUNTIFS(E$2:E2227,E2227,C$2:C2227,C2227)=1,1,0)</f>
        <v>0</v>
      </c>
      <c r="O2227" s="57" t="n">
        <f aca="false">IF(COUNTIFS(E$2:E2227,E2227,C$2:C2227,C2227,D$2:D2227,D2227)=1,1,0)</f>
        <v>1</v>
      </c>
      <c r="P2227" s="57" t="n">
        <f aca="false">IF(AND(C2227=Calc!$C$3,OR(Calc!$C$4=0,D2227=Calc!$C$4)),ROW(),0)</f>
        <v>2227</v>
      </c>
    </row>
    <row r="2228" customFormat="false" ht="15" hidden="false" customHeight="false" outlineLevel="0" collapsed="false">
      <c r="A2228" s="57" t="s">
        <v>2786</v>
      </c>
      <c r="B2228" s="58" t="n">
        <v>45892</v>
      </c>
      <c r="C2228" s="57" t="n">
        <f aca="false">YEAR(B2228)</f>
        <v>2025</v>
      </c>
      <c r="D2228" s="57" t="n">
        <f aca="false">MONTH(B2228)</f>
        <v>8</v>
      </c>
      <c r="E2228" s="57" t="s">
        <v>1294</v>
      </c>
      <c r="F2228" s="57" t="s">
        <v>81</v>
      </c>
      <c r="G2228" s="57" t="s">
        <v>35</v>
      </c>
      <c r="H2228" s="57" t="s">
        <v>34</v>
      </c>
      <c r="I2228" s="59" t="n">
        <v>2</v>
      </c>
      <c r="J2228" s="60" t="n">
        <v>89</v>
      </c>
      <c r="K2228" s="60" t="n">
        <v>41</v>
      </c>
      <c r="L2228" s="61" t="n">
        <f aca="false">I2228*J2228</f>
        <v>178</v>
      </c>
      <c r="M2228" s="61" t="n">
        <f aca="false">L2228-I2228*K2228</f>
        <v>96</v>
      </c>
      <c r="N2228" s="57" t="n">
        <f aca="false">IF(COUNTIFS(E$2:E2228,E2228,C$2:C2228,C2228)=1,1,0)</f>
        <v>1</v>
      </c>
      <c r="O2228" s="57" t="n">
        <f aca="false">IF(COUNTIFS(E$2:E2228,E2228,C$2:C2228,C2228,D$2:D2228,D2228)=1,1,0)</f>
        <v>1</v>
      </c>
      <c r="P2228" s="57" t="n">
        <f aca="false">IF(AND(C2228=Calc!$C$3,OR(Calc!$C$4=0,D2228=Calc!$C$4)),ROW(),0)</f>
        <v>2228</v>
      </c>
    </row>
    <row r="2229" customFormat="false" ht="15" hidden="false" customHeight="false" outlineLevel="0" collapsed="false">
      <c r="A2229" s="57" t="s">
        <v>2787</v>
      </c>
      <c r="B2229" s="58" t="n">
        <v>45893</v>
      </c>
      <c r="C2229" s="57" t="n">
        <f aca="false">YEAR(B2229)</f>
        <v>2025</v>
      </c>
      <c r="D2229" s="57" t="n">
        <f aca="false">MONTH(B2229)</f>
        <v>8</v>
      </c>
      <c r="E2229" s="57" t="s">
        <v>2788</v>
      </c>
      <c r="F2229" s="57" t="s">
        <v>75</v>
      </c>
      <c r="G2229" s="57" t="s">
        <v>50</v>
      </c>
      <c r="H2229" s="57" t="s">
        <v>52</v>
      </c>
      <c r="I2229" s="59" t="n">
        <v>2</v>
      </c>
      <c r="J2229" s="60" t="n">
        <v>45</v>
      </c>
      <c r="K2229" s="60" t="n">
        <v>14</v>
      </c>
      <c r="L2229" s="61" t="n">
        <f aca="false">I2229*J2229</f>
        <v>90</v>
      </c>
      <c r="M2229" s="61" t="n">
        <f aca="false">L2229-I2229*K2229</f>
        <v>62</v>
      </c>
      <c r="N2229" s="57" t="n">
        <f aca="false">IF(COUNTIFS(E$2:E2229,E2229,C$2:C2229,C2229)=1,1,0)</f>
        <v>1</v>
      </c>
      <c r="O2229" s="57" t="n">
        <f aca="false">IF(COUNTIFS(E$2:E2229,E2229,C$2:C2229,C2229,D$2:D2229,D2229)=1,1,0)</f>
        <v>1</v>
      </c>
      <c r="P2229" s="57" t="n">
        <f aca="false">IF(AND(C2229=Calc!$C$3,OR(Calc!$C$4=0,D2229=Calc!$C$4)),ROW(),0)</f>
        <v>2229</v>
      </c>
    </row>
    <row r="2230" customFormat="false" ht="15" hidden="false" customHeight="false" outlineLevel="0" collapsed="false">
      <c r="A2230" s="57" t="s">
        <v>2789</v>
      </c>
      <c r="B2230" s="58" t="n">
        <v>45893</v>
      </c>
      <c r="C2230" s="57" t="n">
        <f aca="false">YEAR(B2230)</f>
        <v>2025</v>
      </c>
      <c r="D2230" s="57" t="n">
        <f aca="false">MONTH(B2230)</f>
        <v>8</v>
      </c>
      <c r="E2230" s="57" t="s">
        <v>355</v>
      </c>
      <c r="F2230" s="57" t="s">
        <v>78</v>
      </c>
      <c r="G2230" s="57" t="s">
        <v>54</v>
      </c>
      <c r="H2230" s="57" t="s">
        <v>56</v>
      </c>
      <c r="I2230" s="59" t="n">
        <v>1</v>
      </c>
      <c r="J2230" s="60" t="n">
        <v>42</v>
      </c>
      <c r="K2230" s="60" t="n">
        <v>17</v>
      </c>
      <c r="L2230" s="61" t="n">
        <f aca="false">I2230*J2230</f>
        <v>42</v>
      </c>
      <c r="M2230" s="61" t="n">
        <f aca="false">L2230-I2230*K2230</f>
        <v>25</v>
      </c>
      <c r="N2230" s="57" t="n">
        <f aca="false">IF(COUNTIFS(E$2:E2230,E2230,C$2:C2230,C2230)=1,1,0)</f>
        <v>0</v>
      </c>
      <c r="O2230" s="57" t="n">
        <f aca="false">IF(COUNTIFS(E$2:E2230,E2230,C$2:C2230,C2230,D$2:D2230,D2230)=1,1,0)</f>
        <v>1</v>
      </c>
      <c r="P2230" s="57" t="n">
        <f aca="false">IF(AND(C2230=Calc!$C$3,OR(Calc!$C$4=0,D2230=Calc!$C$4)),ROW(),0)</f>
        <v>2230</v>
      </c>
    </row>
    <row r="2231" customFormat="false" ht="15" hidden="false" customHeight="false" outlineLevel="0" collapsed="false">
      <c r="A2231" s="57" t="s">
        <v>2790</v>
      </c>
      <c r="B2231" s="58" t="n">
        <v>45893</v>
      </c>
      <c r="C2231" s="57" t="n">
        <f aca="false">YEAR(B2231)</f>
        <v>2025</v>
      </c>
      <c r="D2231" s="57" t="n">
        <f aca="false">MONTH(B2231)</f>
        <v>8</v>
      </c>
      <c r="E2231" s="57" t="s">
        <v>461</v>
      </c>
      <c r="F2231" s="57" t="s">
        <v>78</v>
      </c>
      <c r="G2231" s="57" t="s">
        <v>35</v>
      </c>
      <c r="H2231" s="57" t="s">
        <v>38</v>
      </c>
      <c r="I2231" s="59" t="n">
        <v>1</v>
      </c>
      <c r="J2231" s="60" t="n">
        <v>49</v>
      </c>
      <c r="K2231" s="60" t="n">
        <v>22</v>
      </c>
      <c r="L2231" s="61" t="n">
        <f aca="false">I2231*J2231</f>
        <v>49</v>
      </c>
      <c r="M2231" s="61" t="n">
        <f aca="false">L2231-I2231*K2231</f>
        <v>27</v>
      </c>
      <c r="N2231" s="57" t="n">
        <f aca="false">IF(COUNTIFS(E$2:E2231,E2231,C$2:C2231,C2231)=1,1,0)</f>
        <v>0</v>
      </c>
      <c r="O2231" s="57" t="n">
        <f aca="false">IF(COUNTIFS(E$2:E2231,E2231,C$2:C2231,C2231,D$2:D2231,D2231)=1,1,0)</f>
        <v>1</v>
      </c>
      <c r="P2231" s="57" t="n">
        <f aca="false">IF(AND(C2231=Calc!$C$3,OR(Calc!$C$4=0,D2231=Calc!$C$4)),ROW(),0)</f>
        <v>2231</v>
      </c>
    </row>
    <row r="2232" customFormat="false" ht="15" hidden="false" customHeight="false" outlineLevel="0" collapsed="false">
      <c r="A2232" s="57" t="s">
        <v>2791</v>
      </c>
      <c r="B2232" s="58" t="n">
        <v>45893</v>
      </c>
      <c r="C2232" s="57" t="n">
        <f aca="false">YEAR(B2232)</f>
        <v>2025</v>
      </c>
      <c r="D2232" s="57" t="n">
        <f aca="false">MONTH(B2232)</f>
        <v>8</v>
      </c>
      <c r="E2232" s="57" t="s">
        <v>2227</v>
      </c>
      <c r="F2232" s="57" t="s">
        <v>69</v>
      </c>
      <c r="G2232" s="57" t="s">
        <v>50</v>
      </c>
      <c r="H2232" s="57" t="s">
        <v>49</v>
      </c>
      <c r="I2232" s="59" t="n">
        <v>1</v>
      </c>
      <c r="J2232" s="60" t="n">
        <v>32</v>
      </c>
      <c r="K2232" s="60" t="n">
        <v>7</v>
      </c>
      <c r="L2232" s="61" t="n">
        <f aca="false">I2232*J2232</f>
        <v>32</v>
      </c>
      <c r="M2232" s="61" t="n">
        <f aca="false">L2232-I2232*K2232</f>
        <v>25</v>
      </c>
      <c r="N2232" s="57" t="n">
        <f aca="false">IF(COUNTIFS(E$2:E2232,E2232,C$2:C2232,C2232)=1,1,0)</f>
        <v>0</v>
      </c>
      <c r="O2232" s="57" t="n">
        <f aca="false">IF(COUNTIFS(E$2:E2232,E2232,C$2:C2232,C2232,D$2:D2232,D2232)=1,1,0)</f>
        <v>1</v>
      </c>
      <c r="P2232" s="57" t="n">
        <f aca="false">IF(AND(C2232=Calc!$C$3,OR(Calc!$C$4=0,D2232=Calc!$C$4)),ROW(),0)</f>
        <v>2232</v>
      </c>
    </row>
    <row r="2233" customFormat="false" ht="15" hidden="false" customHeight="false" outlineLevel="0" collapsed="false">
      <c r="A2233" s="57" t="s">
        <v>2792</v>
      </c>
      <c r="B2233" s="58" t="n">
        <v>45894</v>
      </c>
      <c r="C2233" s="57" t="n">
        <f aca="false">YEAR(B2233)</f>
        <v>2025</v>
      </c>
      <c r="D2233" s="57" t="n">
        <f aca="false">MONTH(B2233)</f>
        <v>8</v>
      </c>
      <c r="E2233" s="57" t="s">
        <v>203</v>
      </c>
      <c r="F2233" s="57" t="s">
        <v>78</v>
      </c>
      <c r="G2233" s="57" t="s">
        <v>40</v>
      </c>
      <c r="H2233" s="57" t="s">
        <v>39</v>
      </c>
      <c r="I2233" s="59" t="n">
        <v>1</v>
      </c>
      <c r="J2233" s="60" t="n">
        <v>54</v>
      </c>
      <c r="K2233" s="60" t="n">
        <v>19</v>
      </c>
      <c r="L2233" s="61" t="n">
        <f aca="false">I2233*J2233</f>
        <v>54</v>
      </c>
      <c r="M2233" s="61" t="n">
        <f aca="false">L2233-I2233*K2233</f>
        <v>35</v>
      </c>
      <c r="N2233" s="57" t="n">
        <f aca="false">IF(COUNTIFS(E$2:E2233,E2233,C$2:C2233,C2233)=1,1,0)</f>
        <v>0</v>
      </c>
      <c r="O2233" s="57" t="n">
        <f aca="false">IF(COUNTIFS(E$2:E2233,E2233,C$2:C2233,C2233,D$2:D2233,D2233)=1,1,0)</f>
        <v>1</v>
      </c>
      <c r="P2233" s="57" t="n">
        <f aca="false">IF(AND(C2233=Calc!$C$3,OR(Calc!$C$4=0,D2233=Calc!$C$4)),ROW(),0)</f>
        <v>2233</v>
      </c>
    </row>
    <row r="2234" customFormat="false" ht="15" hidden="false" customHeight="false" outlineLevel="0" collapsed="false">
      <c r="A2234" s="57" t="s">
        <v>2793</v>
      </c>
      <c r="B2234" s="58" t="n">
        <v>45894</v>
      </c>
      <c r="C2234" s="57" t="n">
        <f aca="false">YEAR(B2234)</f>
        <v>2025</v>
      </c>
      <c r="D2234" s="57" t="n">
        <f aca="false">MONTH(B2234)</f>
        <v>8</v>
      </c>
      <c r="E2234" s="57" t="s">
        <v>653</v>
      </c>
      <c r="F2234" s="57" t="s">
        <v>69</v>
      </c>
      <c r="G2234" s="57" t="s">
        <v>35</v>
      </c>
      <c r="H2234" s="57" t="s">
        <v>37</v>
      </c>
      <c r="I2234" s="59" t="n">
        <v>1</v>
      </c>
      <c r="J2234" s="60" t="n">
        <v>59</v>
      </c>
      <c r="K2234" s="60" t="n">
        <v>27</v>
      </c>
      <c r="L2234" s="61" t="n">
        <f aca="false">I2234*J2234</f>
        <v>59</v>
      </c>
      <c r="M2234" s="61" t="n">
        <f aca="false">L2234-I2234*K2234</f>
        <v>32</v>
      </c>
      <c r="N2234" s="57" t="n">
        <f aca="false">IF(COUNTIFS(E$2:E2234,E2234,C$2:C2234,C2234)=1,1,0)</f>
        <v>0</v>
      </c>
      <c r="O2234" s="57" t="n">
        <f aca="false">IF(COUNTIFS(E$2:E2234,E2234,C$2:C2234,C2234,D$2:D2234,D2234)=1,1,0)</f>
        <v>1</v>
      </c>
      <c r="P2234" s="57" t="n">
        <f aca="false">IF(AND(C2234=Calc!$C$3,OR(Calc!$C$4=0,D2234=Calc!$C$4)),ROW(),0)</f>
        <v>2234</v>
      </c>
    </row>
    <row r="2235" customFormat="false" ht="15" hidden="false" customHeight="false" outlineLevel="0" collapsed="false">
      <c r="A2235" s="57" t="s">
        <v>2794</v>
      </c>
      <c r="B2235" s="58" t="n">
        <v>45894</v>
      </c>
      <c r="C2235" s="57" t="n">
        <f aca="false">YEAR(B2235)</f>
        <v>2025</v>
      </c>
      <c r="D2235" s="57" t="n">
        <f aca="false">MONTH(B2235)</f>
        <v>8</v>
      </c>
      <c r="E2235" s="57" t="s">
        <v>332</v>
      </c>
      <c r="F2235" s="57" t="s">
        <v>72</v>
      </c>
      <c r="G2235" s="57" t="s">
        <v>35</v>
      </c>
      <c r="H2235" s="57" t="s">
        <v>37</v>
      </c>
      <c r="I2235" s="59" t="n">
        <v>2</v>
      </c>
      <c r="J2235" s="60" t="n">
        <v>59</v>
      </c>
      <c r="K2235" s="60" t="n">
        <v>27</v>
      </c>
      <c r="L2235" s="61" t="n">
        <f aca="false">I2235*J2235</f>
        <v>118</v>
      </c>
      <c r="M2235" s="61" t="n">
        <f aca="false">L2235-I2235*K2235</f>
        <v>64</v>
      </c>
      <c r="N2235" s="57" t="n">
        <f aca="false">IF(COUNTIFS(E$2:E2235,E2235,C$2:C2235,C2235)=1,1,0)</f>
        <v>1</v>
      </c>
      <c r="O2235" s="57" t="n">
        <f aca="false">IF(COUNTIFS(E$2:E2235,E2235,C$2:C2235,C2235,D$2:D2235,D2235)=1,1,0)</f>
        <v>1</v>
      </c>
      <c r="P2235" s="57" t="n">
        <f aca="false">IF(AND(C2235=Calc!$C$3,OR(Calc!$C$4=0,D2235=Calc!$C$4)),ROW(),0)</f>
        <v>2235</v>
      </c>
    </row>
    <row r="2236" customFormat="false" ht="15" hidden="false" customHeight="false" outlineLevel="0" collapsed="false">
      <c r="A2236" s="57" t="s">
        <v>2795</v>
      </c>
      <c r="B2236" s="58" t="n">
        <v>45895</v>
      </c>
      <c r="C2236" s="57" t="n">
        <f aca="false">YEAR(B2236)</f>
        <v>2025</v>
      </c>
      <c r="D2236" s="57" t="n">
        <f aca="false">MONTH(B2236)</f>
        <v>8</v>
      </c>
      <c r="E2236" s="57" t="s">
        <v>355</v>
      </c>
      <c r="F2236" s="57" t="s">
        <v>78</v>
      </c>
      <c r="G2236" s="57" t="s">
        <v>45</v>
      </c>
      <c r="H2236" s="57" t="s">
        <v>47</v>
      </c>
      <c r="I2236" s="59" t="n">
        <v>2</v>
      </c>
      <c r="J2236" s="60" t="n">
        <v>34</v>
      </c>
      <c r="K2236" s="60" t="n">
        <v>12</v>
      </c>
      <c r="L2236" s="61" t="n">
        <f aca="false">I2236*J2236</f>
        <v>68</v>
      </c>
      <c r="M2236" s="61" t="n">
        <f aca="false">L2236-I2236*K2236</f>
        <v>44</v>
      </c>
      <c r="N2236" s="57" t="n">
        <f aca="false">IF(COUNTIFS(E$2:E2236,E2236,C$2:C2236,C2236)=1,1,0)</f>
        <v>0</v>
      </c>
      <c r="O2236" s="57" t="n">
        <f aca="false">IF(COUNTIFS(E$2:E2236,E2236,C$2:C2236,C2236,D$2:D2236,D2236)=1,1,0)</f>
        <v>0</v>
      </c>
      <c r="P2236" s="57" t="n">
        <f aca="false">IF(AND(C2236=Calc!$C$3,OR(Calc!$C$4=0,D2236=Calc!$C$4)),ROW(),0)</f>
        <v>2236</v>
      </c>
    </row>
    <row r="2237" customFormat="false" ht="15" hidden="false" customHeight="false" outlineLevel="0" collapsed="false">
      <c r="A2237" s="57" t="s">
        <v>2796</v>
      </c>
      <c r="B2237" s="58" t="n">
        <v>45895</v>
      </c>
      <c r="C2237" s="57" t="n">
        <f aca="false">YEAR(B2237)</f>
        <v>2025</v>
      </c>
      <c r="D2237" s="57" t="n">
        <f aca="false">MONTH(B2237)</f>
        <v>8</v>
      </c>
      <c r="E2237" s="57" t="s">
        <v>361</v>
      </c>
      <c r="F2237" s="57" t="s">
        <v>69</v>
      </c>
      <c r="G2237" s="57" t="s">
        <v>40</v>
      </c>
      <c r="H2237" s="57" t="s">
        <v>41</v>
      </c>
      <c r="I2237" s="59" t="n">
        <v>1</v>
      </c>
      <c r="J2237" s="60" t="n">
        <v>46</v>
      </c>
      <c r="K2237" s="60" t="n">
        <v>16</v>
      </c>
      <c r="L2237" s="61" t="n">
        <f aca="false">I2237*J2237</f>
        <v>46</v>
      </c>
      <c r="M2237" s="61" t="n">
        <f aca="false">L2237-I2237*K2237</f>
        <v>30</v>
      </c>
      <c r="N2237" s="57" t="n">
        <f aca="false">IF(COUNTIFS(E$2:E2237,E2237,C$2:C2237,C2237)=1,1,0)</f>
        <v>0</v>
      </c>
      <c r="O2237" s="57" t="n">
        <f aca="false">IF(COUNTIFS(E$2:E2237,E2237,C$2:C2237,C2237,D$2:D2237,D2237)=1,1,0)</f>
        <v>1</v>
      </c>
      <c r="P2237" s="57" t="n">
        <f aca="false">IF(AND(C2237=Calc!$C$3,OR(Calc!$C$4=0,D2237=Calc!$C$4)),ROW(),0)</f>
        <v>2237</v>
      </c>
    </row>
    <row r="2238" customFormat="false" ht="15" hidden="false" customHeight="false" outlineLevel="0" collapsed="false">
      <c r="A2238" s="57" t="s">
        <v>2797</v>
      </c>
      <c r="B2238" s="58" t="n">
        <v>45895</v>
      </c>
      <c r="C2238" s="57" t="n">
        <f aca="false">YEAR(B2238)</f>
        <v>2025</v>
      </c>
      <c r="D2238" s="57" t="n">
        <f aca="false">MONTH(B2238)</f>
        <v>8</v>
      </c>
      <c r="E2238" s="57" t="s">
        <v>973</v>
      </c>
      <c r="F2238" s="57" t="s">
        <v>78</v>
      </c>
      <c r="G2238" s="57" t="s">
        <v>35</v>
      </c>
      <c r="H2238" s="57" t="s">
        <v>38</v>
      </c>
      <c r="I2238" s="59" t="n">
        <v>1</v>
      </c>
      <c r="J2238" s="60" t="n">
        <v>49</v>
      </c>
      <c r="K2238" s="60" t="n">
        <v>22</v>
      </c>
      <c r="L2238" s="61" t="n">
        <f aca="false">I2238*J2238</f>
        <v>49</v>
      </c>
      <c r="M2238" s="61" t="n">
        <f aca="false">L2238-I2238*K2238</f>
        <v>27</v>
      </c>
      <c r="N2238" s="57" t="n">
        <f aca="false">IF(COUNTIFS(E$2:E2238,E2238,C$2:C2238,C2238)=1,1,0)</f>
        <v>0</v>
      </c>
      <c r="O2238" s="57" t="n">
        <f aca="false">IF(COUNTIFS(E$2:E2238,E2238,C$2:C2238,C2238,D$2:D2238,D2238)=1,1,0)</f>
        <v>1</v>
      </c>
      <c r="P2238" s="57" t="n">
        <f aca="false">IF(AND(C2238=Calc!$C$3,OR(Calc!$C$4=0,D2238=Calc!$C$4)),ROW(),0)</f>
        <v>2238</v>
      </c>
    </row>
    <row r="2239" customFormat="false" ht="15" hidden="false" customHeight="false" outlineLevel="0" collapsed="false">
      <c r="A2239" s="57" t="s">
        <v>2798</v>
      </c>
      <c r="B2239" s="58" t="n">
        <v>45896</v>
      </c>
      <c r="C2239" s="57" t="n">
        <f aca="false">YEAR(B2239)</f>
        <v>2025</v>
      </c>
      <c r="D2239" s="57" t="n">
        <f aca="false">MONTH(B2239)</f>
        <v>8</v>
      </c>
      <c r="E2239" s="57" t="s">
        <v>2501</v>
      </c>
      <c r="F2239" s="57" t="s">
        <v>75</v>
      </c>
      <c r="G2239" s="57" t="s">
        <v>45</v>
      </c>
      <c r="H2239" s="57" t="s">
        <v>47</v>
      </c>
      <c r="I2239" s="59" t="n">
        <v>1</v>
      </c>
      <c r="J2239" s="60" t="n">
        <v>34</v>
      </c>
      <c r="K2239" s="60" t="n">
        <v>12</v>
      </c>
      <c r="L2239" s="61" t="n">
        <f aca="false">I2239*J2239</f>
        <v>34</v>
      </c>
      <c r="M2239" s="61" t="n">
        <f aca="false">L2239-I2239*K2239</f>
        <v>22</v>
      </c>
      <c r="N2239" s="57" t="n">
        <f aca="false">IF(COUNTIFS(E$2:E2239,E2239,C$2:C2239,C2239)=1,1,0)</f>
        <v>0</v>
      </c>
      <c r="O2239" s="57" t="n">
        <f aca="false">IF(COUNTIFS(E$2:E2239,E2239,C$2:C2239,C2239,D$2:D2239,D2239)=1,1,0)</f>
        <v>1</v>
      </c>
      <c r="P2239" s="57" t="n">
        <f aca="false">IF(AND(C2239=Calc!$C$3,OR(Calc!$C$4=0,D2239=Calc!$C$4)),ROW(),0)</f>
        <v>2239</v>
      </c>
    </row>
    <row r="2240" customFormat="false" ht="15" hidden="false" customHeight="false" outlineLevel="0" collapsed="false">
      <c r="A2240" s="57" t="s">
        <v>2799</v>
      </c>
      <c r="B2240" s="58" t="n">
        <v>45896</v>
      </c>
      <c r="C2240" s="57" t="n">
        <f aca="false">YEAR(B2240)</f>
        <v>2025</v>
      </c>
      <c r="D2240" s="57" t="n">
        <f aca="false">MONTH(B2240)</f>
        <v>8</v>
      </c>
      <c r="E2240" s="57" t="s">
        <v>68</v>
      </c>
      <c r="F2240" s="57" t="s">
        <v>69</v>
      </c>
      <c r="G2240" s="57" t="s">
        <v>35</v>
      </c>
      <c r="H2240" s="57" t="s">
        <v>38</v>
      </c>
      <c r="I2240" s="59" t="n">
        <v>1</v>
      </c>
      <c r="J2240" s="60" t="n">
        <v>49</v>
      </c>
      <c r="K2240" s="60" t="n">
        <v>22</v>
      </c>
      <c r="L2240" s="61" t="n">
        <f aca="false">I2240*J2240</f>
        <v>49</v>
      </c>
      <c r="M2240" s="61" t="n">
        <f aca="false">L2240-I2240*K2240</f>
        <v>27</v>
      </c>
      <c r="N2240" s="57" t="n">
        <f aca="false">IF(COUNTIFS(E$2:E2240,E2240,C$2:C2240,C2240)=1,1,0)</f>
        <v>0</v>
      </c>
      <c r="O2240" s="57" t="n">
        <f aca="false">IF(COUNTIFS(E$2:E2240,E2240,C$2:C2240,C2240,D$2:D2240,D2240)=1,1,0)</f>
        <v>1</v>
      </c>
      <c r="P2240" s="57" t="n">
        <f aca="false">IF(AND(C2240=Calc!$C$3,OR(Calc!$C$4=0,D2240=Calc!$C$4)),ROW(),0)</f>
        <v>2240</v>
      </c>
    </row>
    <row r="2241" customFormat="false" ht="15" hidden="false" customHeight="false" outlineLevel="0" collapsed="false">
      <c r="A2241" s="57" t="s">
        <v>2800</v>
      </c>
      <c r="B2241" s="58" t="n">
        <v>45896</v>
      </c>
      <c r="C2241" s="57" t="n">
        <f aca="false">YEAR(B2241)</f>
        <v>2025</v>
      </c>
      <c r="D2241" s="57" t="n">
        <f aca="false">MONTH(B2241)</f>
        <v>8</v>
      </c>
      <c r="E2241" s="57" t="s">
        <v>229</v>
      </c>
      <c r="F2241" s="57" t="s">
        <v>81</v>
      </c>
      <c r="G2241" s="57" t="s">
        <v>45</v>
      </c>
      <c r="H2241" s="57" t="s">
        <v>46</v>
      </c>
      <c r="I2241" s="59" t="n">
        <v>1</v>
      </c>
      <c r="J2241" s="60" t="n">
        <v>149</v>
      </c>
      <c r="K2241" s="60" t="n">
        <v>71</v>
      </c>
      <c r="L2241" s="61" t="n">
        <f aca="false">I2241*J2241</f>
        <v>149</v>
      </c>
      <c r="M2241" s="61" t="n">
        <f aca="false">L2241-I2241*K2241</f>
        <v>78</v>
      </c>
      <c r="N2241" s="57" t="n">
        <f aca="false">IF(COUNTIFS(E$2:E2241,E2241,C$2:C2241,C2241)=1,1,0)</f>
        <v>0</v>
      </c>
      <c r="O2241" s="57" t="n">
        <f aca="false">IF(COUNTIFS(E$2:E2241,E2241,C$2:C2241,C2241,D$2:D2241,D2241)=1,1,0)</f>
        <v>1</v>
      </c>
      <c r="P2241" s="57" t="n">
        <f aca="false">IF(AND(C2241=Calc!$C$3,OR(Calc!$C$4=0,D2241=Calc!$C$4)),ROW(),0)</f>
        <v>2241</v>
      </c>
    </row>
    <row r="2242" customFormat="false" ht="15" hidden="false" customHeight="false" outlineLevel="0" collapsed="false">
      <c r="A2242" s="57" t="s">
        <v>2801</v>
      </c>
      <c r="B2242" s="58" t="n">
        <v>45896</v>
      </c>
      <c r="C2242" s="57" t="n">
        <f aca="false">YEAR(B2242)</f>
        <v>2025</v>
      </c>
      <c r="D2242" s="57" t="n">
        <f aca="false">MONTH(B2242)</f>
        <v>8</v>
      </c>
      <c r="E2242" s="57" t="s">
        <v>404</v>
      </c>
      <c r="F2242" s="57" t="s">
        <v>75</v>
      </c>
      <c r="G2242" s="57" t="s">
        <v>45</v>
      </c>
      <c r="H2242" s="57" t="s">
        <v>46</v>
      </c>
      <c r="I2242" s="59" t="n">
        <v>1</v>
      </c>
      <c r="J2242" s="60" t="n">
        <v>149</v>
      </c>
      <c r="K2242" s="60" t="n">
        <v>71</v>
      </c>
      <c r="L2242" s="61" t="n">
        <f aca="false">I2242*J2242</f>
        <v>149</v>
      </c>
      <c r="M2242" s="61" t="n">
        <f aca="false">L2242-I2242*K2242</f>
        <v>78</v>
      </c>
      <c r="N2242" s="57" t="n">
        <f aca="false">IF(COUNTIFS(E$2:E2242,E2242,C$2:C2242,C2242)=1,1,0)</f>
        <v>1</v>
      </c>
      <c r="O2242" s="57" t="n">
        <f aca="false">IF(COUNTIFS(E$2:E2242,E2242,C$2:C2242,C2242,D$2:D2242,D2242)=1,1,0)</f>
        <v>1</v>
      </c>
      <c r="P2242" s="57" t="n">
        <f aca="false">IF(AND(C2242=Calc!$C$3,OR(Calc!$C$4=0,D2242=Calc!$C$4)),ROW(),0)</f>
        <v>2242</v>
      </c>
    </row>
    <row r="2243" customFormat="false" ht="15" hidden="false" customHeight="false" outlineLevel="0" collapsed="false">
      <c r="A2243" s="57" t="s">
        <v>2802</v>
      </c>
      <c r="B2243" s="58" t="n">
        <v>45896</v>
      </c>
      <c r="C2243" s="57" t="n">
        <f aca="false">YEAR(B2243)</f>
        <v>2025</v>
      </c>
      <c r="D2243" s="57" t="n">
        <f aca="false">MONTH(B2243)</f>
        <v>8</v>
      </c>
      <c r="E2243" s="57" t="s">
        <v>323</v>
      </c>
      <c r="F2243" s="57" t="s">
        <v>75</v>
      </c>
      <c r="G2243" s="57" t="s">
        <v>50</v>
      </c>
      <c r="H2243" s="57" t="s">
        <v>49</v>
      </c>
      <c r="I2243" s="59" t="n">
        <v>1</v>
      </c>
      <c r="J2243" s="60" t="n">
        <v>32</v>
      </c>
      <c r="K2243" s="60" t="n">
        <v>7</v>
      </c>
      <c r="L2243" s="61" t="n">
        <f aca="false">I2243*J2243</f>
        <v>32</v>
      </c>
      <c r="M2243" s="61" t="n">
        <f aca="false">L2243-I2243*K2243</f>
        <v>25</v>
      </c>
      <c r="N2243" s="57" t="n">
        <f aca="false">IF(COUNTIFS(E$2:E2243,E2243,C$2:C2243,C2243)=1,1,0)</f>
        <v>0</v>
      </c>
      <c r="O2243" s="57" t="n">
        <f aca="false">IF(COUNTIFS(E$2:E2243,E2243,C$2:C2243,C2243,D$2:D2243,D2243)=1,1,0)</f>
        <v>0</v>
      </c>
      <c r="P2243" s="57" t="n">
        <f aca="false">IF(AND(C2243=Calc!$C$3,OR(Calc!$C$4=0,D2243=Calc!$C$4)),ROW(),0)</f>
        <v>2243</v>
      </c>
    </row>
    <row r="2244" customFormat="false" ht="15" hidden="false" customHeight="false" outlineLevel="0" collapsed="false">
      <c r="A2244" s="57" t="s">
        <v>2803</v>
      </c>
      <c r="B2244" s="58" t="n">
        <v>45897</v>
      </c>
      <c r="C2244" s="57" t="n">
        <f aca="false">YEAR(B2244)</f>
        <v>2025</v>
      </c>
      <c r="D2244" s="57" t="n">
        <f aca="false">MONTH(B2244)</f>
        <v>8</v>
      </c>
      <c r="E2244" s="57" t="s">
        <v>191</v>
      </c>
      <c r="F2244" s="57" t="s">
        <v>78</v>
      </c>
      <c r="G2244" s="57" t="s">
        <v>35</v>
      </c>
      <c r="H2244" s="57" t="s">
        <v>34</v>
      </c>
      <c r="I2244" s="59" t="n">
        <v>2</v>
      </c>
      <c r="J2244" s="60" t="n">
        <v>89</v>
      </c>
      <c r="K2244" s="60" t="n">
        <v>41</v>
      </c>
      <c r="L2244" s="61" t="n">
        <f aca="false">I2244*J2244</f>
        <v>178</v>
      </c>
      <c r="M2244" s="61" t="n">
        <f aca="false">L2244-I2244*K2244</f>
        <v>96</v>
      </c>
      <c r="N2244" s="57" t="n">
        <f aca="false">IF(COUNTIFS(E$2:E2244,E2244,C$2:C2244,C2244)=1,1,0)</f>
        <v>0</v>
      </c>
      <c r="O2244" s="57" t="n">
        <f aca="false">IF(COUNTIFS(E$2:E2244,E2244,C$2:C2244,C2244,D$2:D2244,D2244)=1,1,0)</f>
        <v>1</v>
      </c>
      <c r="P2244" s="57" t="n">
        <f aca="false">IF(AND(C2244=Calc!$C$3,OR(Calc!$C$4=0,D2244=Calc!$C$4)),ROW(),0)</f>
        <v>2244</v>
      </c>
    </row>
    <row r="2245" customFormat="false" ht="15" hidden="false" customHeight="false" outlineLevel="0" collapsed="false">
      <c r="A2245" s="57" t="s">
        <v>2804</v>
      </c>
      <c r="B2245" s="58" t="n">
        <v>45897</v>
      </c>
      <c r="C2245" s="57" t="n">
        <f aca="false">YEAR(B2245)</f>
        <v>2025</v>
      </c>
      <c r="D2245" s="57" t="n">
        <f aca="false">MONTH(B2245)</f>
        <v>8</v>
      </c>
      <c r="E2245" s="57" t="s">
        <v>380</v>
      </c>
      <c r="F2245" s="57" t="s">
        <v>69</v>
      </c>
      <c r="G2245" s="57" t="s">
        <v>40</v>
      </c>
      <c r="H2245" s="57" t="s">
        <v>39</v>
      </c>
      <c r="I2245" s="59" t="n">
        <v>1</v>
      </c>
      <c r="J2245" s="60" t="n">
        <v>54</v>
      </c>
      <c r="K2245" s="60" t="n">
        <v>19</v>
      </c>
      <c r="L2245" s="61" t="n">
        <f aca="false">I2245*J2245</f>
        <v>54</v>
      </c>
      <c r="M2245" s="61" t="n">
        <f aca="false">L2245-I2245*K2245</f>
        <v>35</v>
      </c>
      <c r="N2245" s="57" t="n">
        <f aca="false">IF(COUNTIFS(E$2:E2245,E2245,C$2:C2245,C2245)=1,1,0)</f>
        <v>0</v>
      </c>
      <c r="O2245" s="57" t="n">
        <f aca="false">IF(COUNTIFS(E$2:E2245,E2245,C$2:C2245,C2245,D$2:D2245,D2245)=1,1,0)</f>
        <v>0</v>
      </c>
      <c r="P2245" s="57" t="n">
        <f aca="false">IF(AND(C2245=Calc!$C$3,OR(Calc!$C$4=0,D2245=Calc!$C$4)),ROW(),0)</f>
        <v>2245</v>
      </c>
    </row>
    <row r="2246" customFormat="false" ht="15" hidden="false" customHeight="false" outlineLevel="0" collapsed="false">
      <c r="A2246" s="57" t="s">
        <v>2805</v>
      </c>
      <c r="B2246" s="58" t="n">
        <v>45897</v>
      </c>
      <c r="C2246" s="57" t="n">
        <f aca="false">YEAR(B2246)</f>
        <v>2025</v>
      </c>
      <c r="D2246" s="57" t="n">
        <f aca="false">MONTH(B2246)</f>
        <v>8</v>
      </c>
      <c r="E2246" s="57" t="s">
        <v>173</v>
      </c>
      <c r="F2246" s="57" t="s">
        <v>69</v>
      </c>
      <c r="G2246" s="57" t="s">
        <v>45</v>
      </c>
      <c r="H2246" s="57" t="s">
        <v>47</v>
      </c>
      <c r="I2246" s="59" t="n">
        <v>3</v>
      </c>
      <c r="J2246" s="60" t="n">
        <v>34</v>
      </c>
      <c r="K2246" s="60" t="n">
        <v>12</v>
      </c>
      <c r="L2246" s="61" t="n">
        <f aca="false">I2246*J2246</f>
        <v>102</v>
      </c>
      <c r="M2246" s="61" t="n">
        <f aca="false">L2246-I2246*K2246</f>
        <v>66</v>
      </c>
      <c r="N2246" s="57" t="n">
        <f aca="false">IF(COUNTIFS(E$2:E2246,E2246,C$2:C2246,C2246)=1,1,0)</f>
        <v>0</v>
      </c>
      <c r="O2246" s="57" t="n">
        <f aca="false">IF(COUNTIFS(E$2:E2246,E2246,C$2:C2246,C2246,D$2:D2246,D2246)=1,1,0)</f>
        <v>1</v>
      </c>
      <c r="P2246" s="57" t="n">
        <f aca="false">IF(AND(C2246=Calc!$C$3,OR(Calc!$C$4=0,D2246=Calc!$C$4)),ROW(),0)</f>
        <v>2246</v>
      </c>
    </row>
    <row r="2247" customFormat="false" ht="15" hidden="false" customHeight="false" outlineLevel="0" collapsed="false">
      <c r="A2247" s="57" t="s">
        <v>2806</v>
      </c>
      <c r="B2247" s="58" t="n">
        <v>45897</v>
      </c>
      <c r="C2247" s="57" t="n">
        <f aca="false">YEAR(B2247)</f>
        <v>2025</v>
      </c>
      <c r="D2247" s="57" t="n">
        <f aca="false">MONTH(B2247)</f>
        <v>8</v>
      </c>
      <c r="E2247" s="57" t="s">
        <v>83</v>
      </c>
      <c r="F2247" s="57" t="s">
        <v>75</v>
      </c>
      <c r="G2247" s="57" t="s">
        <v>45</v>
      </c>
      <c r="H2247" s="57" t="s">
        <v>46</v>
      </c>
      <c r="I2247" s="59" t="n">
        <v>1</v>
      </c>
      <c r="J2247" s="60" t="n">
        <v>149</v>
      </c>
      <c r="K2247" s="60" t="n">
        <v>71</v>
      </c>
      <c r="L2247" s="61" t="n">
        <f aca="false">I2247*J2247</f>
        <v>149</v>
      </c>
      <c r="M2247" s="61" t="n">
        <f aca="false">L2247-I2247*K2247</f>
        <v>78</v>
      </c>
      <c r="N2247" s="57" t="n">
        <f aca="false">IF(COUNTIFS(E$2:E2247,E2247,C$2:C2247,C2247)=1,1,0)</f>
        <v>0</v>
      </c>
      <c r="O2247" s="57" t="n">
        <f aca="false">IF(COUNTIFS(E$2:E2247,E2247,C$2:C2247,C2247,D$2:D2247,D2247)=1,1,0)</f>
        <v>1</v>
      </c>
      <c r="P2247" s="57" t="n">
        <f aca="false">IF(AND(C2247=Calc!$C$3,OR(Calc!$C$4=0,D2247=Calc!$C$4)),ROW(),0)</f>
        <v>2247</v>
      </c>
    </row>
    <row r="2248" customFormat="false" ht="15" hidden="false" customHeight="false" outlineLevel="0" collapsed="false">
      <c r="A2248" s="57" t="s">
        <v>2807</v>
      </c>
      <c r="B2248" s="58" t="n">
        <v>45898</v>
      </c>
      <c r="C2248" s="57" t="n">
        <f aca="false">YEAR(B2248)</f>
        <v>2025</v>
      </c>
      <c r="D2248" s="57" t="n">
        <f aca="false">MONTH(B2248)</f>
        <v>8</v>
      </c>
      <c r="E2248" s="57" t="s">
        <v>1218</v>
      </c>
      <c r="F2248" s="57" t="s">
        <v>81</v>
      </c>
      <c r="G2248" s="57" t="s">
        <v>35</v>
      </c>
      <c r="H2248" s="57" t="s">
        <v>37</v>
      </c>
      <c r="I2248" s="59" t="n">
        <v>1</v>
      </c>
      <c r="J2248" s="60" t="n">
        <v>59</v>
      </c>
      <c r="K2248" s="60" t="n">
        <v>27</v>
      </c>
      <c r="L2248" s="61" t="n">
        <f aca="false">I2248*J2248</f>
        <v>59</v>
      </c>
      <c r="M2248" s="61" t="n">
        <f aca="false">L2248-I2248*K2248</f>
        <v>32</v>
      </c>
      <c r="N2248" s="57" t="n">
        <f aca="false">IF(COUNTIFS(E$2:E2248,E2248,C$2:C2248,C2248)=1,1,0)</f>
        <v>0</v>
      </c>
      <c r="O2248" s="57" t="n">
        <f aca="false">IF(COUNTIFS(E$2:E2248,E2248,C$2:C2248,C2248,D$2:D2248,D2248)=1,1,0)</f>
        <v>1</v>
      </c>
      <c r="P2248" s="57" t="n">
        <f aca="false">IF(AND(C2248=Calc!$C$3,OR(Calc!$C$4=0,D2248=Calc!$C$4)),ROW(),0)</f>
        <v>2248</v>
      </c>
    </row>
    <row r="2249" customFormat="false" ht="15" hidden="false" customHeight="false" outlineLevel="0" collapsed="false">
      <c r="A2249" s="57" t="s">
        <v>2808</v>
      </c>
      <c r="B2249" s="58" t="n">
        <v>45898</v>
      </c>
      <c r="C2249" s="57" t="n">
        <f aca="false">YEAR(B2249)</f>
        <v>2025</v>
      </c>
      <c r="D2249" s="57" t="n">
        <f aca="false">MONTH(B2249)</f>
        <v>8</v>
      </c>
      <c r="E2249" s="57" t="s">
        <v>446</v>
      </c>
      <c r="F2249" s="57" t="s">
        <v>75</v>
      </c>
      <c r="G2249" s="57" t="s">
        <v>35</v>
      </c>
      <c r="H2249" s="57" t="s">
        <v>36</v>
      </c>
      <c r="I2249" s="59" t="n">
        <v>1</v>
      </c>
      <c r="J2249" s="60" t="n">
        <v>179</v>
      </c>
      <c r="K2249" s="60" t="n">
        <v>92</v>
      </c>
      <c r="L2249" s="61" t="n">
        <f aca="false">I2249*J2249</f>
        <v>179</v>
      </c>
      <c r="M2249" s="61" t="n">
        <f aca="false">L2249-I2249*K2249</f>
        <v>87</v>
      </c>
      <c r="N2249" s="57" t="n">
        <f aca="false">IF(COUNTIFS(E$2:E2249,E2249,C$2:C2249,C2249)=1,1,0)</f>
        <v>0</v>
      </c>
      <c r="O2249" s="57" t="n">
        <f aca="false">IF(COUNTIFS(E$2:E2249,E2249,C$2:C2249,C2249,D$2:D2249,D2249)=1,1,0)</f>
        <v>0</v>
      </c>
      <c r="P2249" s="57" t="n">
        <f aca="false">IF(AND(C2249=Calc!$C$3,OR(Calc!$C$4=0,D2249=Calc!$C$4)),ROW(),0)</f>
        <v>2249</v>
      </c>
    </row>
    <row r="2250" customFormat="false" ht="15" hidden="false" customHeight="false" outlineLevel="0" collapsed="false">
      <c r="A2250" s="57" t="s">
        <v>2809</v>
      </c>
      <c r="B2250" s="58" t="n">
        <v>45899</v>
      </c>
      <c r="C2250" s="57" t="n">
        <f aca="false">YEAR(B2250)</f>
        <v>2025</v>
      </c>
      <c r="D2250" s="57" t="n">
        <f aca="false">MONTH(B2250)</f>
        <v>8</v>
      </c>
      <c r="E2250" s="57" t="s">
        <v>494</v>
      </c>
      <c r="F2250" s="57" t="s">
        <v>78</v>
      </c>
      <c r="G2250" s="57" t="s">
        <v>35</v>
      </c>
      <c r="H2250" s="57" t="s">
        <v>38</v>
      </c>
      <c r="I2250" s="59" t="n">
        <v>1</v>
      </c>
      <c r="J2250" s="60" t="n">
        <v>49</v>
      </c>
      <c r="K2250" s="60" t="n">
        <v>22</v>
      </c>
      <c r="L2250" s="61" t="n">
        <f aca="false">I2250*J2250</f>
        <v>49</v>
      </c>
      <c r="M2250" s="61" t="n">
        <f aca="false">L2250-I2250*K2250</f>
        <v>27</v>
      </c>
      <c r="N2250" s="57" t="n">
        <f aca="false">IF(COUNTIFS(E$2:E2250,E2250,C$2:C2250,C2250)=1,1,0)</f>
        <v>0</v>
      </c>
      <c r="O2250" s="57" t="n">
        <f aca="false">IF(COUNTIFS(E$2:E2250,E2250,C$2:C2250,C2250,D$2:D2250,D2250)=1,1,0)</f>
        <v>1</v>
      </c>
      <c r="P2250" s="57" t="n">
        <f aca="false">IF(AND(C2250=Calc!$C$3,OR(Calc!$C$4=0,D2250=Calc!$C$4)),ROW(),0)</f>
        <v>2250</v>
      </c>
    </row>
    <row r="2251" customFormat="false" ht="15" hidden="false" customHeight="false" outlineLevel="0" collapsed="false">
      <c r="A2251" s="57" t="s">
        <v>2810</v>
      </c>
      <c r="B2251" s="58" t="n">
        <v>45899</v>
      </c>
      <c r="C2251" s="57" t="n">
        <f aca="false">YEAR(B2251)</f>
        <v>2025</v>
      </c>
      <c r="D2251" s="57" t="n">
        <f aca="false">MONTH(B2251)</f>
        <v>8</v>
      </c>
      <c r="E2251" s="57" t="s">
        <v>275</v>
      </c>
      <c r="F2251" s="57" t="s">
        <v>75</v>
      </c>
      <c r="G2251" s="57" t="s">
        <v>35</v>
      </c>
      <c r="H2251" s="57" t="s">
        <v>36</v>
      </c>
      <c r="I2251" s="59" t="n">
        <v>1</v>
      </c>
      <c r="J2251" s="60" t="n">
        <v>179</v>
      </c>
      <c r="K2251" s="60" t="n">
        <v>92</v>
      </c>
      <c r="L2251" s="61" t="n">
        <f aca="false">I2251*J2251</f>
        <v>179</v>
      </c>
      <c r="M2251" s="61" t="n">
        <f aca="false">L2251-I2251*K2251</f>
        <v>87</v>
      </c>
      <c r="N2251" s="57" t="n">
        <f aca="false">IF(COUNTIFS(E$2:E2251,E2251,C$2:C2251,C2251)=1,1,0)</f>
        <v>0</v>
      </c>
      <c r="O2251" s="57" t="n">
        <f aca="false">IF(COUNTIFS(E$2:E2251,E2251,C$2:C2251,C2251,D$2:D2251,D2251)=1,1,0)</f>
        <v>0</v>
      </c>
      <c r="P2251" s="57" t="n">
        <f aca="false">IF(AND(C2251=Calc!$C$3,OR(Calc!$C$4=0,D2251=Calc!$C$4)),ROW(),0)</f>
        <v>2251</v>
      </c>
    </row>
    <row r="2252" customFormat="false" ht="15" hidden="false" customHeight="false" outlineLevel="0" collapsed="false">
      <c r="A2252" s="57" t="s">
        <v>2811</v>
      </c>
      <c r="B2252" s="58" t="n">
        <v>45899</v>
      </c>
      <c r="C2252" s="57" t="n">
        <f aca="false">YEAR(B2252)</f>
        <v>2025</v>
      </c>
      <c r="D2252" s="57" t="n">
        <f aca="false">MONTH(B2252)</f>
        <v>8</v>
      </c>
      <c r="E2252" s="57" t="s">
        <v>1145</v>
      </c>
      <c r="F2252" s="57" t="s">
        <v>78</v>
      </c>
      <c r="G2252" s="57" t="s">
        <v>40</v>
      </c>
      <c r="H2252" s="57" t="s">
        <v>42</v>
      </c>
      <c r="I2252" s="59" t="n">
        <v>1</v>
      </c>
      <c r="J2252" s="60" t="n">
        <v>79</v>
      </c>
      <c r="K2252" s="60" t="n">
        <v>31</v>
      </c>
      <c r="L2252" s="61" t="n">
        <f aca="false">I2252*J2252</f>
        <v>79</v>
      </c>
      <c r="M2252" s="61" t="n">
        <f aca="false">L2252-I2252*K2252</f>
        <v>48</v>
      </c>
      <c r="N2252" s="57" t="n">
        <f aca="false">IF(COUNTIFS(E$2:E2252,E2252,C$2:C2252,C2252)=1,1,0)</f>
        <v>0</v>
      </c>
      <c r="O2252" s="57" t="n">
        <f aca="false">IF(COUNTIFS(E$2:E2252,E2252,C$2:C2252,C2252,D$2:D2252,D2252)=1,1,0)</f>
        <v>1</v>
      </c>
      <c r="P2252" s="57" t="n">
        <f aca="false">IF(AND(C2252=Calc!$C$3,OR(Calc!$C$4=0,D2252=Calc!$C$4)),ROW(),0)</f>
        <v>2252</v>
      </c>
    </row>
    <row r="2253" customFormat="false" ht="15" hidden="false" customHeight="false" outlineLevel="0" collapsed="false">
      <c r="A2253" s="57" t="s">
        <v>2812</v>
      </c>
      <c r="B2253" s="58" t="n">
        <v>45899</v>
      </c>
      <c r="C2253" s="57" t="n">
        <f aca="false">YEAR(B2253)</f>
        <v>2025</v>
      </c>
      <c r="D2253" s="57" t="n">
        <f aca="false">MONTH(B2253)</f>
        <v>8</v>
      </c>
      <c r="E2253" s="57" t="s">
        <v>206</v>
      </c>
      <c r="F2253" s="57" t="s">
        <v>78</v>
      </c>
      <c r="G2253" s="57" t="s">
        <v>45</v>
      </c>
      <c r="H2253" s="57" t="s">
        <v>46</v>
      </c>
      <c r="I2253" s="59" t="n">
        <v>1</v>
      </c>
      <c r="J2253" s="60" t="n">
        <v>149</v>
      </c>
      <c r="K2253" s="60" t="n">
        <v>71</v>
      </c>
      <c r="L2253" s="61" t="n">
        <f aca="false">I2253*J2253</f>
        <v>149</v>
      </c>
      <c r="M2253" s="61" t="n">
        <f aca="false">L2253-I2253*K2253</f>
        <v>78</v>
      </c>
      <c r="N2253" s="57" t="n">
        <f aca="false">IF(COUNTIFS(E$2:E2253,E2253,C$2:C2253,C2253)=1,1,0)</f>
        <v>0</v>
      </c>
      <c r="O2253" s="57" t="n">
        <f aca="false">IF(COUNTIFS(E$2:E2253,E2253,C$2:C2253,C2253,D$2:D2253,D2253)=1,1,0)</f>
        <v>1</v>
      </c>
      <c r="P2253" s="57" t="n">
        <f aca="false">IF(AND(C2253=Calc!$C$3,OR(Calc!$C$4=0,D2253=Calc!$C$4)),ROW(),0)</f>
        <v>2253</v>
      </c>
    </row>
    <row r="2254" customFormat="false" ht="15" hidden="false" customHeight="false" outlineLevel="0" collapsed="false">
      <c r="A2254" s="57" t="s">
        <v>2813</v>
      </c>
      <c r="B2254" s="58" t="n">
        <v>45899</v>
      </c>
      <c r="C2254" s="57" t="n">
        <f aca="false">YEAR(B2254)</f>
        <v>2025</v>
      </c>
      <c r="D2254" s="57" t="n">
        <f aca="false">MONTH(B2254)</f>
        <v>8</v>
      </c>
      <c r="E2254" s="57" t="s">
        <v>725</v>
      </c>
      <c r="F2254" s="57" t="s">
        <v>69</v>
      </c>
      <c r="G2254" s="57" t="s">
        <v>35</v>
      </c>
      <c r="H2254" s="57" t="s">
        <v>37</v>
      </c>
      <c r="I2254" s="59" t="n">
        <v>1</v>
      </c>
      <c r="J2254" s="60" t="n">
        <v>59</v>
      </c>
      <c r="K2254" s="60" t="n">
        <v>27</v>
      </c>
      <c r="L2254" s="61" t="n">
        <f aca="false">I2254*J2254</f>
        <v>59</v>
      </c>
      <c r="M2254" s="61" t="n">
        <f aca="false">L2254-I2254*K2254</f>
        <v>32</v>
      </c>
      <c r="N2254" s="57" t="n">
        <f aca="false">IF(COUNTIFS(E$2:E2254,E2254,C$2:C2254,C2254)=1,1,0)</f>
        <v>0</v>
      </c>
      <c r="O2254" s="57" t="n">
        <f aca="false">IF(COUNTIFS(E$2:E2254,E2254,C$2:C2254,C2254,D$2:D2254,D2254)=1,1,0)</f>
        <v>0</v>
      </c>
      <c r="P2254" s="57" t="n">
        <f aca="false">IF(AND(C2254=Calc!$C$3,OR(Calc!$C$4=0,D2254=Calc!$C$4)),ROW(),0)</f>
        <v>2254</v>
      </c>
    </row>
    <row r="2255" customFormat="false" ht="15" hidden="false" customHeight="false" outlineLevel="0" collapsed="false">
      <c r="A2255" s="57" t="s">
        <v>2814</v>
      </c>
      <c r="B2255" s="58" t="n">
        <v>45899</v>
      </c>
      <c r="C2255" s="57" t="n">
        <f aca="false">YEAR(B2255)</f>
        <v>2025</v>
      </c>
      <c r="D2255" s="57" t="n">
        <f aca="false">MONTH(B2255)</f>
        <v>8</v>
      </c>
      <c r="E2255" s="57" t="s">
        <v>1586</v>
      </c>
      <c r="F2255" s="57" t="s">
        <v>81</v>
      </c>
      <c r="G2255" s="57" t="s">
        <v>45</v>
      </c>
      <c r="H2255" s="57" t="s">
        <v>44</v>
      </c>
      <c r="I2255" s="59" t="n">
        <v>2</v>
      </c>
      <c r="J2255" s="60" t="n">
        <v>119</v>
      </c>
      <c r="K2255" s="60" t="n">
        <v>63</v>
      </c>
      <c r="L2255" s="61" t="n">
        <f aca="false">I2255*J2255</f>
        <v>238</v>
      </c>
      <c r="M2255" s="61" t="n">
        <f aca="false">L2255-I2255*K2255</f>
        <v>112</v>
      </c>
      <c r="N2255" s="57" t="n">
        <f aca="false">IF(COUNTIFS(E$2:E2255,E2255,C$2:C2255,C2255)=1,1,0)</f>
        <v>1</v>
      </c>
      <c r="O2255" s="57" t="n">
        <f aca="false">IF(COUNTIFS(E$2:E2255,E2255,C$2:C2255,C2255,D$2:D2255,D2255)=1,1,0)</f>
        <v>1</v>
      </c>
      <c r="P2255" s="57" t="n">
        <f aca="false">IF(AND(C2255=Calc!$C$3,OR(Calc!$C$4=0,D2255=Calc!$C$4)),ROW(),0)</f>
        <v>2255</v>
      </c>
    </row>
    <row r="2256" customFormat="false" ht="15" hidden="false" customHeight="false" outlineLevel="0" collapsed="false">
      <c r="A2256" s="57" t="s">
        <v>2815</v>
      </c>
      <c r="B2256" s="58" t="n">
        <v>45900</v>
      </c>
      <c r="C2256" s="57" t="n">
        <f aca="false">YEAR(B2256)</f>
        <v>2025</v>
      </c>
      <c r="D2256" s="57" t="n">
        <f aca="false">MONTH(B2256)</f>
        <v>8</v>
      </c>
      <c r="E2256" s="57" t="s">
        <v>203</v>
      </c>
      <c r="F2256" s="57" t="s">
        <v>78</v>
      </c>
      <c r="G2256" s="57" t="s">
        <v>35</v>
      </c>
      <c r="H2256" s="57" t="s">
        <v>38</v>
      </c>
      <c r="I2256" s="59" t="n">
        <v>2</v>
      </c>
      <c r="J2256" s="60" t="n">
        <v>49</v>
      </c>
      <c r="K2256" s="60" t="n">
        <v>22</v>
      </c>
      <c r="L2256" s="61" t="n">
        <f aca="false">I2256*J2256</f>
        <v>98</v>
      </c>
      <c r="M2256" s="61" t="n">
        <f aca="false">L2256-I2256*K2256</f>
        <v>54</v>
      </c>
      <c r="N2256" s="57" t="n">
        <f aca="false">IF(COUNTIFS(E$2:E2256,E2256,C$2:C2256,C2256)=1,1,0)</f>
        <v>0</v>
      </c>
      <c r="O2256" s="57" t="n">
        <f aca="false">IF(COUNTIFS(E$2:E2256,E2256,C$2:C2256,C2256,D$2:D2256,D2256)=1,1,0)</f>
        <v>0</v>
      </c>
      <c r="P2256" s="57" t="n">
        <f aca="false">IF(AND(C2256=Calc!$C$3,OR(Calc!$C$4=0,D2256=Calc!$C$4)),ROW(),0)</f>
        <v>2256</v>
      </c>
    </row>
    <row r="2257" customFormat="false" ht="15" hidden="false" customHeight="false" outlineLevel="0" collapsed="false">
      <c r="A2257" s="57" t="s">
        <v>2816</v>
      </c>
      <c r="B2257" s="58" t="n">
        <v>45900</v>
      </c>
      <c r="C2257" s="57" t="n">
        <f aca="false">YEAR(B2257)</f>
        <v>2025</v>
      </c>
      <c r="D2257" s="57" t="n">
        <f aca="false">MONTH(B2257)</f>
        <v>8</v>
      </c>
      <c r="E2257" s="57" t="s">
        <v>965</v>
      </c>
      <c r="F2257" s="57" t="s">
        <v>72</v>
      </c>
      <c r="G2257" s="57" t="s">
        <v>45</v>
      </c>
      <c r="H2257" s="57" t="s">
        <v>47</v>
      </c>
      <c r="I2257" s="59" t="n">
        <v>1</v>
      </c>
      <c r="J2257" s="60" t="n">
        <v>34</v>
      </c>
      <c r="K2257" s="60" t="n">
        <v>12</v>
      </c>
      <c r="L2257" s="61" t="n">
        <f aca="false">I2257*J2257</f>
        <v>34</v>
      </c>
      <c r="M2257" s="61" t="n">
        <f aca="false">L2257-I2257*K2257</f>
        <v>22</v>
      </c>
      <c r="N2257" s="57" t="n">
        <f aca="false">IF(COUNTIFS(E$2:E2257,E2257,C$2:C2257,C2257)=1,1,0)</f>
        <v>0</v>
      </c>
      <c r="O2257" s="57" t="n">
        <f aca="false">IF(COUNTIFS(E$2:E2257,E2257,C$2:C2257,C2257,D$2:D2257,D2257)=1,1,0)</f>
        <v>1</v>
      </c>
      <c r="P2257" s="57" t="n">
        <f aca="false">IF(AND(C2257=Calc!$C$3,OR(Calc!$C$4=0,D2257=Calc!$C$4)),ROW(),0)</f>
        <v>2257</v>
      </c>
    </row>
    <row r="2258" customFormat="false" ht="15" hidden="false" customHeight="false" outlineLevel="0" collapsed="false">
      <c r="A2258" s="57" t="s">
        <v>2817</v>
      </c>
      <c r="B2258" s="58" t="n">
        <v>45900</v>
      </c>
      <c r="C2258" s="57" t="n">
        <f aca="false">YEAR(B2258)</f>
        <v>2025</v>
      </c>
      <c r="D2258" s="57" t="n">
        <f aca="false">MONTH(B2258)</f>
        <v>8</v>
      </c>
      <c r="E2258" s="57" t="s">
        <v>1084</v>
      </c>
      <c r="F2258" s="57" t="s">
        <v>78</v>
      </c>
      <c r="G2258" s="57" t="s">
        <v>35</v>
      </c>
      <c r="H2258" s="57" t="s">
        <v>37</v>
      </c>
      <c r="I2258" s="59" t="n">
        <v>1</v>
      </c>
      <c r="J2258" s="60" t="n">
        <v>59</v>
      </c>
      <c r="K2258" s="60" t="n">
        <v>27</v>
      </c>
      <c r="L2258" s="61" t="n">
        <f aca="false">I2258*J2258</f>
        <v>59</v>
      </c>
      <c r="M2258" s="61" t="n">
        <f aca="false">L2258-I2258*K2258</f>
        <v>32</v>
      </c>
      <c r="N2258" s="57" t="n">
        <f aca="false">IF(COUNTIFS(E$2:E2258,E2258,C$2:C2258,C2258)=1,1,0)</f>
        <v>1</v>
      </c>
      <c r="O2258" s="57" t="n">
        <f aca="false">IF(COUNTIFS(E$2:E2258,E2258,C$2:C2258,C2258,D$2:D2258,D2258)=1,1,0)</f>
        <v>1</v>
      </c>
      <c r="P2258" s="57" t="n">
        <f aca="false">IF(AND(C2258=Calc!$C$3,OR(Calc!$C$4=0,D2258=Calc!$C$4)),ROW(),0)</f>
        <v>2258</v>
      </c>
    </row>
    <row r="2259" customFormat="false" ht="15" hidden="false" customHeight="false" outlineLevel="0" collapsed="false">
      <c r="A2259" s="57" t="s">
        <v>2818</v>
      </c>
      <c r="B2259" s="58" t="n">
        <v>45900</v>
      </c>
      <c r="C2259" s="57" t="n">
        <f aca="false">YEAR(B2259)</f>
        <v>2025</v>
      </c>
      <c r="D2259" s="57" t="n">
        <f aca="false">MONTH(B2259)</f>
        <v>8</v>
      </c>
      <c r="E2259" s="57" t="s">
        <v>1747</v>
      </c>
      <c r="F2259" s="57" t="s">
        <v>72</v>
      </c>
      <c r="G2259" s="57" t="s">
        <v>45</v>
      </c>
      <c r="H2259" s="57" t="s">
        <v>47</v>
      </c>
      <c r="I2259" s="59" t="n">
        <v>1</v>
      </c>
      <c r="J2259" s="60" t="n">
        <v>34</v>
      </c>
      <c r="K2259" s="60" t="n">
        <v>12</v>
      </c>
      <c r="L2259" s="61" t="n">
        <f aca="false">I2259*J2259</f>
        <v>34</v>
      </c>
      <c r="M2259" s="61" t="n">
        <f aca="false">L2259-I2259*K2259</f>
        <v>22</v>
      </c>
      <c r="N2259" s="57" t="n">
        <f aca="false">IF(COUNTIFS(E$2:E2259,E2259,C$2:C2259,C2259)=1,1,0)</f>
        <v>1</v>
      </c>
      <c r="O2259" s="57" t="n">
        <f aca="false">IF(COUNTIFS(E$2:E2259,E2259,C$2:C2259,C2259,D$2:D2259,D2259)=1,1,0)</f>
        <v>1</v>
      </c>
      <c r="P2259" s="57" t="n">
        <f aca="false">IF(AND(C2259=Calc!$C$3,OR(Calc!$C$4=0,D2259=Calc!$C$4)),ROW(),0)</f>
        <v>2259</v>
      </c>
    </row>
    <row r="2260" customFormat="false" ht="15" hidden="false" customHeight="false" outlineLevel="0" collapsed="false">
      <c r="A2260" s="57" t="s">
        <v>2819</v>
      </c>
      <c r="B2260" s="58" t="n">
        <v>45900</v>
      </c>
      <c r="C2260" s="57" t="n">
        <f aca="false">YEAR(B2260)</f>
        <v>2025</v>
      </c>
      <c r="D2260" s="57" t="n">
        <f aca="false">MONTH(B2260)</f>
        <v>8</v>
      </c>
      <c r="E2260" s="57" t="s">
        <v>95</v>
      </c>
      <c r="F2260" s="57" t="s">
        <v>75</v>
      </c>
      <c r="G2260" s="57" t="s">
        <v>40</v>
      </c>
      <c r="H2260" s="57" t="s">
        <v>42</v>
      </c>
      <c r="I2260" s="59" t="n">
        <v>1</v>
      </c>
      <c r="J2260" s="60" t="n">
        <v>79</v>
      </c>
      <c r="K2260" s="60" t="n">
        <v>31</v>
      </c>
      <c r="L2260" s="61" t="n">
        <f aca="false">I2260*J2260</f>
        <v>79</v>
      </c>
      <c r="M2260" s="61" t="n">
        <f aca="false">L2260-I2260*K2260</f>
        <v>48</v>
      </c>
      <c r="N2260" s="57" t="n">
        <f aca="false">IF(COUNTIFS(E$2:E2260,E2260,C$2:C2260,C2260)=1,1,0)</f>
        <v>0</v>
      </c>
      <c r="O2260" s="57" t="n">
        <f aca="false">IF(COUNTIFS(E$2:E2260,E2260,C$2:C2260,C2260,D$2:D2260,D2260)=1,1,0)</f>
        <v>1</v>
      </c>
      <c r="P2260" s="57" t="n">
        <f aca="false">IF(AND(C2260=Calc!$C$3,OR(Calc!$C$4=0,D2260=Calc!$C$4)),ROW(),0)</f>
        <v>2260</v>
      </c>
    </row>
    <row r="2261" customFormat="false" ht="15" hidden="false" customHeight="false" outlineLevel="0" collapsed="false">
      <c r="A2261" s="57" t="s">
        <v>2820</v>
      </c>
      <c r="B2261" s="58" t="n">
        <v>45901</v>
      </c>
      <c r="C2261" s="57" t="n">
        <f aca="false">YEAR(B2261)</f>
        <v>2025</v>
      </c>
      <c r="D2261" s="57" t="n">
        <f aca="false">MONTH(B2261)</f>
        <v>9</v>
      </c>
      <c r="E2261" s="57" t="s">
        <v>152</v>
      </c>
      <c r="F2261" s="57" t="s">
        <v>72</v>
      </c>
      <c r="G2261" s="57" t="s">
        <v>40</v>
      </c>
      <c r="H2261" s="57" t="s">
        <v>41</v>
      </c>
      <c r="I2261" s="59" t="n">
        <v>1</v>
      </c>
      <c r="J2261" s="60" t="n">
        <v>46</v>
      </c>
      <c r="K2261" s="60" t="n">
        <v>16</v>
      </c>
      <c r="L2261" s="61" t="n">
        <f aca="false">I2261*J2261</f>
        <v>46</v>
      </c>
      <c r="M2261" s="61" t="n">
        <f aca="false">L2261-I2261*K2261</f>
        <v>30</v>
      </c>
      <c r="N2261" s="57" t="n">
        <f aca="false">IF(COUNTIFS(E$2:E2261,E2261,C$2:C2261,C2261)=1,1,0)</f>
        <v>0</v>
      </c>
      <c r="O2261" s="57" t="n">
        <f aca="false">IF(COUNTIFS(E$2:E2261,E2261,C$2:C2261,C2261,D$2:D2261,D2261)=1,1,0)</f>
        <v>1</v>
      </c>
      <c r="P2261" s="57" t="n">
        <f aca="false">IF(AND(C2261=Calc!$C$3,OR(Calc!$C$4=0,D2261=Calc!$C$4)),ROW(),0)</f>
        <v>2261</v>
      </c>
    </row>
    <row r="2262" customFormat="false" ht="15" hidden="false" customHeight="false" outlineLevel="0" collapsed="false">
      <c r="A2262" s="57" t="s">
        <v>2821</v>
      </c>
      <c r="B2262" s="58" t="n">
        <v>45901</v>
      </c>
      <c r="C2262" s="57" t="n">
        <f aca="false">YEAR(B2262)</f>
        <v>2025</v>
      </c>
      <c r="D2262" s="57" t="n">
        <f aca="false">MONTH(B2262)</f>
        <v>9</v>
      </c>
      <c r="E2262" s="57" t="s">
        <v>836</v>
      </c>
      <c r="F2262" s="57" t="s">
        <v>69</v>
      </c>
      <c r="G2262" s="57" t="s">
        <v>40</v>
      </c>
      <c r="H2262" s="57" t="s">
        <v>43</v>
      </c>
      <c r="I2262" s="59" t="n">
        <v>1</v>
      </c>
      <c r="J2262" s="60" t="n">
        <v>29</v>
      </c>
      <c r="K2262" s="60" t="n">
        <v>9</v>
      </c>
      <c r="L2262" s="61" t="n">
        <f aca="false">I2262*J2262</f>
        <v>29</v>
      </c>
      <c r="M2262" s="61" t="n">
        <f aca="false">L2262-I2262*K2262</f>
        <v>20</v>
      </c>
      <c r="N2262" s="57" t="n">
        <f aca="false">IF(COUNTIFS(E$2:E2262,E2262,C$2:C2262,C2262)=1,1,0)</f>
        <v>0</v>
      </c>
      <c r="O2262" s="57" t="n">
        <f aca="false">IF(COUNTIFS(E$2:E2262,E2262,C$2:C2262,C2262,D$2:D2262,D2262)=1,1,0)</f>
        <v>1</v>
      </c>
      <c r="P2262" s="57" t="n">
        <f aca="false">IF(AND(C2262=Calc!$C$3,OR(Calc!$C$4=0,D2262=Calc!$C$4)),ROW(),0)</f>
        <v>2262</v>
      </c>
    </row>
    <row r="2263" customFormat="false" ht="15" hidden="false" customHeight="false" outlineLevel="0" collapsed="false">
      <c r="A2263" s="57" t="s">
        <v>2822</v>
      </c>
      <c r="B2263" s="58" t="n">
        <v>45901</v>
      </c>
      <c r="C2263" s="57" t="n">
        <f aca="false">YEAR(B2263)</f>
        <v>2025</v>
      </c>
      <c r="D2263" s="57" t="n">
        <f aca="false">MONTH(B2263)</f>
        <v>9</v>
      </c>
      <c r="E2263" s="57" t="s">
        <v>300</v>
      </c>
      <c r="F2263" s="57" t="s">
        <v>81</v>
      </c>
      <c r="G2263" s="57" t="s">
        <v>35</v>
      </c>
      <c r="H2263" s="57" t="s">
        <v>38</v>
      </c>
      <c r="I2263" s="59" t="n">
        <v>2</v>
      </c>
      <c r="J2263" s="60" t="n">
        <v>49</v>
      </c>
      <c r="K2263" s="60" t="n">
        <v>22</v>
      </c>
      <c r="L2263" s="61" t="n">
        <f aca="false">I2263*J2263</f>
        <v>98</v>
      </c>
      <c r="M2263" s="61" t="n">
        <f aca="false">L2263-I2263*K2263</f>
        <v>54</v>
      </c>
      <c r="N2263" s="57" t="n">
        <f aca="false">IF(COUNTIFS(E$2:E2263,E2263,C$2:C2263,C2263)=1,1,0)</f>
        <v>0</v>
      </c>
      <c r="O2263" s="57" t="n">
        <f aca="false">IF(COUNTIFS(E$2:E2263,E2263,C$2:C2263,C2263,D$2:D2263,D2263)=1,1,0)</f>
        <v>1</v>
      </c>
      <c r="P2263" s="57" t="n">
        <f aca="false">IF(AND(C2263=Calc!$C$3,OR(Calc!$C$4=0,D2263=Calc!$C$4)),ROW(),0)</f>
        <v>2263</v>
      </c>
    </row>
    <row r="2264" customFormat="false" ht="15" hidden="false" customHeight="false" outlineLevel="0" collapsed="false">
      <c r="A2264" s="57" t="s">
        <v>2823</v>
      </c>
      <c r="B2264" s="58" t="n">
        <v>45902</v>
      </c>
      <c r="C2264" s="57" t="n">
        <f aca="false">YEAR(B2264)</f>
        <v>2025</v>
      </c>
      <c r="D2264" s="57" t="n">
        <f aca="false">MONTH(B2264)</f>
        <v>9</v>
      </c>
      <c r="E2264" s="57" t="s">
        <v>2781</v>
      </c>
      <c r="F2264" s="57" t="s">
        <v>78</v>
      </c>
      <c r="G2264" s="57" t="s">
        <v>45</v>
      </c>
      <c r="H2264" s="57" t="s">
        <v>46</v>
      </c>
      <c r="I2264" s="59" t="n">
        <v>2</v>
      </c>
      <c r="J2264" s="60" t="n">
        <v>149</v>
      </c>
      <c r="K2264" s="60" t="n">
        <v>71</v>
      </c>
      <c r="L2264" s="61" t="n">
        <f aca="false">I2264*J2264</f>
        <v>298</v>
      </c>
      <c r="M2264" s="61" t="n">
        <f aca="false">L2264-I2264*K2264</f>
        <v>156</v>
      </c>
      <c r="N2264" s="57" t="n">
        <f aca="false">IF(COUNTIFS(E$2:E2264,E2264,C$2:C2264,C2264)=1,1,0)</f>
        <v>0</v>
      </c>
      <c r="O2264" s="57" t="n">
        <f aca="false">IF(COUNTIFS(E$2:E2264,E2264,C$2:C2264,C2264,D$2:D2264,D2264)=1,1,0)</f>
        <v>1</v>
      </c>
      <c r="P2264" s="57" t="n">
        <f aca="false">IF(AND(C2264=Calc!$C$3,OR(Calc!$C$4=0,D2264=Calc!$C$4)),ROW(),0)</f>
        <v>2264</v>
      </c>
    </row>
    <row r="2265" customFormat="false" ht="15" hidden="false" customHeight="false" outlineLevel="0" collapsed="false">
      <c r="A2265" s="57" t="s">
        <v>2824</v>
      </c>
      <c r="B2265" s="58" t="n">
        <v>45902</v>
      </c>
      <c r="C2265" s="57" t="n">
        <f aca="false">YEAR(B2265)</f>
        <v>2025</v>
      </c>
      <c r="D2265" s="57" t="n">
        <f aca="false">MONTH(B2265)</f>
        <v>9</v>
      </c>
      <c r="E2265" s="57" t="s">
        <v>313</v>
      </c>
      <c r="F2265" s="57" t="s">
        <v>75</v>
      </c>
      <c r="G2265" s="57" t="s">
        <v>35</v>
      </c>
      <c r="H2265" s="57" t="s">
        <v>38</v>
      </c>
      <c r="I2265" s="59" t="n">
        <v>1</v>
      </c>
      <c r="J2265" s="60" t="n">
        <v>49</v>
      </c>
      <c r="K2265" s="60" t="n">
        <v>22</v>
      </c>
      <c r="L2265" s="61" t="n">
        <f aca="false">I2265*J2265</f>
        <v>49</v>
      </c>
      <c r="M2265" s="61" t="n">
        <f aca="false">L2265-I2265*K2265</f>
        <v>27</v>
      </c>
      <c r="N2265" s="57" t="n">
        <f aca="false">IF(COUNTIFS(E$2:E2265,E2265,C$2:C2265,C2265)=1,1,0)</f>
        <v>0</v>
      </c>
      <c r="O2265" s="57" t="n">
        <f aca="false">IF(COUNTIFS(E$2:E2265,E2265,C$2:C2265,C2265,D$2:D2265,D2265)=1,1,0)</f>
        <v>1</v>
      </c>
      <c r="P2265" s="57" t="n">
        <f aca="false">IF(AND(C2265=Calc!$C$3,OR(Calc!$C$4=0,D2265=Calc!$C$4)),ROW(),0)</f>
        <v>2265</v>
      </c>
    </row>
    <row r="2266" customFormat="false" ht="15" hidden="false" customHeight="false" outlineLevel="0" collapsed="false">
      <c r="A2266" s="57" t="s">
        <v>2825</v>
      </c>
      <c r="B2266" s="58" t="n">
        <v>45902</v>
      </c>
      <c r="C2266" s="57" t="n">
        <f aca="false">YEAR(B2266)</f>
        <v>2025</v>
      </c>
      <c r="D2266" s="57" t="n">
        <f aca="false">MONTH(B2266)</f>
        <v>9</v>
      </c>
      <c r="E2266" s="57" t="s">
        <v>235</v>
      </c>
      <c r="F2266" s="57" t="s">
        <v>69</v>
      </c>
      <c r="G2266" s="57" t="s">
        <v>40</v>
      </c>
      <c r="H2266" s="57" t="s">
        <v>39</v>
      </c>
      <c r="I2266" s="59" t="n">
        <v>3</v>
      </c>
      <c r="J2266" s="60" t="n">
        <v>54</v>
      </c>
      <c r="K2266" s="60" t="n">
        <v>19</v>
      </c>
      <c r="L2266" s="61" t="n">
        <f aca="false">I2266*J2266</f>
        <v>162</v>
      </c>
      <c r="M2266" s="61" t="n">
        <f aca="false">L2266-I2266*K2266</f>
        <v>105</v>
      </c>
      <c r="N2266" s="57" t="n">
        <f aca="false">IF(COUNTIFS(E$2:E2266,E2266,C$2:C2266,C2266)=1,1,0)</f>
        <v>0</v>
      </c>
      <c r="O2266" s="57" t="n">
        <f aca="false">IF(COUNTIFS(E$2:E2266,E2266,C$2:C2266,C2266,D$2:D2266,D2266)=1,1,0)</f>
        <v>1</v>
      </c>
      <c r="P2266" s="57" t="n">
        <f aca="false">IF(AND(C2266=Calc!$C$3,OR(Calc!$C$4=0,D2266=Calc!$C$4)),ROW(),0)</f>
        <v>2266</v>
      </c>
    </row>
    <row r="2267" customFormat="false" ht="15" hidden="false" customHeight="false" outlineLevel="0" collapsed="false">
      <c r="A2267" s="57" t="s">
        <v>2826</v>
      </c>
      <c r="B2267" s="58" t="n">
        <v>45903</v>
      </c>
      <c r="C2267" s="57" t="n">
        <f aca="false">YEAR(B2267)</f>
        <v>2025</v>
      </c>
      <c r="D2267" s="57" t="n">
        <f aca="false">MONTH(B2267)</f>
        <v>9</v>
      </c>
      <c r="E2267" s="57" t="s">
        <v>152</v>
      </c>
      <c r="F2267" s="57" t="s">
        <v>72</v>
      </c>
      <c r="G2267" s="57" t="s">
        <v>40</v>
      </c>
      <c r="H2267" s="57" t="s">
        <v>39</v>
      </c>
      <c r="I2267" s="59" t="n">
        <v>1</v>
      </c>
      <c r="J2267" s="60" t="n">
        <v>54</v>
      </c>
      <c r="K2267" s="60" t="n">
        <v>19</v>
      </c>
      <c r="L2267" s="61" t="n">
        <f aca="false">I2267*J2267</f>
        <v>54</v>
      </c>
      <c r="M2267" s="61" t="n">
        <f aca="false">L2267-I2267*K2267</f>
        <v>35</v>
      </c>
      <c r="N2267" s="57" t="n">
        <f aca="false">IF(COUNTIFS(E$2:E2267,E2267,C$2:C2267,C2267)=1,1,0)</f>
        <v>0</v>
      </c>
      <c r="O2267" s="57" t="n">
        <f aca="false">IF(COUNTIFS(E$2:E2267,E2267,C$2:C2267,C2267,D$2:D2267,D2267)=1,1,0)</f>
        <v>0</v>
      </c>
      <c r="P2267" s="57" t="n">
        <f aca="false">IF(AND(C2267=Calc!$C$3,OR(Calc!$C$4=0,D2267=Calc!$C$4)),ROW(),0)</f>
        <v>2267</v>
      </c>
    </row>
    <row r="2268" customFormat="false" ht="15" hidden="false" customHeight="false" outlineLevel="0" collapsed="false">
      <c r="A2268" s="57" t="s">
        <v>2827</v>
      </c>
      <c r="B2268" s="58" t="n">
        <v>45903</v>
      </c>
      <c r="C2268" s="57" t="n">
        <f aca="false">YEAR(B2268)</f>
        <v>2025</v>
      </c>
      <c r="D2268" s="57" t="n">
        <f aca="false">MONTH(B2268)</f>
        <v>9</v>
      </c>
      <c r="E2268" s="57" t="s">
        <v>672</v>
      </c>
      <c r="F2268" s="57" t="s">
        <v>72</v>
      </c>
      <c r="G2268" s="57" t="s">
        <v>35</v>
      </c>
      <c r="H2268" s="57" t="s">
        <v>37</v>
      </c>
      <c r="I2268" s="59" t="n">
        <v>2</v>
      </c>
      <c r="J2268" s="60" t="n">
        <v>59</v>
      </c>
      <c r="K2268" s="60" t="n">
        <v>27</v>
      </c>
      <c r="L2268" s="61" t="n">
        <f aca="false">I2268*J2268</f>
        <v>118</v>
      </c>
      <c r="M2268" s="61" t="n">
        <f aca="false">L2268-I2268*K2268</f>
        <v>64</v>
      </c>
      <c r="N2268" s="57" t="n">
        <f aca="false">IF(COUNTIFS(E$2:E2268,E2268,C$2:C2268,C2268)=1,1,0)</f>
        <v>1</v>
      </c>
      <c r="O2268" s="57" t="n">
        <f aca="false">IF(COUNTIFS(E$2:E2268,E2268,C$2:C2268,C2268,D$2:D2268,D2268)=1,1,0)</f>
        <v>1</v>
      </c>
      <c r="P2268" s="57" t="n">
        <f aca="false">IF(AND(C2268=Calc!$C$3,OR(Calc!$C$4=0,D2268=Calc!$C$4)),ROW(),0)</f>
        <v>2268</v>
      </c>
    </row>
    <row r="2269" customFormat="false" ht="15" hidden="false" customHeight="false" outlineLevel="0" collapsed="false">
      <c r="A2269" s="57" t="s">
        <v>2828</v>
      </c>
      <c r="B2269" s="58" t="n">
        <v>45903</v>
      </c>
      <c r="C2269" s="57" t="n">
        <f aca="false">YEAR(B2269)</f>
        <v>2025</v>
      </c>
      <c r="D2269" s="57" t="n">
        <f aca="false">MONTH(B2269)</f>
        <v>9</v>
      </c>
      <c r="E2269" s="57" t="s">
        <v>512</v>
      </c>
      <c r="F2269" s="57" t="s">
        <v>75</v>
      </c>
      <c r="G2269" s="57" t="s">
        <v>35</v>
      </c>
      <c r="H2269" s="57" t="s">
        <v>34</v>
      </c>
      <c r="I2269" s="59" t="n">
        <v>1</v>
      </c>
      <c r="J2269" s="60" t="n">
        <v>89</v>
      </c>
      <c r="K2269" s="60" t="n">
        <v>41</v>
      </c>
      <c r="L2269" s="61" t="n">
        <f aca="false">I2269*J2269</f>
        <v>89</v>
      </c>
      <c r="M2269" s="61" t="n">
        <f aca="false">L2269-I2269*K2269</f>
        <v>48</v>
      </c>
      <c r="N2269" s="57" t="n">
        <f aca="false">IF(COUNTIFS(E$2:E2269,E2269,C$2:C2269,C2269)=1,1,0)</f>
        <v>0</v>
      </c>
      <c r="O2269" s="57" t="n">
        <f aca="false">IF(COUNTIFS(E$2:E2269,E2269,C$2:C2269,C2269,D$2:D2269,D2269)=1,1,0)</f>
        <v>1</v>
      </c>
      <c r="P2269" s="57" t="n">
        <f aca="false">IF(AND(C2269=Calc!$C$3,OR(Calc!$C$4=0,D2269=Calc!$C$4)),ROW(),0)</f>
        <v>2269</v>
      </c>
    </row>
    <row r="2270" customFormat="false" ht="15" hidden="false" customHeight="false" outlineLevel="0" collapsed="false">
      <c r="A2270" s="57" t="s">
        <v>2829</v>
      </c>
      <c r="B2270" s="58" t="n">
        <v>45903</v>
      </c>
      <c r="C2270" s="57" t="n">
        <f aca="false">YEAR(B2270)</f>
        <v>2025</v>
      </c>
      <c r="D2270" s="57" t="n">
        <f aca="false">MONTH(B2270)</f>
        <v>9</v>
      </c>
      <c r="E2270" s="57" t="s">
        <v>120</v>
      </c>
      <c r="F2270" s="57" t="s">
        <v>78</v>
      </c>
      <c r="G2270" s="57" t="s">
        <v>40</v>
      </c>
      <c r="H2270" s="57" t="s">
        <v>43</v>
      </c>
      <c r="I2270" s="59" t="n">
        <v>1</v>
      </c>
      <c r="J2270" s="60" t="n">
        <v>29</v>
      </c>
      <c r="K2270" s="60" t="n">
        <v>9</v>
      </c>
      <c r="L2270" s="61" t="n">
        <f aca="false">I2270*J2270</f>
        <v>29</v>
      </c>
      <c r="M2270" s="61" t="n">
        <f aca="false">L2270-I2270*K2270</f>
        <v>20</v>
      </c>
      <c r="N2270" s="57" t="n">
        <f aca="false">IF(COUNTIFS(E$2:E2270,E2270,C$2:C2270,C2270)=1,1,0)</f>
        <v>0</v>
      </c>
      <c r="O2270" s="57" t="n">
        <f aca="false">IF(COUNTIFS(E$2:E2270,E2270,C$2:C2270,C2270,D$2:D2270,D2270)=1,1,0)</f>
        <v>1</v>
      </c>
      <c r="P2270" s="57" t="n">
        <f aca="false">IF(AND(C2270=Calc!$C$3,OR(Calc!$C$4=0,D2270=Calc!$C$4)),ROW(),0)</f>
        <v>2270</v>
      </c>
    </row>
    <row r="2271" customFormat="false" ht="15" hidden="false" customHeight="false" outlineLevel="0" collapsed="false">
      <c r="A2271" s="57" t="s">
        <v>2830</v>
      </c>
      <c r="B2271" s="58" t="n">
        <v>45904</v>
      </c>
      <c r="C2271" s="57" t="n">
        <f aca="false">YEAR(B2271)</f>
        <v>2025</v>
      </c>
      <c r="D2271" s="57" t="n">
        <f aca="false">MONTH(B2271)</f>
        <v>9</v>
      </c>
      <c r="E2271" s="57" t="s">
        <v>393</v>
      </c>
      <c r="F2271" s="57" t="s">
        <v>78</v>
      </c>
      <c r="G2271" s="57" t="s">
        <v>35</v>
      </c>
      <c r="H2271" s="57" t="s">
        <v>36</v>
      </c>
      <c r="I2271" s="59" t="n">
        <v>1</v>
      </c>
      <c r="J2271" s="60" t="n">
        <v>179</v>
      </c>
      <c r="K2271" s="60" t="n">
        <v>92</v>
      </c>
      <c r="L2271" s="61" t="n">
        <f aca="false">I2271*J2271</f>
        <v>179</v>
      </c>
      <c r="M2271" s="61" t="n">
        <f aca="false">L2271-I2271*K2271</f>
        <v>87</v>
      </c>
      <c r="N2271" s="57" t="n">
        <f aca="false">IF(COUNTIFS(E$2:E2271,E2271,C$2:C2271,C2271)=1,1,0)</f>
        <v>0</v>
      </c>
      <c r="O2271" s="57" t="n">
        <f aca="false">IF(COUNTIFS(E$2:E2271,E2271,C$2:C2271,C2271,D$2:D2271,D2271)=1,1,0)</f>
        <v>1</v>
      </c>
      <c r="P2271" s="57" t="n">
        <f aca="false">IF(AND(C2271=Calc!$C$3,OR(Calc!$C$4=0,D2271=Calc!$C$4)),ROW(),0)</f>
        <v>2271</v>
      </c>
    </row>
    <row r="2272" customFormat="false" ht="15" hidden="false" customHeight="false" outlineLevel="0" collapsed="false">
      <c r="A2272" s="57" t="s">
        <v>2831</v>
      </c>
      <c r="B2272" s="58" t="n">
        <v>45904</v>
      </c>
      <c r="C2272" s="57" t="n">
        <f aca="false">YEAR(B2272)</f>
        <v>2025</v>
      </c>
      <c r="D2272" s="57" t="n">
        <f aca="false">MONTH(B2272)</f>
        <v>9</v>
      </c>
      <c r="E2272" s="57" t="s">
        <v>761</v>
      </c>
      <c r="F2272" s="57" t="s">
        <v>75</v>
      </c>
      <c r="G2272" s="57" t="s">
        <v>54</v>
      </c>
      <c r="H2272" s="57" t="s">
        <v>56</v>
      </c>
      <c r="I2272" s="59" t="n">
        <v>1</v>
      </c>
      <c r="J2272" s="60" t="n">
        <v>42</v>
      </c>
      <c r="K2272" s="60" t="n">
        <v>17</v>
      </c>
      <c r="L2272" s="61" t="n">
        <f aca="false">I2272*J2272</f>
        <v>42</v>
      </c>
      <c r="M2272" s="61" t="n">
        <f aca="false">L2272-I2272*K2272</f>
        <v>25</v>
      </c>
      <c r="N2272" s="57" t="n">
        <f aca="false">IF(COUNTIFS(E$2:E2272,E2272,C$2:C2272,C2272)=1,1,0)</f>
        <v>0</v>
      </c>
      <c r="O2272" s="57" t="n">
        <f aca="false">IF(COUNTIFS(E$2:E2272,E2272,C$2:C2272,C2272,D$2:D2272,D2272)=1,1,0)</f>
        <v>1</v>
      </c>
      <c r="P2272" s="57" t="n">
        <f aca="false">IF(AND(C2272=Calc!$C$3,OR(Calc!$C$4=0,D2272=Calc!$C$4)),ROW(),0)</f>
        <v>2272</v>
      </c>
    </row>
    <row r="2273" customFormat="false" ht="15" hidden="false" customHeight="false" outlineLevel="0" collapsed="false">
      <c r="A2273" s="57" t="s">
        <v>2832</v>
      </c>
      <c r="B2273" s="58" t="n">
        <v>45904</v>
      </c>
      <c r="C2273" s="57" t="n">
        <f aca="false">YEAR(B2273)</f>
        <v>2025</v>
      </c>
      <c r="D2273" s="57" t="n">
        <f aca="false">MONTH(B2273)</f>
        <v>9</v>
      </c>
      <c r="E2273" s="57" t="s">
        <v>983</v>
      </c>
      <c r="F2273" s="57" t="s">
        <v>72</v>
      </c>
      <c r="G2273" s="57" t="s">
        <v>35</v>
      </c>
      <c r="H2273" s="57" t="s">
        <v>38</v>
      </c>
      <c r="I2273" s="59" t="n">
        <v>1</v>
      </c>
      <c r="J2273" s="60" t="n">
        <v>49</v>
      </c>
      <c r="K2273" s="60" t="n">
        <v>22</v>
      </c>
      <c r="L2273" s="61" t="n">
        <f aca="false">I2273*J2273</f>
        <v>49</v>
      </c>
      <c r="M2273" s="61" t="n">
        <f aca="false">L2273-I2273*K2273</f>
        <v>27</v>
      </c>
      <c r="N2273" s="57" t="n">
        <f aca="false">IF(COUNTIFS(E$2:E2273,E2273,C$2:C2273,C2273)=1,1,0)</f>
        <v>0</v>
      </c>
      <c r="O2273" s="57" t="n">
        <f aca="false">IF(COUNTIFS(E$2:E2273,E2273,C$2:C2273,C2273,D$2:D2273,D2273)=1,1,0)</f>
        <v>1</v>
      </c>
      <c r="P2273" s="57" t="n">
        <f aca="false">IF(AND(C2273=Calc!$C$3,OR(Calc!$C$4=0,D2273=Calc!$C$4)),ROW(),0)</f>
        <v>2273</v>
      </c>
    </row>
    <row r="2274" customFormat="false" ht="15" hidden="false" customHeight="false" outlineLevel="0" collapsed="false">
      <c r="A2274" s="57" t="s">
        <v>2833</v>
      </c>
      <c r="B2274" s="58" t="n">
        <v>45904</v>
      </c>
      <c r="C2274" s="57" t="n">
        <f aca="false">YEAR(B2274)</f>
        <v>2025</v>
      </c>
      <c r="D2274" s="57" t="n">
        <f aca="false">MONTH(B2274)</f>
        <v>9</v>
      </c>
      <c r="E2274" s="57" t="s">
        <v>510</v>
      </c>
      <c r="F2274" s="57" t="s">
        <v>78</v>
      </c>
      <c r="G2274" s="57" t="s">
        <v>40</v>
      </c>
      <c r="H2274" s="57" t="s">
        <v>39</v>
      </c>
      <c r="I2274" s="59" t="n">
        <v>1</v>
      </c>
      <c r="J2274" s="60" t="n">
        <v>54</v>
      </c>
      <c r="K2274" s="60" t="n">
        <v>19</v>
      </c>
      <c r="L2274" s="61" t="n">
        <f aca="false">I2274*J2274</f>
        <v>54</v>
      </c>
      <c r="M2274" s="61" t="n">
        <f aca="false">L2274-I2274*K2274</f>
        <v>35</v>
      </c>
      <c r="N2274" s="57" t="n">
        <f aca="false">IF(COUNTIFS(E$2:E2274,E2274,C$2:C2274,C2274)=1,1,0)</f>
        <v>0</v>
      </c>
      <c r="O2274" s="57" t="n">
        <f aca="false">IF(COUNTIFS(E$2:E2274,E2274,C$2:C2274,C2274,D$2:D2274,D2274)=1,1,0)</f>
        <v>1</v>
      </c>
      <c r="P2274" s="57" t="n">
        <f aca="false">IF(AND(C2274=Calc!$C$3,OR(Calc!$C$4=0,D2274=Calc!$C$4)),ROW(),0)</f>
        <v>2274</v>
      </c>
    </row>
    <row r="2275" customFormat="false" ht="15" hidden="false" customHeight="false" outlineLevel="0" collapsed="false">
      <c r="A2275" s="57" t="s">
        <v>2834</v>
      </c>
      <c r="B2275" s="58" t="n">
        <v>45904</v>
      </c>
      <c r="C2275" s="57" t="n">
        <f aca="false">YEAR(B2275)</f>
        <v>2025</v>
      </c>
      <c r="D2275" s="57" t="n">
        <f aca="false">MONTH(B2275)</f>
        <v>9</v>
      </c>
      <c r="E2275" s="57" t="s">
        <v>1650</v>
      </c>
      <c r="F2275" s="57" t="s">
        <v>72</v>
      </c>
      <c r="G2275" s="57" t="s">
        <v>40</v>
      </c>
      <c r="H2275" s="57" t="s">
        <v>41</v>
      </c>
      <c r="I2275" s="59" t="n">
        <v>1</v>
      </c>
      <c r="J2275" s="60" t="n">
        <v>46</v>
      </c>
      <c r="K2275" s="60" t="n">
        <v>16</v>
      </c>
      <c r="L2275" s="61" t="n">
        <f aca="false">I2275*J2275</f>
        <v>46</v>
      </c>
      <c r="M2275" s="61" t="n">
        <f aca="false">L2275-I2275*K2275</f>
        <v>30</v>
      </c>
      <c r="N2275" s="57" t="n">
        <f aca="false">IF(COUNTIFS(E$2:E2275,E2275,C$2:C2275,C2275)=1,1,0)</f>
        <v>0</v>
      </c>
      <c r="O2275" s="57" t="n">
        <f aca="false">IF(COUNTIFS(E$2:E2275,E2275,C$2:C2275,C2275,D$2:D2275,D2275)=1,1,0)</f>
        <v>1</v>
      </c>
      <c r="P2275" s="57" t="n">
        <f aca="false">IF(AND(C2275=Calc!$C$3,OR(Calc!$C$4=0,D2275=Calc!$C$4)),ROW(),0)</f>
        <v>2275</v>
      </c>
    </row>
    <row r="2276" customFormat="false" ht="15" hidden="false" customHeight="false" outlineLevel="0" collapsed="false">
      <c r="A2276" s="57" t="s">
        <v>2835</v>
      </c>
      <c r="B2276" s="58" t="n">
        <v>45905</v>
      </c>
      <c r="C2276" s="57" t="n">
        <f aca="false">YEAR(B2276)</f>
        <v>2025</v>
      </c>
      <c r="D2276" s="57" t="n">
        <f aca="false">MONTH(B2276)</f>
        <v>9</v>
      </c>
      <c r="E2276" s="57" t="s">
        <v>240</v>
      </c>
      <c r="F2276" s="57" t="s">
        <v>75</v>
      </c>
      <c r="G2276" s="57" t="s">
        <v>54</v>
      </c>
      <c r="H2276" s="57" t="s">
        <v>53</v>
      </c>
      <c r="I2276" s="59" t="n">
        <v>1</v>
      </c>
      <c r="J2276" s="60" t="n">
        <v>39</v>
      </c>
      <c r="K2276" s="60" t="n">
        <v>13</v>
      </c>
      <c r="L2276" s="61" t="n">
        <f aca="false">I2276*J2276</f>
        <v>39</v>
      </c>
      <c r="M2276" s="61" t="n">
        <f aca="false">L2276-I2276*K2276</f>
        <v>26</v>
      </c>
      <c r="N2276" s="57" t="n">
        <f aca="false">IF(COUNTIFS(E$2:E2276,E2276,C$2:C2276,C2276)=1,1,0)</f>
        <v>0</v>
      </c>
      <c r="O2276" s="57" t="n">
        <f aca="false">IF(COUNTIFS(E$2:E2276,E2276,C$2:C2276,C2276,D$2:D2276,D2276)=1,1,0)</f>
        <v>1</v>
      </c>
      <c r="P2276" s="57" t="n">
        <f aca="false">IF(AND(C2276=Calc!$C$3,OR(Calc!$C$4=0,D2276=Calc!$C$4)),ROW(),0)</f>
        <v>2276</v>
      </c>
    </row>
    <row r="2277" customFormat="false" ht="15" hidden="false" customHeight="false" outlineLevel="0" collapsed="false">
      <c r="A2277" s="57" t="s">
        <v>2836</v>
      </c>
      <c r="B2277" s="58" t="n">
        <v>45905</v>
      </c>
      <c r="C2277" s="57" t="n">
        <f aca="false">YEAR(B2277)</f>
        <v>2025</v>
      </c>
      <c r="D2277" s="57" t="n">
        <f aca="false">MONTH(B2277)</f>
        <v>9</v>
      </c>
      <c r="E2277" s="57" t="s">
        <v>359</v>
      </c>
      <c r="F2277" s="57" t="s">
        <v>69</v>
      </c>
      <c r="G2277" s="57" t="s">
        <v>35</v>
      </c>
      <c r="H2277" s="57" t="s">
        <v>36</v>
      </c>
      <c r="I2277" s="59" t="n">
        <v>1</v>
      </c>
      <c r="J2277" s="60" t="n">
        <v>179</v>
      </c>
      <c r="K2277" s="60" t="n">
        <v>92</v>
      </c>
      <c r="L2277" s="61" t="n">
        <f aca="false">I2277*J2277</f>
        <v>179</v>
      </c>
      <c r="M2277" s="61" t="n">
        <f aca="false">L2277-I2277*K2277</f>
        <v>87</v>
      </c>
      <c r="N2277" s="57" t="n">
        <f aca="false">IF(COUNTIFS(E$2:E2277,E2277,C$2:C2277,C2277)=1,1,0)</f>
        <v>1</v>
      </c>
      <c r="O2277" s="57" t="n">
        <f aca="false">IF(COUNTIFS(E$2:E2277,E2277,C$2:C2277,C2277,D$2:D2277,D2277)=1,1,0)</f>
        <v>1</v>
      </c>
      <c r="P2277" s="57" t="n">
        <f aca="false">IF(AND(C2277=Calc!$C$3,OR(Calc!$C$4=0,D2277=Calc!$C$4)),ROW(),0)</f>
        <v>2277</v>
      </c>
    </row>
    <row r="2278" customFormat="false" ht="15" hidden="false" customHeight="false" outlineLevel="0" collapsed="false">
      <c r="A2278" s="57" t="s">
        <v>2837</v>
      </c>
      <c r="B2278" s="58" t="n">
        <v>45905</v>
      </c>
      <c r="C2278" s="57" t="n">
        <f aca="false">YEAR(B2278)</f>
        <v>2025</v>
      </c>
      <c r="D2278" s="57" t="n">
        <f aca="false">MONTH(B2278)</f>
        <v>9</v>
      </c>
      <c r="E2278" s="57" t="s">
        <v>68</v>
      </c>
      <c r="F2278" s="57" t="s">
        <v>69</v>
      </c>
      <c r="G2278" s="57" t="s">
        <v>35</v>
      </c>
      <c r="H2278" s="57" t="s">
        <v>37</v>
      </c>
      <c r="I2278" s="59" t="n">
        <v>1</v>
      </c>
      <c r="J2278" s="60" t="n">
        <v>59</v>
      </c>
      <c r="K2278" s="60" t="n">
        <v>27</v>
      </c>
      <c r="L2278" s="61" t="n">
        <f aca="false">I2278*J2278</f>
        <v>59</v>
      </c>
      <c r="M2278" s="61" t="n">
        <f aca="false">L2278-I2278*K2278</f>
        <v>32</v>
      </c>
      <c r="N2278" s="57" t="n">
        <f aca="false">IF(COUNTIFS(E$2:E2278,E2278,C$2:C2278,C2278)=1,1,0)</f>
        <v>0</v>
      </c>
      <c r="O2278" s="57" t="n">
        <f aca="false">IF(COUNTIFS(E$2:E2278,E2278,C$2:C2278,C2278,D$2:D2278,D2278)=1,1,0)</f>
        <v>1</v>
      </c>
      <c r="P2278" s="57" t="n">
        <f aca="false">IF(AND(C2278=Calc!$C$3,OR(Calc!$C$4=0,D2278=Calc!$C$4)),ROW(),0)</f>
        <v>2278</v>
      </c>
    </row>
    <row r="2279" customFormat="false" ht="15" hidden="false" customHeight="false" outlineLevel="0" collapsed="false">
      <c r="A2279" s="57" t="s">
        <v>2838</v>
      </c>
      <c r="B2279" s="58" t="n">
        <v>45905</v>
      </c>
      <c r="C2279" s="57" t="n">
        <f aca="false">YEAR(B2279)</f>
        <v>2025</v>
      </c>
      <c r="D2279" s="57" t="n">
        <f aca="false">MONTH(B2279)</f>
        <v>9</v>
      </c>
      <c r="E2279" s="57" t="s">
        <v>818</v>
      </c>
      <c r="F2279" s="57" t="s">
        <v>69</v>
      </c>
      <c r="G2279" s="57" t="s">
        <v>35</v>
      </c>
      <c r="H2279" s="57" t="s">
        <v>37</v>
      </c>
      <c r="I2279" s="59" t="n">
        <v>1</v>
      </c>
      <c r="J2279" s="60" t="n">
        <v>59</v>
      </c>
      <c r="K2279" s="60" t="n">
        <v>27</v>
      </c>
      <c r="L2279" s="61" t="n">
        <f aca="false">I2279*J2279</f>
        <v>59</v>
      </c>
      <c r="M2279" s="61" t="n">
        <f aca="false">L2279-I2279*K2279</f>
        <v>32</v>
      </c>
      <c r="N2279" s="57" t="n">
        <f aca="false">IF(COUNTIFS(E$2:E2279,E2279,C$2:C2279,C2279)=1,1,0)</f>
        <v>0</v>
      </c>
      <c r="O2279" s="57" t="n">
        <f aca="false">IF(COUNTIFS(E$2:E2279,E2279,C$2:C2279,C2279,D$2:D2279,D2279)=1,1,0)</f>
        <v>1</v>
      </c>
      <c r="P2279" s="57" t="n">
        <f aca="false">IF(AND(C2279=Calc!$C$3,OR(Calc!$C$4=0,D2279=Calc!$C$4)),ROW(),0)</f>
        <v>2279</v>
      </c>
    </row>
    <row r="2280" customFormat="false" ht="15" hidden="false" customHeight="false" outlineLevel="0" collapsed="false">
      <c r="A2280" s="57" t="s">
        <v>2839</v>
      </c>
      <c r="B2280" s="58" t="n">
        <v>45906</v>
      </c>
      <c r="C2280" s="57" t="n">
        <f aca="false">YEAR(B2280)</f>
        <v>2025</v>
      </c>
      <c r="D2280" s="57" t="n">
        <f aca="false">MONTH(B2280)</f>
        <v>9</v>
      </c>
      <c r="E2280" s="57" t="s">
        <v>2840</v>
      </c>
      <c r="F2280" s="57" t="s">
        <v>78</v>
      </c>
      <c r="G2280" s="57" t="s">
        <v>40</v>
      </c>
      <c r="H2280" s="57" t="s">
        <v>41</v>
      </c>
      <c r="I2280" s="59" t="n">
        <v>1</v>
      </c>
      <c r="J2280" s="60" t="n">
        <v>46</v>
      </c>
      <c r="K2280" s="60" t="n">
        <v>16</v>
      </c>
      <c r="L2280" s="61" t="n">
        <f aca="false">I2280*J2280</f>
        <v>46</v>
      </c>
      <c r="M2280" s="61" t="n">
        <f aca="false">L2280-I2280*K2280</f>
        <v>30</v>
      </c>
      <c r="N2280" s="57" t="n">
        <f aca="false">IF(COUNTIFS(E$2:E2280,E2280,C$2:C2280,C2280)=1,1,0)</f>
        <v>1</v>
      </c>
      <c r="O2280" s="57" t="n">
        <f aca="false">IF(COUNTIFS(E$2:E2280,E2280,C$2:C2280,C2280,D$2:D2280,D2280)=1,1,0)</f>
        <v>1</v>
      </c>
      <c r="P2280" s="57" t="n">
        <f aca="false">IF(AND(C2280=Calc!$C$3,OR(Calc!$C$4=0,D2280=Calc!$C$4)),ROW(),0)</f>
        <v>2280</v>
      </c>
    </row>
    <row r="2281" customFormat="false" ht="15" hidden="false" customHeight="false" outlineLevel="0" collapsed="false">
      <c r="A2281" s="57" t="s">
        <v>2841</v>
      </c>
      <c r="B2281" s="58" t="n">
        <v>45906</v>
      </c>
      <c r="C2281" s="57" t="n">
        <f aca="false">YEAR(B2281)</f>
        <v>2025</v>
      </c>
      <c r="D2281" s="57" t="n">
        <f aca="false">MONTH(B2281)</f>
        <v>9</v>
      </c>
      <c r="E2281" s="57" t="s">
        <v>313</v>
      </c>
      <c r="F2281" s="57" t="s">
        <v>75</v>
      </c>
      <c r="G2281" s="57" t="s">
        <v>35</v>
      </c>
      <c r="H2281" s="57" t="s">
        <v>34</v>
      </c>
      <c r="I2281" s="59" t="n">
        <v>1</v>
      </c>
      <c r="J2281" s="60" t="n">
        <v>89</v>
      </c>
      <c r="K2281" s="60" t="n">
        <v>41</v>
      </c>
      <c r="L2281" s="61" t="n">
        <f aca="false">I2281*J2281</f>
        <v>89</v>
      </c>
      <c r="M2281" s="61" t="n">
        <f aca="false">L2281-I2281*K2281</f>
        <v>48</v>
      </c>
      <c r="N2281" s="57" t="n">
        <f aca="false">IF(COUNTIFS(E$2:E2281,E2281,C$2:C2281,C2281)=1,1,0)</f>
        <v>0</v>
      </c>
      <c r="O2281" s="57" t="n">
        <f aca="false">IF(COUNTIFS(E$2:E2281,E2281,C$2:C2281,C2281,D$2:D2281,D2281)=1,1,0)</f>
        <v>0</v>
      </c>
      <c r="P2281" s="57" t="n">
        <f aca="false">IF(AND(C2281=Calc!$C$3,OR(Calc!$C$4=0,D2281=Calc!$C$4)),ROW(),0)</f>
        <v>2281</v>
      </c>
    </row>
    <row r="2282" customFormat="false" ht="15" hidden="false" customHeight="false" outlineLevel="0" collapsed="false">
      <c r="A2282" s="57" t="s">
        <v>2842</v>
      </c>
      <c r="B2282" s="58" t="n">
        <v>45906</v>
      </c>
      <c r="C2282" s="57" t="n">
        <f aca="false">YEAR(B2282)</f>
        <v>2025</v>
      </c>
      <c r="D2282" s="57" t="n">
        <f aca="false">MONTH(B2282)</f>
        <v>9</v>
      </c>
      <c r="E2282" s="57" t="s">
        <v>91</v>
      </c>
      <c r="F2282" s="57" t="s">
        <v>69</v>
      </c>
      <c r="G2282" s="57" t="s">
        <v>50</v>
      </c>
      <c r="H2282" s="57" t="s">
        <v>49</v>
      </c>
      <c r="I2282" s="59" t="n">
        <v>2</v>
      </c>
      <c r="J2282" s="60" t="n">
        <v>32</v>
      </c>
      <c r="K2282" s="60" t="n">
        <v>7</v>
      </c>
      <c r="L2282" s="61" t="n">
        <f aca="false">I2282*J2282</f>
        <v>64</v>
      </c>
      <c r="M2282" s="61" t="n">
        <f aca="false">L2282-I2282*K2282</f>
        <v>50</v>
      </c>
      <c r="N2282" s="57" t="n">
        <f aca="false">IF(COUNTIFS(E$2:E2282,E2282,C$2:C2282,C2282)=1,1,0)</f>
        <v>0</v>
      </c>
      <c r="O2282" s="57" t="n">
        <f aca="false">IF(COUNTIFS(E$2:E2282,E2282,C$2:C2282,C2282,D$2:D2282,D2282)=1,1,0)</f>
        <v>1</v>
      </c>
      <c r="P2282" s="57" t="n">
        <f aca="false">IF(AND(C2282=Calc!$C$3,OR(Calc!$C$4=0,D2282=Calc!$C$4)),ROW(),0)</f>
        <v>2282</v>
      </c>
    </row>
    <row r="2283" customFormat="false" ht="15" hidden="false" customHeight="false" outlineLevel="0" collapsed="false">
      <c r="A2283" s="57" t="s">
        <v>2843</v>
      </c>
      <c r="B2283" s="58" t="n">
        <v>45906</v>
      </c>
      <c r="C2283" s="57" t="n">
        <f aca="false">YEAR(B2283)</f>
        <v>2025</v>
      </c>
      <c r="D2283" s="57" t="n">
        <f aca="false">MONTH(B2283)</f>
        <v>9</v>
      </c>
      <c r="E2283" s="57" t="s">
        <v>2844</v>
      </c>
      <c r="F2283" s="57" t="s">
        <v>72</v>
      </c>
      <c r="G2283" s="57" t="s">
        <v>50</v>
      </c>
      <c r="H2283" s="57" t="s">
        <v>49</v>
      </c>
      <c r="I2283" s="59" t="n">
        <v>1</v>
      </c>
      <c r="J2283" s="60" t="n">
        <v>32</v>
      </c>
      <c r="K2283" s="60" t="n">
        <v>7</v>
      </c>
      <c r="L2283" s="61" t="n">
        <f aca="false">I2283*J2283</f>
        <v>32</v>
      </c>
      <c r="M2283" s="61" t="n">
        <f aca="false">L2283-I2283*K2283</f>
        <v>25</v>
      </c>
      <c r="N2283" s="57" t="n">
        <f aca="false">IF(COUNTIFS(E$2:E2283,E2283,C$2:C2283,C2283)=1,1,0)</f>
        <v>1</v>
      </c>
      <c r="O2283" s="57" t="n">
        <f aca="false">IF(COUNTIFS(E$2:E2283,E2283,C$2:C2283,C2283,D$2:D2283,D2283)=1,1,0)</f>
        <v>1</v>
      </c>
      <c r="P2283" s="57" t="n">
        <f aca="false">IF(AND(C2283=Calc!$C$3,OR(Calc!$C$4=0,D2283=Calc!$C$4)),ROW(),0)</f>
        <v>2283</v>
      </c>
    </row>
    <row r="2284" customFormat="false" ht="15" hidden="false" customHeight="false" outlineLevel="0" collapsed="false">
      <c r="A2284" s="57" t="s">
        <v>2845</v>
      </c>
      <c r="B2284" s="58" t="n">
        <v>45906</v>
      </c>
      <c r="C2284" s="57" t="n">
        <f aca="false">YEAR(B2284)</f>
        <v>2025</v>
      </c>
      <c r="D2284" s="57" t="n">
        <f aca="false">MONTH(B2284)</f>
        <v>9</v>
      </c>
      <c r="E2284" s="57" t="s">
        <v>1688</v>
      </c>
      <c r="F2284" s="57" t="s">
        <v>72</v>
      </c>
      <c r="G2284" s="57" t="s">
        <v>40</v>
      </c>
      <c r="H2284" s="57" t="s">
        <v>43</v>
      </c>
      <c r="I2284" s="59" t="n">
        <v>1</v>
      </c>
      <c r="J2284" s="60" t="n">
        <v>29</v>
      </c>
      <c r="K2284" s="60" t="n">
        <v>9</v>
      </c>
      <c r="L2284" s="61" t="n">
        <f aca="false">I2284*J2284</f>
        <v>29</v>
      </c>
      <c r="M2284" s="61" t="n">
        <f aca="false">L2284-I2284*K2284</f>
        <v>20</v>
      </c>
      <c r="N2284" s="57" t="n">
        <f aca="false">IF(COUNTIFS(E$2:E2284,E2284,C$2:C2284,C2284)=1,1,0)</f>
        <v>1</v>
      </c>
      <c r="O2284" s="57" t="n">
        <f aca="false">IF(COUNTIFS(E$2:E2284,E2284,C$2:C2284,C2284,D$2:D2284,D2284)=1,1,0)</f>
        <v>1</v>
      </c>
      <c r="P2284" s="57" t="n">
        <f aca="false">IF(AND(C2284=Calc!$C$3,OR(Calc!$C$4=0,D2284=Calc!$C$4)),ROW(),0)</f>
        <v>2284</v>
      </c>
    </row>
    <row r="2285" customFormat="false" ht="15" hidden="false" customHeight="false" outlineLevel="0" collapsed="false">
      <c r="A2285" s="57" t="s">
        <v>2846</v>
      </c>
      <c r="B2285" s="58" t="n">
        <v>45907</v>
      </c>
      <c r="C2285" s="57" t="n">
        <f aca="false">YEAR(B2285)</f>
        <v>2025</v>
      </c>
      <c r="D2285" s="57" t="n">
        <f aca="false">MONTH(B2285)</f>
        <v>9</v>
      </c>
      <c r="E2285" s="57" t="s">
        <v>256</v>
      </c>
      <c r="F2285" s="57" t="s">
        <v>69</v>
      </c>
      <c r="G2285" s="57" t="s">
        <v>50</v>
      </c>
      <c r="H2285" s="57" t="s">
        <v>49</v>
      </c>
      <c r="I2285" s="59" t="n">
        <v>1</v>
      </c>
      <c r="J2285" s="60" t="n">
        <v>32</v>
      </c>
      <c r="K2285" s="60" t="n">
        <v>7</v>
      </c>
      <c r="L2285" s="61" t="n">
        <f aca="false">I2285*J2285</f>
        <v>32</v>
      </c>
      <c r="M2285" s="61" t="n">
        <f aca="false">L2285-I2285*K2285</f>
        <v>25</v>
      </c>
      <c r="N2285" s="57" t="n">
        <f aca="false">IF(COUNTIFS(E$2:E2285,E2285,C$2:C2285,C2285)=1,1,0)</f>
        <v>0</v>
      </c>
      <c r="O2285" s="57" t="n">
        <f aca="false">IF(COUNTIFS(E$2:E2285,E2285,C$2:C2285,C2285,D$2:D2285,D2285)=1,1,0)</f>
        <v>1</v>
      </c>
      <c r="P2285" s="57" t="n">
        <f aca="false">IF(AND(C2285=Calc!$C$3,OR(Calc!$C$4=0,D2285=Calc!$C$4)),ROW(),0)</f>
        <v>2285</v>
      </c>
    </row>
    <row r="2286" customFormat="false" ht="15" hidden="false" customHeight="false" outlineLevel="0" collapsed="false">
      <c r="A2286" s="57" t="s">
        <v>2847</v>
      </c>
      <c r="B2286" s="58" t="n">
        <v>45907</v>
      </c>
      <c r="C2286" s="57" t="n">
        <f aca="false">YEAR(B2286)</f>
        <v>2025</v>
      </c>
      <c r="D2286" s="57" t="n">
        <f aca="false">MONTH(B2286)</f>
        <v>9</v>
      </c>
      <c r="E2286" s="57" t="s">
        <v>120</v>
      </c>
      <c r="F2286" s="57" t="s">
        <v>78</v>
      </c>
      <c r="G2286" s="57" t="s">
        <v>40</v>
      </c>
      <c r="H2286" s="57" t="s">
        <v>42</v>
      </c>
      <c r="I2286" s="59" t="n">
        <v>1</v>
      </c>
      <c r="J2286" s="60" t="n">
        <v>79</v>
      </c>
      <c r="K2286" s="60" t="n">
        <v>31</v>
      </c>
      <c r="L2286" s="61" t="n">
        <f aca="false">I2286*J2286</f>
        <v>79</v>
      </c>
      <c r="M2286" s="61" t="n">
        <f aca="false">L2286-I2286*K2286</f>
        <v>48</v>
      </c>
      <c r="N2286" s="57" t="n">
        <f aca="false">IF(COUNTIFS(E$2:E2286,E2286,C$2:C2286,C2286)=1,1,0)</f>
        <v>0</v>
      </c>
      <c r="O2286" s="57" t="n">
        <f aca="false">IF(COUNTIFS(E$2:E2286,E2286,C$2:C2286,C2286,D$2:D2286,D2286)=1,1,0)</f>
        <v>0</v>
      </c>
      <c r="P2286" s="57" t="n">
        <f aca="false">IF(AND(C2286=Calc!$C$3,OR(Calc!$C$4=0,D2286=Calc!$C$4)),ROW(),0)</f>
        <v>2286</v>
      </c>
    </row>
    <row r="2287" customFormat="false" ht="15" hidden="false" customHeight="false" outlineLevel="0" collapsed="false">
      <c r="A2287" s="57" t="s">
        <v>2848</v>
      </c>
      <c r="B2287" s="58" t="n">
        <v>45907</v>
      </c>
      <c r="C2287" s="57" t="n">
        <f aca="false">YEAR(B2287)</f>
        <v>2025</v>
      </c>
      <c r="D2287" s="57" t="n">
        <f aca="false">MONTH(B2287)</f>
        <v>9</v>
      </c>
      <c r="E2287" s="57" t="s">
        <v>344</v>
      </c>
      <c r="F2287" s="57" t="s">
        <v>81</v>
      </c>
      <c r="G2287" s="57" t="s">
        <v>45</v>
      </c>
      <c r="H2287" s="57" t="s">
        <v>48</v>
      </c>
      <c r="I2287" s="59" t="n">
        <v>1</v>
      </c>
      <c r="J2287" s="60" t="n">
        <v>99</v>
      </c>
      <c r="K2287" s="60" t="n">
        <v>38</v>
      </c>
      <c r="L2287" s="61" t="n">
        <f aca="false">I2287*J2287</f>
        <v>99</v>
      </c>
      <c r="M2287" s="61" t="n">
        <f aca="false">L2287-I2287*K2287</f>
        <v>61</v>
      </c>
      <c r="N2287" s="57" t="n">
        <f aca="false">IF(COUNTIFS(E$2:E2287,E2287,C$2:C2287,C2287)=1,1,0)</f>
        <v>0</v>
      </c>
      <c r="O2287" s="57" t="n">
        <f aca="false">IF(COUNTIFS(E$2:E2287,E2287,C$2:C2287,C2287,D$2:D2287,D2287)=1,1,0)</f>
        <v>1</v>
      </c>
      <c r="P2287" s="57" t="n">
        <f aca="false">IF(AND(C2287=Calc!$C$3,OR(Calc!$C$4=0,D2287=Calc!$C$4)),ROW(),0)</f>
        <v>2287</v>
      </c>
    </row>
    <row r="2288" customFormat="false" ht="15" hidden="false" customHeight="false" outlineLevel="0" collapsed="false">
      <c r="A2288" s="57" t="s">
        <v>2849</v>
      </c>
      <c r="B2288" s="58" t="n">
        <v>45908</v>
      </c>
      <c r="C2288" s="57" t="n">
        <f aca="false">YEAR(B2288)</f>
        <v>2025</v>
      </c>
      <c r="D2288" s="57" t="n">
        <f aca="false">MONTH(B2288)</f>
        <v>9</v>
      </c>
      <c r="E2288" s="57" t="s">
        <v>376</v>
      </c>
      <c r="F2288" s="57" t="s">
        <v>78</v>
      </c>
      <c r="G2288" s="57" t="s">
        <v>50</v>
      </c>
      <c r="H2288" s="57" t="s">
        <v>49</v>
      </c>
      <c r="I2288" s="59" t="n">
        <v>1</v>
      </c>
      <c r="J2288" s="60" t="n">
        <v>32</v>
      </c>
      <c r="K2288" s="60" t="n">
        <v>7</v>
      </c>
      <c r="L2288" s="61" t="n">
        <f aca="false">I2288*J2288</f>
        <v>32</v>
      </c>
      <c r="M2288" s="61" t="n">
        <f aca="false">L2288-I2288*K2288</f>
        <v>25</v>
      </c>
      <c r="N2288" s="57" t="n">
        <f aca="false">IF(COUNTIFS(E$2:E2288,E2288,C$2:C2288,C2288)=1,1,0)</f>
        <v>0</v>
      </c>
      <c r="O2288" s="57" t="n">
        <f aca="false">IF(COUNTIFS(E$2:E2288,E2288,C$2:C2288,C2288,D$2:D2288,D2288)=1,1,0)</f>
        <v>1</v>
      </c>
      <c r="P2288" s="57" t="n">
        <f aca="false">IF(AND(C2288=Calc!$C$3,OR(Calc!$C$4=0,D2288=Calc!$C$4)),ROW(),0)</f>
        <v>2288</v>
      </c>
    </row>
    <row r="2289" customFormat="false" ht="15" hidden="false" customHeight="false" outlineLevel="0" collapsed="false">
      <c r="A2289" s="57" t="s">
        <v>2850</v>
      </c>
      <c r="B2289" s="58" t="n">
        <v>45908</v>
      </c>
      <c r="C2289" s="57" t="n">
        <f aca="false">YEAR(B2289)</f>
        <v>2025</v>
      </c>
      <c r="D2289" s="57" t="n">
        <f aca="false">MONTH(B2289)</f>
        <v>9</v>
      </c>
      <c r="E2289" s="57" t="s">
        <v>231</v>
      </c>
      <c r="F2289" s="57" t="s">
        <v>72</v>
      </c>
      <c r="G2289" s="57" t="s">
        <v>40</v>
      </c>
      <c r="H2289" s="57" t="s">
        <v>42</v>
      </c>
      <c r="I2289" s="59" t="n">
        <v>1</v>
      </c>
      <c r="J2289" s="60" t="n">
        <v>79</v>
      </c>
      <c r="K2289" s="60" t="n">
        <v>31</v>
      </c>
      <c r="L2289" s="61" t="n">
        <f aca="false">I2289*J2289</f>
        <v>79</v>
      </c>
      <c r="M2289" s="61" t="n">
        <f aca="false">L2289-I2289*K2289</f>
        <v>48</v>
      </c>
      <c r="N2289" s="57" t="n">
        <f aca="false">IF(COUNTIFS(E$2:E2289,E2289,C$2:C2289,C2289)=1,1,0)</f>
        <v>0</v>
      </c>
      <c r="O2289" s="57" t="n">
        <f aca="false">IF(COUNTIFS(E$2:E2289,E2289,C$2:C2289,C2289,D$2:D2289,D2289)=1,1,0)</f>
        <v>1</v>
      </c>
      <c r="P2289" s="57" t="n">
        <f aca="false">IF(AND(C2289=Calc!$C$3,OR(Calc!$C$4=0,D2289=Calc!$C$4)),ROW(),0)</f>
        <v>2289</v>
      </c>
    </row>
    <row r="2290" customFormat="false" ht="15" hidden="false" customHeight="false" outlineLevel="0" collapsed="false">
      <c r="A2290" s="57" t="s">
        <v>2851</v>
      </c>
      <c r="B2290" s="58" t="n">
        <v>45908</v>
      </c>
      <c r="C2290" s="57" t="n">
        <f aca="false">YEAR(B2290)</f>
        <v>2025</v>
      </c>
      <c r="D2290" s="57" t="n">
        <f aca="false">MONTH(B2290)</f>
        <v>9</v>
      </c>
      <c r="E2290" s="57" t="s">
        <v>240</v>
      </c>
      <c r="F2290" s="57" t="s">
        <v>75</v>
      </c>
      <c r="G2290" s="57" t="s">
        <v>40</v>
      </c>
      <c r="H2290" s="57" t="s">
        <v>39</v>
      </c>
      <c r="I2290" s="59" t="n">
        <v>1</v>
      </c>
      <c r="J2290" s="60" t="n">
        <v>54</v>
      </c>
      <c r="K2290" s="60" t="n">
        <v>19</v>
      </c>
      <c r="L2290" s="61" t="n">
        <f aca="false">I2290*J2290</f>
        <v>54</v>
      </c>
      <c r="M2290" s="61" t="n">
        <f aca="false">L2290-I2290*K2290</f>
        <v>35</v>
      </c>
      <c r="N2290" s="57" t="n">
        <f aca="false">IF(COUNTIFS(E$2:E2290,E2290,C$2:C2290,C2290)=1,1,0)</f>
        <v>0</v>
      </c>
      <c r="O2290" s="57" t="n">
        <f aca="false">IF(COUNTIFS(E$2:E2290,E2290,C$2:C2290,C2290,D$2:D2290,D2290)=1,1,0)</f>
        <v>0</v>
      </c>
      <c r="P2290" s="57" t="n">
        <f aca="false">IF(AND(C2290=Calc!$C$3,OR(Calc!$C$4=0,D2290=Calc!$C$4)),ROW(),0)</f>
        <v>2290</v>
      </c>
    </row>
    <row r="2291" customFormat="false" ht="15" hidden="false" customHeight="false" outlineLevel="0" collapsed="false">
      <c r="A2291" s="57" t="s">
        <v>2852</v>
      </c>
      <c r="B2291" s="58" t="n">
        <v>45908</v>
      </c>
      <c r="C2291" s="57" t="n">
        <f aca="false">YEAR(B2291)</f>
        <v>2025</v>
      </c>
      <c r="D2291" s="57" t="n">
        <f aca="false">MONTH(B2291)</f>
        <v>9</v>
      </c>
      <c r="E2291" s="57" t="s">
        <v>1014</v>
      </c>
      <c r="F2291" s="57" t="s">
        <v>69</v>
      </c>
      <c r="G2291" s="57" t="s">
        <v>40</v>
      </c>
      <c r="H2291" s="57" t="s">
        <v>41</v>
      </c>
      <c r="I2291" s="59" t="n">
        <v>2</v>
      </c>
      <c r="J2291" s="60" t="n">
        <v>46</v>
      </c>
      <c r="K2291" s="60" t="n">
        <v>16</v>
      </c>
      <c r="L2291" s="61" t="n">
        <f aca="false">I2291*J2291</f>
        <v>92</v>
      </c>
      <c r="M2291" s="61" t="n">
        <f aca="false">L2291-I2291*K2291</f>
        <v>60</v>
      </c>
      <c r="N2291" s="57" t="n">
        <f aca="false">IF(COUNTIFS(E$2:E2291,E2291,C$2:C2291,C2291)=1,1,0)</f>
        <v>0</v>
      </c>
      <c r="O2291" s="57" t="n">
        <f aca="false">IF(COUNTIFS(E$2:E2291,E2291,C$2:C2291,C2291,D$2:D2291,D2291)=1,1,0)</f>
        <v>1</v>
      </c>
      <c r="P2291" s="57" t="n">
        <f aca="false">IF(AND(C2291=Calc!$C$3,OR(Calc!$C$4=0,D2291=Calc!$C$4)),ROW(),0)</f>
        <v>2291</v>
      </c>
    </row>
    <row r="2292" customFormat="false" ht="15" hidden="false" customHeight="false" outlineLevel="0" collapsed="false">
      <c r="A2292" s="57" t="s">
        <v>2853</v>
      </c>
      <c r="B2292" s="58" t="n">
        <v>45909</v>
      </c>
      <c r="C2292" s="57" t="n">
        <f aca="false">YEAR(B2292)</f>
        <v>2025</v>
      </c>
      <c r="D2292" s="57" t="n">
        <f aca="false">MONTH(B2292)</f>
        <v>9</v>
      </c>
      <c r="E2292" s="57" t="s">
        <v>223</v>
      </c>
      <c r="F2292" s="57" t="s">
        <v>69</v>
      </c>
      <c r="G2292" s="57" t="s">
        <v>45</v>
      </c>
      <c r="H2292" s="57" t="s">
        <v>46</v>
      </c>
      <c r="I2292" s="59" t="n">
        <v>1</v>
      </c>
      <c r="J2292" s="60" t="n">
        <v>149</v>
      </c>
      <c r="K2292" s="60" t="n">
        <v>71</v>
      </c>
      <c r="L2292" s="61" t="n">
        <f aca="false">I2292*J2292</f>
        <v>149</v>
      </c>
      <c r="M2292" s="61" t="n">
        <f aca="false">L2292-I2292*K2292</f>
        <v>78</v>
      </c>
      <c r="N2292" s="57" t="n">
        <f aca="false">IF(COUNTIFS(E$2:E2292,E2292,C$2:C2292,C2292)=1,1,0)</f>
        <v>0</v>
      </c>
      <c r="O2292" s="57" t="n">
        <f aca="false">IF(COUNTIFS(E$2:E2292,E2292,C$2:C2292,C2292,D$2:D2292,D2292)=1,1,0)</f>
        <v>1</v>
      </c>
      <c r="P2292" s="57" t="n">
        <f aca="false">IF(AND(C2292=Calc!$C$3,OR(Calc!$C$4=0,D2292=Calc!$C$4)),ROW(),0)</f>
        <v>2292</v>
      </c>
    </row>
    <row r="2293" customFormat="false" ht="15" hidden="false" customHeight="false" outlineLevel="0" collapsed="false">
      <c r="A2293" s="57" t="s">
        <v>2854</v>
      </c>
      <c r="B2293" s="58" t="n">
        <v>45909</v>
      </c>
      <c r="C2293" s="57" t="n">
        <f aca="false">YEAR(B2293)</f>
        <v>2025</v>
      </c>
      <c r="D2293" s="57" t="n">
        <f aca="false">MONTH(B2293)</f>
        <v>9</v>
      </c>
      <c r="E2293" s="57" t="s">
        <v>833</v>
      </c>
      <c r="F2293" s="57" t="s">
        <v>72</v>
      </c>
      <c r="G2293" s="57" t="s">
        <v>40</v>
      </c>
      <c r="H2293" s="57" t="s">
        <v>39</v>
      </c>
      <c r="I2293" s="59" t="n">
        <v>1</v>
      </c>
      <c r="J2293" s="60" t="n">
        <v>54</v>
      </c>
      <c r="K2293" s="60" t="n">
        <v>19</v>
      </c>
      <c r="L2293" s="61" t="n">
        <f aca="false">I2293*J2293</f>
        <v>54</v>
      </c>
      <c r="M2293" s="61" t="n">
        <f aca="false">L2293-I2293*K2293</f>
        <v>35</v>
      </c>
      <c r="N2293" s="57" t="n">
        <f aca="false">IF(COUNTIFS(E$2:E2293,E2293,C$2:C2293,C2293)=1,1,0)</f>
        <v>1</v>
      </c>
      <c r="O2293" s="57" t="n">
        <f aca="false">IF(COUNTIFS(E$2:E2293,E2293,C$2:C2293,C2293,D$2:D2293,D2293)=1,1,0)</f>
        <v>1</v>
      </c>
      <c r="P2293" s="57" t="n">
        <f aca="false">IF(AND(C2293=Calc!$C$3,OR(Calc!$C$4=0,D2293=Calc!$C$4)),ROW(),0)</f>
        <v>2293</v>
      </c>
    </row>
    <row r="2294" customFormat="false" ht="15" hidden="false" customHeight="false" outlineLevel="0" collapsed="false">
      <c r="A2294" s="57" t="s">
        <v>2855</v>
      </c>
      <c r="B2294" s="58" t="n">
        <v>45909</v>
      </c>
      <c r="C2294" s="57" t="n">
        <f aca="false">YEAR(B2294)</f>
        <v>2025</v>
      </c>
      <c r="D2294" s="57" t="n">
        <f aca="false">MONTH(B2294)</f>
        <v>9</v>
      </c>
      <c r="E2294" s="57" t="s">
        <v>146</v>
      </c>
      <c r="F2294" s="57" t="s">
        <v>78</v>
      </c>
      <c r="G2294" s="57" t="s">
        <v>50</v>
      </c>
      <c r="H2294" s="57" t="s">
        <v>49</v>
      </c>
      <c r="I2294" s="59" t="n">
        <v>1</v>
      </c>
      <c r="J2294" s="60" t="n">
        <v>32</v>
      </c>
      <c r="K2294" s="60" t="n">
        <v>7</v>
      </c>
      <c r="L2294" s="61" t="n">
        <f aca="false">I2294*J2294</f>
        <v>32</v>
      </c>
      <c r="M2294" s="61" t="n">
        <f aca="false">L2294-I2294*K2294</f>
        <v>25</v>
      </c>
      <c r="N2294" s="57" t="n">
        <f aca="false">IF(COUNTIFS(E$2:E2294,E2294,C$2:C2294,C2294)=1,1,0)</f>
        <v>0</v>
      </c>
      <c r="O2294" s="57" t="n">
        <f aca="false">IF(COUNTIFS(E$2:E2294,E2294,C$2:C2294,C2294,D$2:D2294,D2294)=1,1,0)</f>
        <v>1</v>
      </c>
      <c r="P2294" s="57" t="n">
        <f aca="false">IF(AND(C2294=Calc!$C$3,OR(Calc!$C$4=0,D2294=Calc!$C$4)),ROW(),0)</f>
        <v>2294</v>
      </c>
    </row>
    <row r="2295" customFormat="false" ht="15" hidden="false" customHeight="false" outlineLevel="0" collapsed="false">
      <c r="A2295" s="57" t="s">
        <v>2856</v>
      </c>
      <c r="B2295" s="58" t="n">
        <v>45909</v>
      </c>
      <c r="C2295" s="57" t="n">
        <f aca="false">YEAR(B2295)</f>
        <v>2025</v>
      </c>
      <c r="D2295" s="57" t="n">
        <f aca="false">MONTH(B2295)</f>
        <v>9</v>
      </c>
      <c r="E2295" s="57" t="s">
        <v>1842</v>
      </c>
      <c r="F2295" s="57" t="s">
        <v>72</v>
      </c>
      <c r="G2295" s="57" t="s">
        <v>40</v>
      </c>
      <c r="H2295" s="57" t="s">
        <v>42</v>
      </c>
      <c r="I2295" s="59" t="n">
        <v>1</v>
      </c>
      <c r="J2295" s="60" t="n">
        <v>79</v>
      </c>
      <c r="K2295" s="60" t="n">
        <v>31</v>
      </c>
      <c r="L2295" s="61" t="n">
        <f aca="false">I2295*J2295</f>
        <v>79</v>
      </c>
      <c r="M2295" s="61" t="n">
        <f aca="false">L2295-I2295*K2295</f>
        <v>48</v>
      </c>
      <c r="N2295" s="57" t="n">
        <f aca="false">IF(COUNTIFS(E$2:E2295,E2295,C$2:C2295,C2295)=1,1,0)</f>
        <v>1</v>
      </c>
      <c r="O2295" s="57" t="n">
        <f aca="false">IF(COUNTIFS(E$2:E2295,E2295,C$2:C2295,C2295,D$2:D2295,D2295)=1,1,0)</f>
        <v>1</v>
      </c>
      <c r="P2295" s="57" t="n">
        <f aca="false">IF(AND(C2295=Calc!$C$3,OR(Calc!$C$4=0,D2295=Calc!$C$4)),ROW(),0)</f>
        <v>2295</v>
      </c>
    </row>
    <row r="2296" customFormat="false" ht="15" hidden="false" customHeight="false" outlineLevel="0" collapsed="false">
      <c r="A2296" s="57" t="s">
        <v>2857</v>
      </c>
      <c r="B2296" s="58" t="n">
        <v>45910</v>
      </c>
      <c r="C2296" s="57" t="n">
        <f aca="false">YEAR(B2296)</f>
        <v>2025</v>
      </c>
      <c r="D2296" s="57" t="n">
        <f aca="false">MONTH(B2296)</f>
        <v>9</v>
      </c>
      <c r="E2296" s="57" t="s">
        <v>402</v>
      </c>
      <c r="F2296" s="57" t="s">
        <v>75</v>
      </c>
      <c r="G2296" s="57" t="s">
        <v>35</v>
      </c>
      <c r="H2296" s="57" t="s">
        <v>34</v>
      </c>
      <c r="I2296" s="59" t="n">
        <v>3</v>
      </c>
      <c r="J2296" s="60" t="n">
        <v>89</v>
      </c>
      <c r="K2296" s="60" t="n">
        <v>41</v>
      </c>
      <c r="L2296" s="61" t="n">
        <f aca="false">I2296*J2296</f>
        <v>267</v>
      </c>
      <c r="M2296" s="61" t="n">
        <f aca="false">L2296-I2296*K2296</f>
        <v>144</v>
      </c>
      <c r="N2296" s="57" t="n">
        <f aca="false">IF(COUNTIFS(E$2:E2296,E2296,C$2:C2296,C2296)=1,1,0)</f>
        <v>0</v>
      </c>
      <c r="O2296" s="57" t="n">
        <f aca="false">IF(COUNTIFS(E$2:E2296,E2296,C$2:C2296,C2296,D$2:D2296,D2296)=1,1,0)</f>
        <v>1</v>
      </c>
      <c r="P2296" s="57" t="n">
        <f aca="false">IF(AND(C2296=Calc!$C$3,OR(Calc!$C$4=0,D2296=Calc!$C$4)),ROW(),0)</f>
        <v>2296</v>
      </c>
    </row>
    <row r="2297" customFormat="false" ht="15" hidden="false" customHeight="false" outlineLevel="0" collapsed="false">
      <c r="A2297" s="57" t="s">
        <v>2858</v>
      </c>
      <c r="B2297" s="58" t="n">
        <v>45910</v>
      </c>
      <c r="C2297" s="57" t="n">
        <f aca="false">YEAR(B2297)</f>
        <v>2025</v>
      </c>
      <c r="D2297" s="57" t="n">
        <f aca="false">MONTH(B2297)</f>
        <v>9</v>
      </c>
      <c r="E2297" s="57" t="s">
        <v>951</v>
      </c>
      <c r="F2297" s="57" t="s">
        <v>78</v>
      </c>
      <c r="G2297" s="57" t="s">
        <v>40</v>
      </c>
      <c r="H2297" s="57" t="s">
        <v>43</v>
      </c>
      <c r="I2297" s="59" t="n">
        <v>1</v>
      </c>
      <c r="J2297" s="60" t="n">
        <v>29</v>
      </c>
      <c r="K2297" s="60" t="n">
        <v>9</v>
      </c>
      <c r="L2297" s="61" t="n">
        <f aca="false">I2297*J2297</f>
        <v>29</v>
      </c>
      <c r="M2297" s="61" t="n">
        <f aca="false">L2297-I2297*K2297</f>
        <v>20</v>
      </c>
      <c r="N2297" s="57" t="n">
        <f aca="false">IF(COUNTIFS(E$2:E2297,E2297,C$2:C2297,C2297)=1,1,0)</f>
        <v>1</v>
      </c>
      <c r="O2297" s="57" t="n">
        <f aca="false">IF(COUNTIFS(E$2:E2297,E2297,C$2:C2297,C2297,D$2:D2297,D2297)=1,1,0)</f>
        <v>1</v>
      </c>
      <c r="P2297" s="57" t="n">
        <f aca="false">IF(AND(C2297=Calc!$C$3,OR(Calc!$C$4=0,D2297=Calc!$C$4)),ROW(),0)</f>
        <v>2297</v>
      </c>
    </row>
    <row r="2298" customFormat="false" ht="15" hidden="false" customHeight="false" outlineLevel="0" collapsed="false">
      <c r="A2298" s="57" t="s">
        <v>2859</v>
      </c>
      <c r="B2298" s="58" t="n">
        <v>45910</v>
      </c>
      <c r="C2298" s="57" t="n">
        <f aca="false">YEAR(B2298)</f>
        <v>2025</v>
      </c>
      <c r="D2298" s="57" t="n">
        <f aca="false">MONTH(B2298)</f>
        <v>9</v>
      </c>
      <c r="E2298" s="57" t="s">
        <v>2860</v>
      </c>
      <c r="F2298" s="57" t="s">
        <v>69</v>
      </c>
      <c r="G2298" s="57" t="s">
        <v>45</v>
      </c>
      <c r="H2298" s="57" t="s">
        <v>47</v>
      </c>
      <c r="I2298" s="59" t="n">
        <v>2</v>
      </c>
      <c r="J2298" s="60" t="n">
        <v>34</v>
      </c>
      <c r="K2298" s="60" t="n">
        <v>12</v>
      </c>
      <c r="L2298" s="61" t="n">
        <f aca="false">I2298*J2298</f>
        <v>68</v>
      </c>
      <c r="M2298" s="61" t="n">
        <f aca="false">L2298-I2298*K2298</f>
        <v>44</v>
      </c>
      <c r="N2298" s="57" t="n">
        <f aca="false">IF(COUNTIFS(E$2:E2298,E2298,C$2:C2298,C2298)=1,1,0)</f>
        <v>1</v>
      </c>
      <c r="O2298" s="57" t="n">
        <f aca="false">IF(COUNTIFS(E$2:E2298,E2298,C$2:C2298,C2298,D$2:D2298,D2298)=1,1,0)</f>
        <v>1</v>
      </c>
      <c r="P2298" s="57" t="n">
        <f aca="false">IF(AND(C2298=Calc!$C$3,OR(Calc!$C$4=0,D2298=Calc!$C$4)),ROW(),0)</f>
        <v>2298</v>
      </c>
    </row>
    <row r="2299" customFormat="false" ht="15" hidden="false" customHeight="false" outlineLevel="0" collapsed="false">
      <c r="A2299" s="57" t="s">
        <v>2861</v>
      </c>
      <c r="B2299" s="58" t="n">
        <v>45910</v>
      </c>
      <c r="C2299" s="57" t="n">
        <f aca="false">YEAR(B2299)</f>
        <v>2025</v>
      </c>
      <c r="D2299" s="57" t="n">
        <f aca="false">MONTH(B2299)</f>
        <v>9</v>
      </c>
      <c r="E2299" s="57" t="s">
        <v>87</v>
      </c>
      <c r="F2299" s="57" t="s">
        <v>72</v>
      </c>
      <c r="G2299" s="57" t="s">
        <v>40</v>
      </c>
      <c r="H2299" s="57" t="s">
        <v>41</v>
      </c>
      <c r="I2299" s="59" t="n">
        <v>1</v>
      </c>
      <c r="J2299" s="60" t="n">
        <v>46</v>
      </c>
      <c r="K2299" s="60" t="n">
        <v>16</v>
      </c>
      <c r="L2299" s="61" t="n">
        <f aca="false">I2299*J2299</f>
        <v>46</v>
      </c>
      <c r="M2299" s="61" t="n">
        <f aca="false">L2299-I2299*K2299</f>
        <v>30</v>
      </c>
      <c r="N2299" s="57" t="n">
        <f aca="false">IF(COUNTIFS(E$2:E2299,E2299,C$2:C2299,C2299)=1,1,0)</f>
        <v>0</v>
      </c>
      <c r="O2299" s="57" t="n">
        <f aca="false">IF(COUNTIFS(E$2:E2299,E2299,C$2:C2299,C2299,D$2:D2299,D2299)=1,1,0)</f>
        <v>1</v>
      </c>
      <c r="P2299" s="57" t="n">
        <f aca="false">IF(AND(C2299=Calc!$C$3,OR(Calc!$C$4=0,D2299=Calc!$C$4)),ROW(),0)</f>
        <v>2299</v>
      </c>
    </row>
    <row r="2300" customFormat="false" ht="15" hidden="false" customHeight="false" outlineLevel="0" collapsed="false">
      <c r="A2300" s="57" t="s">
        <v>2862</v>
      </c>
      <c r="B2300" s="58" t="n">
        <v>45911</v>
      </c>
      <c r="C2300" s="57" t="n">
        <f aca="false">YEAR(B2300)</f>
        <v>2025</v>
      </c>
      <c r="D2300" s="57" t="n">
        <f aca="false">MONTH(B2300)</f>
        <v>9</v>
      </c>
      <c r="E2300" s="57" t="s">
        <v>594</v>
      </c>
      <c r="F2300" s="57" t="s">
        <v>81</v>
      </c>
      <c r="G2300" s="57" t="s">
        <v>35</v>
      </c>
      <c r="H2300" s="57" t="s">
        <v>36</v>
      </c>
      <c r="I2300" s="59" t="n">
        <v>1</v>
      </c>
      <c r="J2300" s="60" t="n">
        <v>179</v>
      </c>
      <c r="K2300" s="60" t="n">
        <v>92</v>
      </c>
      <c r="L2300" s="61" t="n">
        <f aca="false">I2300*J2300</f>
        <v>179</v>
      </c>
      <c r="M2300" s="61" t="n">
        <f aca="false">L2300-I2300*K2300</f>
        <v>87</v>
      </c>
      <c r="N2300" s="57" t="n">
        <f aca="false">IF(COUNTIFS(E$2:E2300,E2300,C$2:C2300,C2300)=1,1,0)</f>
        <v>0</v>
      </c>
      <c r="O2300" s="57" t="n">
        <f aca="false">IF(COUNTIFS(E$2:E2300,E2300,C$2:C2300,C2300,D$2:D2300,D2300)=1,1,0)</f>
        <v>1</v>
      </c>
      <c r="P2300" s="57" t="n">
        <f aca="false">IF(AND(C2300=Calc!$C$3,OR(Calc!$C$4=0,D2300=Calc!$C$4)),ROW(),0)</f>
        <v>2300</v>
      </c>
    </row>
    <row r="2301" customFormat="false" ht="15" hidden="false" customHeight="false" outlineLevel="0" collapsed="false">
      <c r="A2301" s="57" t="s">
        <v>2863</v>
      </c>
      <c r="B2301" s="58" t="n">
        <v>45911</v>
      </c>
      <c r="C2301" s="57" t="n">
        <f aca="false">YEAR(B2301)</f>
        <v>2025</v>
      </c>
      <c r="D2301" s="57" t="n">
        <f aca="false">MONTH(B2301)</f>
        <v>9</v>
      </c>
      <c r="E2301" s="57" t="s">
        <v>108</v>
      </c>
      <c r="F2301" s="57" t="s">
        <v>75</v>
      </c>
      <c r="G2301" s="57" t="s">
        <v>35</v>
      </c>
      <c r="H2301" s="57" t="s">
        <v>38</v>
      </c>
      <c r="I2301" s="59" t="n">
        <v>2</v>
      </c>
      <c r="J2301" s="60" t="n">
        <v>49</v>
      </c>
      <c r="K2301" s="60" t="n">
        <v>22</v>
      </c>
      <c r="L2301" s="61" t="n">
        <f aca="false">I2301*J2301</f>
        <v>98</v>
      </c>
      <c r="M2301" s="61" t="n">
        <f aca="false">L2301-I2301*K2301</f>
        <v>54</v>
      </c>
      <c r="N2301" s="57" t="n">
        <f aca="false">IF(COUNTIFS(E$2:E2301,E2301,C$2:C2301,C2301)=1,1,0)</f>
        <v>0</v>
      </c>
      <c r="O2301" s="57" t="n">
        <f aca="false">IF(COUNTIFS(E$2:E2301,E2301,C$2:C2301,C2301,D$2:D2301,D2301)=1,1,0)</f>
        <v>1</v>
      </c>
      <c r="P2301" s="57" t="n">
        <f aca="false">IF(AND(C2301=Calc!$C$3,OR(Calc!$C$4=0,D2301=Calc!$C$4)),ROW(),0)</f>
        <v>2301</v>
      </c>
    </row>
    <row r="2302" customFormat="false" ht="15" hidden="false" customHeight="false" outlineLevel="0" collapsed="false">
      <c r="A2302" s="57" t="s">
        <v>2864</v>
      </c>
      <c r="B2302" s="58" t="n">
        <v>45911</v>
      </c>
      <c r="C2302" s="57" t="n">
        <f aca="false">YEAR(B2302)</f>
        <v>2025</v>
      </c>
      <c r="D2302" s="57" t="n">
        <f aca="false">MONTH(B2302)</f>
        <v>9</v>
      </c>
      <c r="E2302" s="57" t="s">
        <v>1326</v>
      </c>
      <c r="F2302" s="57" t="s">
        <v>69</v>
      </c>
      <c r="G2302" s="57" t="s">
        <v>35</v>
      </c>
      <c r="H2302" s="57" t="s">
        <v>34</v>
      </c>
      <c r="I2302" s="59" t="n">
        <v>1</v>
      </c>
      <c r="J2302" s="60" t="n">
        <v>89</v>
      </c>
      <c r="K2302" s="60" t="n">
        <v>41</v>
      </c>
      <c r="L2302" s="61" t="n">
        <f aca="false">I2302*J2302</f>
        <v>89</v>
      </c>
      <c r="M2302" s="61" t="n">
        <f aca="false">L2302-I2302*K2302</f>
        <v>48</v>
      </c>
      <c r="N2302" s="57" t="n">
        <f aca="false">IF(COUNTIFS(E$2:E2302,E2302,C$2:C2302,C2302)=1,1,0)</f>
        <v>0</v>
      </c>
      <c r="O2302" s="57" t="n">
        <f aca="false">IF(COUNTIFS(E$2:E2302,E2302,C$2:C2302,C2302,D$2:D2302,D2302)=1,1,0)</f>
        <v>1</v>
      </c>
      <c r="P2302" s="57" t="n">
        <f aca="false">IF(AND(C2302=Calc!$C$3,OR(Calc!$C$4=0,D2302=Calc!$C$4)),ROW(),0)</f>
        <v>2302</v>
      </c>
    </row>
    <row r="2303" customFormat="false" ht="15" hidden="false" customHeight="false" outlineLevel="0" collapsed="false">
      <c r="A2303" s="57" t="s">
        <v>2865</v>
      </c>
      <c r="B2303" s="58" t="n">
        <v>45911</v>
      </c>
      <c r="C2303" s="57" t="n">
        <f aca="false">YEAR(B2303)</f>
        <v>2025</v>
      </c>
      <c r="D2303" s="57" t="n">
        <f aca="false">MONTH(B2303)</f>
        <v>9</v>
      </c>
      <c r="E2303" s="57" t="s">
        <v>285</v>
      </c>
      <c r="F2303" s="57" t="s">
        <v>75</v>
      </c>
      <c r="G2303" s="57" t="s">
        <v>40</v>
      </c>
      <c r="H2303" s="57" t="s">
        <v>42</v>
      </c>
      <c r="I2303" s="59" t="n">
        <v>2</v>
      </c>
      <c r="J2303" s="60" t="n">
        <v>79</v>
      </c>
      <c r="K2303" s="60" t="n">
        <v>31</v>
      </c>
      <c r="L2303" s="61" t="n">
        <f aca="false">I2303*J2303</f>
        <v>158</v>
      </c>
      <c r="M2303" s="61" t="n">
        <f aca="false">L2303-I2303*K2303</f>
        <v>96</v>
      </c>
      <c r="N2303" s="57" t="n">
        <f aca="false">IF(COUNTIFS(E$2:E2303,E2303,C$2:C2303,C2303)=1,1,0)</f>
        <v>0</v>
      </c>
      <c r="O2303" s="57" t="n">
        <f aca="false">IF(COUNTIFS(E$2:E2303,E2303,C$2:C2303,C2303,D$2:D2303,D2303)=1,1,0)</f>
        <v>1</v>
      </c>
      <c r="P2303" s="57" t="n">
        <f aca="false">IF(AND(C2303=Calc!$C$3,OR(Calc!$C$4=0,D2303=Calc!$C$4)),ROW(),0)</f>
        <v>2303</v>
      </c>
    </row>
    <row r="2304" customFormat="false" ht="15" hidden="false" customHeight="false" outlineLevel="0" collapsed="false">
      <c r="A2304" s="57" t="s">
        <v>2866</v>
      </c>
      <c r="B2304" s="58" t="n">
        <v>45911</v>
      </c>
      <c r="C2304" s="57" t="n">
        <f aca="false">YEAR(B2304)</f>
        <v>2025</v>
      </c>
      <c r="D2304" s="57" t="n">
        <f aca="false">MONTH(B2304)</f>
        <v>9</v>
      </c>
      <c r="E2304" s="57" t="s">
        <v>404</v>
      </c>
      <c r="F2304" s="57" t="s">
        <v>75</v>
      </c>
      <c r="G2304" s="57" t="s">
        <v>40</v>
      </c>
      <c r="H2304" s="57" t="s">
        <v>43</v>
      </c>
      <c r="I2304" s="59" t="n">
        <v>1</v>
      </c>
      <c r="J2304" s="60" t="n">
        <v>29</v>
      </c>
      <c r="K2304" s="60" t="n">
        <v>9</v>
      </c>
      <c r="L2304" s="61" t="n">
        <f aca="false">I2304*J2304</f>
        <v>29</v>
      </c>
      <c r="M2304" s="61" t="n">
        <f aca="false">L2304-I2304*K2304</f>
        <v>20</v>
      </c>
      <c r="N2304" s="57" t="n">
        <f aca="false">IF(COUNTIFS(E$2:E2304,E2304,C$2:C2304,C2304)=1,1,0)</f>
        <v>0</v>
      </c>
      <c r="O2304" s="57" t="n">
        <f aca="false">IF(COUNTIFS(E$2:E2304,E2304,C$2:C2304,C2304,D$2:D2304,D2304)=1,1,0)</f>
        <v>1</v>
      </c>
      <c r="P2304" s="57" t="n">
        <f aca="false">IF(AND(C2304=Calc!$C$3,OR(Calc!$C$4=0,D2304=Calc!$C$4)),ROW(),0)</f>
        <v>2304</v>
      </c>
    </row>
    <row r="2305" customFormat="false" ht="15" hidden="false" customHeight="false" outlineLevel="0" collapsed="false">
      <c r="A2305" s="57" t="s">
        <v>2867</v>
      </c>
      <c r="B2305" s="58" t="n">
        <v>45912</v>
      </c>
      <c r="C2305" s="57" t="n">
        <f aca="false">YEAR(B2305)</f>
        <v>2025</v>
      </c>
      <c r="D2305" s="57" t="n">
        <f aca="false">MONTH(B2305)</f>
        <v>9</v>
      </c>
      <c r="E2305" s="57" t="s">
        <v>2868</v>
      </c>
      <c r="F2305" s="57" t="s">
        <v>72</v>
      </c>
      <c r="G2305" s="57" t="s">
        <v>45</v>
      </c>
      <c r="H2305" s="57" t="s">
        <v>44</v>
      </c>
      <c r="I2305" s="59" t="n">
        <v>1</v>
      </c>
      <c r="J2305" s="60" t="n">
        <v>119</v>
      </c>
      <c r="K2305" s="60" t="n">
        <v>63</v>
      </c>
      <c r="L2305" s="61" t="n">
        <f aca="false">I2305*J2305</f>
        <v>119</v>
      </c>
      <c r="M2305" s="61" t="n">
        <f aca="false">L2305-I2305*K2305</f>
        <v>56</v>
      </c>
      <c r="N2305" s="57" t="n">
        <f aca="false">IF(COUNTIFS(E$2:E2305,E2305,C$2:C2305,C2305)=1,1,0)</f>
        <v>1</v>
      </c>
      <c r="O2305" s="57" t="n">
        <f aca="false">IF(COUNTIFS(E$2:E2305,E2305,C$2:C2305,C2305,D$2:D2305,D2305)=1,1,0)</f>
        <v>1</v>
      </c>
      <c r="P2305" s="57" t="n">
        <f aca="false">IF(AND(C2305=Calc!$C$3,OR(Calc!$C$4=0,D2305=Calc!$C$4)),ROW(),0)</f>
        <v>2305</v>
      </c>
    </row>
    <row r="2306" customFormat="false" ht="15" hidden="false" customHeight="false" outlineLevel="0" collapsed="false">
      <c r="A2306" s="57" t="s">
        <v>2869</v>
      </c>
      <c r="B2306" s="58" t="n">
        <v>45912</v>
      </c>
      <c r="C2306" s="57" t="n">
        <f aca="false">YEAR(B2306)</f>
        <v>2025</v>
      </c>
      <c r="D2306" s="57" t="n">
        <f aca="false">MONTH(B2306)</f>
        <v>9</v>
      </c>
      <c r="E2306" s="57" t="s">
        <v>97</v>
      </c>
      <c r="F2306" s="57" t="s">
        <v>78</v>
      </c>
      <c r="G2306" s="57" t="s">
        <v>40</v>
      </c>
      <c r="H2306" s="57" t="s">
        <v>43</v>
      </c>
      <c r="I2306" s="59" t="n">
        <v>2</v>
      </c>
      <c r="J2306" s="60" t="n">
        <v>29</v>
      </c>
      <c r="K2306" s="60" t="n">
        <v>9</v>
      </c>
      <c r="L2306" s="61" t="n">
        <f aca="false">I2306*J2306</f>
        <v>58</v>
      </c>
      <c r="M2306" s="61" t="n">
        <f aca="false">L2306-I2306*K2306</f>
        <v>40</v>
      </c>
      <c r="N2306" s="57" t="n">
        <f aca="false">IF(COUNTIFS(E$2:E2306,E2306,C$2:C2306,C2306)=1,1,0)</f>
        <v>0</v>
      </c>
      <c r="O2306" s="57" t="n">
        <f aca="false">IF(COUNTIFS(E$2:E2306,E2306,C$2:C2306,C2306,D$2:D2306,D2306)=1,1,0)</f>
        <v>1</v>
      </c>
      <c r="P2306" s="57" t="n">
        <f aca="false">IF(AND(C2306=Calc!$C$3,OR(Calc!$C$4=0,D2306=Calc!$C$4)),ROW(),0)</f>
        <v>2306</v>
      </c>
    </row>
    <row r="2307" customFormat="false" ht="15" hidden="false" customHeight="false" outlineLevel="0" collapsed="false">
      <c r="A2307" s="57" t="s">
        <v>2870</v>
      </c>
      <c r="B2307" s="58" t="n">
        <v>45913</v>
      </c>
      <c r="C2307" s="57" t="n">
        <f aca="false">YEAR(B2307)</f>
        <v>2025</v>
      </c>
      <c r="D2307" s="57" t="n">
        <f aca="false">MONTH(B2307)</f>
        <v>9</v>
      </c>
      <c r="E2307" s="57" t="s">
        <v>275</v>
      </c>
      <c r="F2307" s="57" t="s">
        <v>75</v>
      </c>
      <c r="G2307" s="57" t="s">
        <v>45</v>
      </c>
      <c r="H2307" s="57" t="s">
        <v>48</v>
      </c>
      <c r="I2307" s="59" t="n">
        <v>1</v>
      </c>
      <c r="J2307" s="60" t="n">
        <v>99</v>
      </c>
      <c r="K2307" s="60" t="n">
        <v>38</v>
      </c>
      <c r="L2307" s="61" t="n">
        <f aca="false">I2307*J2307</f>
        <v>99</v>
      </c>
      <c r="M2307" s="61" t="n">
        <f aca="false">L2307-I2307*K2307</f>
        <v>61</v>
      </c>
      <c r="N2307" s="57" t="n">
        <f aca="false">IF(COUNTIFS(E$2:E2307,E2307,C$2:C2307,C2307)=1,1,0)</f>
        <v>0</v>
      </c>
      <c r="O2307" s="57" t="n">
        <f aca="false">IF(COUNTIFS(E$2:E2307,E2307,C$2:C2307,C2307,D$2:D2307,D2307)=1,1,0)</f>
        <v>1</v>
      </c>
      <c r="P2307" s="57" t="n">
        <f aca="false">IF(AND(C2307=Calc!$C$3,OR(Calc!$C$4=0,D2307=Calc!$C$4)),ROW(),0)</f>
        <v>2307</v>
      </c>
    </row>
    <row r="2308" customFormat="false" ht="15" hidden="false" customHeight="false" outlineLevel="0" collapsed="false">
      <c r="A2308" s="57" t="s">
        <v>2871</v>
      </c>
      <c r="B2308" s="58" t="n">
        <v>45913</v>
      </c>
      <c r="C2308" s="57" t="n">
        <f aca="false">YEAR(B2308)</f>
        <v>2025</v>
      </c>
      <c r="D2308" s="57" t="n">
        <f aca="false">MONTH(B2308)</f>
        <v>9</v>
      </c>
      <c r="E2308" s="57" t="s">
        <v>783</v>
      </c>
      <c r="F2308" s="57" t="s">
        <v>69</v>
      </c>
      <c r="G2308" s="57" t="s">
        <v>40</v>
      </c>
      <c r="H2308" s="57" t="s">
        <v>42</v>
      </c>
      <c r="I2308" s="59" t="n">
        <v>1</v>
      </c>
      <c r="J2308" s="60" t="n">
        <v>79</v>
      </c>
      <c r="K2308" s="60" t="n">
        <v>31</v>
      </c>
      <c r="L2308" s="61" t="n">
        <f aca="false">I2308*J2308</f>
        <v>79</v>
      </c>
      <c r="M2308" s="61" t="n">
        <f aca="false">L2308-I2308*K2308</f>
        <v>48</v>
      </c>
      <c r="N2308" s="57" t="n">
        <f aca="false">IF(COUNTIFS(E$2:E2308,E2308,C$2:C2308,C2308)=1,1,0)</f>
        <v>0</v>
      </c>
      <c r="O2308" s="57" t="n">
        <f aca="false">IF(COUNTIFS(E$2:E2308,E2308,C$2:C2308,C2308,D$2:D2308,D2308)=1,1,0)</f>
        <v>1</v>
      </c>
      <c r="P2308" s="57" t="n">
        <f aca="false">IF(AND(C2308=Calc!$C$3,OR(Calc!$C$4=0,D2308=Calc!$C$4)),ROW(),0)</f>
        <v>2308</v>
      </c>
    </row>
    <row r="2309" customFormat="false" ht="15" hidden="false" customHeight="false" outlineLevel="0" collapsed="false">
      <c r="A2309" s="57" t="s">
        <v>2872</v>
      </c>
      <c r="B2309" s="58" t="n">
        <v>45913</v>
      </c>
      <c r="C2309" s="57" t="n">
        <f aca="false">YEAR(B2309)</f>
        <v>2025</v>
      </c>
      <c r="D2309" s="57" t="n">
        <f aca="false">MONTH(B2309)</f>
        <v>9</v>
      </c>
      <c r="E2309" s="57" t="s">
        <v>219</v>
      </c>
      <c r="F2309" s="57" t="s">
        <v>78</v>
      </c>
      <c r="G2309" s="57" t="s">
        <v>35</v>
      </c>
      <c r="H2309" s="57" t="s">
        <v>34</v>
      </c>
      <c r="I2309" s="59" t="n">
        <v>2</v>
      </c>
      <c r="J2309" s="60" t="n">
        <v>89</v>
      </c>
      <c r="K2309" s="60" t="n">
        <v>41</v>
      </c>
      <c r="L2309" s="61" t="n">
        <f aca="false">I2309*J2309</f>
        <v>178</v>
      </c>
      <c r="M2309" s="61" t="n">
        <f aca="false">L2309-I2309*K2309</f>
        <v>96</v>
      </c>
      <c r="N2309" s="57" t="n">
        <f aca="false">IF(COUNTIFS(E$2:E2309,E2309,C$2:C2309,C2309)=1,1,0)</f>
        <v>0</v>
      </c>
      <c r="O2309" s="57" t="n">
        <f aca="false">IF(COUNTIFS(E$2:E2309,E2309,C$2:C2309,C2309,D$2:D2309,D2309)=1,1,0)</f>
        <v>1</v>
      </c>
      <c r="P2309" s="57" t="n">
        <f aca="false">IF(AND(C2309=Calc!$C$3,OR(Calc!$C$4=0,D2309=Calc!$C$4)),ROW(),0)</f>
        <v>2309</v>
      </c>
    </row>
    <row r="2310" customFormat="false" ht="15" hidden="false" customHeight="false" outlineLevel="0" collapsed="false">
      <c r="A2310" s="57" t="s">
        <v>2873</v>
      </c>
      <c r="B2310" s="58" t="n">
        <v>45913</v>
      </c>
      <c r="C2310" s="57" t="n">
        <f aca="false">YEAR(B2310)</f>
        <v>2025</v>
      </c>
      <c r="D2310" s="57" t="n">
        <f aca="false">MONTH(B2310)</f>
        <v>9</v>
      </c>
      <c r="E2310" s="57" t="s">
        <v>388</v>
      </c>
      <c r="F2310" s="57" t="s">
        <v>75</v>
      </c>
      <c r="G2310" s="57" t="s">
        <v>40</v>
      </c>
      <c r="H2310" s="57" t="s">
        <v>43</v>
      </c>
      <c r="I2310" s="59" t="n">
        <v>1</v>
      </c>
      <c r="J2310" s="60" t="n">
        <v>29</v>
      </c>
      <c r="K2310" s="60" t="n">
        <v>9</v>
      </c>
      <c r="L2310" s="61" t="n">
        <f aca="false">I2310*J2310</f>
        <v>29</v>
      </c>
      <c r="M2310" s="61" t="n">
        <f aca="false">L2310-I2310*K2310</f>
        <v>20</v>
      </c>
      <c r="N2310" s="57" t="n">
        <f aca="false">IF(COUNTIFS(E$2:E2310,E2310,C$2:C2310,C2310)=1,1,0)</f>
        <v>1</v>
      </c>
      <c r="O2310" s="57" t="n">
        <f aca="false">IF(COUNTIFS(E$2:E2310,E2310,C$2:C2310,C2310,D$2:D2310,D2310)=1,1,0)</f>
        <v>1</v>
      </c>
      <c r="P2310" s="57" t="n">
        <f aca="false">IF(AND(C2310=Calc!$C$3,OR(Calc!$C$4=0,D2310=Calc!$C$4)),ROW(),0)</f>
        <v>2310</v>
      </c>
    </row>
    <row r="2311" customFormat="false" ht="15" hidden="false" customHeight="false" outlineLevel="0" collapsed="false">
      <c r="A2311" s="57" t="s">
        <v>2874</v>
      </c>
      <c r="B2311" s="58" t="n">
        <v>45913</v>
      </c>
      <c r="C2311" s="57" t="n">
        <f aca="false">YEAR(B2311)</f>
        <v>2025</v>
      </c>
      <c r="D2311" s="57" t="n">
        <f aca="false">MONTH(B2311)</f>
        <v>9</v>
      </c>
      <c r="E2311" s="57" t="s">
        <v>1309</v>
      </c>
      <c r="F2311" s="57" t="s">
        <v>81</v>
      </c>
      <c r="G2311" s="57" t="s">
        <v>40</v>
      </c>
      <c r="H2311" s="57" t="s">
        <v>42</v>
      </c>
      <c r="I2311" s="59" t="n">
        <v>1</v>
      </c>
      <c r="J2311" s="60" t="n">
        <v>79</v>
      </c>
      <c r="K2311" s="60" t="n">
        <v>31</v>
      </c>
      <c r="L2311" s="61" t="n">
        <f aca="false">I2311*J2311</f>
        <v>79</v>
      </c>
      <c r="M2311" s="61" t="n">
        <f aca="false">L2311-I2311*K2311</f>
        <v>48</v>
      </c>
      <c r="N2311" s="57" t="n">
        <f aca="false">IF(COUNTIFS(E$2:E2311,E2311,C$2:C2311,C2311)=1,1,0)</f>
        <v>0</v>
      </c>
      <c r="O2311" s="57" t="n">
        <f aca="false">IF(COUNTIFS(E$2:E2311,E2311,C$2:C2311,C2311,D$2:D2311,D2311)=1,1,0)</f>
        <v>1</v>
      </c>
      <c r="P2311" s="57" t="n">
        <f aca="false">IF(AND(C2311=Calc!$C$3,OR(Calc!$C$4=0,D2311=Calc!$C$4)),ROW(),0)</f>
        <v>2311</v>
      </c>
    </row>
    <row r="2312" customFormat="false" ht="15" hidden="false" customHeight="false" outlineLevel="0" collapsed="false">
      <c r="A2312" s="57" t="s">
        <v>2875</v>
      </c>
      <c r="B2312" s="58" t="n">
        <v>45913</v>
      </c>
      <c r="C2312" s="57" t="n">
        <f aca="false">YEAR(B2312)</f>
        <v>2025</v>
      </c>
      <c r="D2312" s="57" t="n">
        <f aca="false">MONTH(B2312)</f>
        <v>9</v>
      </c>
      <c r="E2312" s="57" t="s">
        <v>2876</v>
      </c>
      <c r="F2312" s="57" t="s">
        <v>75</v>
      </c>
      <c r="G2312" s="57" t="s">
        <v>54</v>
      </c>
      <c r="H2312" s="57" t="s">
        <v>56</v>
      </c>
      <c r="I2312" s="59" t="n">
        <v>1</v>
      </c>
      <c r="J2312" s="60" t="n">
        <v>42</v>
      </c>
      <c r="K2312" s="60" t="n">
        <v>17</v>
      </c>
      <c r="L2312" s="61" t="n">
        <f aca="false">I2312*J2312</f>
        <v>42</v>
      </c>
      <c r="M2312" s="61" t="n">
        <f aca="false">L2312-I2312*K2312</f>
        <v>25</v>
      </c>
      <c r="N2312" s="57" t="n">
        <f aca="false">IF(COUNTIFS(E$2:E2312,E2312,C$2:C2312,C2312)=1,1,0)</f>
        <v>1</v>
      </c>
      <c r="O2312" s="57" t="n">
        <f aca="false">IF(COUNTIFS(E$2:E2312,E2312,C$2:C2312,C2312,D$2:D2312,D2312)=1,1,0)</f>
        <v>1</v>
      </c>
      <c r="P2312" s="57" t="n">
        <f aca="false">IF(AND(C2312=Calc!$C$3,OR(Calc!$C$4=0,D2312=Calc!$C$4)),ROW(),0)</f>
        <v>2312</v>
      </c>
    </row>
    <row r="2313" customFormat="false" ht="15" hidden="false" customHeight="false" outlineLevel="0" collapsed="false">
      <c r="A2313" s="57" t="s">
        <v>2877</v>
      </c>
      <c r="B2313" s="58" t="n">
        <v>45914</v>
      </c>
      <c r="C2313" s="57" t="n">
        <f aca="false">YEAR(B2313)</f>
        <v>2025</v>
      </c>
      <c r="D2313" s="57" t="n">
        <f aca="false">MONTH(B2313)</f>
        <v>9</v>
      </c>
      <c r="E2313" s="57" t="s">
        <v>418</v>
      </c>
      <c r="F2313" s="57" t="s">
        <v>78</v>
      </c>
      <c r="G2313" s="57" t="s">
        <v>35</v>
      </c>
      <c r="H2313" s="57" t="s">
        <v>36</v>
      </c>
      <c r="I2313" s="59" t="n">
        <v>2</v>
      </c>
      <c r="J2313" s="60" t="n">
        <v>179</v>
      </c>
      <c r="K2313" s="60" t="n">
        <v>92</v>
      </c>
      <c r="L2313" s="61" t="n">
        <f aca="false">I2313*J2313</f>
        <v>358</v>
      </c>
      <c r="M2313" s="61" t="n">
        <f aca="false">L2313-I2313*K2313</f>
        <v>174</v>
      </c>
      <c r="N2313" s="57" t="n">
        <f aca="false">IF(COUNTIFS(E$2:E2313,E2313,C$2:C2313,C2313)=1,1,0)</f>
        <v>0</v>
      </c>
      <c r="O2313" s="57" t="n">
        <f aca="false">IF(COUNTIFS(E$2:E2313,E2313,C$2:C2313,C2313,D$2:D2313,D2313)=1,1,0)</f>
        <v>1</v>
      </c>
      <c r="P2313" s="57" t="n">
        <f aca="false">IF(AND(C2313=Calc!$C$3,OR(Calc!$C$4=0,D2313=Calc!$C$4)),ROW(),0)</f>
        <v>2313</v>
      </c>
    </row>
    <row r="2314" customFormat="false" ht="15" hidden="false" customHeight="false" outlineLevel="0" collapsed="false">
      <c r="A2314" s="57" t="s">
        <v>2878</v>
      </c>
      <c r="B2314" s="58" t="n">
        <v>45914</v>
      </c>
      <c r="C2314" s="57" t="n">
        <f aca="false">YEAR(B2314)</f>
        <v>2025</v>
      </c>
      <c r="D2314" s="57" t="n">
        <f aca="false">MONTH(B2314)</f>
        <v>9</v>
      </c>
      <c r="E2314" s="57" t="s">
        <v>235</v>
      </c>
      <c r="F2314" s="57" t="s">
        <v>69</v>
      </c>
      <c r="G2314" s="57" t="s">
        <v>40</v>
      </c>
      <c r="H2314" s="57" t="s">
        <v>42</v>
      </c>
      <c r="I2314" s="59" t="n">
        <v>1</v>
      </c>
      <c r="J2314" s="60" t="n">
        <v>79</v>
      </c>
      <c r="K2314" s="60" t="n">
        <v>31</v>
      </c>
      <c r="L2314" s="61" t="n">
        <f aca="false">I2314*J2314</f>
        <v>79</v>
      </c>
      <c r="M2314" s="61" t="n">
        <f aca="false">L2314-I2314*K2314</f>
        <v>48</v>
      </c>
      <c r="N2314" s="57" t="n">
        <f aca="false">IF(COUNTIFS(E$2:E2314,E2314,C$2:C2314,C2314)=1,1,0)</f>
        <v>0</v>
      </c>
      <c r="O2314" s="57" t="n">
        <f aca="false">IF(COUNTIFS(E$2:E2314,E2314,C$2:C2314,C2314,D$2:D2314,D2314)=1,1,0)</f>
        <v>0</v>
      </c>
      <c r="P2314" s="57" t="n">
        <f aca="false">IF(AND(C2314=Calc!$C$3,OR(Calc!$C$4=0,D2314=Calc!$C$4)),ROW(),0)</f>
        <v>2314</v>
      </c>
    </row>
    <row r="2315" customFormat="false" ht="15" hidden="false" customHeight="false" outlineLevel="0" collapsed="false">
      <c r="A2315" s="57" t="s">
        <v>2879</v>
      </c>
      <c r="B2315" s="58" t="n">
        <v>45914</v>
      </c>
      <c r="C2315" s="57" t="n">
        <f aca="false">YEAR(B2315)</f>
        <v>2025</v>
      </c>
      <c r="D2315" s="57" t="n">
        <f aca="false">MONTH(B2315)</f>
        <v>9</v>
      </c>
      <c r="E2315" s="57" t="s">
        <v>1260</v>
      </c>
      <c r="F2315" s="57" t="s">
        <v>72</v>
      </c>
      <c r="G2315" s="57" t="s">
        <v>40</v>
      </c>
      <c r="H2315" s="57" t="s">
        <v>43</v>
      </c>
      <c r="I2315" s="59" t="n">
        <v>1</v>
      </c>
      <c r="J2315" s="60" t="n">
        <v>29</v>
      </c>
      <c r="K2315" s="60" t="n">
        <v>9</v>
      </c>
      <c r="L2315" s="61" t="n">
        <f aca="false">I2315*J2315</f>
        <v>29</v>
      </c>
      <c r="M2315" s="61" t="n">
        <f aca="false">L2315-I2315*K2315</f>
        <v>20</v>
      </c>
      <c r="N2315" s="57" t="n">
        <f aca="false">IF(COUNTIFS(E$2:E2315,E2315,C$2:C2315,C2315)=1,1,0)</f>
        <v>0</v>
      </c>
      <c r="O2315" s="57" t="n">
        <f aca="false">IF(COUNTIFS(E$2:E2315,E2315,C$2:C2315,C2315,D$2:D2315,D2315)=1,1,0)</f>
        <v>1</v>
      </c>
      <c r="P2315" s="57" t="n">
        <f aca="false">IF(AND(C2315=Calc!$C$3,OR(Calc!$C$4=0,D2315=Calc!$C$4)),ROW(),0)</f>
        <v>2315</v>
      </c>
    </row>
    <row r="2316" customFormat="false" ht="15" hidden="false" customHeight="false" outlineLevel="0" collapsed="false">
      <c r="A2316" s="57" t="s">
        <v>2880</v>
      </c>
      <c r="B2316" s="58" t="n">
        <v>45915</v>
      </c>
      <c r="C2316" s="57" t="n">
        <f aca="false">YEAR(B2316)</f>
        <v>2025</v>
      </c>
      <c r="D2316" s="57" t="n">
        <f aca="false">MONTH(B2316)</f>
        <v>9</v>
      </c>
      <c r="E2316" s="57" t="s">
        <v>388</v>
      </c>
      <c r="F2316" s="57" t="s">
        <v>75</v>
      </c>
      <c r="G2316" s="57" t="s">
        <v>35</v>
      </c>
      <c r="H2316" s="57" t="s">
        <v>36</v>
      </c>
      <c r="I2316" s="59" t="n">
        <v>1</v>
      </c>
      <c r="J2316" s="60" t="n">
        <v>179</v>
      </c>
      <c r="K2316" s="60" t="n">
        <v>92</v>
      </c>
      <c r="L2316" s="61" t="n">
        <f aca="false">I2316*J2316</f>
        <v>179</v>
      </c>
      <c r="M2316" s="61" t="n">
        <f aca="false">L2316-I2316*K2316</f>
        <v>87</v>
      </c>
      <c r="N2316" s="57" t="n">
        <f aca="false">IF(COUNTIFS(E$2:E2316,E2316,C$2:C2316,C2316)=1,1,0)</f>
        <v>0</v>
      </c>
      <c r="O2316" s="57" t="n">
        <f aca="false">IF(COUNTIFS(E$2:E2316,E2316,C$2:C2316,C2316,D$2:D2316,D2316)=1,1,0)</f>
        <v>0</v>
      </c>
      <c r="P2316" s="57" t="n">
        <f aca="false">IF(AND(C2316=Calc!$C$3,OR(Calc!$C$4=0,D2316=Calc!$C$4)),ROW(),0)</f>
        <v>2316</v>
      </c>
    </row>
    <row r="2317" customFormat="false" ht="15" hidden="false" customHeight="false" outlineLevel="0" collapsed="false">
      <c r="A2317" s="57" t="s">
        <v>2881</v>
      </c>
      <c r="B2317" s="58" t="n">
        <v>45915</v>
      </c>
      <c r="C2317" s="57" t="n">
        <f aca="false">YEAR(B2317)</f>
        <v>2025</v>
      </c>
      <c r="D2317" s="57" t="n">
        <f aca="false">MONTH(B2317)</f>
        <v>9</v>
      </c>
      <c r="E2317" s="57" t="s">
        <v>87</v>
      </c>
      <c r="F2317" s="57" t="s">
        <v>72</v>
      </c>
      <c r="G2317" s="57" t="s">
        <v>35</v>
      </c>
      <c r="H2317" s="57" t="s">
        <v>34</v>
      </c>
      <c r="I2317" s="59" t="n">
        <v>1</v>
      </c>
      <c r="J2317" s="60" t="n">
        <v>89</v>
      </c>
      <c r="K2317" s="60" t="n">
        <v>41</v>
      </c>
      <c r="L2317" s="61" t="n">
        <f aca="false">I2317*J2317</f>
        <v>89</v>
      </c>
      <c r="M2317" s="61" t="n">
        <f aca="false">L2317-I2317*K2317</f>
        <v>48</v>
      </c>
      <c r="N2317" s="57" t="n">
        <f aca="false">IF(COUNTIFS(E$2:E2317,E2317,C$2:C2317,C2317)=1,1,0)</f>
        <v>0</v>
      </c>
      <c r="O2317" s="57" t="n">
        <f aca="false">IF(COUNTIFS(E$2:E2317,E2317,C$2:C2317,C2317,D$2:D2317,D2317)=1,1,0)</f>
        <v>0</v>
      </c>
      <c r="P2317" s="57" t="n">
        <f aca="false">IF(AND(C2317=Calc!$C$3,OR(Calc!$C$4=0,D2317=Calc!$C$4)),ROW(),0)</f>
        <v>2317</v>
      </c>
    </row>
    <row r="2318" customFormat="false" ht="15" hidden="false" customHeight="false" outlineLevel="0" collapsed="false">
      <c r="A2318" s="57" t="s">
        <v>2882</v>
      </c>
      <c r="B2318" s="58" t="n">
        <v>45915</v>
      </c>
      <c r="C2318" s="57" t="n">
        <f aca="false">YEAR(B2318)</f>
        <v>2025</v>
      </c>
      <c r="D2318" s="57" t="n">
        <f aca="false">MONTH(B2318)</f>
        <v>9</v>
      </c>
      <c r="E2318" s="57" t="s">
        <v>1155</v>
      </c>
      <c r="F2318" s="57" t="s">
        <v>69</v>
      </c>
      <c r="G2318" s="57" t="s">
        <v>40</v>
      </c>
      <c r="H2318" s="57" t="s">
        <v>39</v>
      </c>
      <c r="I2318" s="59" t="n">
        <v>1</v>
      </c>
      <c r="J2318" s="60" t="n">
        <v>54</v>
      </c>
      <c r="K2318" s="60" t="n">
        <v>19</v>
      </c>
      <c r="L2318" s="61" t="n">
        <f aca="false">I2318*J2318</f>
        <v>54</v>
      </c>
      <c r="M2318" s="61" t="n">
        <f aca="false">L2318-I2318*K2318</f>
        <v>35</v>
      </c>
      <c r="N2318" s="57" t="n">
        <f aca="false">IF(COUNTIFS(E$2:E2318,E2318,C$2:C2318,C2318)=1,1,0)</f>
        <v>0</v>
      </c>
      <c r="O2318" s="57" t="n">
        <f aca="false">IF(COUNTIFS(E$2:E2318,E2318,C$2:C2318,C2318,D$2:D2318,D2318)=1,1,0)</f>
        <v>1</v>
      </c>
      <c r="P2318" s="57" t="n">
        <f aca="false">IF(AND(C2318=Calc!$C$3,OR(Calc!$C$4=0,D2318=Calc!$C$4)),ROW(),0)</f>
        <v>2318</v>
      </c>
    </row>
    <row r="2319" customFormat="false" ht="15" hidden="false" customHeight="false" outlineLevel="0" collapsed="false">
      <c r="A2319" s="57" t="s">
        <v>2883</v>
      </c>
      <c r="B2319" s="58" t="n">
        <v>45916</v>
      </c>
      <c r="C2319" s="57" t="n">
        <f aca="false">YEAR(B2319)</f>
        <v>2025</v>
      </c>
      <c r="D2319" s="57" t="n">
        <f aca="false">MONTH(B2319)</f>
        <v>9</v>
      </c>
      <c r="E2319" s="57" t="s">
        <v>1124</v>
      </c>
      <c r="F2319" s="57" t="s">
        <v>75</v>
      </c>
      <c r="G2319" s="57" t="s">
        <v>45</v>
      </c>
      <c r="H2319" s="57" t="s">
        <v>47</v>
      </c>
      <c r="I2319" s="59" t="n">
        <v>1</v>
      </c>
      <c r="J2319" s="60" t="n">
        <v>34</v>
      </c>
      <c r="K2319" s="60" t="n">
        <v>12</v>
      </c>
      <c r="L2319" s="61" t="n">
        <f aca="false">I2319*J2319</f>
        <v>34</v>
      </c>
      <c r="M2319" s="61" t="n">
        <f aca="false">L2319-I2319*K2319</f>
        <v>22</v>
      </c>
      <c r="N2319" s="57" t="n">
        <f aca="false">IF(COUNTIFS(E$2:E2319,E2319,C$2:C2319,C2319)=1,1,0)</f>
        <v>0</v>
      </c>
      <c r="O2319" s="57" t="n">
        <f aca="false">IF(COUNTIFS(E$2:E2319,E2319,C$2:C2319,C2319,D$2:D2319,D2319)=1,1,0)</f>
        <v>1</v>
      </c>
      <c r="P2319" s="57" t="n">
        <f aca="false">IF(AND(C2319=Calc!$C$3,OR(Calc!$C$4=0,D2319=Calc!$C$4)),ROW(),0)</f>
        <v>2319</v>
      </c>
    </row>
    <row r="2320" customFormat="false" ht="15" hidden="false" customHeight="false" outlineLevel="0" collapsed="false">
      <c r="A2320" s="57" t="s">
        <v>2884</v>
      </c>
      <c r="B2320" s="58" t="n">
        <v>45916</v>
      </c>
      <c r="C2320" s="57" t="n">
        <f aca="false">YEAR(B2320)</f>
        <v>2025</v>
      </c>
      <c r="D2320" s="57" t="n">
        <f aca="false">MONTH(B2320)</f>
        <v>9</v>
      </c>
      <c r="E2320" s="57" t="s">
        <v>309</v>
      </c>
      <c r="F2320" s="57" t="s">
        <v>81</v>
      </c>
      <c r="G2320" s="57" t="s">
        <v>35</v>
      </c>
      <c r="H2320" s="57" t="s">
        <v>36</v>
      </c>
      <c r="I2320" s="59" t="n">
        <v>1</v>
      </c>
      <c r="J2320" s="60" t="n">
        <v>179</v>
      </c>
      <c r="K2320" s="60" t="n">
        <v>92</v>
      </c>
      <c r="L2320" s="61" t="n">
        <f aca="false">I2320*J2320</f>
        <v>179</v>
      </c>
      <c r="M2320" s="61" t="n">
        <f aca="false">L2320-I2320*K2320</f>
        <v>87</v>
      </c>
      <c r="N2320" s="57" t="n">
        <f aca="false">IF(COUNTIFS(E$2:E2320,E2320,C$2:C2320,C2320)=1,1,0)</f>
        <v>0</v>
      </c>
      <c r="O2320" s="57" t="n">
        <f aca="false">IF(COUNTIFS(E$2:E2320,E2320,C$2:C2320,C2320,D$2:D2320,D2320)=1,1,0)</f>
        <v>1</v>
      </c>
      <c r="P2320" s="57" t="n">
        <f aca="false">IF(AND(C2320=Calc!$C$3,OR(Calc!$C$4=0,D2320=Calc!$C$4)),ROW(),0)</f>
        <v>2320</v>
      </c>
    </row>
    <row r="2321" customFormat="false" ht="15" hidden="false" customHeight="false" outlineLevel="0" collapsed="false">
      <c r="A2321" s="57" t="s">
        <v>2885</v>
      </c>
      <c r="B2321" s="58" t="n">
        <v>45916</v>
      </c>
      <c r="C2321" s="57" t="n">
        <f aca="false">YEAR(B2321)</f>
        <v>2025</v>
      </c>
      <c r="D2321" s="57" t="n">
        <f aca="false">MONTH(B2321)</f>
        <v>9</v>
      </c>
      <c r="E2321" s="57" t="s">
        <v>510</v>
      </c>
      <c r="F2321" s="57" t="s">
        <v>78</v>
      </c>
      <c r="G2321" s="57" t="s">
        <v>40</v>
      </c>
      <c r="H2321" s="57" t="s">
        <v>41</v>
      </c>
      <c r="I2321" s="59" t="n">
        <v>1</v>
      </c>
      <c r="J2321" s="60" t="n">
        <v>46</v>
      </c>
      <c r="K2321" s="60" t="n">
        <v>16</v>
      </c>
      <c r="L2321" s="61" t="n">
        <f aca="false">I2321*J2321</f>
        <v>46</v>
      </c>
      <c r="M2321" s="61" t="n">
        <f aca="false">L2321-I2321*K2321</f>
        <v>30</v>
      </c>
      <c r="N2321" s="57" t="n">
        <f aca="false">IF(COUNTIFS(E$2:E2321,E2321,C$2:C2321,C2321)=1,1,0)</f>
        <v>0</v>
      </c>
      <c r="O2321" s="57" t="n">
        <f aca="false">IF(COUNTIFS(E$2:E2321,E2321,C$2:C2321,C2321,D$2:D2321,D2321)=1,1,0)</f>
        <v>0</v>
      </c>
      <c r="P2321" s="57" t="n">
        <f aca="false">IF(AND(C2321=Calc!$C$3,OR(Calc!$C$4=0,D2321=Calc!$C$4)),ROW(),0)</f>
        <v>2321</v>
      </c>
    </row>
    <row r="2322" customFormat="false" ht="15" hidden="false" customHeight="false" outlineLevel="0" collapsed="false">
      <c r="A2322" s="57" t="s">
        <v>2886</v>
      </c>
      <c r="B2322" s="58" t="n">
        <v>45916</v>
      </c>
      <c r="C2322" s="57" t="n">
        <f aca="false">YEAR(B2322)</f>
        <v>2025</v>
      </c>
      <c r="D2322" s="57" t="n">
        <f aca="false">MONTH(B2322)</f>
        <v>9</v>
      </c>
      <c r="E2322" s="57" t="s">
        <v>446</v>
      </c>
      <c r="F2322" s="57" t="s">
        <v>75</v>
      </c>
      <c r="G2322" s="57" t="s">
        <v>40</v>
      </c>
      <c r="H2322" s="57" t="s">
        <v>42</v>
      </c>
      <c r="I2322" s="59" t="n">
        <v>1</v>
      </c>
      <c r="J2322" s="60" t="n">
        <v>79</v>
      </c>
      <c r="K2322" s="60" t="n">
        <v>31</v>
      </c>
      <c r="L2322" s="61" t="n">
        <f aca="false">I2322*J2322</f>
        <v>79</v>
      </c>
      <c r="M2322" s="61" t="n">
        <f aca="false">L2322-I2322*K2322</f>
        <v>48</v>
      </c>
      <c r="N2322" s="57" t="n">
        <f aca="false">IF(COUNTIFS(E$2:E2322,E2322,C$2:C2322,C2322)=1,1,0)</f>
        <v>0</v>
      </c>
      <c r="O2322" s="57" t="n">
        <f aca="false">IF(COUNTIFS(E$2:E2322,E2322,C$2:C2322,C2322,D$2:D2322,D2322)=1,1,0)</f>
        <v>1</v>
      </c>
      <c r="P2322" s="57" t="n">
        <f aca="false">IF(AND(C2322=Calc!$C$3,OR(Calc!$C$4=0,D2322=Calc!$C$4)),ROW(),0)</f>
        <v>2322</v>
      </c>
    </row>
    <row r="2323" customFormat="false" ht="15" hidden="false" customHeight="false" outlineLevel="0" collapsed="false">
      <c r="A2323" s="57" t="s">
        <v>2887</v>
      </c>
      <c r="B2323" s="58" t="n">
        <v>45916</v>
      </c>
      <c r="C2323" s="57" t="n">
        <f aca="false">YEAR(B2323)</f>
        <v>2025</v>
      </c>
      <c r="D2323" s="57" t="n">
        <f aca="false">MONTH(B2323)</f>
        <v>9</v>
      </c>
      <c r="E2323" s="57" t="s">
        <v>1389</v>
      </c>
      <c r="F2323" s="57" t="s">
        <v>78</v>
      </c>
      <c r="G2323" s="57" t="s">
        <v>35</v>
      </c>
      <c r="H2323" s="57" t="s">
        <v>36</v>
      </c>
      <c r="I2323" s="59" t="n">
        <v>1</v>
      </c>
      <c r="J2323" s="60" t="n">
        <v>179</v>
      </c>
      <c r="K2323" s="60" t="n">
        <v>92</v>
      </c>
      <c r="L2323" s="61" t="n">
        <f aca="false">I2323*J2323</f>
        <v>179</v>
      </c>
      <c r="M2323" s="61" t="n">
        <f aca="false">L2323-I2323*K2323</f>
        <v>87</v>
      </c>
      <c r="N2323" s="57" t="n">
        <f aca="false">IF(COUNTIFS(E$2:E2323,E2323,C$2:C2323,C2323)=1,1,0)</f>
        <v>1</v>
      </c>
      <c r="O2323" s="57" t="n">
        <f aca="false">IF(COUNTIFS(E$2:E2323,E2323,C$2:C2323,C2323,D$2:D2323,D2323)=1,1,0)</f>
        <v>1</v>
      </c>
      <c r="P2323" s="57" t="n">
        <f aca="false">IF(AND(C2323=Calc!$C$3,OR(Calc!$C$4=0,D2323=Calc!$C$4)),ROW(),0)</f>
        <v>2323</v>
      </c>
    </row>
    <row r="2324" customFormat="false" ht="15" hidden="false" customHeight="false" outlineLevel="0" collapsed="false">
      <c r="A2324" s="57" t="s">
        <v>2888</v>
      </c>
      <c r="B2324" s="58" t="n">
        <v>45917</v>
      </c>
      <c r="C2324" s="57" t="n">
        <f aca="false">YEAR(B2324)</f>
        <v>2025</v>
      </c>
      <c r="D2324" s="57" t="n">
        <f aca="false">MONTH(B2324)</f>
        <v>9</v>
      </c>
      <c r="E2324" s="57" t="s">
        <v>120</v>
      </c>
      <c r="F2324" s="57" t="s">
        <v>78</v>
      </c>
      <c r="G2324" s="57" t="s">
        <v>35</v>
      </c>
      <c r="H2324" s="57" t="s">
        <v>37</v>
      </c>
      <c r="I2324" s="59" t="n">
        <v>1</v>
      </c>
      <c r="J2324" s="60" t="n">
        <v>59</v>
      </c>
      <c r="K2324" s="60" t="n">
        <v>27</v>
      </c>
      <c r="L2324" s="61" t="n">
        <f aca="false">I2324*J2324</f>
        <v>59</v>
      </c>
      <c r="M2324" s="61" t="n">
        <f aca="false">L2324-I2324*K2324</f>
        <v>32</v>
      </c>
      <c r="N2324" s="57" t="n">
        <f aca="false">IF(COUNTIFS(E$2:E2324,E2324,C$2:C2324,C2324)=1,1,0)</f>
        <v>0</v>
      </c>
      <c r="O2324" s="57" t="n">
        <f aca="false">IF(COUNTIFS(E$2:E2324,E2324,C$2:C2324,C2324,D$2:D2324,D2324)=1,1,0)</f>
        <v>0</v>
      </c>
      <c r="P2324" s="57" t="n">
        <f aca="false">IF(AND(C2324=Calc!$C$3,OR(Calc!$C$4=0,D2324=Calc!$C$4)),ROW(),0)</f>
        <v>2324</v>
      </c>
    </row>
    <row r="2325" customFormat="false" ht="15" hidden="false" customHeight="false" outlineLevel="0" collapsed="false">
      <c r="A2325" s="57" t="s">
        <v>2889</v>
      </c>
      <c r="B2325" s="58" t="n">
        <v>45917</v>
      </c>
      <c r="C2325" s="57" t="n">
        <f aca="false">YEAR(B2325)</f>
        <v>2025</v>
      </c>
      <c r="D2325" s="57" t="n">
        <f aca="false">MONTH(B2325)</f>
        <v>9</v>
      </c>
      <c r="E2325" s="57" t="s">
        <v>479</v>
      </c>
      <c r="F2325" s="57" t="s">
        <v>72</v>
      </c>
      <c r="G2325" s="57" t="s">
        <v>45</v>
      </c>
      <c r="H2325" s="57" t="s">
        <v>48</v>
      </c>
      <c r="I2325" s="59" t="n">
        <v>2</v>
      </c>
      <c r="J2325" s="60" t="n">
        <v>99</v>
      </c>
      <c r="K2325" s="60" t="n">
        <v>38</v>
      </c>
      <c r="L2325" s="61" t="n">
        <f aca="false">I2325*J2325</f>
        <v>198</v>
      </c>
      <c r="M2325" s="61" t="n">
        <f aca="false">L2325-I2325*K2325</f>
        <v>122</v>
      </c>
      <c r="N2325" s="57" t="n">
        <f aca="false">IF(COUNTIFS(E$2:E2325,E2325,C$2:C2325,C2325)=1,1,0)</f>
        <v>0</v>
      </c>
      <c r="O2325" s="57" t="n">
        <f aca="false">IF(COUNTIFS(E$2:E2325,E2325,C$2:C2325,C2325,D$2:D2325,D2325)=1,1,0)</f>
        <v>1</v>
      </c>
      <c r="P2325" s="57" t="n">
        <f aca="false">IF(AND(C2325=Calc!$C$3,OR(Calc!$C$4=0,D2325=Calc!$C$4)),ROW(),0)</f>
        <v>2325</v>
      </c>
    </row>
    <row r="2326" customFormat="false" ht="15" hidden="false" customHeight="false" outlineLevel="0" collapsed="false">
      <c r="A2326" s="57" t="s">
        <v>2890</v>
      </c>
      <c r="B2326" s="58" t="n">
        <v>45917</v>
      </c>
      <c r="C2326" s="57" t="n">
        <f aca="false">YEAR(B2326)</f>
        <v>2025</v>
      </c>
      <c r="D2326" s="57" t="n">
        <f aca="false">MONTH(B2326)</f>
        <v>9</v>
      </c>
      <c r="E2326" s="57" t="s">
        <v>393</v>
      </c>
      <c r="F2326" s="57" t="s">
        <v>78</v>
      </c>
      <c r="G2326" s="57" t="s">
        <v>35</v>
      </c>
      <c r="H2326" s="57" t="s">
        <v>38</v>
      </c>
      <c r="I2326" s="59" t="n">
        <v>1</v>
      </c>
      <c r="J2326" s="60" t="n">
        <v>49</v>
      </c>
      <c r="K2326" s="60" t="n">
        <v>22</v>
      </c>
      <c r="L2326" s="61" t="n">
        <f aca="false">I2326*J2326</f>
        <v>49</v>
      </c>
      <c r="M2326" s="61" t="n">
        <f aca="false">L2326-I2326*K2326</f>
        <v>27</v>
      </c>
      <c r="N2326" s="57" t="n">
        <f aca="false">IF(COUNTIFS(E$2:E2326,E2326,C$2:C2326,C2326)=1,1,0)</f>
        <v>0</v>
      </c>
      <c r="O2326" s="57" t="n">
        <f aca="false">IF(COUNTIFS(E$2:E2326,E2326,C$2:C2326,C2326,D$2:D2326,D2326)=1,1,0)</f>
        <v>0</v>
      </c>
      <c r="P2326" s="57" t="n">
        <f aca="false">IF(AND(C2326=Calc!$C$3,OR(Calc!$C$4=0,D2326=Calc!$C$4)),ROW(),0)</f>
        <v>2326</v>
      </c>
    </row>
    <row r="2327" customFormat="false" ht="15" hidden="false" customHeight="false" outlineLevel="0" collapsed="false">
      <c r="A2327" s="57" t="s">
        <v>2891</v>
      </c>
      <c r="B2327" s="58" t="n">
        <v>45917</v>
      </c>
      <c r="C2327" s="57" t="n">
        <f aca="false">YEAR(B2327)</f>
        <v>2025</v>
      </c>
      <c r="D2327" s="57" t="n">
        <f aca="false">MONTH(B2327)</f>
        <v>9</v>
      </c>
      <c r="E2327" s="57" t="s">
        <v>2892</v>
      </c>
      <c r="F2327" s="57" t="s">
        <v>69</v>
      </c>
      <c r="G2327" s="57" t="s">
        <v>35</v>
      </c>
      <c r="H2327" s="57" t="s">
        <v>34</v>
      </c>
      <c r="I2327" s="59" t="n">
        <v>1</v>
      </c>
      <c r="J2327" s="60" t="n">
        <v>89</v>
      </c>
      <c r="K2327" s="60" t="n">
        <v>41</v>
      </c>
      <c r="L2327" s="61" t="n">
        <f aca="false">I2327*J2327</f>
        <v>89</v>
      </c>
      <c r="M2327" s="61" t="n">
        <f aca="false">L2327-I2327*K2327</f>
        <v>48</v>
      </c>
      <c r="N2327" s="57" t="n">
        <f aca="false">IF(COUNTIFS(E$2:E2327,E2327,C$2:C2327,C2327)=1,1,0)</f>
        <v>1</v>
      </c>
      <c r="O2327" s="57" t="n">
        <f aca="false">IF(COUNTIFS(E$2:E2327,E2327,C$2:C2327,C2327,D$2:D2327,D2327)=1,1,0)</f>
        <v>1</v>
      </c>
      <c r="P2327" s="57" t="n">
        <f aca="false">IF(AND(C2327=Calc!$C$3,OR(Calc!$C$4=0,D2327=Calc!$C$4)),ROW(),0)</f>
        <v>2327</v>
      </c>
    </row>
    <row r="2328" customFormat="false" ht="15" hidden="false" customHeight="false" outlineLevel="0" collapsed="false">
      <c r="A2328" s="57" t="s">
        <v>2893</v>
      </c>
      <c r="B2328" s="58" t="n">
        <v>45918</v>
      </c>
      <c r="C2328" s="57" t="n">
        <f aca="false">YEAR(B2328)</f>
        <v>2025</v>
      </c>
      <c r="D2328" s="57" t="n">
        <f aca="false">MONTH(B2328)</f>
        <v>9</v>
      </c>
      <c r="E2328" s="57" t="s">
        <v>248</v>
      </c>
      <c r="F2328" s="57" t="s">
        <v>81</v>
      </c>
      <c r="G2328" s="57" t="s">
        <v>50</v>
      </c>
      <c r="H2328" s="57" t="s">
        <v>51</v>
      </c>
      <c r="I2328" s="59" t="n">
        <v>1</v>
      </c>
      <c r="J2328" s="60" t="n">
        <v>69</v>
      </c>
      <c r="K2328" s="60" t="n">
        <v>29</v>
      </c>
      <c r="L2328" s="61" t="n">
        <f aca="false">I2328*J2328</f>
        <v>69</v>
      </c>
      <c r="M2328" s="61" t="n">
        <f aca="false">L2328-I2328*K2328</f>
        <v>40</v>
      </c>
      <c r="N2328" s="57" t="n">
        <f aca="false">IF(COUNTIFS(E$2:E2328,E2328,C$2:C2328,C2328)=1,1,0)</f>
        <v>0</v>
      </c>
      <c r="O2328" s="57" t="n">
        <f aca="false">IF(COUNTIFS(E$2:E2328,E2328,C$2:C2328,C2328,D$2:D2328,D2328)=1,1,0)</f>
        <v>1</v>
      </c>
      <c r="P2328" s="57" t="n">
        <f aca="false">IF(AND(C2328=Calc!$C$3,OR(Calc!$C$4=0,D2328=Calc!$C$4)),ROW(),0)</f>
        <v>2328</v>
      </c>
    </row>
    <row r="2329" customFormat="false" ht="15" hidden="false" customHeight="false" outlineLevel="0" collapsed="false">
      <c r="A2329" s="57" t="s">
        <v>2894</v>
      </c>
      <c r="B2329" s="58" t="n">
        <v>45918</v>
      </c>
      <c r="C2329" s="57" t="n">
        <f aca="false">YEAR(B2329)</f>
        <v>2025</v>
      </c>
      <c r="D2329" s="57" t="n">
        <f aca="false">MONTH(B2329)</f>
        <v>9</v>
      </c>
      <c r="E2329" s="57" t="s">
        <v>409</v>
      </c>
      <c r="F2329" s="57" t="s">
        <v>75</v>
      </c>
      <c r="G2329" s="57" t="s">
        <v>50</v>
      </c>
      <c r="H2329" s="57" t="s">
        <v>49</v>
      </c>
      <c r="I2329" s="59" t="n">
        <v>1</v>
      </c>
      <c r="J2329" s="60" t="n">
        <v>32</v>
      </c>
      <c r="K2329" s="60" t="n">
        <v>7</v>
      </c>
      <c r="L2329" s="61" t="n">
        <f aca="false">I2329*J2329</f>
        <v>32</v>
      </c>
      <c r="M2329" s="61" t="n">
        <f aca="false">L2329-I2329*K2329</f>
        <v>25</v>
      </c>
      <c r="N2329" s="57" t="n">
        <f aca="false">IF(COUNTIFS(E$2:E2329,E2329,C$2:C2329,C2329)=1,1,0)</f>
        <v>0</v>
      </c>
      <c r="O2329" s="57" t="n">
        <f aca="false">IF(COUNTIFS(E$2:E2329,E2329,C$2:C2329,C2329,D$2:D2329,D2329)=1,1,0)</f>
        <v>1</v>
      </c>
      <c r="P2329" s="57" t="n">
        <f aca="false">IF(AND(C2329=Calc!$C$3,OR(Calc!$C$4=0,D2329=Calc!$C$4)),ROW(),0)</f>
        <v>2329</v>
      </c>
    </row>
    <row r="2330" customFormat="false" ht="15" hidden="false" customHeight="false" outlineLevel="0" collapsed="false">
      <c r="A2330" s="57" t="s">
        <v>2895</v>
      </c>
      <c r="B2330" s="58" t="n">
        <v>45918</v>
      </c>
      <c r="C2330" s="57" t="n">
        <f aca="false">YEAR(B2330)</f>
        <v>2025</v>
      </c>
      <c r="D2330" s="57" t="n">
        <f aca="false">MONTH(B2330)</f>
        <v>9</v>
      </c>
      <c r="E2330" s="57" t="s">
        <v>1257</v>
      </c>
      <c r="F2330" s="57" t="s">
        <v>69</v>
      </c>
      <c r="G2330" s="57" t="s">
        <v>50</v>
      </c>
      <c r="H2330" s="57" t="s">
        <v>52</v>
      </c>
      <c r="I2330" s="59" t="n">
        <v>1</v>
      </c>
      <c r="J2330" s="60" t="n">
        <v>45</v>
      </c>
      <c r="K2330" s="60" t="n">
        <v>14</v>
      </c>
      <c r="L2330" s="61" t="n">
        <f aca="false">I2330*J2330</f>
        <v>45</v>
      </c>
      <c r="M2330" s="61" t="n">
        <f aca="false">L2330-I2330*K2330</f>
        <v>31</v>
      </c>
      <c r="N2330" s="57" t="n">
        <f aca="false">IF(COUNTIFS(E$2:E2330,E2330,C$2:C2330,C2330)=1,1,0)</f>
        <v>1</v>
      </c>
      <c r="O2330" s="57" t="n">
        <f aca="false">IF(COUNTIFS(E$2:E2330,E2330,C$2:C2330,C2330,D$2:D2330,D2330)=1,1,0)</f>
        <v>1</v>
      </c>
      <c r="P2330" s="57" t="n">
        <f aca="false">IF(AND(C2330=Calc!$C$3,OR(Calc!$C$4=0,D2330=Calc!$C$4)),ROW(),0)</f>
        <v>2330</v>
      </c>
    </row>
    <row r="2331" customFormat="false" ht="15" hidden="false" customHeight="false" outlineLevel="0" collapsed="false">
      <c r="A2331" s="57" t="s">
        <v>2896</v>
      </c>
      <c r="B2331" s="58" t="n">
        <v>45919</v>
      </c>
      <c r="C2331" s="57" t="n">
        <f aca="false">YEAR(B2331)</f>
        <v>2025</v>
      </c>
      <c r="D2331" s="57" t="n">
        <f aca="false">MONTH(B2331)</f>
        <v>9</v>
      </c>
      <c r="E2331" s="57" t="s">
        <v>338</v>
      </c>
      <c r="F2331" s="57" t="s">
        <v>78</v>
      </c>
      <c r="G2331" s="57" t="s">
        <v>35</v>
      </c>
      <c r="H2331" s="57" t="s">
        <v>36</v>
      </c>
      <c r="I2331" s="59" t="n">
        <v>2</v>
      </c>
      <c r="J2331" s="60" t="n">
        <v>179</v>
      </c>
      <c r="K2331" s="60" t="n">
        <v>92</v>
      </c>
      <c r="L2331" s="61" t="n">
        <f aca="false">I2331*J2331</f>
        <v>358</v>
      </c>
      <c r="M2331" s="61" t="n">
        <f aca="false">L2331-I2331*K2331</f>
        <v>174</v>
      </c>
      <c r="N2331" s="57" t="n">
        <f aca="false">IF(COUNTIFS(E$2:E2331,E2331,C$2:C2331,C2331)=1,1,0)</f>
        <v>0</v>
      </c>
      <c r="O2331" s="57" t="n">
        <f aca="false">IF(COUNTIFS(E$2:E2331,E2331,C$2:C2331,C2331,D$2:D2331,D2331)=1,1,0)</f>
        <v>1</v>
      </c>
      <c r="P2331" s="57" t="n">
        <f aca="false">IF(AND(C2331=Calc!$C$3,OR(Calc!$C$4=0,D2331=Calc!$C$4)),ROW(),0)</f>
        <v>2331</v>
      </c>
    </row>
    <row r="2332" customFormat="false" ht="15" hidden="false" customHeight="false" outlineLevel="0" collapsed="false">
      <c r="A2332" s="57" t="s">
        <v>2897</v>
      </c>
      <c r="B2332" s="58" t="n">
        <v>45919</v>
      </c>
      <c r="C2332" s="57" t="n">
        <f aca="false">YEAR(B2332)</f>
        <v>2025</v>
      </c>
      <c r="D2332" s="57" t="n">
        <f aca="false">MONTH(B2332)</f>
        <v>9</v>
      </c>
      <c r="E2332" s="57" t="s">
        <v>1986</v>
      </c>
      <c r="F2332" s="57" t="s">
        <v>72</v>
      </c>
      <c r="G2332" s="57" t="s">
        <v>40</v>
      </c>
      <c r="H2332" s="57" t="s">
        <v>39</v>
      </c>
      <c r="I2332" s="59" t="n">
        <v>1</v>
      </c>
      <c r="J2332" s="60" t="n">
        <v>54</v>
      </c>
      <c r="K2332" s="60" t="n">
        <v>19</v>
      </c>
      <c r="L2332" s="61" t="n">
        <f aca="false">I2332*J2332</f>
        <v>54</v>
      </c>
      <c r="M2332" s="61" t="n">
        <f aca="false">L2332-I2332*K2332</f>
        <v>35</v>
      </c>
      <c r="N2332" s="57" t="n">
        <f aca="false">IF(COUNTIFS(E$2:E2332,E2332,C$2:C2332,C2332)=1,1,0)</f>
        <v>0</v>
      </c>
      <c r="O2332" s="57" t="n">
        <f aca="false">IF(COUNTIFS(E$2:E2332,E2332,C$2:C2332,C2332,D$2:D2332,D2332)=1,1,0)</f>
        <v>1</v>
      </c>
      <c r="P2332" s="57" t="n">
        <f aca="false">IF(AND(C2332=Calc!$C$3,OR(Calc!$C$4=0,D2332=Calc!$C$4)),ROW(),0)</f>
        <v>2332</v>
      </c>
    </row>
    <row r="2333" customFormat="false" ht="15" hidden="false" customHeight="false" outlineLevel="0" collapsed="false">
      <c r="A2333" s="57" t="s">
        <v>2898</v>
      </c>
      <c r="B2333" s="58" t="n">
        <v>45919</v>
      </c>
      <c r="C2333" s="57" t="n">
        <f aca="false">YEAR(B2333)</f>
        <v>2025</v>
      </c>
      <c r="D2333" s="57" t="n">
        <f aca="false">MONTH(B2333)</f>
        <v>9</v>
      </c>
      <c r="E2333" s="57" t="s">
        <v>1338</v>
      </c>
      <c r="F2333" s="57" t="s">
        <v>69</v>
      </c>
      <c r="G2333" s="57" t="s">
        <v>40</v>
      </c>
      <c r="H2333" s="57" t="s">
        <v>41</v>
      </c>
      <c r="I2333" s="59" t="n">
        <v>1</v>
      </c>
      <c r="J2333" s="60" t="n">
        <v>46</v>
      </c>
      <c r="K2333" s="60" t="n">
        <v>16</v>
      </c>
      <c r="L2333" s="61" t="n">
        <f aca="false">I2333*J2333</f>
        <v>46</v>
      </c>
      <c r="M2333" s="61" t="n">
        <f aca="false">L2333-I2333*K2333</f>
        <v>30</v>
      </c>
      <c r="N2333" s="57" t="n">
        <f aca="false">IF(COUNTIFS(E$2:E2333,E2333,C$2:C2333,C2333)=1,1,0)</f>
        <v>1</v>
      </c>
      <c r="O2333" s="57" t="n">
        <f aca="false">IF(COUNTIFS(E$2:E2333,E2333,C$2:C2333,C2333,D$2:D2333,D2333)=1,1,0)</f>
        <v>1</v>
      </c>
      <c r="P2333" s="57" t="n">
        <f aca="false">IF(AND(C2333=Calc!$C$3,OR(Calc!$C$4=0,D2333=Calc!$C$4)),ROW(),0)</f>
        <v>2333</v>
      </c>
    </row>
    <row r="2334" customFormat="false" ht="15" hidden="false" customHeight="false" outlineLevel="0" collapsed="false">
      <c r="A2334" s="57" t="s">
        <v>2899</v>
      </c>
      <c r="B2334" s="58" t="n">
        <v>45919</v>
      </c>
      <c r="C2334" s="57" t="n">
        <f aca="false">YEAR(B2334)</f>
        <v>2025</v>
      </c>
      <c r="D2334" s="57" t="n">
        <f aca="false">MONTH(B2334)</f>
        <v>9</v>
      </c>
      <c r="E2334" s="57" t="s">
        <v>589</v>
      </c>
      <c r="F2334" s="57" t="s">
        <v>75</v>
      </c>
      <c r="G2334" s="57" t="s">
        <v>40</v>
      </c>
      <c r="H2334" s="57" t="s">
        <v>39</v>
      </c>
      <c r="I2334" s="59" t="n">
        <v>1</v>
      </c>
      <c r="J2334" s="60" t="n">
        <v>54</v>
      </c>
      <c r="K2334" s="60" t="n">
        <v>19</v>
      </c>
      <c r="L2334" s="61" t="n">
        <f aca="false">I2334*J2334</f>
        <v>54</v>
      </c>
      <c r="M2334" s="61" t="n">
        <f aca="false">L2334-I2334*K2334</f>
        <v>35</v>
      </c>
      <c r="N2334" s="57" t="n">
        <f aca="false">IF(COUNTIFS(E$2:E2334,E2334,C$2:C2334,C2334)=1,1,0)</f>
        <v>0</v>
      </c>
      <c r="O2334" s="57" t="n">
        <f aca="false">IF(COUNTIFS(E$2:E2334,E2334,C$2:C2334,C2334,D$2:D2334,D2334)=1,1,0)</f>
        <v>1</v>
      </c>
      <c r="P2334" s="57" t="n">
        <f aca="false">IF(AND(C2334=Calc!$C$3,OR(Calc!$C$4=0,D2334=Calc!$C$4)),ROW(),0)</f>
        <v>2334</v>
      </c>
    </row>
    <row r="2335" customFormat="false" ht="15" hidden="false" customHeight="false" outlineLevel="0" collapsed="false">
      <c r="A2335" s="57" t="s">
        <v>2900</v>
      </c>
      <c r="B2335" s="58" t="n">
        <v>45920</v>
      </c>
      <c r="C2335" s="57" t="n">
        <f aca="false">YEAR(B2335)</f>
        <v>2025</v>
      </c>
      <c r="D2335" s="57" t="n">
        <f aca="false">MONTH(B2335)</f>
        <v>9</v>
      </c>
      <c r="E2335" s="57" t="s">
        <v>77</v>
      </c>
      <c r="F2335" s="57" t="s">
        <v>78</v>
      </c>
      <c r="G2335" s="57" t="s">
        <v>35</v>
      </c>
      <c r="H2335" s="57" t="s">
        <v>37</v>
      </c>
      <c r="I2335" s="59" t="n">
        <v>3</v>
      </c>
      <c r="J2335" s="60" t="n">
        <v>59</v>
      </c>
      <c r="K2335" s="60" t="n">
        <v>27</v>
      </c>
      <c r="L2335" s="61" t="n">
        <f aca="false">I2335*J2335</f>
        <v>177</v>
      </c>
      <c r="M2335" s="61" t="n">
        <f aca="false">L2335-I2335*K2335</f>
        <v>96</v>
      </c>
      <c r="N2335" s="57" t="n">
        <f aca="false">IF(COUNTIFS(E$2:E2335,E2335,C$2:C2335,C2335)=1,1,0)</f>
        <v>0</v>
      </c>
      <c r="O2335" s="57" t="n">
        <f aca="false">IF(COUNTIFS(E$2:E2335,E2335,C$2:C2335,C2335,D$2:D2335,D2335)=1,1,0)</f>
        <v>1</v>
      </c>
      <c r="P2335" s="57" t="n">
        <f aca="false">IF(AND(C2335=Calc!$C$3,OR(Calc!$C$4=0,D2335=Calc!$C$4)),ROW(),0)</f>
        <v>2335</v>
      </c>
    </row>
    <row r="2336" customFormat="false" ht="15" hidden="false" customHeight="false" outlineLevel="0" collapsed="false">
      <c r="A2336" s="57" t="s">
        <v>2901</v>
      </c>
      <c r="B2336" s="58" t="n">
        <v>45920</v>
      </c>
      <c r="C2336" s="57" t="n">
        <f aca="false">YEAR(B2336)</f>
        <v>2025</v>
      </c>
      <c r="D2336" s="57" t="n">
        <f aca="false">MONTH(B2336)</f>
        <v>9</v>
      </c>
      <c r="E2336" s="57" t="s">
        <v>856</v>
      </c>
      <c r="F2336" s="57" t="s">
        <v>75</v>
      </c>
      <c r="G2336" s="57" t="s">
        <v>40</v>
      </c>
      <c r="H2336" s="57" t="s">
        <v>41</v>
      </c>
      <c r="I2336" s="59" t="n">
        <v>1</v>
      </c>
      <c r="J2336" s="60" t="n">
        <v>46</v>
      </c>
      <c r="K2336" s="60" t="n">
        <v>16</v>
      </c>
      <c r="L2336" s="61" t="n">
        <f aca="false">I2336*J2336</f>
        <v>46</v>
      </c>
      <c r="M2336" s="61" t="n">
        <f aca="false">L2336-I2336*K2336</f>
        <v>30</v>
      </c>
      <c r="N2336" s="57" t="n">
        <f aca="false">IF(COUNTIFS(E$2:E2336,E2336,C$2:C2336,C2336)=1,1,0)</f>
        <v>1</v>
      </c>
      <c r="O2336" s="57" t="n">
        <f aca="false">IF(COUNTIFS(E$2:E2336,E2336,C$2:C2336,C2336,D$2:D2336,D2336)=1,1,0)</f>
        <v>1</v>
      </c>
      <c r="P2336" s="57" t="n">
        <f aca="false">IF(AND(C2336=Calc!$C$3,OR(Calc!$C$4=0,D2336=Calc!$C$4)),ROW(),0)</f>
        <v>2336</v>
      </c>
    </row>
    <row r="2337" customFormat="false" ht="15" hidden="false" customHeight="false" outlineLevel="0" collapsed="false">
      <c r="A2337" s="57" t="s">
        <v>2902</v>
      </c>
      <c r="B2337" s="58" t="n">
        <v>45920</v>
      </c>
      <c r="C2337" s="57" t="n">
        <f aca="false">YEAR(B2337)</f>
        <v>2025</v>
      </c>
      <c r="D2337" s="57" t="n">
        <f aca="false">MONTH(B2337)</f>
        <v>9</v>
      </c>
      <c r="E2337" s="57" t="s">
        <v>71</v>
      </c>
      <c r="F2337" s="57" t="s">
        <v>72</v>
      </c>
      <c r="G2337" s="57" t="s">
        <v>50</v>
      </c>
      <c r="H2337" s="57" t="s">
        <v>51</v>
      </c>
      <c r="I2337" s="59" t="n">
        <v>2</v>
      </c>
      <c r="J2337" s="60" t="n">
        <v>69</v>
      </c>
      <c r="K2337" s="60" t="n">
        <v>29</v>
      </c>
      <c r="L2337" s="61" t="n">
        <f aca="false">I2337*J2337</f>
        <v>138</v>
      </c>
      <c r="M2337" s="61" t="n">
        <f aca="false">L2337-I2337*K2337</f>
        <v>80</v>
      </c>
      <c r="N2337" s="57" t="n">
        <f aca="false">IF(COUNTIFS(E$2:E2337,E2337,C$2:C2337,C2337)=1,1,0)</f>
        <v>0</v>
      </c>
      <c r="O2337" s="57" t="n">
        <f aca="false">IF(COUNTIFS(E$2:E2337,E2337,C$2:C2337,C2337,D$2:D2337,D2337)=1,1,0)</f>
        <v>1</v>
      </c>
      <c r="P2337" s="57" t="n">
        <f aca="false">IF(AND(C2337=Calc!$C$3,OR(Calc!$C$4=0,D2337=Calc!$C$4)),ROW(),0)</f>
        <v>2337</v>
      </c>
    </row>
    <row r="2338" customFormat="false" ht="15" hidden="false" customHeight="false" outlineLevel="0" collapsed="false">
      <c r="A2338" s="57" t="s">
        <v>2903</v>
      </c>
      <c r="B2338" s="58" t="n">
        <v>45920</v>
      </c>
      <c r="C2338" s="57" t="n">
        <f aca="false">YEAR(B2338)</f>
        <v>2025</v>
      </c>
      <c r="D2338" s="57" t="n">
        <f aca="false">MONTH(B2338)</f>
        <v>9</v>
      </c>
      <c r="E2338" s="57" t="s">
        <v>1077</v>
      </c>
      <c r="F2338" s="57" t="s">
        <v>81</v>
      </c>
      <c r="G2338" s="57" t="s">
        <v>35</v>
      </c>
      <c r="H2338" s="57" t="s">
        <v>38</v>
      </c>
      <c r="I2338" s="59" t="n">
        <v>2</v>
      </c>
      <c r="J2338" s="60" t="n">
        <v>49</v>
      </c>
      <c r="K2338" s="60" t="n">
        <v>22</v>
      </c>
      <c r="L2338" s="61" t="n">
        <f aca="false">I2338*J2338</f>
        <v>98</v>
      </c>
      <c r="M2338" s="61" t="n">
        <f aca="false">L2338-I2338*K2338</f>
        <v>54</v>
      </c>
      <c r="N2338" s="57" t="n">
        <f aca="false">IF(COUNTIFS(E$2:E2338,E2338,C$2:C2338,C2338)=1,1,0)</f>
        <v>0</v>
      </c>
      <c r="O2338" s="57" t="n">
        <f aca="false">IF(COUNTIFS(E$2:E2338,E2338,C$2:C2338,C2338,D$2:D2338,D2338)=1,1,0)</f>
        <v>1</v>
      </c>
      <c r="P2338" s="57" t="n">
        <f aca="false">IF(AND(C2338=Calc!$C$3,OR(Calc!$C$4=0,D2338=Calc!$C$4)),ROW(),0)</f>
        <v>2338</v>
      </c>
    </row>
    <row r="2339" customFormat="false" ht="15" hidden="false" customHeight="false" outlineLevel="0" collapsed="false">
      <c r="A2339" s="57" t="s">
        <v>2904</v>
      </c>
      <c r="B2339" s="58" t="n">
        <v>45921</v>
      </c>
      <c r="C2339" s="57" t="n">
        <f aca="false">YEAR(B2339)</f>
        <v>2025</v>
      </c>
      <c r="D2339" s="57" t="n">
        <f aca="false">MONTH(B2339)</f>
        <v>9</v>
      </c>
      <c r="E2339" s="57" t="s">
        <v>349</v>
      </c>
      <c r="F2339" s="57" t="s">
        <v>72</v>
      </c>
      <c r="G2339" s="57" t="s">
        <v>35</v>
      </c>
      <c r="H2339" s="57" t="s">
        <v>34</v>
      </c>
      <c r="I2339" s="59" t="n">
        <v>1</v>
      </c>
      <c r="J2339" s="60" t="n">
        <v>89</v>
      </c>
      <c r="K2339" s="60" t="n">
        <v>41</v>
      </c>
      <c r="L2339" s="61" t="n">
        <f aca="false">I2339*J2339</f>
        <v>89</v>
      </c>
      <c r="M2339" s="61" t="n">
        <f aca="false">L2339-I2339*K2339</f>
        <v>48</v>
      </c>
      <c r="N2339" s="57" t="n">
        <f aca="false">IF(COUNTIFS(E$2:E2339,E2339,C$2:C2339,C2339)=1,1,0)</f>
        <v>0</v>
      </c>
      <c r="O2339" s="57" t="n">
        <f aca="false">IF(COUNTIFS(E$2:E2339,E2339,C$2:C2339,C2339,D$2:D2339,D2339)=1,1,0)</f>
        <v>1</v>
      </c>
      <c r="P2339" s="57" t="n">
        <f aca="false">IF(AND(C2339=Calc!$C$3,OR(Calc!$C$4=0,D2339=Calc!$C$4)),ROW(),0)</f>
        <v>2339</v>
      </c>
    </row>
    <row r="2340" customFormat="false" ht="15" hidden="false" customHeight="false" outlineLevel="0" collapsed="false">
      <c r="A2340" s="57" t="s">
        <v>2905</v>
      </c>
      <c r="B2340" s="58" t="n">
        <v>45921</v>
      </c>
      <c r="C2340" s="57" t="n">
        <f aca="false">YEAR(B2340)</f>
        <v>2025</v>
      </c>
      <c r="D2340" s="57" t="n">
        <f aca="false">MONTH(B2340)</f>
        <v>9</v>
      </c>
      <c r="E2340" s="57" t="s">
        <v>1475</v>
      </c>
      <c r="F2340" s="57" t="s">
        <v>78</v>
      </c>
      <c r="G2340" s="57" t="s">
        <v>45</v>
      </c>
      <c r="H2340" s="57" t="s">
        <v>44</v>
      </c>
      <c r="I2340" s="59" t="n">
        <v>1</v>
      </c>
      <c r="J2340" s="60" t="n">
        <v>119</v>
      </c>
      <c r="K2340" s="60" t="n">
        <v>63</v>
      </c>
      <c r="L2340" s="61" t="n">
        <f aca="false">I2340*J2340</f>
        <v>119</v>
      </c>
      <c r="M2340" s="61" t="n">
        <f aca="false">L2340-I2340*K2340</f>
        <v>56</v>
      </c>
      <c r="N2340" s="57" t="n">
        <f aca="false">IF(COUNTIFS(E$2:E2340,E2340,C$2:C2340,C2340)=1,1,0)</f>
        <v>0</v>
      </c>
      <c r="O2340" s="57" t="n">
        <f aca="false">IF(COUNTIFS(E$2:E2340,E2340,C$2:C2340,C2340,D$2:D2340,D2340)=1,1,0)</f>
        <v>1</v>
      </c>
      <c r="P2340" s="57" t="n">
        <f aca="false">IF(AND(C2340=Calc!$C$3,OR(Calc!$C$4=0,D2340=Calc!$C$4)),ROW(),0)</f>
        <v>2340</v>
      </c>
    </row>
    <row r="2341" customFormat="false" ht="15" hidden="false" customHeight="false" outlineLevel="0" collapsed="false">
      <c r="A2341" s="57" t="s">
        <v>2906</v>
      </c>
      <c r="B2341" s="58" t="n">
        <v>45922</v>
      </c>
      <c r="C2341" s="57" t="n">
        <f aca="false">YEAR(B2341)</f>
        <v>2025</v>
      </c>
      <c r="D2341" s="57" t="n">
        <f aca="false">MONTH(B2341)</f>
        <v>9</v>
      </c>
      <c r="E2341" s="57" t="s">
        <v>372</v>
      </c>
      <c r="F2341" s="57" t="s">
        <v>81</v>
      </c>
      <c r="G2341" s="57" t="s">
        <v>40</v>
      </c>
      <c r="H2341" s="57" t="s">
        <v>41</v>
      </c>
      <c r="I2341" s="59" t="n">
        <v>1</v>
      </c>
      <c r="J2341" s="60" t="n">
        <v>46</v>
      </c>
      <c r="K2341" s="60" t="n">
        <v>16</v>
      </c>
      <c r="L2341" s="61" t="n">
        <f aca="false">I2341*J2341</f>
        <v>46</v>
      </c>
      <c r="M2341" s="61" t="n">
        <f aca="false">L2341-I2341*K2341</f>
        <v>30</v>
      </c>
      <c r="N2341" s="57" t="n">
        <f aca="false">IF(COUNTIFS(E$2:E2341,E2341,C$2:C2341,C2341)=1,1,0)</f>
        <v>0</v>
      </c>
      <c r="O2341" s="57" t="n">
        <f aca="false">IF(COUNTIFS(E$2:E2341,E2341,C$2:C2341,C2341,D$2:D2341,D2341)=1,1,0)</f>
        <v>1</v>
      </c>
      <c r="P2341" s="57" t="n">
        <f aca="false">IF(AND(C2341=Calc!$C$3,OR(Calc!$C$4=0,D2341=Calc!$C$4)),ROW(),0)</f>
        <v>2341</v>
      </c>
    </row>
    <row r="2342" customFormat="false" ht="15" hidden="false" customHeight="false" outlineLevel="0" collapsed="false">
      <c r="A2342" s="57" t="s">
        <v>2907</v>
      </c>
      <c r="B2342" s="58" t="n">
        <v>45922</v>
      </c>
      <c r="C2342" s="57" t="n">
        <f aca="false">YEAR(B2342)</f>
        <v>2025</v>
      </c>
      <c r="D2342" s="57" t="n">
        <f aca="false">MONTH(B2342)</f>
        <v>9</v>
      </c>
      <c r="E2342" s="57" t="s">
        <v>1833</v>
      </c>
      <c r="F2342" s="57" t="s">
        <v>72</v>
      </c>
      <c r="G2342" s="57" t="s">
        <v>54</v>
      </c>
      <c r="H2342" s="57" t="s">
        <v>55</v>
      </c>
      <c r="I2342" s="59" t="n">
        <v>1</v>
      </c>
      <c r="J2342" s="60" t="n">
        <v>64</v>
      </c>
      <c r="K2342" s="60" t="n">
        <v>25</v>
      </c>
      <c r="L2342" s="61" t="n">
        <f aca="false">I2342*J2342</f>
        <v>64</v>
      </c>
      <c r="M2342" s="61" t="n">
        <f aca="false">L2342-I2342*K2342</f>
        <v>39</v>
      </c>
      <c r="N2342" s="57" t="n">
        <f aca="false">IF(COUNTIFS(E$2:E2342,E2342,C$2:C2342,C2342)=1,1,0)</f>
        <v>1</v>
      </c>
      <c r="O2342" s="57" t="n">
        <f aca="false">IF(COUNTIFS(E$2:E2342,E2342,C$2:C2342,C2342,D$2:D2342,D2342)=1,1,0)</f>
        <v>1</v>
      </c>
      <c r="P2342" s="57" t="n">
        <f aca="false">IF(AND(C2342=Calc!$C$3,OR(Calc!$C$4=0,D2342=Calc!$C$4)),ROW(),0)</f>
        <v>2342</v>
      </c>
    </row>
    <row r="2343" customFormat="false" ht="15" hidden="false" customHeight="false" outlineLevel="0" collapsed="false">
      <c r="A2343" s="57" t="s">
        <v>2908</v>
      </c>
      <c r="B2343" s="58" t="n">
        <v>45922</v>
      </c>
      <c r="C2343" s="57" t="n">
        <f aca="false">YEAR(B2343)</f>
        <v>2025</v>
      </c>
      <c r="D2343" s="57" t="n">
        <f aca="false">MONTH(B2343)</f>
        <v>9</v>
      </c>
      <c r="E2343" s="57" t="s">
        <v>1553</v>
      </c>
      <c r="F2343" s="57" t="s">
        <v>81</v>
      </c>
      <c r="G2343" s="57" t="s">
        <v>54</v>
      </c>
      <c r="H2343" s="57" t="s">
        <v>53</v>
      </c>
      <c r="I2343" s="59" t="n">
        <v>1</v>
      </c>
      <c r="J2343" s="60" t="n">
        <v>39</v>
      </c>
      <c r="K2343" s="60" t="n">
        <v>13</v>
      </c>
      <c r="L2343" s="61" t="n">
        <f aca="false">I2343*J2343</f>
        <v>39</v>
      </c>
      <c r="M2343" s="61" t="n">
        <f aca="false">L2343-I2343*K2343</f>
        <v>26</v>
      </c>
      <c r="N2343" s="57" t="n">
        <f aca="false">IF(COUNTIFS(E$2:E2343,E2343,C$2:C2343,C2343)=1,1,0)</f>
        <v>0</v>
      </c>
      <c r="O2343" s="57" t="n">
        <f aca="false">IF(COUNTIFS(E$2:E2343,E2343,C$2:C2343,C2343,D$2:D2343,D2343)=1,1,0)</f>
        <v>1</v>
      </c>
      <c r="P2343" s="57" t="n">
        <f aca="false">IF(AND(C2343=Calc!$C$3,OR(Calc!$C$4=0,D2343=Calc!$C$4)),ROW(),0)</f>
        <v>2343</v>
      </c>
    </row>
    <row r="2344" customFormat="false" ht="15" hidden="false" customHeight="false" outlineLevel="0" collapsed="false">
      <c r="A2344" s="57" t="s">
        <v>2909</v>
      </c>
      <c r="B2344" s="58" t="n">
        <v>45922</v>
      </c>
      <c r="C2344" s="57" t="n">
        <f aca="false">YEAR(B2344)</f>
        <v>2025</v>
      </c>
      <c r="D2344" s="57" t="n">
        <f aca="false">MONTH(B2344)</f>
        <v>9</v>
      </c>
      <c r="E2344" s="57" t="s">
        <v>338</v>
      </c>
      <c r="F2344" s="57" t="s">
        <v>78</v>
      </c>
      <c r="G2344" s="57" t="s">
        <v>54</v>
      </c>
      <c r="H2344" s="57" t="s">
        <v>55</v>
      </c>
      <c r="I2344" s="59" t="n">
        <v>1</v>
      </c>
      <c r="J2344" s="60" t="n">
        <v>64</v>
      </c>
      <c r="K2344" s="60" t="n">
        <v>25</v>
      </c>
      <c r="L2344" s="61" t="n">
        <f aca="false">I2344*J2344</f>
        <v>64</v>
      </c>
      <c r="M2344" s="61" t="n">
        <f aca="false">L2344-I2344*K2344</f>
        <v>39</v>
      </c>
      <c r="N2344" s="57" t="n">
        <f aca="false">IF(COUNTIFS(E$2:E2344,E2344,C$2:C2344,C2344)=1,1,0)</f>
        <v>0</v>
      </c>
      <c r="O2344" s="57" t="n">
        <f aca="false">IF(COUNTIFS(E$2:E2344,E2344,C$2:C2344,C2344,D$2:D2344,D2344)=1,1,0)</f>
        <v>0</v>
      </c>
      <c r="P2344" s="57" t="n">
        <f aca="false">IF(AND(C2344=Calc!$C$3,OR(Calc!$C$4=0,D2344=Calc!$C$4)),ROW(),0)</f>
        <v>2344</v>
      </c>
    </row>
    <row r="2345" customFormat="false" ht="15" hidden="false" customHeight="false" outlineLevel="0" collapsed="false">
      <c r="A2345" s="57" t="s">
        <v>2910</v>
      </c>
      <c r="B2345" s="58" t="n">
        <v>45923</v>
      </c>
      <c r="C2345" s="57" t="n">
        <f aca="false">YEAR(B2345)</f>
        <v>2025</v>
      </c>
      <c r="D2345" s="57" t="n">
        <f aca="false">MONTH(B2345)</f>
        <v>9</v>
      </c>
      <c r="E2345" s="57" t="s">
        <v>486</v>
      </c>
      <c r="F2345" s="57" t="s">
        <v>75</v>
      </c>
      <c r="G2345" s="57" t="s">
        <v>50</v>
      </c>
      <c r="H2345" s="57" t="s">
        <v>51</v>
      </c>
      <c r="I2345" s="59" t="n">
        <v>1</v>
      </c>
      <c r="J2345" s="60" t="n">
        <v>69</v>
      </c>
      <c r="K2345" s="60" t="n">
        <v>29</v>
      </c>
      <c r="L2345" s="61" t="n">
        <f aca="false">I2345*J2345</f>
        <v>69</v>
      </c>
      <c r="M2345" s="61" t="n">
        <f aca="false">L2345-I2345*K2345</f>
        <v>40</v>
      </c>
      <c r="N2345" s="57" t="n">
        <f aca="false">IF(COUNTIFS(E$2:E2345,E2345,C$2:C2345,C2345)=1,1,0)</f>
        <v>0</v>
      </c>
      <c r="O2345" s="57" t="n">
        <f aca="false">IF(COUNTIFS(E$2:E2345,E2345,C$2:C2345,C2345,D$2:D2345,D2345)=1,1,0)</f>
        <v>1</v>
      </c>
      <c r="P2345" s="57" t="n">
        <f aca="false">IF(AND(C2345=Calc!$C$3,OR(Calc!$C$4=0,D2345=Calc!$C$4)),ROW(),0)</f>
        <v>2345</v>
      </c>
    </row>
    <row r="2346" customFormat="false" ht="15" hidden="false" customHeight="false" outlineLevel="0" collapsed="false">
      <c r="A2346" s="57" t="s">
        <v>2911</v>
      </c>
      <c r="B2346" s="58" t="n">
        <v>45923</v>
      </c>
      <c r="C2346" s="57" t="n">
        <f aca="false">YEAR(B2346)</f>
        <v>2025</v>
      </c>
      <c r="D2346" s="57" t="n">
        <f aca="false">MONTH(B2346)</f>
        <v>9</v>
      </c>
      <c r="E2346" s="57" t="s">
        <v>238</v>
      </c>
      <c r="F2346" s="57" t="s">
        <v>78</v>
      </c>
      <c r="G2346" s="57" t="s">
        <v>35</v>
      </c>
      <c r="H2346" s="57" t="s">
        <v>34</v>
      </c>
      <c r="I2346" s="59" t="n">
        <v>1</v>
      </c>
      <c r="J2346" s="60" t="n">
        <v>89</v>
      </c>
      <c r="K2346" s="60" t="n">
        <v>41</v>
      </c>
      <c r="L2346" s="61" t="n">
        <f aca="false">I2346*J2346</f>
        <v>89</v>
      </c>
      <c r="M2346" s="61" t="n">
        <f aca="false">L2346-I2346*K2346</f>
        <v>48</v>
      </c>
      <c r="N2346" s="57" t="n">
        <f aca="false">IF(COUNTIFS(E$2:E2346,E2346,C$2:C2346,C2346)=1,1,0)</f>
        <v>0</v>
      </c>
      <c r="O2346" s="57" t="n">
        <f aca="false">IF(COUNTIFS(E$2:E2346,E2346,C$2:C2346,C2346,D$2:D2346,D2346)=1,1,0)</f>
        <v>1</v>
      </c>
      <c r="P2346" s="57" t="n">
        <f aca="false">IF(AND(C2346=Calc!$C$3,OR(Calc!$C$4=0,D2346=Calc!$C$4)),ROW(),0)</f>
        <v>2346</v>
      </c>
    </row>
    <row r="2347" customFormat="false" ht="15" hidden="false" customHeight="false" outlineLevel="0" collapsed="false">
      <c r="A2347" s="57" t="s">
        <v>2912</v>
      </c>
      <c r="B2347" s="58" t="n">
        <v>45923</v>
      </c>
      <c r="C2347" s="57" t="n">
        <f aca="false">YEAR(B2347)</f>
        <v>2025</v>
      </c>
      <c r="D2347" s="57" t="n">
        <f aca="false">MONTH(B2347)</f>
        <v>9</v>
      </c>
      <c r="E2347" s="57" t="s">
        <v>120</v>
      </c>
      <c r="F2347" s="57" t="s">
        <v>78</v>
      </c>
      <c r="G2347" s="57" t="s">
        <v>40</v>
      </c>
      <c r="H2347" s="57" t="s">
        <v>39</v>
      </c>
      <c r="I2347" s="59" t="n">
        <v>1</v>
      </c>
      <c r="J2347" s="60" t="n">
        <v>54</v>
      </c>
      <c r="K2347" s="60" t="n">
        <v>19</v>
      </c>
      <c r="L2347" s="61" t="n">
        <f aca="false">I2347*J2347</f>
        <v>54</v>
      </c>
      <c r="M2347" s="61" t="n">
        <f aca="false">L2347-I2347*K2347</f>
        <v>35</v>
      </c>
      <c r="N2347" s="57" t="n">
        <f aca="false">IF(COUNTIFS(E$2:E2347,E2347,C$2:C2347,C2347)=1,1,0)</f>
        <v>0</v>
      </c>
      <c r="O2347" s="57" t="n">
        <f aca="false">IF(COUNTIFS(E$2:E2347,E2347,C$2:C2347,C2347,D$2:D2347,D2347)=1,1,0)</f>
        <v>0</v>
      </c>
      <c r="P2347" s="57" t="n">
        <f aca="false">IF(AND(C2347=Calc!$C$3,OR(Calc!$C$4=0,D2347=Calc!$C$4)),ROW(),0)</f>
        <v>2347</v>
      </c>
    </row>
    <row r="2348" customFormat="false" ht="15" hidden="false" customHeight="false" outlineLevel="0" collapsed="false">
      <c r="A2348" s="57" t="s">
        <v>2913</v>
      </c>
      <c r="B2348" s="58" t="n">
        <v>45923</v>
      </c>
      <c r="C2348" s="57" t="n">
        <f aca="false">YEAR(B2348)</f>
        <v>2025</v>
      </c>
      <c r="D2348" s="57" t="n">
        <f aca="false">MONTH(B2348)</f>
        <v>9</v>
      </c>
      <c r="E2348" s="57" t="s">
        <v>386</v>
      </c>
      <c r="F2348" s="57" t="s">
        <v>78</v>
      </c>
      <c r="G2348" s="57" t="s">
        <v>40</v>
      </c>
      <c r="H2348" s="57" t="s">
        <v>39</v>
      </c>
      <c r="I2348" s="59" t="n">
        <v>1</v>
      </c>
      <c r="J2348" s="60" t="n">
        <v>54</v>
      </c>
      <c r="K2348" s="60" t="n">
        <v>19</v>
      </c>
      <c r="L2348" s="61" t="n">
        <f aca="false">I2348*J2348</f>
        <v>54</v>
      </c>
      <c r="M2348" s="61" t="n">
        <f aca="false">L2348-I2348*K2348</f>
        <v>35</v>
      </c>
      <c r="N2348" s="57" t="n">
        <f aca="false">IF(COUNTIFS(E$2:E2348,E2348,C$2:C2348,C2348)=1,1,0)</f>
        <v>0</v>
      </c>
      <c r="O2348" s="57" t="n">
        <f aca="false">IF(COUNTIFS(E$2:E2348,E2348,C$2:C2348,C2348,D$2:D2348,D2348)=1,1,0)</f>
        <v>1</v>
      </c>
      <c r="P2348" s="57" t="n">
        <f aca="false">IF(AND(C2348=Calc!$C$3,OR(Calc!$C$4=0,D2348=Calc!$C$4)),ROW(),0)</f>
        <v>2348</v>
      </c>
    </row>
    <row r="2349" customFormat="false" ht="15" hidden="false" customHeight="false" outlineLevel="0" collapsed="false">
      <c r="A2349" s="57" t="s">
        <v>2914</v>
      </c>
      <c r="B2349" s="58" t="n">
        <v>45923</v>
      </c>
      <c r="C2349" s="57" t="n">
        <f aca="false">YEAR(B2349)</f>
        <v>2025</v>
      </c>
      <c r="D2349" s="57" t="n">
        <f aca="false">MONTH(B2349)</f>
        <v>9</v>
      </c>
      <c r="E2349" s="57" t="s">
        <v>321</v>
      </c>
      <c r="F2349" s="57" t="s">
        <v>81</v>
      </c>
      <c r="G2349" s="57" t="s">
        <v>40</v>
      </c>
      <c r="H2349" s="57" t="s">
        <v>41</v>
      </c>
      <c r="I2349" s="59" t="n">
        <v>1</v>
      </c>
      <c r="J2349" s="60" t="n">
        <v>46</v>
      </c>
      <c r="K2349" s="60" t="n">
        <v>16</v>
      </c>
      <c r="L2349" s="61" t="n">
        <f aca="false">I2349*J2349</f>
        <v>46</v>
      </c>
      <c r="M2349" s="61" t="n">
        <f aca="false">L2349-I2349*K2349</f>
        <v>30</v>
      </c>
      <c r="N2349" s="57" t="n">
        <f aca="false">IF(COUNTIFS(E$2:E2349,E2349,C$2:C2349,C2349)=1,1,0)</f>
        <v>1</v>
      </c>
      <c r="O2349" s="57" t="n">
        <f aca="false">IF(COUNTIFS(E$2:E2349,E2349,C$2:C2349,C2349,D$2:D2349,D2349)=1,1,0)</f>
        <v>1</v>
      </c>
      <c r="P2349" s="57" t="n">
        <f aca="false">IF(AND(C2349=Calc!$C$3,OR(Calc!$C$4=0,D2349=Calc!$C$4)),ROW(),0)</f>
        <v>2349</v>
      </c>
    </row>
    <row r="2350" customFormat="false" ht="15" hidden="false" customHeight="false" outlineLevel="0" collapsed="false">
      <c r="A2350" s="57" t="s">
        <v>2915</v>
      </c>
      <c r="B2350" s="58" t="n">
        <v>45923</v>
      </c>
      <c r="C2350" s="57" t="n">
        <f aca="false">YEAR(B2350)</f>
        <v>2025</v>
      </c>
      <c r="D2350" s="57" t="n">
        <f aca="false">MONTH(B2350)</f>
        <v>9</v>
      </c>
      <c r="E2350" s="57" t="s">
        <v>338</v>
      </c>
      <c r="F2350" s="57" t="s">
        <v>78</v>
      </c>
      <c r="G2350" s="57" t="s">
        <v>45</v>
      </c>
      <c r="H2350" s="57" t="s">
        <v>48</v>
      </c>
      <c r="I2350" s="59" t="n">
        <v>2</v>
      </c>
      <c r="J2350" s="60" t="n">
        <v>99</v>
      </c>
      <c r="K2350" s="60" t="n">
        <v>38</v>
      </c>
      <c r="L2350" s="61" t="n">
        <f aca="false">I2350*J2350</f>
        <v>198</v>
      </c>
      <c r="M2350" s="61" t="n">
        <f aca="false">L2350-I2350*K2350</f>
        <v>122</v>
      </c>
      <c r="N2350" s="57" t="n">
        <f aca="false">IF(COUNTIFS(E$2:E2350,E2350,C$2:C2350,C2350)=1,1,0)</f>
        <v>0</v>
      </c>
      <c r="O2350" s="57" t="n">
        <f aca="false">IF(COUNTIFS(E$2:E2350,E2350,C$2:C2350,C2350,D$2:D2350,D2350)=1,1,0)</f>
        <v>0</v>
      </c>
      <c r="P2350" s="57" t="n">
        <f aca="false">IF(AND(C2350=Calc!$C$3,OR(Calc!$C$4=0,D2350=Calc!$C$4)),ROW(),0)</f>
        <v>2350</v>
      </c>
    </row>
    <row r="2351" customFormat="false" ht="15" hidden="false" customHeight="false" outlineLevel="0" collapsed="false">
      <c r="A2351" s="57" t="s">
        <v>2916</v>
      </c>
      <c r="B2351" s="58" t="n">
        <v>45924</v>
      </c>
      <c r="C2351" s="57" t="n">
        <f aca="false">YEAR(B2351)</f>
        <v>2025</v>
      </c>
      <c r="D2351" s="57" t="n">
        <f aca="false">MONTH(B2351)</f>
        <v>9</v>
      </c>
      <c r="E2351" s="57" t="s">
        <v>181</v>
      </c>
      <c r="F2351" s="57" t="s">
        <v>69</v>
      </c>
      <c r="G2351" s="57" t="s">
        <v>45</v>
      </c>
      <c r="H2351" s="57" t="s">
        <v>48</v>
      </c>
      <c r="I2351" s="59" t="n">
        <v>1</v>
      </c>
      <c r="J2351" s="60" t="n">
        <v>99</v>
      </c>
      <c r="K2351" s="60" t="n">
        <v>38</v>
      </c>
      <c r="L2351" s="61" t="n">
        <f aca="false">I2351*J2351</f>
        <v>99</v>
      </c>
      <c r="M2351" s="61" t="n">
        <f aca="false">L2351-I2351*K2351</f>
        <v>61</v>
      </c>
      <c r="N2351" s="57" t="n">
        <f aca="false">IF(COUNTIFS(E$2:E2351,E2351,C$2:C2351,C2351)=1,1,0)</f>
        <v>0</v>
      </c>
      <c r="O2351" s="57" t="n">
        <f aca="false">IF(COUNTIFS(E$2:E2351,E2351,C$2:C2351,C2351,D$2:D2351,D2351)=1,1,0)</f>
        <v>1</v>
      </c>
      <c r="P2351" s="57" t="n">
        <f aca="false">IF(AND(C2351=Calc!$C$3,OR(Calc!$C$4=0,D2351=Calc!$C$4)),ROW(),0)</f>
        <v>2351</v>
      </c>
    </row>
    <row r="2352" customFormat="false" ht="15" hidden="false" customHeight="false" outlineLevel="0" collapsed="false">
      <c r="A2352" s="57" t="s">
        <v>2917</v>
      </c>
      <c r="B2352" s="58" t="n">
        <v>45924</v>
      </c>
      <c r="C2352" s="57" t="n">
        <f aca="false">YEAR(B2352)</f>
        <v>2025</v>
      </c>
      <c r="D2352" s="57" t="n">
        <f aca="false">MONTH(B2352)</f>
        <v>9</v>
      </c>
      <c r="E2352" s="57" t="s">
        <v>1114</v>
      </c>
      <c r="F2352" s="57" t="s">
        <v>75</v>
      </c>
      <c r="G2352" s="57" t="s">
        <v>40</v>
      </c>
      <c r="H2352" s="57" t="s">
        <v>39</v>
      </c>
      <c r="I2352" s="59" t="n">
        <v>1</v>
      </c>
      <c r="J2352" s="60" t="n">
        <v>54</v>
      </c>
      <c r="K2352" s="60" t="n">
        <v>19</v>
      </c>
      <c r="L2352" s="61" t="n">
        <f aca="false">I2352*J2352</f>
        <v>54</v>
      </c>
      <c r="M2352" s="61" t="n">
        <f aca="false">L2352-I2352*K2352</f>
        <v>35</v>
      </c>
      <c r="N2352" s="57" t="n">
        <f aca="false">IF(COUNTIFS(E$2:E2352,E2352,C$2:C2352,C2352)=1,1,0)</f>
        <v>0</v>
      </c>
      <c r="O2352" s="57" t="n">
        <f aca="false">IF(COUNTIFS(E$2:E2352,E2352,C$2:C2352,C2352,D$2:D2352,D2352)=1,1,0)</f>
        <v>1</v>
      </c>
      <c r="P2352" s="57" t="n">
        <f aca="false">IF(AND(C2352=Calc!$C$3,OR(Calc!$C$4=0,D2352=Calc!$C$4)),ROW(),0)</f>
        <v>2352</v>
      </c>
    </row>
    <row r="2353" customFormat="false" ht="15" hidden="false" customHeight="false" outlineLevel="0" collapsed="false">
      <c r="A2353" s="57" t="s">
        <v>2918</v>
      </c>
      <c r="B2353" s="58" t="n">
        <v>45924</v>
      </c>
      <c r="C2353" s="57" t="n">
        <f aca="false">YEAR(B2353)</f>
        <v>2025</v>
      </c>
      <c r="D2353" s="57" t="n">
        <f aca="false">MONTH(B2353)</f>
        <v>9</v>
      </c>
      <c r="E2353" s="57" t="s">
        <v>108</v>
      </c>
      <c r="F2353" s="57" t="s">
        <v>75</v>
      </c>
      <c r="G2353" s="57" t="s">
        <v>40</v>
      </c>
      <c r="H2353" s="57" t="s">
        <v>41</v>
      </c>
      <c r="I2353" s="59" t="n">
        <v>3</v>
      </c>
      <c r="J2353" s="60" t="n">
        <v>46</v>
      </c>
      <c r="K2353" s="60" t="n">
        <v>16</v>
      </c>
      <c r="L2353" s="61" t="n">
        <f aca="false">I2353*J2353</f>
        <v>138</v>
      </c>
      <c r="M2353" s="61" t="n">
        <f aca="false">L2353-I2353*K2353</f>
        <v>90</v>
      </c>
      <c r="N2353" s="57" t="n">
        <f aca="false">IF(COUNTIFS(E$2:E2353,E2353,C$2:C2353,C2353)=1,1,0)</f>
        <v>0</v>
      </c>
      <c r="O2353" s="57" t="n">
        <f aca="false">IF(COUNTIFS(E$2:E2353,E2353,C$2:C2353,C2353,D$2:D2353,D2353)=1,1,0)</f>
        <v>0</v>
      </c>
      <c r="P2353" s="57" t="n">
        <f aca="false">IF(AND(C2353=Calc!$C$3,OR(Calc!$C$4=0,D2353=Calc!$C$4)),ROW(),0)</f>
        <v>2353</v>
      </c>
    </row>
    <row r="2354" customFormat="false" ht="15" hidden="false" customHeight="false" outlineLevel="0" collapsed="false">
      <c r="A2354" s="57" t="s">
        <v>2919</v>
      </c>
      <c r="B2354" s="58" t="n">
        <v>45924</v>
      </c>
      <c r="C2354" s="57" t="n">
        <f aca="false">YEAR(B2354)</f>
        <v>2025</v>
      </c>
      <c r="D2354" s="57" t="n">
        <f aca="false">MONTH(B2354)</f>
        <v>9</v>
      </c>
      <c r="E2354" s="57" t="s">
        <v>164</v>
      </c>
      <c r="F2354" s="57" t="s">
        <v>69</v>
      </c>
      <c r="G2354" s="57" t="s">
        <v>35</v>
      </c>
      <c r="H2354" s="57" t="s">
        <v>38</v>
      </c>
      <c r="I2354" s="59" t="n">
        <v>2</v>
      </c>
      <c r="J2354" s="60" t="n">
        <v>49</v>
      </c>
      <c r="K2354" s="60" t="n">
        <v>22</v>
      </c>
      <c r="L2354" s="61" t="n">
        <f aca="false">I2354*J2354</f>
        <v>98</v>
      </c>
      <c r="M2354" s="61" t="n">
        <f aca="false">L2354-I2354*K2354</f>
        <v>54</v>
      </c>
      <c r="N2354" s="57" t="n">
        <f aca="false">IF(COUNTIFS(E$2:E2354,E2354,C$2:C2354,C2354)=1,1,0)</f>
        <v>0</v>
      </c>
      <c r="O2354" s="57" t="n">
        <f aca="false">IF(COUNTIFS(E$2:E2354,E2354,C$2:C2354,C2354,D$2:D2354,D2354)=1,1,0)</f>
        <v>1</v>
      </c>
      <c r="P2354" s="57" t="n">
        <f aca="false">IF(AND(C2354=Calc!$C$3,OR(Calc!$C$4=0,D2354=Calc!$C$4)),ROW(),0)</f>
        <v>2354</v>
      </c>
    </row>
    <row r="2355" customFormat="false" ht="15" hidden="false" customHeight="false" outlineLevel="0" collapsed="false">
      <c r="A2355" s="57" t="s">
        <v>2920</v>
      </c>
      <c r="B2355" s="58" t="n">
        <v>45925</v>
      </c>
      <c r="C2355" s="57" t="n">
        <f aca="false">YEAR(B2355)</f>
        <v>2025</v>
      </c>
      <c r="D2355" s="57" t="n">
        <f aca="false">MONTH(B2355)</f>
        <v>9</v>
      </c>
      <c r="E2355" s="57" t="s">
        <v>525</v>
      </c>
      <c r="F2355" s="57" t="s">
        <v>78</v>
      </c>
      <c r="G2355" s="57" t="s">
        <v>45</v>
      </c>
      <c r="H2355" s="57" t="s">
        <v>47</v>
      </c>
      <c r="I2355" s="59" t="n">
        <v>1</v>
      </c>
      <c r="J2355" s="60" t="n">
        <v>34</v>
      </c>
      <c r="K2355" s="60" t="n">
        <v>12</v>
      </c>
      <c r="L2355" s="61" t="n">
        <f aca="false">I2355*J2355</f>
        <v>34</v>
      </c>
      <c r="M2355" s="61" t="n">
        <f aca="false">L2355-I2355*K2355</f>
        <v>22</v>
      </c>
      <c r="N2355" s="57" t="n">
        <f aca="false">IF(COUNTIFS(E$2:E2355,E2355,C$2:C2355,C2355)=1,1,0)</f>
        <v>0</v>
      </c>
      <c r="O2355" s="57" t="n">
        <f aca="false">IF(COUNTIFS(E$2:E2355,E2355,C$2:C2355,C2355,D$2:D2355,D2355)=1,1,0)</f>
        <v>1</v>
      </c>
      <c r="P2355" s="57" t="n">
        <f aca="false">IF(AND(C2355=Calc!$C$3,OR(Calc!$C$4=0,D2355=Calc!$C$4)),ROW(),0)</f>
        <v>2355</v>
      </c>
    </row>
    <row r="2356" customFormat="false" ht="15" hidden="false" customHeight="false" outlineLevel="0" collapsed="false">
      <c r="A2356" s="57" t="s">
        <v>2921</v>
      </c>
      <c r="B2356" s="58" t="n">
        <v>45925</v>
      </c>
      <c r="C2356" s="57" t="n">
        <f aca="false">YEAR(B2356)</f>
        <v>2025</v>
      </c>
      <c r="D2356" s="57" t="n">
        <f aca="false">MONTH(B2356)</f>
        <v>9</v>
      </c>
      <c r="E2356" s="57" t="s">
        <v>372</v>
      </c>
      <c r="F2356" s="57" t="s">
        <v>81</v>
      </c>
      <c r="G2356" s="57" t="s">
        <v>35</v>
      </c>
      <c r="H2356" s="57" t="s">
        <v>38</v>
      </c>
      <c r="I2356" s="59" t="n">
        <v>1</v>
      </c>
      <c r="J2356" s="60" t="n">
        <v>49</v>
      </c>
      <c r="K2356" s="60" t="n">
        <v>22</v>
      </c>
      <c r="L2356" s="61" t="n">
        <f aca="false">I2356*J2356</f>
        <v>49</v>
      </c>
      <c r="M2356" s="61" t="n">
        <f aca="false">L2356-I2356*K2356</f>
        <v>27</v>
      </c>
      <c r="N2356" s="57" t="n">
        <f aca="false">IF(COUNTIFS(E$2:E2356,E2356,C$2:C2356,C2356)=1,1,0)</f>
        <v>0</v>
      </c>
      <c r="O2356" s="57" t="n">
        <f aca="false">IF(COUNTIFS(E$2:E2356,E2356,C$2:C2356,C2356,D$2:D2356,D2356)=1,1,0)</f>
        <v>0</v>
      </c>
      <c r="P2356" s="57" t="n">
        <f aca="false">IF(AND(C2356=Calc!$C$3,OR(Calc!$C$4=0,D2356=Calc!$C$4)),ROW(),0)</f>
        <v>2356</v>
      </c>
    </row>
    <row r="2357" customFormat="false" ht="15" hidden="false" customHeight="false" outlineLevel="0" collapsed="false">
      <c r="A2357" s="57" t="s">
        <v>2922</v>
      </c>
      <c r="B2357" s="58" t="n">
        <v>45925</v>
      </c>
      <c r="C2357" s="57" t="n">
        <f aca="false">YEAR(B2357)</f>
        <v>2025</v>
      </c>
      <c r="D2357" s="57" t="n">
        <f aca="false">MONTH(B2357)</f>
        <v>9</v>
      </c>
      <c r="E2357" s="57" t="s">
        <v>321</v>
      </c>
      <c r="F2357" s="57" t="s">
        <v>81</v>
      </c>
      <c r="G2357" s="57" t="s">
        <v>35</v>
      </c>
      <c r="H2357" s="57" t="s">
        <v>38</v>
      </c>
      <c r="I2357" s="59" t="n">
        <v>1</v>
      </c>
      <c r="J2357" s="60" t="n">
        <v>49</v>
      </c>
      <c r="K2357" s="60" t="n">
        <v>22</v>
      </c>
      <c r="L2357" s="61" t="n">
        <f aca="false">I2357*J2357</f>
        <v>49</v>
      </c>
      <c r="M2357" s="61" t="n">
        <f aca="false">L2357-I2357*K2357</f>
        <v>27</v>
      </c>
      <c r="N2357" s="57" t="n">
        <f aca="false">IF(COUNTIFS(E$2:E2357,E2357,C$2:C2357,C2357)=1,1,0)</f>
        <v>0</v>
      </c>
      <c r="O2357" s="57" t="n">
        <f aca="false">IF(COUNTIFS(E$2:E2357,E2357,C$2:C2357,C2357,D$2:D2357,D2357)=1,1,0)</f>
        <v>0</v>
      </c>
      <c r="P2357" s="57" t="n">
        <f aca="false">IF(AND(C2357=Calc!$C$3,OR(Calc!$C$4=0,D2357=Calc!$C$4)),ROW(),0)</f>
        <v>2357</v>
      </c>
    </row>
    <row r="2358" customFormat="false" ht="15" hidden="false" customHeight="false" outlineLevel="0" collapsed="false">
      <c r="A2358" s="57" t="s">
        <v>2923</v>
      </c>
      <c r="B2358" s="58" t="n">
        <v>45925</v>
      </c>
      <c r="C2358" s="57" t="n">
        <f aca="false">YEAR(B2358)</f>
        <v>2025</v>
      </c>
      <c r="D2358" s="57" t="n">
        <f aca="false">MONTH(B2358)</f>
        <v>9</v>
      </c>
      <c r="E2358" s="57" t="s">
        <v>430</v>
      </c>
      <c r="F2358" s="57" t="s">
        <v>72</v>
      </c>
      <c r="G2358" s="57" t="s">
        <v>35</v>
      </c>
      <c r="H2358" s="57" t="s">
        <v>34</v>
      </c>
      <c r="I2358" s="59" t="n">
        <v>1</v>
      </c>
      <c r="J2358" s="60" t="n">
        <v>89</v>
      </c>
      <c r="K2358" s="60" t="n">
        <v>41</v>
      </c>
      <c r="L2358" s="61" t="n">
        <f aca="false">I2358*J2358</f>
        <v>89</v>
      </c>
      <c r="M2358" s="61" t="n">
        <f aca="false">L2358-I2358*K2358</f>
        <v>48</v>
      </c>
      <c r="N2358" s="57" t="n">
        <f aca="false">IF(COUNTIFS(E$2:E2358,E2358,C$2:C2358,C2358)=1,1,0)</f>
        <v>0</v>
      </c>
      <c r="O2358" s="57" t="n">
        <f aca="false">IF(COUNTIFS(E$2:E2358,E2358,C$2:C2358,C2358,D$2:D2358,D2358)=1,1,0)</f>
        <v>1</v>
      </c>
      <c r="P2358" s="57" t="n">
        <f aca="false">IF(AND(C2358=Calc!$C$3,OR(Calc!$C$4=0,D2358=Calc!$C$4)),ROW(),0)</f>
        <v>2358</v>
      </c>
    </row>
    <row r="2359" customFormat="false" ht="15" hidden="false" customHeight="false" outlineLevel="0" collapsed="false">
      <c r="A2359" s="57" t="s">
        <v>2924</v>
      </c>
      <c r="B2359" s="58" t="n">
        <v>45926</v>
      </c>
      <c r="C2359" s="57" t="n">
        <f aca="false">YEAR(B2359)</f>
        <v>2025</v>
      </c>
      <c r="D2359" s="57" t="n">
        <f aca="false">MONTH(B2359)</f>
        <v>9</v>
      </c>
      <c r="E2359" s="57" t="s">
        <v>208</v>
      </c>
      <c r="F2359" s="57" t="s">
        <v>81</v>
      </c>
      <c r="G2359" s="57" t="s">
        <v>35</v>
      </c>
      <c r="H2359" s="57" t="s">
        <v>34</v>
      </c>
      <c r="I2359" s="59" t="n">
        <v>2</v>
      </c>
      <c r="J2359" s="60" t="n">
        <v>89</v>
      </c>
      <c r="K2359" s="60" t="n">
        <v>41</v>
      </c>
      <c r="L2359" s="61" t="n">
        <f aca="false">I2359*J2359</f>
        <v>178</v>
      </c>
      <c r="M2359" s="61" t="n">
        <f aca="false">L2359-I2359*K2359</f>
        <v>96</v>
      </c>
      <c r="N2359" s="57" t="n">
        <f aca="false">IF(COUNTIFS(E$2:E2359,E2359,C$2:C2359,C2359)=1,1,0)</f>
        <v>0</v>
      </c>
      <c r="O2359" s="57" t="n">
        <f aca="false">IF(COUNTIFS(E$2:E2359,E2359,C$2:C2359,C2359,D$2:D2359,D2359)=1,1,0)</f>
        <v>1</v>
      </c>
      <c r="P2359" s="57" t="n">
        <f aca="false">IF(AND(C2359=Calc!$C$3,OR(Calc!$C$4=0,D2359=Calc!$C$4)),ROW(),0)</f>
        <v>2359</v>
      </c>
    </row>
    <row r="2360" customFormat="false" ht="15" hidden="false" customHeight="false" outlineLevel="0" collapsed="false">
      <c r="A2360" s="57" t="s">
        <v>2925</v>
      </c>
      <c r="B2360" s="58" t="n">
        <v>45926</v>
      </c>
      <c r="C2360" s="57" t="n">
        <f aca="false">YEAR(B2360)</f>
        <v>2025</v>
      </c>
      <c r="D2360" s="57" t="n">
        <f aca="false">MONTH(B2360)</f>
        <v>9</v>
      </c>
      <c r="E2360" s="57" t="s">
        <v>201</v>
      </c>
      <c r="F2360" s="57" t="s">
        <v>75</v>
      </c>
      <c r="G2360" s="57" t="s">
        <v>45</v>
      </c>
      <c r="H2360" s="57" t="s">
        <v>47</v>
      </c>
      <c r="I2360" s="59" t="n">
        <v>2</v>
      </c>
      <c r="J2360" s="60" t="n">
        <v>34</v>
      </c>
      <c r="K2360" s="60" t="n">
        <v>12</v>
      </c>
      <c r="L2360" s="61" t="n">
        <f aca="false">I2360*J2360</f>
        <v>68</v>
      </c>
      <c r="M2360" s="61" t="n">
        <f aca="false">L2360-I2360*K2360</f>
        <v>44</v>
      </c>
      <c r="N2360" s="57" t="n">
        <f aca="false">IF(COUNTIFS(E$2:E2360,E2360,C$2:C2360,C2360)=1,1,0)</f>
        <v>0</v>
      </c>
      <c r="O2360" s="57" t="n">
        <f aca="false">IF(COUNTIFS(E$2:E2360,E2360,C$2:C2360,C2360,D$2:D2360,D2360)=1,1,0)</f>
        <v>1</v>
      </c>
      <c r="P2360" s="57" t="n">
        <f aca="false">IF(AND(C2360=Calc!$C$3,OR(Calc!$C$4=0,D2360=Calc!$C$4)),ROW(),0)</f>
        <v>2360</v>
      </c>
    </row>
    <row r="2361" customFormat="false" ht="15" hidden="false" customHeight="false" outlineLevel="0" collapsed="false">
      <c r="A2361" s="57" t="s">
        <v>2926</v>
      </c>
      <c r="B2361" s="58" t="n">
        <v>45926</v>
      </c>
      <c r="C2361" s="57" t="n">
        <f aca="false">YEAR(B2361)</f>
        <v>2025</v>
      </c>
      <c r="D2361" s="57" t="n">
        <f aca="false">MONTH(B2361)</f>
        <v>9</v>
      </c>
      <c r="E2361" s="57" t="s">
        <v>1728</v>
      </c>
      <c r="F2361" s="57" t="s">
        <v>75</v>
      </c>
      <c r="G2361" s="57" t="s">
        <v>50</v>
      </c>
      <c r="H2361" s="57" t="s">
        <v>51</v>
      </c>
      <c r="I2361" s="59" t="n">
        <v>1</v>
      </c>
      <c r="J2361" s="60" t="n">
        <v>69</v>
      </c>
      <c r="K2361" s="60" t="n">
        <v>29</v>
      </c>
      <c r="L2361" s="61" t="n">
        <f aca="false">I2361*J2361</f>
        <v>69</v>
      </c>
      <c r="M2361" s="61" t="n">
        <f aca="false">L2361-I2361*K2361</f>
        <v>40</v>
      </c>
      <c r="N2361" s="57" t="n">
        <f aca="false">IF(COUNTIFS(E$2:E2361,E2361,C$2:C2361,C2361)=1,1,0)</f>
        <v>0</v>
      </c>
      <c r="O2361" s="57" t="n">
        <f aca="false">IF(COUNTIFS(E$2:E2361,E2361,C$2:C2361,C2361,D$2:D2361,D2361)=1,1,0)</f>
        <v>1</v>
      </c>
      <c r="P2361" s="57" t="n">
        <f aca="false">IF(AND(C2361=Calc!$C$3,OR(Calc!$C$4=0,D2361=Calc!$C$4)),ROW(),0)</f>
        <v>2361</v>
      </c>
    </row>
    <row r="2362" customFormat="false" ht="15" hidden="false" customHeight="false" outlineLevel="0" collapsed="false">
      <c r="A2362" s="57" t="s">
        <v>2927</v>
      </c>
      <c r="B2362" s="58" t="n">
        <v>45926</v>
      </c>
      <c r="C2362" s="57" t="n">
        <f aca="false">YEAR(B2362)</f>
        <v>2025</v>
      </c>
      <c r="D2362" s="57" t="n">
        <f aca="false">MONTH(B2362)</f>
        <v>9</v>
      </c>
      <c r="E2362" s="57" t="s">
        <v>1304</v>
      </c>
      <c r="F2362" s="57" t="s">
        <v>78</v>
      </c>
      <c r="G2362" s="57" t="s">
        <v>45</v>
      </c>
      <c r="H2362" s="57" t="s">
        <v>47</v>
      </c>
      <c r="I2362" s="59" t="n">
        <v>1</v>
      </c>
      <c r="J2362" s="60" t="n">
        <v>34</v>
      </c>
      <c r="K2362" s="60" t="n">
        <v>12</v>
      </c>
      <c r="L2362" s="61" t="n">
        <f aca="false">I2362*J2362</f>
        <v>34</v>
      </c>
      <c r="M2362" s="61" t="n">
        <f aca="false">L2362-I2362*K2362</f>
        <v>22</v>
      </c>
      <c r="N2362" s="57" t="n">
        <f aca="false">IF(COUNTIFS(E$2:E2362,E2362,C$2:C2362,C2362)=1,1,0)</f>
        <v>0</v>
      </c>
      <c r="O2362" s="57" t="n">
        <f aca="false">IF(COUNTIFS(E$2:E2362,E2362,C$2:C2362,C2362,D$2:D2362,D2362)=1,1,0)</f>
        <v>1</v>
      </c>
      <c r="P2362" s="57" t="n">
        <f aca="false">IF(AND(C2362=Calc!$C$3,OR(Calc!$C$4=0,D2362=Calc!$C$4)),ROW(),0)</f>
        <v>2362</v>
      </c>
    </row>
    <row r="2363" customFormat="false" ht="15" hidden="false" customHeight="false" outlineLevel="0" collapsed="false">
      <c r="A2363" s="57" t="s">
        <v>2928</v>
      </c>
      <c r="B2363" s="58" t="n">
        <v>45927</v>
      </c>
      <c r="C2363" s="57" t="n">
        <f aca="false">YEAR(B2363)</f>
        <v>2025</v>
      </c>
      <c r="D2363" s="57" t="n">
        <f aca="false">MONTH(B2363)</f>
        <v>9</v>
      </c>
      <c r="E2363" s="57" t="s">
        <v>393</v>
      </c>
      <c r="F2363" s="57" t="s">
        <v>78</v>
      </c>
      <c r="G2363" s="57" t="s">
        <v>40</v>
      </c>
      <c r="H2363" s="57" t="s">
        <v>43</v>
      </c>
      <c r="I2363" s="59" t="n">
        <v>1</v>
      </c>
      <c r="J2363" s="60" t="n">
        <v>29</v>
      </c>
      <c r="K2363" s="60" t="n">
        <v>9</v>
      </c>
      <c r="L2363" s="61" t="n">
        <f aca="false">I2363*J2363</f>
        <v>29</v>
      </c>
      <c r="M2363" s="61" t="n">
        <f aca="false">L2363-I2363*K2363</f>
        <v>20</v>
      </c>
      <c r="N2363" s="57" t="n">
        <f aca="false">IF(COUNTIFS(E$2:E2363,E2363,C$2:C2363,C2363)=1,1,0)</f>
        <v>0</v>
      </c>
      <c r="O2363" s="57" t="n">
        <f aca="false">IF(COUNTIFS(E$2:E2363,E2363,C$2:C2363,C2363,D$2:D2363,D2363)=1,1,0)</f>
        <v>0</v>
      </c>
      <c r="P2363" s="57" t="n">
        <f aca="false">IF(AND(C2363=Calc!$C$3,OR(Calc!$C$4=0,D2363=Calc!$C$4)),ROW(),0)</f>
        <v>2363</v>
      </c>
    </row>
    <row r="2364" customFormat="false" ht="15" hidden="false" customHeight="false" outlineLevel="0" collapsed="false">
      <c r="A2364" s="57" t="s">
        <v>2929</v>
      </c>
      <c r="B2364" s="58" t="n">
        <v>45927</v>
      </c>
      <c r="C2364" s="57" t="n">
        <f aca="false">YEAR(B2364)</f>
        <v>2025</v>
      </c>
      <c r="D2364" s="57" t="n">
        <f aca="false">MONTH(B2364)</f>
        <v>9</v>
      </c>
      <c r="E2364" s="57" t="s">
        <v>275</v>
      </c>
      <c r="F2364" s="57" t="s">
        <v>75</v>
      </c>
      <c r="G2364" s="57" t="s">
        <v>35</v>
      </c>
      <c r="H2364" s="57" t="s">
        <v>34</v>
      </c>
      <c r="I2364" s="59" t="n">
        <v>1</v>
      </c>
      <c r="J2364" s="60" t="n">
        <v>89</v>
      </c>
      <c r="K2364" s="60" t="n">
        <v>41</v>
      </c>
      <c r="L2364" s="61" t="n">
        <f aca="false">I2364*J2364</f>
        <v>89</v>
      </c>
      <c r="M2364" s="61" t="n">
        <f aca="false">L2364-I2364*K2364</f>
        <v>48</v>
      </c>
      <c r="N2364" s="57" t="n">
        <f aca="false">IF(COUNTIFS(E$2:E2364,E2364,C$2:C2364,C2364)=1,1,0)</f>
        <v>0</v>
      </c>
      <c r="O2364" s="57" t="n">
        <f aca="false">IF(COUNTIFS(E$2:E2364,E2364,C$2:C2364,C2364,D$2:D2364,D2364)=1,1,0)</f>
        <v>0</v>
      </c>
      <c r="P2364" s="57" t="n">
        <f aca="false">IF(AND(C2364=Calc!$C$3,OR(Calc!$C$4=0,D2364=Calc!$C$4)),ROW(),0)</f>
        <v>2364</v>
      </c>
    </row>
    <row r="2365" customFormat="false" ht="15" hidden="false" customHeight="false" outlineLevel="0" collapsed="false">
      <c r="A2365" s="57" t="s">
        <v>2930</v>
      </c>
      <c r="B2365" s="58" t="n">
        <v>45927</v>
      </c>
      <c r="C2365" s="57" t="n">
        <f aca="false">YEAR(B2365)</f>
        <v>2025</v>
      </c>
      <c r="D2365" s="57" t="n">
        <f aca="false">MONTH(B2365)</f>
        <v>9</v>
      </c>
      <c r="E2365" s="57" t="s">
        <v>68</v>
      </c>
      <c r="F2365" s="57" t="s">
        <v>69</v>
      </c>
      <c r="G2365" s="57" t="s">
        <v>54</v>
      </c>
      <c r="H2365" s="57" t="s">
        <v>56</v>
      </c>
      <c r="I2365" s="59" t="n">
        <v>1</v>
      </c>
      <c r="J2365" s="60" t="n">
        <v>42</v>
      </c>
      <c r="K2365" s="60" t="n">
        <v>17</v>
      </c>
      <c r="L2365" s="61" t="n">
        <f aca="false">I2365*J2365</f>
        <v>42</v>
      </c>
      <c r="M2365" s="61" t="n">
        <f aca="false">L2365-I2365*K2365</f>
        <v>25</v>
      </c>
      <c r="N2365" s="57" t="n">
        <f aca="false">IF(COUNTIFS(E$2:E2365,E2365,C$2:C2365,C2365)=1,1,0)</f>
        <v>0</v>
      </c>
      <c r="O2365" s="57" t="n">
        <f aca="false">IF(COUNTIFS(E$2:E2365,E2365,C$2:C2365,C2365,D$2:D2365,D2365)=1,1,0)</f>
        <v>0</v>
      </c>
      <c r="P2365" s="57" t="n">
        <f aca="false">IF(AND(C2365=Calc!$C$3,OR(Calc!$C$4=0,D2365=Calc!$C$4)),ROW(),0)</f>
        <v>2365</v>
      </c>
    </row>
    <row r="2366" customFormat="false" ht="15" hidden="false" customHeight="false" outlineLevel="0" collapsed="false">
      <c r="A2366" s="57" t="s">
        <v>2931</v>
      </c>
      <c r="B2366" s="58" t="n">
        <v>45927</v>
      </c>
      <c r="C2366" s="57" t="n">
        <f aca="false">YEAR(B2366)</f>
        <v>2025</v>
      </c>
      <c r="D2366" s="57" t="n">
        <f aca="false">MONTH(B2366)</f>
        <v>9</v>
      </c>
      <c r="E2366" s="57" t="s">
        <v>179</v>
      </c>
      <c r="F2366" s="57" t="s">
        <v>78</v>
      </c>
      <c r="G2366" s="57" t="s">
        <v>35</v>
      </c>
      <c r="H2366" s="57" t="s">
        <v>34</v>
      </c>
      <c r="I2366" s="59" t="n">
        <v>1</v>
      </c>
      <c r="J2366" s="60" t="n">
        <v>89</v>
      </c>
      <c r="K2366" s="60" t="n">
        <v>41</v>
      </c>
      <c r="L2366" s="61" t="n">
        <f aca="false">I2366*J2366</f>
        <v>89</v>
      </c>
      <c r="M2366" s="61" t="n">
        <f aca="false">L2366-I2366*K2366</f>
        <v>48</v>
      </c>
      <c r="N2366" s="57" t="n">
        <f aca="false">IF(COUNTIFS(E$2:E2366,E2366,C$2:C2366,C2366)=1,1,0)</f>
        <v>0</v>
      </c>
      <c r="O2366" s="57" t="n">
        <f aca="false">IF(COUNTIFS(E$2:E2366,E2366,C$2:C2366,C2366,D$2:D2366,D2366)=1,1,0)</f>
        <v>1</v>
      </c>
      <c r="P2366" s="57" t="n">
        <f aca="false">IF(AND(C2366=Calc!$C$3,OR(Calc!$C$4=0,D2366=Calc!$C$4)),ROW(),0)</f>
        <v>2366</v>
      </c>
    </row>
    <row r="2367" customFormat="false" ht="15" hidden="false" customHeight="false" outlineLevel="0" collapsed="false">
      <c r="A2367" s="57" t="s">
        <v>2932</v>
      </c>
      <c r="B2367" s="58" t="n">
        <v>45927</v>
      </c>
      <c r="C2367" s="57" t="n">
        <f aca="false">YEAR(B2367)</f>
        <v>2025</v>
      </c>
      <c r="D2367" s="57" t="n">
        <f aca="false">MONTH(B2367)</f>
        <v>9</v>
      </c>
      <c r="E2367" s="57" t="s">
        <v>93</v>
      </c>
      <c r="F2367" s="57" t="s">
        <v>81</v>
      </c>
      <c r="G2367" s="57" t="s">
        <v>40</v>
      </c>
      <c r="H2367" s="57" t="s">
        <v>42</v>
      </c>
      <c r="I2367" s="59" t="n">
        <v>1</v>
      </c>
      <c r="J2367" s="60" t="n">
        <v>79</v>
      </c>
      <c r="K2367" s="60" t="n">
        <v>31</v>
      </c>
      <c r="L2367" s="61" t="n">
        <f aca="false">I2367*J2367</f>
        <v>79</v>
      </c>
      <c r="M2367" s="61" t="n">
        <f aca="false">L2367-I2367*K2367</f>
        <v>48</v>
      </c>
      <c r="N2367" s="57" t="n">
        <f aca="false">IF(COUNTIFS(E$2:E2367,E2367,C$2:C2367,C2367)=1,1,0)</f>
        <v>0</v>
      </c>
      <c r="O2367" s="57" t="n">
        <f aca="false">IF(COUNTIFS(E$2:E2367,E2367,C$2:C2367,C2367,D$2:D2367,D2367)=1,1,0)</f>
        <v>1</v>
      </c>
      <c r="P2367" s="57" t="n">
        <f aca="false">IF(AND(C2367=Calc!$C$3,OR(Calc!$C$4=0,D2367=Calc!$C$4)),ROW(),0)</f>
        <v>2367</v>
      </c>
    </row>
    <row r="2368" customFormat="false" ht="15" hidden="false" customHeight="false" outlineLevel="0" collapsed="false">
      <c r="A2368" s="57" t="s">
        <v>2933</v>
      </c>
      <c r="B2368" s="58" t="n">
        <v>45928</v>
      </c>
      <c r="C2368" s="57" t="n">
        <f aca="false">YEAR(B2368)</f>
        <v>2025</v>
      </c>
      <c r="D2368" s="57" t="n">
        <f aca="false">MONTH(B2368)</f>
        <v>9</v>
      </c>
      <c r="E2368" s="57" t="s">
        <v>1326</v>
      </c>
      <c r="F2368" s="57" t="s">
        <v>69</v>
      </c>
      <c r="G2368" s="57" t="s">
        <v>35</v>
      </c>
      <c r="H2368" s="57" t="s">
        <v>38</v>
      </c>
      <c r="I2368" s="59" t="n">
        <v>2</v>
      </c>
      <c r="J2368" s="60" t="n">
        <v>49</v>
      </c>
      <c r="K2368" s="60" t="n">
        <v>22</v>
      </c>
      <c r="L2368" s="61" t="n">
        <f aca="false">I2368*J2368</f>
        <v>98</v>
      </c>
      <c r="M2368" s="61" t="n">
        <f aca="false">L2368-I2368*K2368</f>
        <v>54</v>
      </c>
      <c r="N2368" s="57" t="n">
        <f aca="false">IF(COUNTIFS(E$2:E2368,E2368,C$2:C2368,C2368)=1,1,0)</f>
        <v>0</v>
      </c>
      <c r="O2368" s="57" t="n">
        <f aca="false">IF(COUNTIFS(E$2:E2368,E2368,C$2:C2368,C2368,D$2:D2368,D2368)=1,1,0)</f>
        <v>0</v>
      </c>
      <c r="P2368" s="57" t="n">
        <f aca="false">IF(AND(C2368=Calc!$C$3,OR(Calc!$C$4=0,D2368=Calc!$C$4)),ROW(),0)</f>
        <v>2368</v>
      </c>
    </row>
    <row r="2369" customFormat="false" ht="15" hidden="false" customHeight="false" outlineLevel="0" collapsed="false">
      <c r="A2369" s="57" t="s">
        <v>2934</v>
      </c>
      <c r="B2369" s="58" t="n">
        <v>45928</v>
      </c>
      <c r="C2369" s="57" t="n">
        <f aca="false">YEAR(B2369)</f>
        <v>2025</v>
      </c>
      <c r="D2369" s="57" t="n">
        <f aca="false">MONTH(B2369)</f>
        <v>9</v>
      </c>
      <c r="E2369" s="57" t="s">
        <v>843</v>
      </c>
      <c r="F2369" s="57" t="s">
        <v>75</v>
      </c>
      <c r="G2369" s="57" t="s">
        <v>54</v>
      </c>
      <c r="H2369" s="57" t="s">
        <v>55</v>
      </c>
      <c r="I2369" s="59" t="n">
        <v>1</v>
      </c>
      <c r="J2369" s="60" t="n">
        <v>64</v>
      </c>
      <c r="K2369" s="60" t="n">
        <v>25</v>
      </c>
      <c r="L2369" s="61" t="n">
        <f aca="false">I2369*J2369</f>
        <v>64</v>
      </c>
      <c r="M2369" s="61" t="n">
        <f aca="false">L2369-I2369*K2369</f>
        <v>39</v>
      </c>
      <c r="N2369" s="57" t="n">
        <f aca="false">IF(COUNTIFS(E$2:E2369,E2369,C$2:C2369,C2369)=1,1,0)</f>
        <v>0</v>
      </c>
      <c r="O2369" s="57" t="n">
        <f aca="false">IF(COUNTIFS(E$2:E2369,E2369,C$2:C2369,C2369,D$2:D2369,D2369)=1,1,0)</f>
        <v>1</v>
      </c>
      <c r="P2369" s="57" t="n">
        <f aca="false">IF(AND(C2369=Calc!$C$3,OR(Calc!$C$4=0,D2369=Calc!$C$4)),ROW(),0)</f>
        <v>2369</v>
      </c>
    </row>
    <row r="2370" customFormat="false" ht="15" hidden="false" customHeight="false" outlineLevel="0" collapsed="false">
      <c r="A2370" s="57" t="s">
        <v>2935</v>
      </c>
      <c r="B2370" s="58" t="n">
        <v>45929</v>
      </c>
      <c r="C2370" s="57" t="n">
        <f aca="false">YEAR(B2370)</f>
        <v>2025</v>
      </c>
      <c r="D2370" s="57" t="n">
        <f aca="false">MONTH(B2370)</f>
        <v>9</v>
      </c>
      <c r="E2370" s="57" t="s">
        <v>196</v>
      </c>
      <c r="F2370" s="57" t="s">
        <v>69</v>
      </c>
      <c r="G2370" s="57" t="s">
        <v>45</v>
      </c>
      <c r="H2370" s="57" t="s">
        <v>46</v>
      </c>
      <c r="I2370" s="59" t="n">
        <v>2</v>
      </c>
      <c r="J2370" s="60" t="n">
        <v>149</v>
      </c>
      <c r="K2370" s="60" t="n">
        <v>71</v>
      </c>
      <c r="L2370" s="61" t="n">
        <f aca="false">I2370*J2370</f>
        <v>298</v>
      </c>
      <c r="M2370" s="61" t="n">
        <f aca="false">L2370-I2370*K2370</f>
        <v>156</v>
      </c>
      <c r="N2370" s="57" t="n">
        <f aca="false">IF(COUNTIFS(E$2:E2370,E2370,C$2:C2370,C2370)=1,1,0)</f>
        <v>0</v>
      </c>
      <c r="O2370" s="57" t="n">
        <f aca="false">IF(COUNTIFS(E$2:E2370,E2370,C$2:C2370,C2370,D$2:D2370,D2370)=1,1,0)</f>
        <v>1</v>
      </c>
      <c r="P2370" s="57" t="n">
        <f aca="false">IF(AND(C2370=Calc!$C$3,OR(Calc!$C$4=0,D2370=Calc!$C$4)),ROW(),0)</f>
        <v>2370</v>
      </c>
    </row>
    <row r="2371" customFormat="false" ht="15" hidden="false" customHeight="false" outlineLevel="0" collapsed="false">
      <c r="A2371" s="57" t="s">
        <v>2936</v>
      </c>
      <c r="B2371" s="58" t="n">
        <v>45929</v>
      </c>
      <c r="C2371" s="57" t="n">
        <f aca="false">YEAR(B2371)</f>
        <v>2025</v>
      </c>
      <c r="D2371" s="57" t="n">
        <f aca="false">MONTH(B2371)</f>
        <v>9</v>
      </c>
      <c r="E2371" s="57" t="s">
        <v>2730</v>
      </c>
      <c r="F2371" s="57" t="s">
        <v>81</v>
      </c>
      <c r="G2371" s="57" t="s">
        <v>35</v>
      </c>
      <c r="H2371" s="57" t="s">
        <v>38</v>
      </c>
      <c r="I2371" s="59" t="n">
        <v>1</v>
      </c>
      <c r="J2371" s="60" t="n">
        <v>49</v>
      </c>
      <c r="K2371" s="60" t="n">
        <v>22</v>
      </c>
      <c r="L2371" s="61" t="n">
        <f aca="false">I2371*J2371</f>
        <v>49</v>
      </c>
      <c r="M2371" s="61" t="n">
        <f aca="false">L2371-I2371*K2371</f>
        <v>27</v>
      </c>
      <c r="N2371" s="57" t="n">
        <f aca="false">IF(COUNTIFS(E$2:E2371,E2371,C$2:C2371,C2371)=1,1,0)</f>
        <v>0</v>
      </c>
      <c r="O2371" s="57" t="n">
        <f aca="false">IF(COUNTIFS(E$2:E2371,E2371,C$2:C2371,C2371,D$2:D2371,D2371)=1,1,0)</f>
        <v>1</v>
      </c>
      <c r="P2371" s="57" t="n">
        <f aca="false">IF(AND(C2371=Calc!$C$3,OR(Calc!$C$4=0,D2371=Calc!$C$4)),ROW(),0)</f>
        <v>2371</v>
      </c>
    </row>
    <row r="2372" customFormat="false" ht="15" hidden="false" customHeight="false" outlineLevel="0" collapsed="false">
      <c r="A2372" s="57" t="s">
        <v>2937</v>
      </c>
      <c r="B2372" s="58" t="n">
        <v>45929</v>
      </c>
      <c r="C2372" s="57" t="n">
        <f aca="false">YEAR(B2372)</f>
        <v>2025</v>
      </c>
      <c r="D2372" s="57" t="n">
        <f aca="false">MONTH(B2372)</f>
        <v>9</v>
      </c>
      <c r="E2372" s="57" t="s">
        <v>490</v>
      </c>
      <c r="F2372" s="57" t="s">
        <v>72</v>
      </c>
      <c r="G2372" s="57" t="s">
        <v>54</v>
      </c>
      <c r="H2372" s="57" t="s">
        <v>55</v>
      </c>
      <c r="I2372" s="59" t="n">
        <v>1</v>
      </c>
      <c r="J2372" s="60" t="n">
        <v>64</v>
      </c>
      <c r="K2372" s="60" t="n">
        <v>25</v>
      </c>
      <c r="L2372" s="61" t="n">
        <f aca="false">I2372*J2372</f>
        <v>64</v>
      </c>
      <c r="M2372" s="61" t="n">
        <f aca="false">L2372-I2372*K2372</f>
        <v>39</v>
      </c>
      <c r="N2372" s="57" t="n">
        <f aca="false">IF(COUNTIFS(E$2:E2372,E2372,C$2:C2372,C2372)=1,1,0)</f>
        <v>1</v>
      </c>
      <c r="O2372" s="57" t="n">
        <f aca="false">IF(COUNTIFS(E$2:E2372,E2372,C$2:C2372,C2372,D$2:D2372,D2372)=1,1,0)</f>
        <v>1</v>
      </c>
      <c r="P2372" s="57" t="n">
        <f aca="false">IF(AND(C2372=Calc!$C$3,OR(Calc!$C$4=0,D2372=Calc!$C$4)),ROW(),0)</f>
        <v>2372</v>
      </c>
    </row>
    <row r="2373" customFormat="false" ht="15" hidden="false" customHeight="false" outlineLevel="0" collapsed="false">
      <c r="A2373" s="57" t="s">
        <v>2938</v>
      </c>
      <c r="B2373" s="58" t="n">
        <v>45930</v>
      </c>
      <c r="C2373" s="57" t="n">
        <f aca="false">YEAR(B2373)</f>
        <v>2025</v>
      </c>
      <c r="D2373" s="57" t="n">
        <f aca="false">MONTH(B2373)</f>
        <v>9</v>
      </c>
      <c r="E2373" s="57" t="s">
        <v>142</v>
      </c>
      <c r="F2373" s="57" t="s">
        <v>78</v>
      </c>
      <c r="G2373" s="57" t="s">
        <v>40</v>
      </c>
      <c r="H2373" s="57" t="s">
        <v>41</v>
      </c>
      <c r="I2373" s="59" t="n">
        <v>1</v>
      </c>
      <c r="J2373" s="60" t="n">
        <v>46</v>
      </c>
      <c r="K2373" s="60" t="n">
        <v>16</v>
      </c>
      <c r="L2373" s="61" t="n">
        <f aca="false">I2373*J2373</f>
        <v>46</v>
      </c>
      <c r="M2373" s="61" t="n">
        <f aca="false">L2373-I2373*K2373</f>
        <v>30</v>
      </c>
      <c r="N2373" s="57" t="n">
        <f aca="false">IF(COUNTIFS(E$2:E2373,E2373,C$2:C2373,C2373)=1,1,0)</f>
        <v>0</v>
      </c>
      <c r="O2373" s="57" t="n">
        <f aca="false">IF(COUNTIFS(E$2:E2373,E2373,C$2:C2373,C2373,D$2:D2373,D2373)=1,1,0)</f>
        <v>1</v>
      </c>
      <c r="P2373" s="57" t="n">
        <f aca="false">IF(AND(C2373=Calc!$C$3,OR(Calc!$C$4=0,D2373=Calc!$C$4)),ROW(),0)</f>
        <v>2373</v>
      </c>
    </row>
    <row r="2374" customFormat="false" ht="15" hidden="false" customHeight="false" outlineLevel="0" collapsed="false">
      <c r="A2374" s="57" t="s">
        <v>2939</v>
      </c>
      <c r="B2374" s="58" t="n">
        <v>45931</v>
      </c>
      <c r="C2374" s="57" t="n">
        <f aca="false">YEAR(B2374)</f>
        <v>2025</v>
      </c>
      <c r="D2374" s="57" t="n">
        <f aca="false">MONTH(B2374)</f>
        <v>10</v>
      </c>
      <c r="E2374" s="57" t="s">
        <v>1260</v>
      </c>
      <c r="F2374" s="57" t="s">
        <v>72</v>
      </c>
      <c r="G2374" s="57" t="s">
        <v>45</v>
      </c>
      <c r="H2374" s="57" t="s">
        <v>47</v>
      </c>
      <c r="I2374" s="59" t="n">
        <v>1</v>
      </c>
      <c r="J2374" s="60" t="n">
        <v>34</v>
      </c>
      <c r="K2374" s="60" t="n">
        <v>12</v>
      </c>
      <c r="L2374" s="61" t="n">
        <f aca="false">I2374*J2374</f>
        <v>34</v>
      </c>
      <c r="M2374" s="61" t="n">
        <f aca="false">L2374-I2374*K2374</f>
        <v>22</v>
      </c>
      <c r="N2374" s="57" t="n">
        <f aca="false">IF(COUNTIFS(E$2:E2374,E2374,C$2:C2374,C2374)=1,1,0)</f>
        <v>0</v>
      </c>
      <c r="O2374" s="57" t="n">
        <f aca="false">IF(COUNTIFS(E$2:E2374,E2374,C$2:C2374,C2374,D$2:D2374,D2374)=1,1,0)</f>
        <v>1</v>
      </c>
      <c r="P2374" s="57" t="n">
        <f aca="false">IF(AND(C2374=Calc!$C$3,OR(Calc!$C$4=0,D2374=Calc!$C$4)),ROW(),0)</f>
        <v>2374</v>
      </c>
    </row>
    <row r="2375" customFormat="false" ht="15" hidden="false" customHeight="false" outlineLevel="0" collapsed="false">
      <c r="A2375" s="57" t="s">
        <v>2940</v>
      </c>
      <c r="B2375" s="58" t="n">
        <v>45931</v>
      </c>
      <c r="C2375" s="57" t="n">
        <f aca="false">YEAR(B2375)</f>
        <v>2025</v>
      </c>
      <c r="D2375" s="57" t="n">
        <f aca="false">MONTH(B2375)</f>
        <v>10</v>
      </c>
      <c r="E2375" s="57" t="s">
        <v>361</v>
      </c>
      <c r="F2375" s="57" t="s">
        <v>69</v>
      </c>
      <c r="G2375" s="57" t="s">
        <v>45</v>
      </c>
      <c r="H2375" s="57" t="s">
        <v>44</v>
      </c>
      <c r="I2375" s="59" t="n">
        <v>1</v>
      </c>
      <c r="J2375" s="60" t="n">
        <v>119</v>
      </c>
      <c r="K2375" s="60" t="n">
        <v>63</v>
      </c>
      <c r="L2375" s="61" t="n">
        <f aca="false">I2375*J2375</f>
        <v>119</v>
      </c>
      <c r="M2375" s="61" t="n">
        <f aca="false">L2375-I2375*K2375</f>
        <v>56</v>
      </c>
      <c r="N2375" s="57" t="n">
        <f aca="false">IF(COUNTIFS(E$2:E2375,E2375,C$2:C2375,C2375)=1,1,0)</f>
        <v>0</v>
      </c>
      <c r="O2375" s="57" t="n">
        <f aca="false">IF(COUNTIFS(E$2:E2375,E2375,C$2:C2375,C2375,D$2:D2375,D2375)=1,1,0)</f>
        <v>1</v>
      </c>
      <c r="P2375" s="57" t="n">
        <f aca="false">IF(AND(C2375=Calc!$C$3,OR(Calc!$C$4=0,D2375=Calc!$C$4)),ROW(),0)</f>
        <v>2375</v>
      </c>
    </row>
    <row r="2376" customFormat="false" ht="15" hidden="false" customHeight="false" outlineLevel="0" collapsed="false">
      <c r="A2376" s="57" t="s">
        <v>2941</v>
      </c>
      <c r="B2376" s="58" t="n">
        <v>45931</v>
      </c>
      <c r="C2376" s="57" t="n">
        <f aca="false">YEAR(B2376)</f>
        <v>2025</v>
      </c>
      <c r="D2376" s="57" t="n">
        <f aca="false">MONTH(B2376)</f>
        <v>10</v>
      </c>
      <c r="E2376" s="57" t="s">
        <v>779</v>
      </c>
      <c r="F2376" s="57" t="s">
        <v>75</v>
      </c>
      <c r="G2376" s="57" t="s">
        <v>35</v>
      </c>
      <c r="H2376" s="57" t="s">
        <v>37</v>
      </c>
      <c r="I2376" s="59" t="n">
        <v>2</v>
      </c>
      <c r="J2376" s="60" t="n">
        <v>59</v>
      </c>
      <c r="K2376" s="60" t="n">
        <v>27</v>
      </c>
      <c r="L2376" s="61" t="n">
        <f aca="false">I2376*J2376</f>
        <v>118</v>
      </c>
      <c r="M2376" s="61" t="n">
        <f aca="false">L2376-I2376*K2376</f>
        <v>64</v>
      </c>
      <c r="N2376" s="57" t="n">
        <f aca="false">IF(COUNTIFS(E$2:E2376,E2376,C$2:C2376,C2376)=1,1,0)</f>
        <v>0</v>
      </c>
      <c r="O2376" s="57" t="n">
        <f aca="false">IF(COUNTIFS(E$2:E2376,E2376,C$2:C2376,C2376,D$2:D2376,D2376)=1,1,0)</f>
        <v>1</v>
      </c>
      <c r="P2376" s="57" t="n">
        <f aca="false">IF(AND(C2376=Calc!$C$3,OR(Calc!$C$4=0,D2376=Calc!$C$4)),ROW(),0)</f>
        <v>2376</v>
      </c>
    </row>
    <row r="2377" customFormat="false" ht="15" hidden="false" customHeight="false" outlineLevel="0" collapsed="false">
      <c r="A2377" s="57" t="s">
        <v>2942</v>
      </c>
      <c r="B2377" s="58" t="n">
        <v>45931</v>
      </c>
      <c r="C2377" s="57" t="n">
        <f aca="false">YEAR(B2377)</f>
        <v>2025</v>
      </c>
      <c r="D2377" s="57" t="n">
        <f aca="false">MONTH(B2377)</f>
        <v>10</v>
      </c>
      <c r="E2377" s="57" t="s">
        <v>506</v>
      </c>
      <c r="F2377" s="57" t="s">
        <v>78</v>
      </c>
      <c r="G2377" s="57" t="s">
        <v>40</v>
      </c>
      <c r="H2377" s="57" t="s">
        <v>39</v>
      </c>
      <c r="I2377" s="59" t="n">
        <v>1</v>
      </c>
      <c r="J2377" s="60" t="n">
        <v>54</v>
      </c>
      <c r="K2377" s="60" t="n">
        <v>19</v>
      </c>
      <c r="L2377" s="61" t="n">
        <f aca="false">I2377*J2377</f>
        <v>54</v>
      </c>
      <c r="M2377" s="61" t="n">
        <f aca="false">L2377-I2377*K2377</f>
        <v>35</v>
      </c>
      <c r="N2377" s="57" t="n">
        <f aca="false">IF(COUNTIFS(E$2:E2377,E2377,C$2:C2377,C2377)=1,1,0)</f>
        <v>0</v>
      </c>
      <c r="O2377" s="57" t="n">
        <f aca="false">IF(COUNTIFS(E$2:E2377,E2377,C$2:C2377,C2377,D$2:D2377,D2377)=1,1,0)</f>
        <v>1</v>
      </c>
      <c r="P2377" s="57" t="n">
        <f aca="false">IF(AND(C2377=Calc!$C$3,OR(Calc!$C$4=0,D2377=Calc!$C$4)),ROW(),0)</f>
        <v>2377</v>
      </c>
    </row>
    <row r="2378" customFormat="false" ht="15" hidden="false" customHeight="false" outlineLevel="0" collapsed="false">
      <c r="A2378" s="57" t="s">
        <v>2943</v>
      </c>
      <c r="B2378" s="58" t="n">
        <v>45931</v>
      </c>
      <c r="C2378" s="57" t="n">
        <f aca="false">YEAR(B2378)</f>
        <v>2025</v>
      </c>
      <c r="D2378" s="57" t="n">
        <f aca="false">MONTH(B2378)</f>
        <v>10</v>
      </c>
      <c r="E2378" s="57" t="s">
        <v>114</v>
      </c>
      <c r="F2378" s="57" t="s">
        <v>69</v>
      </c>
      <c r="G2378" s="57" t="s">
        <v>45</v>
      </c>
      <c r="H2378" s="57" t="s">
        <v>47</v>
      </c>
      <c r="I2378" s="59" t="n">
        <v>1</v>
      </c>
      <c r="J2378" s="60" t="n">
        <v>34</v>
      </c>
      <c r="K2378" s="60" t="n">
        <v>12</v>
      </c>
      <c r="L2378" s="61" t="n">
        <f aca="false">I2378*J2378</f>
        <v>34</v>
      </c>
      <c r="M2378" s="61" t="n">
        <f aca="false">L2378-I2378*K2378</f>
        <v>22</v>
      </c>
      <c r="N2378" s="57" t="n">
        <f aca="false">IF(COUNTIFS(E$2:E2378,E2378,C$2:C2378,C2378)=1,1,0)</f>
        <v>0</v>
      </c>
      <c r="O2378" s="57" t="n">
        <f aca="false">IF(COUNTIFS(E$2:E2378,E2378,C$2:C2378,C2378,D$2:D2378,D2378)=1,1,0)</f>
        <v>1</v>
      </c>
      <c r="P2378" s="57" t="n">
        <f aca="false">IF(AND(C2378=Calc!$C$3,OR(Calc!$C$4=0,D2378=Calc!$C$4)),ROW(),0)</f>
        <v>2378</v>
      </c>
    </row>
    <row r="2379" customFormat="false" ht="15" hidden="false" customHeight="false" outlineLevel="0" collapsed="false">
      <c r="A2379" s="57" t="s">
        <v>2944</v>
      </c>
      <c r="B2379" s="58" t="n">
        <v>45932</v>
      </c>
      <c r="C2379" s="57" t="n">
        <f aca="false">YEAR(B2379)</f>
        <v>2025</v>
      </c>
      <c r="D2379" s="57" t="n">
        <f aca="false">MONTH(B2379)</f>
        <v>10</v>
      </c>
      <c r="E2379" s="57" t="s">
        <v>361</v>
      </c>
      <c r="F2379" s="57" t="s">
        <v>69</v>
      </c>
      <c r="G2379" s="57" t="s">
        <v>45</v>
      </c>
      <c r="H2379" s="57" t="s">
        <v>48</v>
      </c>
      <c r="I2379" s="59" t="n">
        <v>1</v>
      </c>
      <c r="J2379" s="60" t="n">
        <v>99</v>
      </c>
      <c r="K2379" s="60" t="n">
        <v>38</v>
      </c>
      <c r="L2379" s="61" t="n">
        <f aca="false">I2379*J2379</f>
        <v>99</v>
      </c>
      <c r="M2379" s="61" t="n">
        <f aca="false">L2379-I2379*K2379</f>
        <v>61</v>
      </c>
      <c r="N2379" s="57" t="n">
        <f aca="false">IF(COUNTIFS(E$2:E2379,E2379,C$2:C2379,C2379)=1,1,0)</f>
        <v>0</v>
      </c>
      <c r="O2379" s="57" t="n">
        <f aca="false">IF(COUNTIFS(E$2:E2379,E2379,C$2:C2379,C2379,D$2:D2379,D2379)=1,1,0)</f>
        <v>0</v>
      </c>
      <c r="P2379" s="57" t="n">
        <f aca="false">IF(AND(C2379=Calc!$C$3,OR(Calc!$C$4=0,D2379=Calc!$C$4)),ROW(),0)</f>
        <v>2379</v>
      </c>
    </row>
    <row r="2380" customFormat="false" ht="15" hidden="false" customHeight="false" outlineLevel="0" collapsed="false">
      <c r="A2380" s="57" t="s">
        <v>2945</v>
      </c>
      <c r="B2380" s="58" t="n">
        <v>45932</v>
      </c>
      <c r="C2380" s="57" t="n">
        <f aca="false">YEAR(B2380)</f>
        <v>2025</v>
      </c>
      <c r="D2380" s="57" t="n">
        <f aca="false">MONTH(B2380)</f>
        <v>10</v>
      </c>
      <c r="E2380" s="57" t="s">
        <v>973</v>
      </c>
      <c r="F2380" s="57" t="s">
        <v>78</v>
      </c>
      <c r="G2380" s="57" t="s">
        <v>35</v>
      </c>
      <c r="H2380" s="57" t="s">
        <v>34</v>
      </c>
      <c r="I2380" s="59" t="n">
        <v>1</v>
      </c>
      <c r="J2380" s="60" t="n">
        <v>89</v>
      </c>
      <c r="K2380" s="60" t="n">
        <v>41</v>
      </c>
      <c r="L2380" s="61" t="n">
        <f aca="false">I2380*J2380</f>
        <v>89</v>
      </c>
      <c r="M2380" s="61" t="n">
        <f aca="false">L2380-I2380*K2380</f>
        <v>48</v>
      </c>
      <c r="N2380" s="57" t="n">
        <f aca="false">IF(COUNTIFS(E$2:E2380,E2380,C$2:C2380,C2380)=1,1,0)</f>
        <v>0</v>
      </c>
      <c r="O2380" s="57" t="n">
        <f aca="false">IF(COUNTIFS(E$2:E2380,E2380,C$2:C2380,C2380,D$2:D2380,D2380)=1,1,0)</f>
        <v>1</v>
      </c>
      <c r="P2380" s="57" t="n">
        <f aca="false">IF(AND(C2380=Calc!$C$3,OR(Calc!$C$4=0,D2380=Calc!$C$4)),ROW(),0)</f>
        <v>2380</v>
      </c>
    </row>
    <row r="2381" customFormat="false" ht="15" hidden="false" customHeight="false" outlineLevel="0" collapsed="false">
      <c r="A2381" s="57" t="s">
        <v>2946</v>
      </c>
      <c r="B2381" s="58" t="n">
        <v>45932</v>
      </c>
      <c r="C2381" s="57" t="n">
        <f aca="false">YEAR(B2381)</f>
        <v>2025</v>
      </c>
      <c r="D2381" s="57" t="n">
        <f aca="false">MONTH(B2381)</f>
        <v>10</v>
      </c>
      <c r="E2381" s="57" t="s">
        <v>406</v>
      </c>
      <c r="F2381" s="57" t="s">
        <v>69</v>
      </c>
      <c r="G2381" s="57" t="s">
        <v>35</v>
      </c>
      <c r="H2381" s="57" t="s">
        <v>37</v>
      </c>
      <c r="I2381" s="59" t="n">
        <v>1</v>
      </c>
      <c r="J2381" s="60" t="n">
        <v>59</v>
      </c>
      <c r="K2381" s="60" t="n">
        <v>27</v>
      </c>
      <c r="L2381" s="61" t="n">
        <f aca="false">I2381*J2381</f>
        <v>59</v>
      </c>
      <c r="M2381" s="61" t="n">
        <f aca="false">L2381-I2381*K2381</f>
        <v>32</v>
      </c>
      <c r="N2381" s="57" t="n">
        <f aca="false">IF(COUNTIFS(E$2:E2381,E2381,C$2:C2381,C2381)=1,1,0)</f>
        <v>1</v>
      </c>
      <c r="O2381" s="57" t="n">
        <f aca="false">IF(COUNTIFS(E$2:E2381,E2381,C$2:C2381,C2381,D$2:D2381,D2381)=1,1,0)</f>
        <v>1</v>
      </c>
      <c r="P2381" s="57" t="n">
        <f aca="false">IF(AND(C2381=Calc!$C$3,OR(Calc!$C$4=0,D2381=Calc!$C$4)),ROW(),0)</f>
        <v>2381</v>
      </c>
    </row>
    <row r="2382" customFormat="false" ht="15" hidden="false" customHeight="false" outlineLevel="0" collapsed="false">
      <c r="A2382" s="57" t="s">
        <v>2947</v>
      </c>
      <c r="B2382" s="58" t="n">
        <v>45932</v>
      </c>
      <c r="C2382" s="57" t="n">
        <f aca="false">YEAR(B2382)</f>
        <v>2025</v>
      </c>
      <c r="D2382" s="57" t="n">
        <f aca="false">MONTH(B2382)</f>
        <v>10</v>
      </c>
      <c r="E2382" s="57" t="s">
        <v>1114</v>
      </c>
      <c r="F2382" s="57" t="s">
        <v>75</v>
      </c>
      <c r="G2382" s="57" t="s">
        <v>40</v>
      </c>
      <c r="H2382" s="57" t="s">
        <v>39</v>
      </c>
      <c r="I2382" s="59" t="n">
        <v>1</v>
      </c>
      <c r="J2382" s="60" t="n">
        <v>54</v>
      </c>
      <c r="K2382" s="60" t="n">
        <v>19</v>
      </c>
      <c r="L2382" s="61" t="n">
        <f aca="false">I2382*J2382</f>
        <v>54</v>
      </c>
      <c r="M2382" s="61" t="n">
        <f aca="false">L2382-I2382*K2382</f>
        <v>35</v>
      </c>
      <c r="N2382" s="57" t="n">
        <f aca="false">IF(COUNTIFS(E$2:E2382,E2382,C$2:C2382,C2382)=1,1,0)</f>
        <v>0</v>
      </c>
      <c r="O2382" s="57" t="n">
        <f aca="false">IF(COUNTIFS(E$2:E2382,E2382,C$2:C2382,C2382,D$2:D2382,D2382)=1,1,0)</f>
        <v>1</v>
      </c>
      <c r="P2382" s="57" t="n">
        <f aca="false">IF(AND(C2382=Calc!$C$3,OR(Calc!$C$4=0,D2382=Calc!$C$4)),ROW(),0)</f>
        <v>2382</v>
      </c>
    </row>
    <row r="2383" customFormat="false" ht="15" hidden="false" customHeight="false" outlineLevel="0" collapsed="false">
      <c r="A2383" s="57" t="s">
        <v>2948</v>
      </c>
      <c r="B2383" s="58" t="n">
        <v>45932</v>
      </c>
      <c r="C2383" s="57" t="n">
        <f aca="false">YEAR(B2383)</f>
        <v>2025</v>
      </c>
      <c r="D2383" s="57" t="n">
        <f aca="false">MONTH(B2383)</f>
        <v>10</v>
      </c>
      <c r="E2383" s="57" t="s">
        <v>374</v>
      </c>
      <c r="F2383" s="57" t="s">
        <v>69</v>
      </c>
      <c r="G2383" s="57" t="s">
        <v>35</v>
      </c>
      <c r="H2383" s="57" t="s">
        <v>34</v>
      </c>
      <c r="I2383" s="59" t="n">
        <v>1</v>
      </c>
      <c r="J2383" s="60" t="n">
        <v>89</v>
      </c>
      <c r="K2383" s="60" t="n">
        <v>41</v>
      </c>
      <c r="L2383" s="61" t="n">
        <f aca="false">I2383*J2383</f>
        <v>89</v>
      </c>
      <c r="M2383" s="61" t="n">
        <f aca="false">L2383-I2383*K2383</f>
        <v>48</v>
      </c>
      <c r="N2383" s="57" t="n">
        <f aca="false">IF(COUNTIFS(E$2:E2383,E2383,C$2:C2383,C2383)=1,1,0)</f>
        <v>0</v>
      </c>
      <c r="O2383" s="57" t="n">
        <f aca="false">IF(COUNTIFS(E$2:E2383,E2383,C$2:C2383,C2383,D$2:D2383,D2383)=1,1,0)</f>
        <v>1</v>
      </c>
      <c r="P2383" s="57" t="n">
        <f aca="false">IF(AND(C2383=Calc!$C$3,OR(Calc!$C$4=0,D2383=Calc!$C$4)),ROW(),0)</f>
        <v>2383</v>
      </c>
    </row>
    <row r="2384" customFormat="false" ht="15" hidden="false" customHeight="false" outlineLevel="0" collapsed="false">
      <c r="A2384" s="57" t="s">
        <v>2949</v>
      </c>
      <c r="B2384" s="58" t="n">
        <v>45932</v>
      </c>
      <c r="C2384" s="57" t="n">
        <f aca="false">YEAR(B2384)</f>
        <v>2025</v>
      </c>
      <c r="D2384" s="57" t="n">
        <f aca="false">MONTH(B2384)</f>
        <v>10</v>
      </c>
      <c r="E2384" s="57" t="s">
        <v>175</v>
      </c>
      <c r="F2384" s="57" t="s">
        <v>75</v>
      </c>
      <c r="G2384" s="57" t="s">
        <v>45</v>
      </c>
      <c r="H2384" s="57" t="s">
        <v>44</v>
      </c>
      <c r="I2384" s="59" t="n">
        <v>1</v>
      </c>
      <c r="J2384" s="60" t="n">
        <v>119</v>
      </c>
      <c r="K2384" s="60" t="n">
        <v>63</v>
      </c>
      <c r="L2384" s="61" t="n">
        <f aca="false">I2384*J2384</f>
        <v>119</v>
      </c>
      <c r="M2384" s="61" t="n">
        <f aca="false">L2384-I2384*K2384</f>
        <v>56</v>
      </c>
      <c r="N2384" s="57" t="n">
        <f aca="false">IF(COUNTIFS(E$2:E2384,E2384,C$2:C2384,C2384)=1,1,0)</f>
        <v>0</v>
      </c>
      <c r="O2384" s="57" t="n">
        <f aca="false">IF(COUNTIFS(E$2:E2384,E2384,C$2:C2384,C2384,D$2:D2384,D2384)=1,1,0)</f>
        <v>1</v>
      </c>
      <c r="P2384" s="57" t="n">
        <f aca="false">IF(AND(C2384=Calc!$C$3,OR(Calc!$C$4=0,D2384=Calc!$C$4)),ROW(),0)</f>
        <v>2384</v>
      </c>
    </row>
    <row r="2385" customFormat="false" ht="15" hidden="false" customHeight="false" outlineLevel="0" collapsed="false">
      <c r="A2385" s="57" t="s">
        <v>2950</v>
      </c>
      <c r="B2385" s="58" t="n">
        <v>45932</v>
      </c>
      <c r="C2385" s="57" t="n">
        <f aca="false">YEAR(B2385)</f>
        <v>2025</v>
      </c>
      <c r="D2385" s="57" t="n">
        <f aca="false">MONTH(B2385)</f>
        <v>10</v>
      </c>
      <c r="E2385" s="57" t="s">
        <v>229</v>
      </c>
      <c r="F2385" s="57" t="s">
        <v>81</v>
      </c>
      <c r="G2385" s="57" t="s">
        <v>35</v>
      </c>
      <c r="H2385" s="57" t="s">
        <v>34</v>
      </c>
      <c r="I2385" s="59" t="n">
        <v>2</v>
      </c>
      <c r="J2385" s="60" t="n">
        <v>89</v>
      </c>
      <c r="K2385" s="60" t="n">
        <v>41</v>
      </c>
      <c r="L2385" s="61" t="n">
        <f aca="false">I2385*J2385</f>
        <v>178</v>
      </c>
      <c r="M2385" s="61" t="n">
        <f aca="false">L2385-I2385*K2385</f>
        <v>96</v>
      </c>
      <c r="N2385" s="57" t="n">
        <f aca="false">IF(COUNTIFS(E$2:E2385,E2385,C$2:C2385,C2385)=1,1,0)</f>
        <v>0</v>
      </c>
      <c r="O2385" s="57" t="n">
        <f aca="false">IF(COUNTIFS(E$2:E2385,E2385,C$2:C2385,C2385,D$2:D2385,D2385)=1,1,0)</f>
        <v>1</v>
      </c>
      <c r="P2385" s="57" t="n">
        <f aca="false">IF(AND(C2385=Calc!$C$3,OR(Calc!$C$4=0,D2385=Calc!$C$4)),ROW(),0)</f>
        <v>2385</v>
      </c>
    </row>
    <row r="2386" customFormat="false" ht="15" hidden="false" customHeight="false" outlineLevel="0" collapsed="false">
      <c r="A2386" s="57" t="s">
        <v>2951</v>
      </c>
      <c r="B2386" s="58" t="n">
        <v>45933</v>
      </c>
      <c r="C2386" s="57" t="n">
        <f aca="false">YEAR(B2386)</f>
        <v>2025</v>
      </c>
      <c r="D2386" s="57" t="n">
        <f aca="false">MONTH(B2386)</f>
        <v>10</v>
      </c>
      <c r="E2386" s="57" t="s">
        <v>265</v>
      </c>
      <c r="F2386" s="57" t="s">
        <v>78</v>
      </c>
      <c r="G2386" s="57" t="s">
        <v>54</v>
      </c>
      <c r="H2386" s="57" t="s">
        <v>56</v>
      </c>
      <c r="I2386" s="59" t="n">
        <v>1</v>
      </c>
      <c r="J2386" s="60" t="n">
        <v>42</v>
      </c>
      <c r="K2386" s="60" t="n">
        <v>17</v>
      </c>
      <c r="L2386" s="61" t="n">
        <f aca="false">I2386*J2386</f>
        <v>42</v>
      </c>
      <c r="M2386" s="61" t="n">
        <f aca="false">L2386-I2386*K2386</f>
        <v>25</v>
      </c>
      <c r="N2386" s="57" t="n">
        <f aca="false">IF(COUNTIFS(E$2:E2386,E2386,C$2:C2386,C2386)=1,1,0)</f>
        <v>0</v>
      </c>
      <c r="O2386" s="57" t="n">
        <f aca="false">IF(COUNTIFS(E$2:E2386,E2386,C$2:C2386,C2386,D$2:D2386,D2386)=1,1,0)</f>
        <v>1</v>
      </c>
      <c r="P2386" s="57" t="n">
        <f aca="false">IF(AND(C2386=Calc!$C$3,OR(Calc!$C$4=0,D2386=Calc!$C$4)),ROW(),0)</f>
        <v>2386</v>
      </c>
    </row>
    <row r="2387" customFormat="false" ht="15" hidden="false" customHeight="false" outlineLevel="0" collapsed="false">
      <c r="A2387" s="57" t="s">
        <v>2952</v>
      </c>
      <c r="B2387" s="58" t="n">
        <v>45933</v>
      </c>
      <c r="C2387" s="57" t="n">
        <f aca="false">YEAR(B2387)</f>
        <v>2025</v>
      </c>
      <c r="D2387" s="57" t="n">
        <f aca="false">MONTH(B2387)</f>
        <v>10</v>
      </c>
      <c r="E2387" s="57" t="s">
        <v>500</v>
      </c>
      <c r="F2387" s="57" t="s">
        <v>72</v>
      </c>
      <c r="G2387" s="57" t="s">
        <v>40</v>
      </c>
      <c r="H2387" s="57" t="s">
        <v>39</v>
      </c>
      <c r="I2387" s="59" t="n">
        <v>3</v>
      </c>
      <c r="J2387" s="60" t="n">
        <v>54</v>
      </c>
      <c r="K2387" s="60" t="n">
        <v>19</v>
      </c>
      <c r="L2387" s="61" t="n">
        <f aca="false">I2387*J2387</f>
        <v>162</v>
      </c>
      <c r="M2387" s="61" t="n">
        <f aca="false">L2387-I2387*K2387</f>
        <v>105</v>
      </c>
      <c r="N2387" s="57" t="n">
        <f aca="false">IF(COUNTIFS(E$2:E2387,E2387,C$2:C2387,C2387)=1,1,0)</f>
        <v>0</v>
      </c>
      <c r="O2387" s="57" t="n">
        <f aca="false">IF(COUNTIFS(E$2:E2387,E2387,C$2:C2387,C2387,D$2:D2387,D2387)=1,1,0)</f>
        <v>1</v>
      </c>
      <c r="P2387" s="57" t="n">
        <f aca="false">IF(AND(C2387=Calc!$C$3,OR(Calc!$C$4=0,D2387=Calc!$C$4)),ROW(),0)</f>
        <v>2387</v>
      </c>
    </row>
    <row r="2388" customFormat="false" ht="15" hidden="false" customHeight="false" outlineLevel="0" collapsed="false">
      <c r="A2388" s="57" t="s">
        <v>2953</v>
      </c>
      <c r="B2388" s="58" t="n">
        <v>45933</v>
      </c>
      <c r="C2388" s="57" t="n">
        <f aca="false">YEAR(B2388)</f>
        <v>2025</v>
      </c>
      <c r="D2388" s="57" t="n">
        <f aca="false">MONTH(B2388)</f>
        <v>10</v>
      </c>
      <c r="E2388" s="57" t="s">
        <v>357</v>
      </c>
      <c r="F2388" s="57" t="s">
        <v>69</v>
      </c>
      <c r="G2388" s="57" t="s">
        <v>50</v>
      </c>
      <c r="H2388" s="57" t="s">
        <v>51</v>
      </c>
      <c r="I2388" s="59" t="n">
        <v>1</v>
      </c>
      <c r="J2388" s="60" t="n">
        <v>69</v>
      </c>
      <c r="K2388" s="60" t="n">
        <v>29</v>
      </c>
      <c r="L2388" s="61" t="n">
        <f aca="false">I2388*J2388</f>
        <v>69</v>
      </c>
      <c r="M2388" s="61" t="n">
        <f aca="false">L2388-I2388*K2388</f>
        <v>40</v>
      </c>
      <c r="N2388" s="57" t="n">
        <f aca="false">IF(COUNTIFS(E$2:E2388,E2388,C$2:C2388,C2388)=1,1,0)</f>
        <v>0</v>
      </c>
      <c r="O2388" s="57" t="n">
        <f aca="false">IF(COUNTIFS(E$2:E2388,E2388,C$2:C2388,C2388,D$2:D2388,D2388)=1,1,0)</f>
        <v>1</v>
      </c>
      <c r="P2388" s="57" t="n">
        <f aca="false">IF(AND(C2388=Calc!$C$3,OR(Calc!$C$4=0,D2388=Calc!$C$4)),ROW(),0)</f>
        <v>2388</v>
      </c>
    </row>
    <row r="2389" customFormat="false" ht="15" hidden="false" customHeight="false" outlineLevel="0" collapsed="false">
      <c r="A2389" s="57" t="s">
        <v>2954</v>
      </c>
      <c r="B2389" s="58" t="n">
        <v>45933</v>
      </c>
      <c r="C2389" s="57" t="n">
        <f aca="false">YEAR(B2389)</f>
        <v>2025</v>
      </c>
      <c r="D2389" s="57" t="n">
        <f aca="false">MONTH(B2389)</f>
        <v>10</v>
      </c>
      <c r="E2389" s="57" t="s">
        <v>2844</v>
      </c>
      <c r="F2389" s="57" t="s">
        <v>72</v>
      </c>
      <c r="G2389" s="57" t="s">
        <v>40</v>
      </c>
      <c r="H2389" s="57" t="s">
        <v>39</v>
      </c>
      <c r="I2389" s="59" t="n">
        <v>1</v>
      </c>
      <c r="J2389" s="60" t="n">
        <v>54</v>
      </c>
      <c r="K2389" s="60" t="n">
        <v>19</v>
      </c>
      <c r="L2389" s="61" t="n">
        <f aca="false">I2389*J2389</f>
        <v>54</v>
      </c>
      <c r="M2389" s="61" t="n">
        <f aca="false">L2389-I2389*K2389</f>
        <v>35</v>
      </c>
      <c r="N2389" s="57" t="n">
        <f aca="false">IF(COUNTIFS(E$2:E2389,E2389,C$2:C2389,C2389)=1,1,0)</f>
        <v>0</v>
      </c>
      <c r="O2389" s="57" t="n">
        <f aca="false">IF(COUNTIFS(E$2:E2389,E2389,C$2:C2389,C2389,D$2:D2389,D2389)=1,1,0)</f>
        <v>1</v>
      </c>
      <c r="P2389" s="57" t="n">
        <f aca="false">IF(AND(C2389=Calc!$C$3,OR(Calc!$C$4=0,D2389=Calc!$C$4)),ROW(),0)</f>
        <v>2389</v>
      </c>
    </row>
    <row r="2390" customFormat="false" ht="15" hidden="false" customHeight="false" outlineLevel="0" collapsed="false">
      <c r="A2390" s="57" t="s">
        <v>2955</v>
      </c>
      <c r="B2390" s="58" t="n">
        <v>45933</v>
      </c>
      <c r="C2390" s="57" t="n">
        <f aca="false">YEAR(B2390)</f>
        <v>2025</v>
      </c>
      <c r="D2390" s="57" t="n">
        <f aca="false">MONTH(B2390)</f>
        <v>10</v>
      </c>
      <c r="E2390" s="57" t="s">
        <v>1446</v>
      </c>
      <c r="F2390" s="57" t="s">
        <v>78</v>
      </c>
      <c r="G2390" s="57" t="s">
        <v>50</v>
      </c>
      <c r="H2390" s="57" t="s">
        <v>49</v>
      </c>
      <c r="I2390" s="59" t="n">
        <v>2</v>
      </c>
      <c r="J2390" s="60" t="n">
        <v>32</v>
      </c>
      <c r="K2390" s="60" t="n">
        <v>7</v>
      </c>
      <c r="L2390" s="61" t="n">
        <f aca="false">I2390*J2390</f>
        <v>64</v>
      </c>
      <c r="M2390" s="61" t="n">
        <f aca="false">L2390-I2390*K2390</f>
        <v>50</v>
      </c>
      <c r="N2390" s="57" t="n">
        <f aca="false">IF(COUNTIFS(E$2:E2390,E2390,C$2:C2390,C2390)=1,1,0)</f>
        <v>0</v>
      </c>
      <c r="O2390" s="57" t="n">
        <f aca="false">IF(COUNTIFS(E$2:E2390,E2390,C$2:C2390,C2390,D$2:D2390,D2390)=1,1,0)</f>
        <v>1</v>
      </c>
      <c r="P2390" s="57" t="n">
        <f aca="false">IF(AND(C2390=Calc!$C$3,OR(Calc!$C$4=0,D2390=Calc!$C$4)),ROW(),0)</f>
        <v>2390</v>
      </c>
    </row>
    <row r="2391" customFormat="false" ht="15" hidden="false" customHeight="false" outlineLevel="0" collapsed="false">
      <c r="A2391" s="57" t="s">
        <v>2956</v>
      </c>
      <c r="B2391" s="58" t="n">
        <v>45934</v>
      </c>
      <c r="C2391" s="57" t="n">
        <f aca="false">YEAR(B2391)</f>
        <v>2025</v>
      </c>
      <c r="D2391" s="57" t="n">
        <f aca="false">MONTH(B2391)</f>
        <v>10</v>
      </c>
      <c r="E2391" s="57" t="s">
        <v>466</v>
      </c>
      <c r="F2391" s="57" t="s">
        <v>72</v>
      </c>
      <c r="G2391" s="57" t="s">
        <v>35</v>
      </c>
      <c r="H2391" s="57" t="s">
        <v>34</v>
      </c>
      <c r="I2391" s="59" t="n">
        <v>1</v>
      </c>
      <c r="J2391" s="60" t="n">
        <v>89</v>
      </c>
      <c r="K2391" s="60" t="n">
        <v>41</v>
      </c>
      <c r="L2391" s="61" t="n">
        <f aca="false">I2391*J2391</f>
        <v>89</v>
      </c>
      <c r="M2391" s="61" t="n">
        <f aca="false">L2391-I2391*K2391</f>
        <v>48</v>
      </c>
      <c r="N2391" s="57" t="n">
        <f aca="false">IF(COUNTIFS(E$2:E2391,E2391,C$2:C2391,C2391)=1,1,0)</f>
        <v>0</v>
      </c>
      <c r="O2391" s="57" t="n">
        <f aca="false">IF(COUNTIFS(E$2:E2391,E2391,C$2:C2391,C2391,D$2:D2391,D2391)=1,1,0)</f>
        <v>1</v>
      </c>
      <c r="P2391" s="57" t="n">
        <f aca="false">IF(AND(C2391=Calc!$C$3,OR(Calc!$C$4=0,D2391=Calc!$C$4)),ROW(),0)</f>
        <v>2391</v>
      </c>
    </row>
    <row r="2392" customFormat="false" ht="15" hidden="false" customHeight="false" outlineLevel="0" collapsed="false">
      <c r="A2392" s="57" t="s">
        <v>2957</v>
      </c>
      <c r="B2392" s="58" t="n">
        <v>45934</v>
      </c>
      <c r="C2392" s="57" t="n">
        <f aca="false">YEAR(B2392)</f>
        <v>2025</v>
      </c>
      <c r="D2392" s="57" t="n">
        <f aca="false">MONTH(B2392)</f>
        <v>10</v>
      </c>
      <c r="E2392" s="57" t="s">
        <v>116</v>
      </c>
      <c r="F2392" s="57" t="s">
        <v>75</v>
      </c>
      <c r="G2392" s="57" t="s">
        <v>35</v>
      </c>
      <c r="H2392" s="57" t="s">
        <v>37</v>
      </c>
      <c r="I2392" s="59" t="n">
        <v>1</v>
      </c>
      <c r="J2392" s="60" t="n">
        <v>59</v>
      </c>
      <c r="K2392" s="60" t="n">
        <v>27</v>
      </c>
      <c r="L2392" s="61" t="n">
        <f aca="false">I2392*J2392</f>
        <v>59</v>
      </c>
      <c r="M2392" s="61" t="n">
        <f aca="false">L2392-I2392*K2392</f>
        <v>32</v>
      </c>
      <c r="N2392" s="57" t="n">
        <f aca="false">IF(COUNTIFS(E$2:E2392,E2392,C$2:C2392,C2392)=1,1,0)</f>
        <v>0</v>
      </c>
      <c r="O2392" s="57" t="n">
        <f aca="false">IF(COUNTIFS(E$2:E2392,E2392,C$2:C2392,C2392,D$2:D2392,D2392)=1,1,0)</f>
        <v>1</v>
      </c>
      <c r="P2392" s="57" t="n">
        <f aca="false">IF(AND(C2392=Calc!$C$3,OR(Calc!$C$4=0,D2392=Calc!$C$4)),ROW(),0)</f>
        <v>2392</v>
      </c>
    </row>
    <row r="2393" customFormat="false" ht="15" hidden="false" customHeight="false" outlineLevel="0" collapsed="false">
      <c r="A2393" s="57" t="s">
        <v>2958</v>
      </c>
      <c r="B2393" s="58" t="n">
        <v>45934</v>
      </c>
      <c r="C2393" s="57" t="n">
        <f aca="false">YEAR(B2393)</f>
        <v>2025</v>
      </c>
      <c r="D2393" s="57" t="n">
        <f aca="false">MONTH(B2393)</f>
        <v>10</v>
      </c>
      <c r="E2393" s="57" t="s">
        <v>512</v>
      </c>
      <c r="F2393" s="57" t="s">
        <v>75</v>
      </c>
      <c r="G2393" s="57" t="s">
        <v>50</v>
      </c>
      <c r="H2393" s="57" t="s">
        <v>49</v>
      </c>
      <c r="I2393" s="59" t="n">
        <v>3</v>
      </c>
      <c r="J2393" s="60" t="n">
        <v>32</v>
      </c>
      <c r="K2393" s="60" t="n">
        <v>7</v>
      </c>
      <c r="L2393" s="61" t="n">
        <f aca="false">I2393*J2393</f>
        <v>96</v>
      </c>
      <c r="M2393" s="61" t="n">
        <f aca="false">L2393-I2393*K2393</f>
        <v>75</v>
      </c>
      <c r="N2393" s="57" t="n">
        <f aca="false">IF(COUNTIFS(E$2:E2393,E2393,C$2:C2393,C2393)=1,1,0)</f>
        <v>0</v>
      </c>
      <c r="O2393" s="57" t="n">
        <f aca="false">IF(COUNTIFS(E$2:E2393,E2393,C$2:C2393,C2393,D$2:D2393,D2393)=1,1,0)</f>
        <v>1</v>
      </c>
      <c r="P2393" s="57" t="n">
        <f aca="false">IF(AND(C2393=Calc!$C$3,OR(Calc!$C$4=0,D2393=Calc!$C$4)),ROW(),0)</f>
        <v>2393</v>
      </c>
    </row>
    <row r="2394" customFormat="false" ht="15" hidden="false" customHeight="false" outlineLevel="0" collapsed="false">
      <c r="A2394" s="57" t="s">
        <v>2959</v>
      </c>
      <c r="B2394" s="58" t="n">
        <v>45934</v>
      </c>
      <c r="C2394" s="57" t="n">
        <f aca="false">YEAR(B2394)</f>
        <v>2025</v>
      </c>
      <c r="D2394" s="57" t="n">
        <f aca="false">MONTH(B2394)</f>
        <v>10</v>
      </c>
      <c r="E2394" s="57" t="s">
        <v>983</v>
      </c>
      <c r="F2394" s="57" t="s">
        <v>72</v>
      </c>
      <c r="G2394" s="57" t="s">
        <v>35</v>
      </c>
      <c r="H2394" s="57" t="s">
        <v>37</v>
      </c>
      <c r="I2394" s="59" t="n">
        <v>2</v>
      </c>
      <c r="J2394" s="60" t="n">
        <v>59</v>
      </c>
      <c r="K2394" s="60" t="n">
        <v>27</v>
      </c>
      <c r="L2394" s="61" t="n">
        <f aca="false">I2394*J2394</f>
        <v>118</v>
      </c>
      <c r="M2394" s="61" t="n">
        <f aca="false">L2394-I2394*K2394</f>
        <v>64</v>
      </c>
      <c r="N2394" s="57" t="n">
        <f aca="false">IF(COUNTIFS(E$2:E2394,E2394,C$2:C2394,C2394)=1,1,0)</f>
        <v>0</v>
      </c>
      <c r="O2394" s="57" t="n">
        <f aca="false">IF(COUNTIFS(E$2:E2394,E2394,C$2:C2394,C2394,D$2:D2394,D2394)=1,1,0)</f>
        <v>1</v>
      </c>
      <c r="P2394" s="57" t="n">
        <f aca="false">IF(AND(C2394=Calc!$C$3,OR(Calc!$C$4=0,D2394=Calc!$C$4)),ROW(),0)</f>
        <v>2394</v>
      </c>
    </row>
    <row r="2395" customFormat="false" ht="15" hidden="false" customHeight="false" outlineLevel="0" collapsed="false">
      <c r="A2395" s="57" t="s">
        <v>2960</v>
      </c>
      <c r="B2395" s="58" t="n">
        <v>45935</v>
      </c>
      <c r="C2395" s="57" t="n">
        <f aca="false">YEAR(B2395)</f>
        <v>2025</v>
      </c>
      <c r="D2395" s="57" t="n">
        <f aca="false">MONTH(B2395)</f>
        <v>10</v>
      </c>
      <c r="E2395" s="57" t="s">
        <v>2592</v>
      </c>
      <c r="F2395" s="57" t="s">
        <v>78</v>
      </c>
      <c r="G2395" s="57" t="s">
        <v>50</v>
      </c>
      <c r="H2395" s="57" t="s">
        <v>52</v>
      </c>
      <c r="I2395" s="59" t="n">
        <v>1</v>
      </c>
      <c r="J2395" s="60" t="n">
        <v>45</v>
      </c>
      <c r="K2395" s="60" t="n">
        <v>14</v>
      </c>
      <c r="L2395" s="61" t="n">
        <f aca="false">I2395*J2395</f>
        <v>45</v>
      </c>
      <c r="M2395" s="61" t="n">
        <f aca="false">L2395-I2395*K2395</f>
        <v>31</v>
      </c>
      <c r="N2395" s="57" t="n">
        <f aca="false">IF(COUNTIFS(E$2:E2395,E2395,C$2:C2395,C2395)=1,1,0)</f>
        <v>0</v>
      </c>
      <c r="O2395" s="57" t="n">
        <f aca="false">IF(COUNTIFS(E$2:E2395,E2395,C$2:C2395,C2395,D$2:D2395,D2395)=1,1,0)</f>
        <v>1</v>
      </c>
      <c r="P2395" s="57" t="n">
        <f aca="false">IF(AND(C2395=Calc!$C$3,OR(Calc!$C$4=0,D2395=Calc!$C$4)),ROW(),0)</f>
        <v>2395</v>
      </c>
    </row>
    <row r="2396" customFormat="false" ht="15" hidden="false" customHeight="false" outlineLevel="0" collapsed="false">
      <c r="A2396" s="57" t="s">
        <v>2961</v>
      </c>
      <c r="B2396" s="58" t="n">
        <v>45935</v>
      </c>
      <c r="C2396" s="57" t="n">
        <f aca="false">YEAR(B2396)</f>
        <v>2025</v>
      </c>
      <c r="D2396" s="57" t="n">
        <f aca="false">MONTH(B2396)</f>
        <v>10</v>
      </c>
      <c r="E2396" s="57" t="s">
        <v>725</v>
      </c>
      <c r="F2396" s="57" t="s">
        <v>69</v>
      </c>
      <c r="G2396" s="57" t="s">
        <v>40</v>
      </c>
      <c r="H2396" s="57" t="s">
        <v>43</v>
      </c>
      <c r="I2396" s="59" t="n">
        <v>1</v>
      </c>
      <c r="J2396" s="60" t="n">
        <v>29</v>
      </c>
      <c r="K2396" s="60" t="n">
        <v>9</v>
      </c>
      <c r="L2396" s="61" t="n">
        <f aca="false">I2396*J2396</f>
        <v>29</v>
      </c>
      <c r="M2396" s="61" t="n">
        <f aca="false">L2396-I2396*K2396</f>
        <v>20</v>
      </c>
      <c r="N2396" s="57" t="n">
        <f aca="false">IF(COUNTIFS(E$2:E2396,E2396,C$2:C2396,C2396)=1,1,0)</f>
        <v>0</v>
      </c>
      <c r="O2396" s="57" t="n">
        <f aca="false">IF(COUNTIFS(E$2:E2396,E2396,C$2:C2396,C2396,D$2:D2396,D2396)=1,1,0)</f>
        <v>1</v>
      </c>
      <c r="P2396" s="57" t="n">
        <f aca="false">IF(AND(C2396=Calc!$C$3,OR(Calc!$C$4=0,D2396=Calc!$C$4)),ROW(),0)</f>
        <v>2396</v>
      </c>
    </row>
    <row r="2397" customFormat="false" ht="15" hidden="false" customHeight="false" outlineLevel="0" collapsed="false">
      <c r="A2397" s="57" t="s">
        <v>2962</v>
      </c>
      <c r="B2397" s="58" t="n">
        <v>45935</v>
      </c>
      <c r="C2397" s="57" t="n">
        <f aca="false">YEAR(B2397)</f>
        <v>2025</v>
      </c>
      <c r="D2397" s="57" t="n">
        <f aca="false">MONTH(B2397)</f>
        <v>10</v>
      </c>
      <c r="E2397" s="57" t="s">
        <v>1244</v>
      </c>
      <c r="F2397" s="57" t="s">
        <v>81</v>
      </c>
      <c r="G2397" s="57" t="s">
        <v>50</v>
      </c>
      <c r="H2397" s="57" t="s">
        <v>51</v>
      </c>
      <c r="I2397" s="59" t="n">
        <v>3</v>
      </c>
      <c r="J2397" s="60" t="n">
        <v>69</v>
      </c>
      <c r="K2397" s="60" t="n">
        <v>29</v>
      </c>
      <c r="L2397" s="61" t="n">
        <f aca="false">I2397*J2397</f>
        <v>207</v>
      </c>
      <c r="M2397" s="61" t="n">
        <f aca="false">L2397-I2397*K2397</f>
        <v>120</v>
      </c>
      <c r="N2397" s="57" t="n">
        <f aca="false">IF(COUNTIFS(E$2:E2397,E2397,C$2:C2397,C2397)=1,1,0)</f>
        <v>0</v>
      </c>
      <c r="O2397" s="57" t="n">
        <f aca="false">IF(COUNTIFS(E$2:E2397,E2397,C$2:C2397,C2397,D$2:D2397,D2397)=1,1,0)</f>
        <v>1</v>
      </c>
      <c r="P2397" s="57" t="n">
        <f aca="false">IF(AND(C2397=Calc!$C$3,OR(Calc!$C$4=0,D2397=Calc!$C$4)),ROW(),0)</f>
        <v>2397</v>
      </c>
    </row>
    <row r="2398" customFormat="false" ht="15" hidden="false" customHeight="false" outlineLevel="0" collapsed="false">
      <c r="A2398" s="57" t="s">
        <v>2963</v>
      </c>
      <c r="B2398" s="58" t="n">
        <v>45935</v>
      </c>
      <c r="C2398" s="57" t="n">
        <f aca="false">YEAR(B2398)</f>
        <v>2025</v>
      </c>
      <c r="D2398" s="57" t="n">
        <f aca="false">MONTH(B2398)</f>
        <v>10</v>
      </c>
      <c r="E2398" s="57" t="s">
        <v>219</v>
      </c>
      <c r="F2398" s="57" t="s">
        <v>78</v>
      </c>
      <c r="G2398" s="57" t="s">
        <v>45</v>
      </c>
      <c r="H2398" s="57" t="s">
        <v>44</v>
      </c>
      <c r="I2398" s="59" t="n">
        <v>1</v>
      </c>
      <c r="J2398" s="60" t="n">
        <v>119</v>
      </c>
      <c r="K2398" s="60" t="n">
        <v>63</v>
      </c>
      <c r="L2398" s="61" t="n">
        <f aca="false">I2398*J2398</f>
        <v>119</v>
      </c>
      <c r="M2398" s="61" t="n">
        <f aca="false">L2398-I2398*K2398</f>
        <v>56</v>
      </c>
      <c r="N2398" s="57" t="n">
        <f aca="false">IF(COUNTIFS(E$2:E2398,E2398,C$2:C2398,C2398)=1,1,0)</f>
        <v>0</v>
      </c>
      <c r="O2398" s="57" t="n">
        <f aca="false">IF(COUNTIFS(E$2:E2398,E2398,C$2:C2398,C2398,D$2:D2398,D2398)=1,1,0)</f>
        <v>1</v>
      </c>
      <c r="P2398" s="57" t="n">
        <f aca="false">IF(AND(C2398=Calc!$C$3,OR(Calc!$C$4=0,D2398=Calc!$C$4)),ROW(),0)</f>
        <v>2398</v>
      </c>
    </row>
    <row r="2399" customFormat="false" ht="15" hidden="false" customHeight="false" outlineLevel="0" collapsed="false">
      <c r="A2399" s="57" t="s">
        <v>2964</v>
      </c>
      <c r="B2399" s="58" t="n">
        <v>45936</v>
      </c>
      <c r="C2399" s="57" t="n">
        <f aca="false">YEAR(B2399)</f>
        <v>2025</v>
      </c>
      <c r="D2399" s="57" t="n">
        <f aca="false">MONTH(B2399)</f>
        <v>10</v>
      </c>
      <c r="E2399" s="57" t="s">
        <v>743</v>
      </c>
      <c r="F2399" s="57" t="s">
        <v>69</v>
      </c>
      <c r="G2399" s="57" t="s">
        <v>35</v>
      </c>
      <c r="H2399" s="57" t="s">
        <v>38</v>
      </c>
      <c r="I2399" s="59" t="n">
        <v>1</v>
      </c>
      <c r="J2399" s="60" t="n">
        <v>49</v>
      </c>
      <c r="K2399" s="60" t="n">
        <v>22</v>
      </c>
      <c r="L2399" s="61" t="n">
        <f aca="false">I2399*J2399</f>
        <v>49</v>
      </c>
      <c r="M2399" s="61" t="n">
        <f aca="false">L2399-I2399*K2399</f>
        <v>27</v>
      </c>
      <c r="N2399" s="57" t="n">
        <f aca="false">IF(COUNTIFS(E$2:E2399,E2399,C$2:C2399,C2399)=1,1,0)</f>
        <v>0</v>
      </c>
      <c r="O2399" s="57" t="n">
        <f aca="false">IF(COUNTIFS(E$2:E2399,E2399,C$2:C2399,C2399,D$2:D2399,D2399)=1,1,0)</f>
        <v>1</v>
      </c>
      <c r="P2399" s="57" t="n">
        <f aca="false">IF(AND(C2399=Calc!$C$3,OR(Calc!$C$4=0,D2399=Calc!$C$4)),ROW(),0)</f>
        <v>2399</v>
      </c>
    </row>
    <row r="2400" customFormat="false" ht="15" hidden="false" customHeight="false" outlineLevel="0" collapsed="false">
      <c r="A2400" s="57" t="s">
        <v>2965</v>
      </c>
      <c r="B2400" s="58" t="n">
        <v>45936</v>
      </c>
      <c r="C2400" s="57" t="n">
        <f aca="false">YEAR(B2400)</f>
        <v>2025</v>
      </c>
      <c r="D2400" s="57" t="n">
        <f aca="false">MONTH(B2400)</f>
        <v>10</v>
      </c>
      <c r="E2400" s="57" t="s">
        <v>586</v>
      </c>
      <c r="F2400" s="57" t="s">
        <v>75</v>
      </c>
      <c r="G2400" s="57" t="s">
        <v>40</v>
      </c>
      <c r="H2400" s="57" t="s">
        <v>43</v>
      </c>
      <c r="I2400" s="59" t="n">
        <v>1</v>
      </c>
      <c r="J2400" s="60" t="n">
        <v>29</v>
      </c>
      <c r="K2400" s="60" t="n">
        <v>9</v>
      </c>
      <c r="L2400" s="61" t="n">
        <f aca="false">I2400*J2400</f>
        <v>29</v>
      </c>
      <c r="M2400" s="61" t="n">
        <f aca="false">L2400-I2400*K2400</f>
        <v>20</v>
      </c>
      <c r="N2400" s="57" t="n">
        <f aca="false">IF(COUNTIFS(E$2:E2400,E2400,C$2:C2400,C2400)=1,1,0)</f>
        <v>1</v>
      </c>
      <c r="O2400" s="57" t="n">
        <f aca="false">IF(COUNTIFS(E$2:E2400,E2400,C$2:C2400,C2400,D$2:D2400,D2400)=1,1,0)</f>
        <v>1</v>
      </c>
      <c r="P2400" s="57" t="n">
        <f aca="false">IF(AND(C2400=Calc!$C$3,OR(Calc!$C$4=0,D2400=Calc!$C$4)),ROW(),0)</f>
        <v>2400</v>
      </c>
    </row>
    <row r="2401" customFormat="false" ht="15" hidden="false" customHeight="false" outlineLevel="0" collapsed="false">
      <c r="A2401" s="57" t="s">
        <v>2966</v>
      </c>
      <c r="B2401" s="58" t="n">
        <v>45936</v>
      </c>
      <c r="C2401" s="57" t="n">
        <f aca="false">YEAR(B2401)</f>
        <v>2025</v>
      </c>
      <c r="D2401" s="57" t="n">
        <f aca="false">MONTH(B2401)</f>
        <v>10</v>
      </c>
      <c r="E2401" s="57" t="s">
        <v>203</v>
      </c>
      <c r="F2401" s="57" t="s">
        <v>78</v>
      </c>
      <c r="G2401" s="57" t="s">
        <v>40</v>
      </c>
      <c r="H2401" s="57" t="s">
        <v>43</v>
      </c>
      <c r="I2401" s="59" t="n">
        <v>1</v>
      </c>
      <c r="J2401" s="60" t="n">
        <v>29</v>
      </c>
      <c r="K2401" s="60" t="n">
        <v>9</v>
      </c>
      <c r="L2401" s="61" t="n">
        <f aca="false">I2401*J2401</f>
        <v>29</v>
      </c>
      <c r="M2401" s="61" t="n">
        <f aca="false">L2401-I2401*K2401</f>
        <v>20</v>
      </c>
      <c r="N2401" s="57" t="n">
        <f aca="false">IF(COUNTIFS(E$2:E2401,E2401,C$2:C2401,C2401)=1,1,0)</f>
        <v>0</v>
      </c>
      <c r="O2401" s="57" t="n">
        <f aca="false">IF(COUNTIFS(E$2:E2401,E2401,C$2:C2401,C2401,D$2:D2401,D2401)=1,1,0)</f>
        <v>1</v>
      </c>
      <c r="P2401" s="57" t="n">
        <f aca="false">IF(AND(C2401=Calc!$C$3,OR(Calc!$C$4=0,D2401=Calc!$C$4)),ROW(),0)</f>
        <v>2401</v>
      </c>
    </row>
    <row r="2402" customFormat="false" ht="15" hidden="false" customHeight="false" outlineLevel="0" collapsed="false">
      <c r="A2402" s="57" t="s">
        <v>2967</v>
      </c>
      <c r="B2402" s="58" t="n">
        <v>45936</v>
      </c>
      <c r="C2402" s="57" t="n">
        <f aca="false">YEAR(B2402)</f>
        <v>2025</v>
      </c>
      <c r="D2402" s="57" t="n">
        <f aca="false">MONTH(B2402)</f>
        <v>10</v>
      </c>
      <c r="E2402" s="57" t="s">
        <v>446</v>
      </c>
      <c r="F2402" s="57" t="s">
        <v>75</v>
      </c>
      <c r="G2402" s="57" t="s">
        <v>45</v>
      </c>
      <c r="H2402" s="57" t="s">
        <v>44</v>
      </c>
      <c r="I2402" s="59" t="n">
        <v>2</v>
      </c>
      <c r="J2402" s="60" t="n">
        <v>119</v>
      </c>
      <c r="K2402" s="60" t="n">
        <v>63</v>
      </c>
      <c r="L2402" s="61" t="n">
        <f aca="false">I2402*J2402</f>
        <v>238</v>
      </c>
      <c r="M2402" s="61" t="n">
        <f aca="false">L2402-I2402*K2402</f>
        <v>112</v>
      </c>
      <c r="N2402" s="57" t="n">
        <f aca="false">IF(COUNTIFS(E$2:E2402,E2402,C$2:C2402,C2402)=1,1,0)</f>
        <v>0</v>
      </c>
      <c r="O2402" s="57" t="n">
        <f aca="false">IF(COUNTIFS(E$2:E2402,E2402,C$2:C2402,C2402,D$2:D2402,D2402)=1,1,0)</f>
        <v>1</v>
      </c>
      <c r="P2402" s="57" t="n">
        <f aca="false">IF(AND(C2402=Calc!$C$3,OR(Calc!$C$4=0,D2402=Calc!$C$4)),ROW(),0)</f>
        <v>2402</v>
      </c>
    </row>
    <row r="2403" customFormat="false" ht="15" hidden="false" customHeight="false" outlineLevel="0" collapsed="false">
      <c r="A2403" s="57" t="s">
        <v>2968</v>
      </c>
      <c r="B2403" s="58" t="n">
        <v>45937</v>
      </c>
      <c r="C2403" s="57" t="n">
        <f aca="false">YEAR(B2403)</f>
        <v>2025</v>
      </c>
      <c r="D2403" s="57" t="n">
        <f aca="false">MONTH(B2403)</f>
        <v>10</v>
      </c>
      <c r="E2403" s="57" t="s">
        <v>1392</v>
      </c>
      <c r="F2403" s="57" t="s">
        <v>78</v>
      </c>
      <c r="G2403" s="57" t="s">
        <v>35</v>
      </c>
      <c r="H2403" s="57" t="s">
        <v>36</v>
      </c>
      <c r="I2403" s="59" t="n">
        <v>1</v>
      </c>
      <c r="J2403" s="60" t="n">
        <v>179</v>
      </c>
      <c r="K2403" s="60" t="n">
        <v>92</v>
      </c>
      <c r="L2403" s="61" t="n">
        <f aca="false">I2403*J2403</f>
        <v>179</v>
      </c>
      <c r="M2403" s="61" t="n">
        <f aca="false">L2403-I2403*K2403</f>
        <v>87</v>
      </c>
      <c r="N2403" s="57" t="n">
        <f aca="false">IF(COUNTIFS(E$2:E2403,E2403,C$2:C2403,C2403)=1,1,0)</f>
        <v>0</v>
      </c>
      <c r="O2403" s="57" t="n">
        <f aca="false">IF(COUNTIFS(E$2:E2403,E2403,C$2:C2403,C2403,D$2:D2403,D2403)=1,1,0)</f>
        <v>1</v>
      </c>
      <c r="P2403" s="57" t="n">
        <f aca="false">IF(AND(C2403=Calc!$C$3,OR(Calc!$C$4=0,D2403=Calc!$C$4)),ROW(),0)</f>
        <v>2403</v>
      </c>
    </row>
    <row r="2404" customFormat="false" ht="15" hidden="false" customHeight="false" outlineLevel="0" collapsed="false">
      <c r="A2404" s="57" t="s">
        <v>2969</v>
      </c>
      <c r="B2404" s="58" t="n">
        <v>45937</v>
      </c>
      <c r="C2404" s="57" t="n">
        <f aca="false">YEAR(B2404)</f>
        <v>2025</v>
      </c>
      <c r="D2404" s="57" t="n">
        <f aca="false">MONTH(B2404)</f>
        <v>10</v>
      </c>
      <c r="E2404" s="57" t="s">
        <v>1728</v>
      </c>
      <c r="F2404" s="57" t="s">
        <v>75</v>
      </c>
      <c r="G2404" s="57" t="s">
        <v>45</v>
      </c>
      <c r="H2404" s="57" t="s">
        <v>46</v>
      </c>
      <c r="I2404" s="59" t="n">
        <v>1</v>
      </c>
      <c r="J2404" s="60" t="n">
        <v>149</v>
      </c>
      <c r="K2404" s="60" t="n">
        <v>71</v>
      </c>
      <c r="L2404" s="61" t="n">
        <f aca="false">I2404*J2404</f>
        <v>149</v>
      </c>
      <c r="M2404" s="61" t="n">
        <f aca="false">L2404-I2404*K2404</f>
        <v>78</v>
      </c>
      <c r="N2404" s="57" t="n">
        <f aca="false">IF(COUNTIFS(E$2:E2404,E2404,C$2:C2404,C2404)=1,1,0)</f>
        <v>0</v>
      </c>
      <c r="O2404" s="57" t="n">
        <f aca="false">IF(COUNTIFS(E$2:E2404,E2404,C$2:C2404,C2404,D$2:D2404,D2404)=1,1,0)</f>
        <v>1</v>
      </c>
      <c r="P2404" s="57" t="n">
        <f aca="false">IF(AND(C2404=Calc!$C$3,OR(Calc!$C$4=0,D2404=Calc!$C$4)),ROW(),0)</f>
        <v>2404</v>
      </c>
    </row>
    <row r="2405" customFormat="false" ht="15" hidden="false" customHeight="false" outlineLevel="0" collapsed="false">
      <c r="A2405" s="57" t="s">
        <v>2970</v>
      </c>
      <c r="B2405" s="58" t="n">
        <v>45937</v>
      </c>
      <c r="C2405" s="57" t="n">
        <f aca="false">YEAR(B2405)</f>
        <v>2025</v>
      </c>
      <c r="D2405" s="57" t="n">
        <f aca="false">MONTH(B2405)</f>
        <v>10</v>
      </c>
      <c r="E2405" s="57" t="s">
        <v>409</v>
      </c>
      <c r="F2405" s="57" t="s">
        <v>75</v>
      </c>
      <c r="G2405" s="57" t="s">
        <v>35</v>
      </c>
      <c r="H2405" s="57" t="s">
        <v>34</v>
      </c>
      <c r="I2405" s="59" t="n">
        <v>1</v>
      </c>
      <c r="J2405" s="60" t="n">
        <v>89</v>
      </c>
      <c r="K2405" s="60" t="n">
        <v>41</v>
      </c>
      <c r="L2405" s="61" t="n">
        <f aca="false">I2405*J2405</f>
        <v>89</v>
      </c>
      <c r="M2405" s="61" t="n">
        <f aca="false">L2405-I2405*K2405</f>
        <v>48</v>
      </c>
      <c r="N2405" s="57" t="n">
        <f aca="false">IF(COUNTIFS(E$2:E2405,E2405,C$2:C2405,C2405)=1,1,0)</f>
        <v>0</v>
      </c>
      <c r="O2405" s="57" t="n">
        <f aca="false">IF(COUNTIFS(E$2:E2405,E2405,C$2:C2405,C2405,D$2:D2405,D2405)=1,1,0)</f>
        <v>1</v>
      </c>
      <c r="P2405" s="57" t="n">
        <f aca="false">IF(AND(C2405=Calc!$C$3,OR(Calc!$C$4=0,D2405=Calc!$C$4)),ROW(),0)</f>
        <v>2405</v>
      </c>
    </row>
    <row r="2406" customFormat="false" ht="15" hidden="false" customHeight="false" outlineLevel="0" collapsed="false">
      <c r="A2406" s="57" t="s">
        <v>2971</v>
      </c>
      <c r="B2406" s="58" t="n">
        <v>45937</v>
      </c>
      <c r="C2406" s="57" t="n">
        <f aca="false">YEAR(B2406)</f>
        <v>2025</v>
      </c>
      <c r="D2406" s="57" t="n">
        <f aca="false">MONTH(B2406)</f>
        <v>10</v>
      </c>
      <c r="E2406" s="57" t="s">
        <v>156</v>
      </c>
      <c r="F2406" s="57" t="s">
        <v>75</v>
      </c>
      <c r="G2406" s="57" t="s">
        <v>40</v>
      </c>
      <c r="H2406" s="57" t="s">
        <v>41</v>
      </c>
      <c r="I2406" s="59" t="n">
        <v>2</v>
      </c>
      <c r="J2406" s="60" t="n">
        <v>46</v>
      </c>
      <c r="K2406" s="60" t="n">
        <v>16</v>
      </c>
      <c r="L2406" s="61" t="n">
        <f aca="false">I2406*J2406</f>
        <v>92</v>
      </c>
      <c r="M2406" s="61" t="n">
        <f aca="false">L2406-I2406*K2406</f>
        <v>60</v>
      </c>
      <c r="N2406" s="57" t="n">
        <f aca="false">IF(COUNTIFS(E$2:E2406,E2406,C$2:C2406,C2406)=1,1,0)</f>
        <v>0</v>
      </c>
      <c r="O2406" s="57" t="n">
        <f aca="false">IF(COUNTIFS(E$2:E2406,E2406,C$2:C2406,C2406,D$2:D2406,D2406)=1,1,0)</f>
        <v>1</v>
      </c>
      <c r="P2406" s="57" t="n">
        <f aca="false">IF(AND(C2406=Calc!$C$3,OR(Calc!$C$4=0,D2406=Calc!$C$4)),ROW(),0)</f>
        <v>2406</v>
      </c>
    </row>
    <row r="2407" customFormat="false" ht="15" hidden="false" customHeight="false" outlineLevel="0" collapsed="false">
      <c r="A2407" s="57" t="s">
        <v>2972</v>
      </c>
      <c r="B2407" s="58" t="n">
        <v>45937</v>
      </c>
      <c r="C2407" s="57" t="n">
        <f aca="false">YEAR(B2407)</f>
        <v>2025</v>
      </c>
      <c r="D2407" s="57" t="n">
        <f aca="false">MONTH(B2407)</f>
        <v>10</v>
      </c>
      <c r="E2407" s="57" t="s">
        <v>1387</v>
      </c>
      <c r="F2407" s="57" t="s">
        <v>72</v>
      </c>
      <c r="G2407" s="57" t="s">
        <v>45</v>
      </c>
      <c r="H2407" s="57" t="s">
        <v>46</v>
      </c>
      <c r="I2407" s="59" t="n">
        <v>1</v>
      </c>
      <c r="J2407" s="60" t="n">
        <v>149</v>
      </c>
      <c r="K2407" s="60" t="n">
        <v>71</v>
      </c>
      <c r="L2407" s="61" t="n">
        <f aca="false">I2407*J2407</f>
        <v>149</v>
      </c>
      <c r="M2407" s="61" t="n">
        <f aca="false">L2407-I2407*K2407</f>
        <v>78</v>
      </c>
      <c r="N2407" s="57" t="n">
        <f aca="false">IF(COUNTIFS(E$2:E2407,E2407,C$2:C2407,C2407)=1,1,0)</f>
        <v>1</v>
      </c>
      <c r="O2407" s="57" t="n">
        <f aca="false">IF(COUNTIFS(E$2:E2407,E2407,C$2:C2407,C2407,D$2:D2407,D2407)=1,1,0)</f>
        <v>1</v>
      </c>
      <c r="P2407" s="57" t="n">
        <f aca="false">IF(AND(C2407=Calc!$C$3,OR(Calc!$C$4=0,D2407=Calc!$C$4)),ROW(),0)</f>
        <v>2407</v>
      </c>
    </row>
    <row r="2408" customFormat="false" ht="15" hidden="false" customHeight="false" outlineLevel="0" collapsed="false">
      <c r="A2408" s="57" t="s">
        <v>2973</v>
      </c>
      <c r="B2408" s="58" t="n">
        <v>45938</v>
      </c>
      <c r="C2408" s="57" t="n">
        <f aca="false">YEAR(B2408)</f>
        <v>2025</v>
      </c>
      <c r="D2408" s="57" t="n">
        <f aca="false">MONTH(B2408)</f>
        <v>10</v>
      </c>
      <c r="E2408" s="57" t="s">
        <v>983</v>
      </c>
      <c r="F2408" s="57" t="s">
        <v>72</v>
      </c>
      <c r="G2408" s="57" t="s">
        <v>35</v>
      </c>
      <c r="H2408" s="57" t="s">
        <v>37</v>
      </c>
      <c r="I2408" s="59" t="n">
        <v>1</v>
      </c>
      <c r="J2408" s="60" t="n">
        <v>59</v>
      </c>
      <c r="K2408" s="60" t="n">
        <v>27</v>
      </c>
      <c r="L2408" s="61" t="n">
        <f aca="false">I2408*J2408</f>
        <v>59</v>
      </c>
      <c r="M2408" s="61" t="n">
        <f aca="false">L2408-I2408*K2408</f>
        <v>32</v>
      </c>
      <c r="N2408" s="57" t="n">
        <f aca="false">IF(COUNTIFS(E$2:E2408,E2408,C$2:C2408,C2408)=1,1,0)</f>
        <v>0</v>
      </c>
      <c r="O2408" s="57" t="n">
        <f aca="false">IF(COUNTIFS(E$2:E2408,E2408,C$2:C2408,C2408,D$2:D2408,D2408)=1,1,0)</f>
        <v>0</v>
      </c>
      <c r="P2408" s="57" t="n">
        <f aca="false">IF(AND(C2408=Calc!$C$3,OR(Calc!$C$4=0,D2408=Calc!$C$4)),ROW(),0)</f>
        <v>2408</v>
      </c>
    </row>
    <row r="2409" customFormat="false" ht="15" hidden="false" customHeight="false" outlineLevel="0" collapsed="false">
      <c r="A2409" s="57" t="s">
        <v>2974</v>
      </c>
      <c r="B2409" s="58" t="n">
        <v>45938</v>
      </c>
      <c r="C2409" s="57" t="n">
        <f aca="false">YEAR(B2409)</f>
        <v>2025</v>
      </c>
      <c r="D2409" s="57" t="n">
        <f aca="false">MONTH(B2409)</f>
        <v>10</v>
      </c>
      <c r="E2409" s="57" t="s">
        <v>523</v>
      </c>
      <c r="F2409" s="57" t="s">
        <v>69</v>
      </c>
      <c r="G2409" s="57" t="s">
        <v>35</v>
      </c>
      <c r="H2409" s="57" t="s">
        <v>37</v>
      </c>
      <c r="I2409" s="59" t="n">
        <v>1</v>
      </c>
      <c r="J2409" s="60" t="n">
        <v>59</v>
      </c>
      <c r="K2409" s="60" t="n">
        <v>27</v>
      </c>
      <c r="L2409" s="61" t="n">
        <f aca="false">I2409*J2409</f>
        <v>59</v>
      </c>
      <c r="M2409" s="61" t="n">
        <f aca="false">L2409-I2409*K2409</f>
        <v>32</v>
      </c>
      <c r="N2409" s="57" t="n">
        <f aca="false">IF(COUNTIFS(E$2:E2409,E2409,C$2:C2409,C2409)=1,1,0)</f>
        <v>0</v>
      </c>
      <c r="O2409" s="57" t="n">
        <f aca="false">IF(COUNTIFS(E$2:E2409,E2409,C$2:C2409,C2409,D$2:D2409,D2409)=1,1,0)</f>
        <v>1</v>
      </c>
      <c r="P2409" s="57" t="n">
        <f aca="false">IF(AND(C2409=Calc!$C$3,OR(Calc!$C$4=0,D2409=Calc!$C$4)),ROW(),0)</f>
        <v>2409</v>
      </c>
    </row>
    <row r="2410" customFormat="false" ht="15" hidden="false" customHeight="false" outlineLevel="0" collapsed="false">
      <c r="A2410" s="57" t="s">
        <v>2975</v>
      </c>
      <c r="B2410" s="58" t="n">
        <v>45938</v>
      </c>
      <c r="C2410" s="57" t="n">
        <f aca="false">YEAR(B2410)</f>
        <v>2025</v>
      </c>
      <c r="D2410" s="57" t="n">
        <f aca="false">MONTH(B2410)</f>
        <v>10</v>
      </c>
      <c r="E2410" s="57" t="s">
        <v>140</v>
      </c>
      <c r="F2410" s="57" t="s">
        <v>75</v>
      </c>
      <c r="G2410" s="57" t="s">
        <v>35</v>
      </c>
      <c r="H2410" s="57" t="s">
        <v>37</v>
      </c>
      <c r="I2410" s="59" t="n">
        <v>1</v>
      </c>
      <c r="J2410" s="60" t="n">
        <v>59</v>
      </c>
      <c r="K2410" s="60" t="n">
        <v>27</v>
      </c>
      <c r="L2410" s="61" t="n">
        <f aca="false">I2410*J2410</f>
        <v>59</v>
      </c>
      <c r="M2410" s="61" t="n">
        <f aca="false">L2410-I2410*K2410</f>
        <v>32</v>
      </c>
      <c r="N2410" s="57" t="n">
        <f aca="false">IF(COUNTIFS(E$2:E2410,E2410,C$2:C2410,C2410)=1,1,0)</f>
        <v>0</v>
      </c>
      <c r="O2410" s="57" t="n">
        <f aca="false">IF(COUNTIFS(E$2:E2410,E2410,C$2:C2410,C2410,D$2:D2410,D2410)=1,1,0)</f>
        <v>1</v>
      </c>
      <c r="P2410" s="57" t="n">
        <f aca="false">IF(AND(C2410=Calc!$C$3,OR(Calc!$C$4=0,D2410=Calc!$C$4)),ROW(),0)</f>
        <v>2410</v>
      </c>
    </row>
    <row r="2411" customFormat="false" ht="15" hidden="false" customHeight="false" outlineLevel="0" collapsed="false">
      <c r="A2411" s="57" t="s">
        <v>2976</v>
      </c>
      <c r="B2411" s="58" t="n">
        <v>45938</v>
      </c>
      <c r="C2411" s="57" t="n">
        <f aca="false">YEAR(B2411)</f>
        <v>2025</v>
      </c>
      <c r="D2411" s="57" t="n">
        <f aca="false">MONTH(B2411)</f>
        <v>10</v>
      </c>
      <c r="E2411" s="57" t="s">
        <v>409</v>
      </c>
      <c r="F2411" s="57" t="s">
        <v>75</v>
      </c>
      <c r="G2411" s="57" t="s">
        <v>40</v>
      </c>
      <c r="H2411" s="57" t="s">
        <v>43</v>
      </c>
      <c r="I2411" s="59" t="n">
        <v>1</v>
      </c>
      <c r="J2411" s="60" t="n">
        <v>29</v>
      </c>
      <c r="K2411" s="60" t="n">
        <v>9</v>
      </c>
      <c r="L2411" s="61" t="n">
        <f aca="false">I2411*J2411</f>
        <v>29</v>
      </c>
      <c r="M2411" s="61" t="n">
        <f aca="false">L2411-I2411*K2411</f>
        <v>20</v>
      </c>
      <c r="N2411" s="57" t="n">
        <f aca="false">IF(COUNTIFS(E$2:E2411,E2411,C$2:C2411,C2411)=1,1,0)</f>
        <v>0</v>
      </c>
      <c r="O2411" s="57" t="n">
        <f aca="false">IF(COUNTIFS(E$2:E2411,E2411,C$2:C2411,C2411,D$2:D2411,D2411)=1,1,0)</f>
        <v>0</v>
      </c>
      <c r="P2411" s="57" t="n">
        <f aca="false">IF(AND(C2411=Calc!$C$3,OR(Calc!$C$4=0,D2411=Calc!$C$4)),ROW(),0)</f>
        <v>2411</v>
      </c>
    </row>
    <row r="2412" customFormat="false" ht="15" hidden="false" customHeight="false" outlineLevel="0" collapsed="false">
      <c r="A2412" s="57" t="s">
        <v>2977</v>
      </c>
      <c r="B2412" s="58" t="n">
        <v>45938</v>
      </c>
      <c r="C2412" s="57" t="n">
        <f aca="false">YEAR(B2412)</f>
        <v>2025</v>
      </c>
      <c r="D2412" s="57" t="n">
        <f aca="false">MONTH(B2412)</f>
        <v>10</v>
      </c>
      <c r="E2412" s="57" t="s">
        <v>263</v>
      </c>
      <c r="F2412" s="57" t="s">
        <v>69</v>
      </c>
      <c r="G2412" s="57" t="s">
        <v>40</v>
      </c>
      <c r="H2412" s="57" t="s">
        <v>39</v>
      </c>
      <c r="I2412" s="59" t="n">
        <v>1</v>
      </c>
      <c r="J2412" s="60" t="n">
        <v>54</v>
      </c>
      <c r="K2412" s="60" t="n">
        <v>19</v>
      </c>
      <c r="L2412" s="61" t="n">
        <f aca="false">I2412*J2412</f>
        <v>54</v>
      </c>
      <c r="M2412" s="61" t="n">
        <f aca="false">L2412-I2412*K2412</f>
        <v>35</v>
      </c>
      <c r="N2412" s="57" t="n">
        <f aca="false">IF(COUNTIFS(E$2:E2412,E2412,C$2:C2412,C2412)=1,1,0)</f>
        <v>1</v>
      </c>
      <c r="O2412" s="57" t="n">
        <f aca="false">IF(COUNTIFS(E$2:E2412,E2412,C$2:C2412,C2412,D$2:D2412,D2412)=1,1,0)</f>
        <v>1</v>
      </c>
      <c r="P2412" s="57" t="n">
        <f aca="false">IF(AND(C2412=Calc!$C$3,OR(Calc!$C$4=0,D2412=Calc!$C$4)),ROW(),0)</f>
        <v>2412</v>
      </c>
    </row>
    <row r="2413" customFormat="false" ht="15" hidden="false" customHeight="false" outlineLevel="0" collapsed="false">
      <c r="A2413" s="57" t="s">
        <v>2978</v>
      </c>
      <c r="B2413" s="58" t="n">
        <v>45939</v>
      </c>
      <c r="C2413" s="57" t="n">
        <f aca="false">YEAR(B2413)</f>
        <v>2025</v>
      </c>
      <c r="D2413" s="57" t="n">
        <f aca="false">MONTH(B2413)</f>
        <v>10</v>
      </c>
      <c r="E2413" s="57" t="s">
        <v>1234</v>
      </c>
      <c r="F2413" s="57" t="s">
        <v>78</v>
      </c>
      <c r="G2413" s="57" t="s">
        <v>35</v>
      </c>
      <c r="H2413" s="57" t="s">
        <v>34</v>
      </c>
      <c r="I2413" s="59" t="n">
        <v>1</v>
      </c>
      <c r="J2413" s="60" t="n">
        <v>89</v>
      </c>
      <c r="K2413" s="60" t="n">
        <v>41</v>
      </c>
      <c r="L2413" s="61" t="n">
        <f aca="false">I2413*J2413</f>
        <v>89</v>
      </c>
      <c r="M2413" s="61" t="n">
        <f aca="false">L2413-I2413*K2413</f>
        <v>48</v>
      </c>
      <c r="N2413" s="57" t="n">
        <f aca="false">IF(COUNTIFS(E$2:E2413,E2413,C$2:C2413,C2413)=1,1,0)</f>
        <v>0</v>
      </c>
      <c r="O2413" s="57" t="n">
        <f aca="false">IF(COUNTIFS(E$2:E2413,E2413,C$2:C2413,C2413,D$2:D2413,D2413)=1,1,0)</f>
        <v>1</v>
      </c>
      <c r="P2413" s="57" t="n">
        <f aca="false">IF(AND(C2413=Calc!$C$3,OR(Calc!$C$4=0,D2413=Calc!$C$4)),ROW(),0)</f>
        <v>2413</v>
      </c>
    </row>
    <row r="2414" customFormat="false" ht="15" hidden="false" customHeight="false" outlineLevel="0" collapsed="false">
      <c r="A2414" s="57" t="s">
        <v>2979</v>
      </c>
      <c r="B2414" s="58" t="n">
        <v>45939</v>
      </c>
      <c r="C2414" s="57" t="n">
        <f aca="false">YEAR(B2414)</f>
        <v>2025</v>
      </c>
      <c r="D2414" s="57" t="n">
        <f aca="false">MONTH(B2414)</f>
        <v>10</v>
      </c>
      <c r="E2414" s="57" t="s">
        <v>903</v>
      </c>
      <c r="F2414" s="57" t="s">
        <v>69</v>
      </c>
      <c r="G2414" s="57" t="s">
        <v>40</v>
      </c>
      <c r="H2414" s="57" t="s">
        <v>39</v>
      </c>
      <c r="I2414" s="59" t="n">
        <v>2</v>
      </c>
      <c r="J2414" s="60" t="n">
        <v>54</v>
      </c>
      <c r="K2414" s="60" t="n">
        <v>19</v>
      </c>
      <c r="L2414" s="61" t="n">
        <f aca="false">I2414*J2414</f>
        <v>108</v>
      </c>
      <c r="M2414" s="61" t="n">
        <f aca="false">L2414-I2414*K2414</f>
        <v>70</v>
      </c>
      <c r="N2414" s="57" t="n">
        <f aca="false">IF(COUNTIFS(E$2:E2414,E2414,C$2:C2414,C2414)=1,1,0)</f>
        <v>0</v>
      </c>
      <c r="O2414" s="57" t="n">
        <f aca="false">IF(COUNTIFS(E$2:E2414,E2414,C$2:C2414,C2414,D$2:D2414,D2414)=1,1,0)</f>
        <v>1</v>
      </c>
      <c r="P2414" s="57" t="n">
        <f aca="false">IF(AND(C2414=Calc!$C$3,OR(Calc!$C$4=0,D2414=Calc!$C$4)),ROW(),0)</f>
        <v>2414</v>
      </c>
    </row>
    <row r="2415" customFormat="false" ht="15" hidden="false" customHeight="false" outlineLevel="0" collapsed="false">
      <c r="A2415" s="57" t="s">
        <v>2980</v>
      </c>
      <c r="B2415" s="58" t="n">
        <v>45939</v>
      </c>
      <c r="C2415" s="57" t="n">
        <f aca="false">YEAR(B2415)</f>
        <v>2025</v>
      </c>
      <c r="D2415" s="57" t="n">
        <f aca="false">MONTH(B2415)</f>
        <v>10</v>
      </c>
      <c r="E2415" s="57" t="s">
        <v>698</v>
      </c>
      <c r="F2415" s="57" t="s">
        <v>75</v>
      </c>
      <c r="G2415" s="57" t="s">
        <v>40</v>
      </c>
      <c r="H2415" s="57" t="s">
        <v>41</v>
      </c>
      <c r="I2415" s="59" t="n">
        <v>1</v>
      </c>
      <c r="J2415" s="60" t="n">
        <v>46</v>
      </c>
      <c r="K2415" s="60" t="n">
        <v>16</v>
      </c>
      <c r="L2415" s="61" t="n">
        <f aca="false">I2415*J2415</f>
        <v>46</v>
      </c>
      <c r="M2415" s="61" t="n">
        <f aca="false">L2415-I2415*K2415</f>
        <v>30</v>
      </c>
      <c r="N2415" s="57" t="n">
        <f aca="false">IF(COUNTIFS(E$2:E2415,E2415,C$2:C2415,C2415)=1,1,0)</f>
        <v>0</v>
      </c>
      <c r="O2415" s="57" t="n">
        <f aca="false">IF(COUNTIFS(E$2:E2415,E2415,C$2:C2415,C2415,D$2:D2415,D2415)=1,1,0)</f>
        <v>1</v>
      </c>
      <c r="P2415" s="57" t="n">
        <f aca="false">IF(AND(C2415=Calc!$C$3,OR(Calc!$C$4=0,D2415=Calc!$C$4)),ROW(),0)</f>
        <v>2415</v>
      </c>
    </row>
    <row r="2416" customFormat="false" ht="15" hidden="false" customHeight="false" outlineLevel="0" collapsed="false">
      <c r="A2416" s="57" t="s">
        <v>2981</v>
      </c>
      <c r="B2416" s="58" t="n">
        <v>45940</v>
      </c>
      <c r="C2416" s="57" t="n">
        <f aca="false">YEAR(B2416)</f>
        <v>2025</v>
      </c>
      <c r="D2416" s="57" t="n">
        <f aca="false">MONTH(B2416)</f>
        <v>10</v>
      </c>
      <c r="E2416" s="57" t="s">
        <v>372</v>
      </c>
      <c r="F2416" s="57" t="s">
        <v>81</v>
      </c>
      <c r="G2416" s="57" t="s">
        <v>50</v>
      </c>
      <c r="H2416" s="57" t="s">
        <v>49</v>
      </c>
      <c r="I2416" s="59" t="n">
        <v>1</v>
      </c>
      <c r="J2416" s="60" t="n">
        <v>32</v>
      </c>
      <c r="K2416" s="60" t="n">
        <v>7</v>
      </c>
      <c r="L2416" s="61" t="n">
        <f aca="false">I2416*J2416</f>
        <v>32</v>
      </c>
      <c r="M2416" s="61" t="n">
        <f aca="false">L2416-I2416*K2416</f>
        <v>25</v>
      </c>
      <c r="N2416" s="57" t="n">
        <f aca="false">IF(COUNTIFS(E$2:E2416,E2416,C$2:C2416,C2416)=1,1,0)</f>
        <v>0</v>
      </c>
      <c r="O2416" s="57" t="n">
        <f aca="false">IF(COUNTIFS(E$2:E2416,E2416,C$2:C2416,C2416,D$2:D2416,D2416)=1,1,0)</f>
        <v>1</v>
      </c>
      <c r="P2416" s="57" t="n">
        <f aca="false">IF(AND(C2416=Calc!$C$3,OR(Calc!$C$4=0,D2416=Calc!$C$4)),ROW(),0)</f>
        <v>2416</v>
      </c>
    </row>
    <row r="2417" customFormat="false" ht="15" hidden="false" customHeight="false" outlineLevel="0" collapsed="false">
      <c r="A2417" s="57" t="s">
        <v>2982</v>
      </c>
      <c r="B2417" s="58" t="n">
        <v>45940</v>
      </c>
      <c r="C2417" s="57" t="n">
        <f aca="false">YEAR(B2417)</f>
        <v>2025</v>
      </c>
      <c r="D2417" s="57" t="n">
        <f aca="false">MONTH(B2417)</f>
        <v>10</v>
      </c>
      <c r="E2417" s="57" t="s">
        <v>672</v>
      </c>
      <c r="F2417" s="57" t="s">
        <v>72</v>
      </c>
      <c r="G2417" s="57" t="s">
        <v>45</v>
      </c>
      <c r="H2417" s="57" t="s">
        <v>47</v>
      </c>
      <c r="I2417" s="59" t="n">
        <v>1</v>
      </c>
      <c r="J2417" s="60" t="n">
        <v>34</v>
      </c>
      <c r="K2417" s="60" t="n">
        <v>12</v>
      </c>
      <c r="L2417" s="61" t="n">
        <f aca="false">I2417*J2417</f>
        <v>34</v>
      </c>
      <c r="M2417" s="61" t="n">
        <f aca="false">L2417-I2417*K2417</f>
        <v>22</v>
      </c>
      <c r="N2417" s="57" t="n">
        <f aca="false">IF(COUNTIFS(E$2:E2417,E2417,C$2:C2417,C2417)=1,1,0)</f>
        <v>0</v>
      </c>
      <c r="O2417" s="57" t="n">
        <f aca="false">IF(COUNTIFS(E$2:E2417,E2417,C$2:C2417,C2417,D$2:D2417,D2417)=1,1,0)</f>
        <v>1</v>
      </c>
      <c r="P2417" s="57" t="n">
        <f aca="false">IF(AND(C2417=Calc!$C$3,OR(Calc!$C$4=0,D2417=Calc!$C$4)),ROW(),0)</f>
        <v>2417</v>
      </c>
    </row>
    <row r="2418" customFormat="false" ht="15" hidden="false" customHeight="false" outlineLevel="0" collapsed="false">
      <c r="A2418" s="57" t="s">
        <v>2983</v>
      </c>
      <c r="B2418" s="58" t="n">
        <v>45940</v>
      </c>
      <c r="C2418" s="57" t="n">
        <f aca="false">YEAR(B2418)</f>
        <v>2025</v>
      </c>
      <c r="D2418" s="57" t="n">
        <f aca="false">MONTH(B2418)</f>
        <v>10</v>
      </c>
      <c r="E2418" s="57" t="s">
        <v>996</v>
      </c>
      <c r="F2418" s="57" t="s">
        <v>75</v>
      </c>
      <c r="G2418" s="57" t="s">
        <v>35</v>
      </c>
      <c r="H2418" s="57" t="s">
        <v>37</v>
      </c>
      <c r="I2418" s="59" t="n">
        <v>2</v>
      </c>
      <c r="J2418" s="60" t="n">
        <v>59</v>
      </c>
      <c r="K2418" s="60" t="n">
        <v>27</v>
      </c>
      <c r="L2418" s="61" t="n">
        <f aca="false">I2418*J2418</f>
        <v>118</v>
      </c>
      <c r="M2418" s="61" t="n">
        <f aca="false">L2418-I2418*K2418</f>
        <v>64</v>
      </c>
      <c r="N2418" s="57" t="n">
        <f aca="false">IF(COUNTIFS(E$2:E2418,E2418,C$2:C2418,C2418)=1,1,0)</f>
        <v>0</v>
      </c>
      <c r="O2418" s="57" t="n">
        <f aca="false">IF(COUNTIFS(E$2:E2418,E2418,C$2:C2418,C2418,D$2:D2418,D2418)=1,1,0)</f>
        <v>1</v>
      </c>
      <c r="P2418" s="57" t="n">
        <f aca="false">IF(AND(C2418=Calc!$C$3,OR(Calc!$C$4=0,D2418=Calc!$C$4)),ROW(),0)</f>
        <v>2418</v>
      </c>
    </row>
    <row r="2419" customFormat="false" ht="15" hidden="false" customHeight="false" outlineLevel="0" collapsed="false">
      <c r="A2419" s="57" t="s">
        <v>2984</v>
      </c>
      <c r="B2419" s="58" t="n">
        <v>45940</v>
      </c>
      <c r="C2419" s="57" t="n">
        <f aca="false">YEAR(B2419)</f>
        <v>2025</v>
      </c>
      <c r="D2419" s="57" t="n">
        <f aca="false">MONTH(B2419)</f>
        <v>10</v>
      </c>
      <c r="E2419" s="57" t="s">
        <v>500</v>
      </c>
      <c r="F2419" s="57" t="s">
        <v>72</v>
      </c>
      <c r="G2419" s="57" t="s">
        <v>50</v>
      </c>
      <c r="H2419" s="57" t="s">
        <v>51</v>
      </c>
      <c r="I2419" s="59" t="n">
        <v>1</v>
      </c>
      <c r="J2419" s="60" t="n">
        <v>69</v>
      </c>
      <c r="K2419" s="60" t="n">
        <v>29</v>
      </c>
      <c r="L2419" s="61" t="n">
        <f aca="false">I2419*J2419</f>
        <v>69</v>
      </c>
      <c r="M2419" s="61" t="n">
        <f aca="false">L2419-I2419*K2419</f>
        <v>40</v>
      </c>
      <c r="N2419" s="57" t="n">
        <f aca="false">IF(COUNTIFS(E$2:E2419,E2419,C$2:C2419,C2419)=1,1,0)</f>
        <v>0</v>
      </c>
      <c r="O2419" s="57" t="n">
        <f aca="false">IF(COUNTIFS(E$2:E2419,E2419,C$2:C2419,C2419,D$2:D2419,D2419)=1,1,0)</f>
        <v>0</v>
      </c>
      <c r="P2419" s="57" t="n">
        <f aca="false">IF(AND(C2419=Calc!$C$3,OR(Calc!$C$4=0,D2419=Calc!$C$4)),ROW(),0)</f>
        <v>2419</v>
      </c>
    </row>
    <row r="2420" customFormat="false" ht="15" hidden="false" customHeight="false" outlineLevel="0" collapsed="false">
      <c r="A2420" s="57" t="s">
        <v>2985</v>
      </c>
      <c r="B2420" s="58" t="n">
        <v>45940</v>
      </c>
      <c r="C2420" s="57" t="n">
        <f aca="false">YEAR(B2420)</f>
        <v>2025</v>
      </c>
      <c r="D2420" s="57" t="n">
        <f aca="false">MONTH(B2420)</f>
        <v>10</v>
      </c>
      <c r="E2420" s="57" t="s">
        <v>265</v>
      </c>
      <c r="F2420" s="57" t="s">
        <v>78</v>
      </c>
      <c r="G2420" s="57" t="s">
        <v>35</v>
      </c>
      <c r="H2420" s="57" t="s">
        <v>34</v>
      </c>
      <c r="I2420" s="59" t="n">
        <v>1</v>
      </c>
      <c r="J2420" s="60" t="n">
        <v>89</v>
      </c>
      <c r="K2420" s="60" t="n">
        <v>41</v>
      </c>
      <c r="L2420" s="61" t="n">
        <f aca="false">I2420*J2420</f>
        <v>89</v>
      </c>
      <c r="M2420" s="61" t="n">
        <f aca="false">L2420-I2420*K2420</f>
        <v>48</v>
      </c>
      <c r="N2420" s="57" t="n">
        <f aca="false">IF(COUNTIFS(E$2:E2420,E2420,C$2:C2420,C2420)=1,1,0)</f>
        <v>0</v>
      </c>
      <c r="O2420" s="57" t="n">
        <f aca="false">IF(COUNTIFS(E$2:E2420,E2420,C$2:C2420,C2420,D$2:D2420,D2420)=1,1,0)</f>
        <v>0</v>
      </c>
      <c r="P2420" s="57" t="n">
        <f aca="false">IF(AND(C2420=Calc!$C$3,OR(Calc!$C$4=0,D2420=Calc!$C$4)),ROW(),0)</f>
        <v>2420</v>
      </c>
    </row>
    <row r="2421" customFormat="false" ht="15" hidden="false" customHeight="false" outlineLevel="0" collapsed="false">
      <c r="A2421" s="57" t="s">
        <v>2986</v>
      </c>
      <c r="B2421" s="58" t="n">
        <v>45940</v>
      </c>
      <c r="C2421" s="57" t="n">
        <f aca="false">YEAR(B2421)</f>
        <v>2025</v>
      </c>
      <c r="D2421" s="57" t="n">
        <f aca="false">MONTH(B2421)</f>
        <v>10</v>
      </c>
      <c r="E2421" s="57" t="s">
        <v>951</v>
      </c>
      <c r="F2421" s="57" t="s">
        <v>78</v>
      </c>
      <c r="G2421" s="57" t="s">
        <v>35</v>
      </c>
      <c r="H2421" s="57" t="s">
        <v>37</v>
      </c>
      <c r="I2421" s="59" t="n">
        <v>1</v>
      </c>
      <c r="J2421" s="60" t="n">
        <v>59</v>
      </c>
      <c r="K2421" s="60" t="n">
        <v>27</v>
      </c>
      <c r="L2421" s="61" t="n">
        <f aca="false">I2421*J2421</f>
        <v>59</v>
      </c>
      <c r="M2421" s="61" t="n">
        <f aca="false">L2421-I2421*K2421</f>
        <v>32</v>
      </c>
      <c r="N2421" s="57" t="n">
        <f aca="false">IF(COUNTIFS(E$2:E2421,E2421,C$2:C2421,C2421)=1,1,0)</f>
        <v>0</v>
      </c>
      <c r="O2421" s="57" t="n">
        <f aca="false">IF(COUNTIFS(E$2:E2421,E2421,C$2:C2421,C2421,D$2:D2421,D2421)=1,1,0)</f>
        <v>1</v>
      </c>
      <c r="P2421" s="57" t="n">
        <f aca="false">IF(AND(C2421=Calc!$C$3,OR(Calc!$C$4=0,D2421=Calc!$C$4)),ROW(),0)</f>
        <v>2421</v>
      </c>
    </row>
    <row r="2422" customFormat="false" ht="15" hidden="false" customHeight="false" outlineLevel="0" collapsed="false">
      <c r="A2422" s="57" t="s">
        <v>2987</v>
      </c>
      <c r="B2422" s="58" t="n">
        <v>45941</v>
      </c>
      <c r="C2422" s="57" t="n">
        <f aca="false">YEAR(B2422)</f>
        <v>2025</v>
      </c>
      <c r="D2422" s="57" t="n">
        <f aca="false">MONTH(B2422)</f>
        <v>10</v>
      </c>
      <c r="E2422" s="57" t="s">
        <v>368</v>
      </c>
      <c r="F2422" s="57" t="s">
        <v>69</v>
      </c>
      <c r="G2422" s="57" t="s">
        <v>35</v>
      </c>
      <c r="H2422" s="57" t="s">
        <v>37</v>
      </c>
      <c r="I2422" s="59" t="n">
        <v>1</v>
      </c>
      <c r="J2422" s="60" t="n">
        <v>59</v>
      </c>
      <c r="K2422" s="60" t="n">
        <v>27</v>
      </c>
      <c r="L2422" s="61" t="n">
        <f aca="false">I2422*J2422</f>
        <v>59</v>
      </c>
      <c r="M2422" s="61" t="n">
        <f aca="false">L2422-I2422*K2422</f>
        <v>32</v>
      </c>
      <c r="N2422" s="57" t="n">
        <f aca="false">IF(COUNTIFS(E$2:E2422,E2422,C$2:C2422,C2422)=1,1,0)</f>
        <v>0</v>
      </c>
      <c r="O2422" s="57" t="n">
        <f aca="false">IF(COUNTIFS(E$2:E2422,E2422,C$2:C2422,C2422,D$2:D2422,D2422)=1,1,0)</f>
        <v>1</v>
      </c>
      <c r="P2422" s="57" t="n">
        <f aca="false">IF(AND(C2422=Calc!$C$3,OR(Calc!$C$4=0,D2422=Calc!$C$4)),ROW(),0)</f>
        <v>2422</v>
      </c>
    </row>
    <row r="2423" customFormat="false" ht="15" hidden="false" customHeight="false" outlineLevel="0" collapsed="false">
      <c r="A2423" s="57" t="s">
        <v>2988</v>
      </c>
      <c r="B2423" s="58" t="n">
        <v>45941</v>
      </c>
      <c r="C2423" s="57" t="n">
        <f aca="false">YEAR(B2423)</f>
        <v>2025</v>
      </c>
      <c r="D2423" s="57" t="n">
        <f aca="false">MONTH(B2423)</f>
        <v>10</v>
      </c>
      <c r="E2423" s="57" t="s">
        <v>304</v>
      </c>
      <c r="F2423" s="57" t="s">
        <v>69</v>
      </c>
      <c r="G2423" s="57" t="s">
        <v>40</v>
      </c>
      <c r="H2423" s="57" t="s">
        <v>41</v>
      </c>
      <c r="I2423" s="59" t="n">
        <v>1</v>
      </c>
      <c r="J2423" s="60" t="n">
        <v>46</v>
      </c>
      <c r="K2423" s="60" t="n">
        <v>16</v>
      </c>
      <c r="L2423" s="61" t="n">
        <f aca="false">I2423*J2423</f>
        <v>46</v>
      </c>
      <c r="M2423" s="61" t="n">
        <f aca="false">L2423-I2423*K2423</f>
        <v>30</v>
      </c>
      <c r="N2423" s="57" t="n">
        <f aca="false">IF(COUNTIFS(E$2:E2423,E2423,C$2:C2423,C2423)=1,1,0)</f>
        <v>0</v>
      </c>
      <c r="O2423" s="57" t="n">
        <f aca="false">IF(COUNTIFS(E$2:E2423,E2423,C$2:C2423,C2423,D$2:D2423,D2423)=1,1,0)</f>
        <v>1</v>
      </c>
      <c r="P2423" s="57" t="n">
        <f aca="false">IF(AND(C2423=Calc!$C$3,OR(Calc!$C$4=0,D2423=Calc!$C$4)),ROW(),0)</f>
        <v>2423</v>
      </c>
    </row>
    <row r="2424" customFormat="false" ht="15" hidden="false" customHeight="false" outlineLevel="0" collapsed="false">
      <c r="A2424" s="57" t="s">
        <v>2989</v>
      </c>
      <c r="B2424" s="58" t="n">
        <v>45941</v>
      </c>
      <c r="C2424" s="57" t="n">
        <f aca="false">YEAR(B2424)</f>
        <v>2025</v>
      </c>
      <c r="D2424" s="57" t="n">
        <f aca="false">MONTH(B2424)</f>
        <v>10</v>
      </c>
      <c r="E2424" s="57" t="s">
        <v>271</v>
      </c>
      <c r="F2424" s="57" t="s">
        <v>75</v>
      </c>
      <c r="G2424" s="57" t="s">
        <v>35</v>
      </c>
      <c r="H2424" s="57" t="s">
        <v>36</v>
      </c>
      <c r="I2424" s="59" t="n">
        <v>2</v>
      </c>
      <c r="J2424" s="60" t="n">
        <v>179</v>
      </c>
      <c r="K2424" s="60" t="n">
        <v>92</v>
      </c>
      <c r="L2424" s="61" t="n">
        <f aca="false">I2424*J2424</f>
        <v>358</v>
      </c>
      <c r="M2424" s="61" t="n">
        <f aca="false">L2424-I2424*K2424</f>
        <v>174</v>
      </c>
      <c r="N2424" s="57" t="n">
        <f aca="false">IF(COUNTIFS(E$2:E2424,E2424,C$2:C2424,C2424)=1,1,0)</f>
        <v>0</v>
      </c>
      <c r="O2424" s="57" t="n">
        <f aca="false">IF(COUNTIFS(E$2:E2424,E2424,C$2:C2424,C2424,D$2:D2424,D2424)=1,1,0)</f>
        <v>1</v>
      </c>
      <c r="P2424" s="57" t="n">
        <f aca="false">IF(AND(C2424=Calc!$C$3,OR(Calc!$C$4=0,D2424=Calc!$C$4)),ROW(),0)</f>
        <v>2424</v>
      </c>
    </row>
    <row r="2425" customFormat="false" ht="15" hidden="false" customHeight="false" outlineLevel="0" collapsed="false">
      <c r="A2425" s="57" t="s">
        <v>2990</v>
      </c>
      <c r="B2425" s="58" t="n">
        <v>45941</v>
      </c>
      <c r="C2425" s="57" t="n">
        <f aca="false">YEAR(B2425)</f>
        <v>2025</v>
      </c>
      <c r="D2425" s="57" t="n">
        <f aca="false">MONTH(B2425)</f>
        <v>10</v>
      </c>
      <c r="E2425" s="57" t="s">
        <v>983</v>
      </c>
      <c r="F2425" s="57" t="s">
        <v>72</v>
      </c>
      <c r="G2425" s="57" t="s">
        <v>35</v>
      </c>
      <c r="H2425" s="57" t="s">
        <v>34</v>
      </c>
      <c r="I2425" s="59" t="n">
        <v>1</v>
      </c>
      <c r="J2425" s="60" t="n">
        <v>89</v>
      </c>
      <c r="K2425" s="60" t="n">
        <v>41</v>
      </c>
      <c r="L2425" s="61" t="n">
        <f aca="false">I2425*J2425</f>
        <v>89</v>
      </c>
      <c r="M2425" s="61" t="n">
        <f aca="false">L2425-I2425*K2425</f>
        <v>48</v>
      </c>
      <c r="N2425" s="57" t="n">
        <f aca="false">IF(COUNTIFS(E$2:E2425,E2425,C$2:C2425,C2425)=1,1,0)</f>
        <v>0</v>
      </c>
      <c r="O2425" s="57" t="n">
        <f aca="false">IF(COUNTIFS(E$2:E2425,E2425,C$2:C2425,C2425,D$2:D2425,D2425)=1,1,0)</f>
        <v>0</v>
      </c>
      <c r="P2425" s="57" t="n">
        <f aca="false">IF(AND(C2425=Calc!$C$3,OR(Calc!$C$4=0,D2425=Calc!$C$4)),ROW(),0)</f>
        <v>2425</v>
      </c>
    </row>
    <row r="2426" customFormat="false" ht="15" hidden="false" customHeight="false" outlineLevel="0" collapsed="false">
      <c r="A2426" s="57" t="s">
        <v>2991</v>
      </c>
      <c r="B2426" s="58" t="n">
        <v>45942</v>
      </c>
      <c r="C2426" s="57" t="n">
        <f aca="false">YEAR(B2426)</f>
        <v>2025</v>
      </c>
      <c r="D2426" s="57" t="n">
        <f aca="false">MONTH(B2426)</f>
        <v>10</v>
      </c>
      <c r="E2426" s="57" t="s">
        <v>446</v>
      </c>
      <c r="F2426" s="57" t="s">
        <v>75</v>
      </c>
      <c r="G2426" s="57" t="s">
        <v>40</v>
      </c>
      <c r="H2426" s="57" t="s">
        <v>41</v>
      </c>
      <c r="I2426" s="59" t="n">
        <v>1</v>
      </c>
      <c r="J2426" s="60" t="n">
        <v>46</v>
      </c>
      <c r="K2426" s="60" t="n">
        <v>16</v>
      </c>
      <c r="L2426" s="61" t="n">
        <f aca="false">I2426*J2426</f>
        <v>46</v>
      </c>
      <c r="M2426" s="61" t="n">
        <f aca="false">L2426-I2426*K2426</f>
        <v>30</v>
      </c>
      <c r="N2426" s="57" t="n">
        <f aca="false">IF(COUNTIFS(E$2:E2426,E2426,C$2:C2426,C2426)=1,1,0)</f>
        <v>0</v>
      </c>
      <c r="O2426" s="57" t="n">
        <f aca="false">IF(COUNTIFS(E$2:E2426,E2426,C$2:C2426,C2426,D$2:D2426,D2426)=1,1,0)</f>
        <v>0</v>
      </c>
      <c r="P2426" s="57" t="n">
        <f aca="false">IF(AND(C2426=Calc!$C$3,OR(Calc!$C$4=0,D2426=Calc!$C$4)),ROW(),0)</f>
        <v>2426</v>
      </c>
    </row>
    <row r="2427" customFormat="false" ht="15" hidden="false" customHeight="false" outlineLevel="0" collapsed="false">
      <c r="A2427" s="57" t="s">
        <v>2992</v>
      </c>
      <c r="B2427" s="58" t="n">
        <v>45942</v>
      </c>
      <c r="C2427" s="57" t="n">
        <f aca="false">YEAR(B2427)</f>
        <v>2025</v>
      </c>
      <c r="D2427" s="57" t="n">
        <f aca="false">MONTH(B2427)</f>
        <v>10</v>
      </c>
      <c r="E2427" s="57" t="s">
        <v>657</v>
      </c>
      <c r="F2427" s="57" t="s">
        <v>81</v>
      </c>
      <c r="G2427" s="57" t="s">
        <v>35</v>
      </c>
      <c r="H2427" s="57" t="s">
        <v>38</v>
      </c>
      <c r="I2427" s="59" t="n">
        <v>1</v>
      </c>
      <c r="J2427" s="60" t="n">
        <v>49</v>
      </c>
      <c r="K2427" s="60" t="n">
        <v>22</v>
      </c>
      <c r="L2427" s="61" t="n">
        <f aca="false">I2427*J2427</f>
        <v>49</v>
      </c>
      <c r="M2427" s="61" t="n">
        <f aca="false">L2427-I2427*K2427</f>
        <v>27</v>
      </c>
      <c r="N2427" s="57" t="n">
        <f aca="false">IF(COUNTIFS(E$2:E2427,E2427,C$2:C2427,C2427)=1,1,0)</f>
        <v>1</v>
      </c>
      <c r="O2427" s="57" t="n">
        <f aca="false">IF(COUNTIFS(E$2:E2427,E2427,C$2:C2427,C2427,D$2:D2427,D2427)=1,1,0)</f>
        <v>1</v>
      </c>
      <c r="P2427" s="57" t="n">
        <f aca="false">IF(AND(C2427=Calc!$C$3,OR(Calc!$C$4=0,D2427=Calc!$C$4)),ROW(),0)</f>
        <v>2427</v>
      </c>
    </row>
    <row r="2428" customFormat="false" ht="15" hidden="false" customHeight="false" outlineLevel="0" collapsed="false">
      <c r="A2428" s="57" t="s">
        <v>2993</v>
      </c>
      <c r="B2428" s="58" t="n">
        <v>45942</v>
      </c>
      <c r="C2428" s="57" t="n">
        <f aca="false">YEAR(B2428)</f>
        <v>2025</v>
      </c>
      <c r="D2428" s="57" t="n">
        <f aca="false">MONTH(B2428)</f>
        <v>10</v>
      </c>
      <c r="E2428" s="57" t="s">
        <v>357</v>
      </c>
      <c r="F2428" s="57" t="s">
        <v>69</v>
      </c>
      <c r="G2428" s="57" t="s">
        <v>45</v>
      </c>
      <c r="H2428" s="57" t="s">
        <v>48</v>
      </c>
      <c r="I2428" s="59" t="n">
        <v>1</v>
      </c>
      <c r="J2428" s="60" t="n">
        <v>99</v>
      </c>
      <c r="K2428" s="60" t="n">
        <v>38</v>
      </c>
      <c r="L2428" s="61" t="n">
        <f aca="false">I2428*J2428</f>
        <v>99</v>
      </c>
      <c r="M2428" s="61" t="n">
        <f aca="false">L2428-I2428*K2428</f>
        <v>61</v>
      </c>
      <c r="N2428" s="57" t="n">
        <f aca="false">IF(COUNTIFS(E$2:E2428,E2428,C$2:C2428,C2428)=1,1,0)</f>
        <v>0</v>
      </c>
      <c r="O2428" s="57" t="n">
        <f aca="false">IF(COUNTIFS(E$2:E2428,E2428,C$2:C2428,C2428,D$2:D2428,D2428)=1,1,0)</f>
        <v>0</v>
      </c>
      <c r="P2428" s="57" t="n">
        <f aca="false">IF(AND(C2428=Calc!$C$3,OR(Calc!$C$4=0,D2428=Calc!$C$4)),ROW(),0)</f>
        <v>2428</v>
      </c>
    </row>
    <row r="2429" customFormat="false" ht="15" hidden="false" customHeight="false" outlineLevel="0" collapsed="false">
      <c r="A2429" s="57" t="s">
        <v>2994</v>
      </c>
      <c r="B2429" s="58" t="n">
        <v>45942</v>
      </c>
      <c r="C2429" s="57" t="n">
        <f aca="false">YEAR(B2429)</f>
        <v>2025</v>
      </c>
      <c r="D2429" s="57" t="n">
        <f aca="false">MONTH(B2429)</f>
        <v>10</v>
      </c>
      <c r="E2429" s="57" t="s">
        <v>1825</v>
      </c>
      <c r="F2429" s="57" t="s">
        <v>78</v>
      </c>
      <c r="G2429" s="57" t="s">
        <v>35</v>
      </c>
      <c r="H2429" s="57" t="s">
        <v>37</v>
      </c>
      <c r="I2429" s="59" t="n">
        <v>1</v>
      </c>
      <c r="J2429" s="60" t="n">
        <v>59</v>
      </c>
      <c r="K2429" s="60" t="n">
        <v>27</v>
      </c>
      <c r="L2429" s="61" t="n">
        <f aca="false">I2429*J2429</f>
        <v>59</v>
      </c>
      <c r="M2429" s="61" t="n">
        <f aca="false">L2429-I2429*K2429</f>
        <v>32</v>
      </c>
      <c r="N2429" s="57" t="n">
        <f aca="false">IF(COUNTIFS(E$2:E2429,E2429,C$2:C2429,C2429)=1,1,0)</f>
        <v>1</v>
      </c>
      <c r="O2429" s="57" t="n">
        <f aca="false">IF(COUNTIFS(E$2:E2429,E2429,C$2:C2429,C2429,D$2:D2429,D2429)=1,1,0)</f>
        <v>1</v>
      </c>
      <c r="P2429" s="57" t="n">
        <f aca="false">IF(AND(C2429=Calc!$C$3,OR(Calc!$C$4=0,D2429=Calc!$C$4)),ROW(),0)</f>
        <v>2429</v>
      </c>
    </row>
    <row r="2430" customFormat="false" ht="15" hidden="false" customHeight="false" outlineLevel="0" collapsed="false">
      <c r="A2430" s="57" t="s">
        <v>2995</v>
      </c>
      <c r="B2430" s="58" t="n">
        <v>45943</v>
      </c>
      <c r="C2430" s="57" t="n">
        <f aca="false">YEAR(B2430)</f>
        <v>2025</v>
      </c>
      <c r="D2430" s="57" t="n">
        <f aca="false">MONTH(B2430)</f>
        <v>10</v>
      </c>
      <c r="E2430" s="57" t="s">
        <v>1304</v>
      </c>
      <c r="F2430" s="57" t="s">
        <v>78</v>
      </c>
      <c r="G2430" s="57" t="s">
        <v>35</v>
      </c>
      <c r="H2430" s="57" t="s">
        <v>37</v>
      </c>
      <c r="I2430" s="59" t="n">
        <v>1</v>
      </c>
      <c r="J2430" s="60" t="n">
        <v>59</v>
      </c>
      <c r="K2430" s="60" t="n">
        <v>27</v>
      </c>
      <c r="L2430" s="61" t="n">
        <f aca="false">I2430*J2430</f>
        <v>59</v>
      </c>
      <c r="M2430" s="61" t="n">
        <f aca="false">L2430-I2430*K2430</f>
        <v>32</v>
      </c>
      <c r="N2430" s="57" t="n">
        <f aca="false">IF(COUNTIFS(E$2:E2430,E2430,C$2:C2430,C2430)=1,1,0)</f>
        <v>0</v>
      </c>
      <c r="O2430" s="57" t="n">
        <f aca="false">IF(COUNTIFS(E$2:E2430,E2430,C$2:C2430,C2430,D$2:D2430,D2430)=1,1,0)</f>
        <v>1</v>
      </c>
      <c r="P2430" s="57" t="n">
        <f aca="false">IF(AND(C2430=Calc!$C$3,OR(Calc!$C$4=0,D2430=Calc!$C$4)),ROW(),0)</f>
        <v>2430</v>
      </c>
    </row>
    <row r="2431" customFormat="false" ht="15" hidden="false" customHeight="false" outlineLevel="0" collapsed="false">
      <c r="A2431" s="57" t="s">
        <v>2996</v>
      </c>
      <c r="B2431" s="58" t="n">
        <v>45943</v>
      </c>
      <c r="C2431" s="57" t="n">
        <f aca="false">YEAR(B2431)</f>
        <v>2025</v>
      </c>
      <c r="D2431" s="57" t="n">
        <f aca="false">MONTH(B2431)</f>
        <v>10</v>
      </c>
      <c r="E2431" s="57" t="s">
        <v>332</v>
      </c>
      <c r="F2431" s="57" t="s">
        <v>72</v>
      </c>
      <c r="G2431" s="57" t="s">
        <v>45</v>
      </c>
      <c r="H2431" s="57" t="s">
        <v>47</v>
      </c>
      <c r="I2431" s="59" t="n">
        <v>3</v>
      </c>
      <c r="J2431" s="60" t="n">
        <v>34</v>
      </c>
      <c r="K2431" s="60" t="n">
        <v>12</v>
      </c>
      <c r="L2431" s="61" t="n">
        <f aca="false">I2431*J2431</f>
        <v>102</v>
      </c>
      <c r="M2431" s="61" t="n">
        <f aca="false">L2431-I2431*K2431</f>
        <v>66</v>
      </c>
      <c r="N2431" s="57" t="n">
        <f aca="false">IF(COUNTIFS(E$2:E2431,E2431,C$2:C2431,C2431)=1,1,0)</f>
        <v>0</v>
      </c>
      <c r="O2431" s="57" t="n">
        <f aca="false">IF(COUNTIFS(E$2:E2431,E2431,C$2:C2431,C2431,D$2:D2431,D2431)=1,1,0)</f>
        <v>1</v>
      </c>
      <c r="P2431" s="57" t="n">
        <f aca="false">IF(AND(C2431=Calc!$C$3,OR(Calc!$C$4=0,D2431=Calc!$C$4)),ROW(),0)</f>
        <v>2431</v>
      </c>
    </row>
    <row r="2432" customFormat="false" ht="15" hidden="false" customHeight="false" outlineLevel="0" collapsed="false">
      <c r="A2432" s="57" t="s">
        <v>2997</v>
      </c>
      <c r="B2432" s="58" t="n">
        <v>45944</v>
      </c>
      <c r="C2432" s="57" t="n">
        <f aca="false">YEAR(B2432)</f>
        <v>2025</v>
      </c>
      <c r="D2432" s="57" t="n">
        <f aca="false">MONTH(B2432)</f>
        <v>10</v>
      </c>
      <c r="E2432" s="57" t="s">
        <v>973</v>
      </c>
      <c r="F2432" s="57" t="s">
        <v>78</v>
      </c>
      <c r="G2432" s="57" t="s">
        <v>35</v>
      </c>
      <c r="H2432" s="57" t="s">
        <v>38</v>
      </c>
      <c r="I2432" s="59" t="n">
        <v>1</v>
      </c>
      <c r="J2432" s="60" t="n">
        <v>49</v>
      </c>
      <c r="K2432" s="60" t="n">
        <v>22</v>
      </c>
      <c r="L2432" s="61" t="n">
        <f aca="false">I2432*J2432</f>
        <v>49</v>
      </c>
      <c r="M2432" s="61" t="n">
        <f aca="false">L2432-I2432*K2432</f>
        <v>27</v>
      </c>
      <c r="N2432" s="57" t="n">
        <f aca="false">IF(COUNTIFS(E$2:E2432,E2432,C$2:C2432,C2432)=1,1,0)</f>
        <v>0</v>
      </c>
      <c r="O2432" s="57" t="n">
        <f aca="false">IF(COUNTIFS(E$2:E2432,E2432,C$2:C2432,C2432,D$2:D2432,D2432)=1,1,0)</f>
        <v>0</v>
      </c>
      <c r="P2432" s="57" t="n">
        <f aca="false">IF(AND(C2432=Calc!$C$3,OR(Calc!$C$4=0,D2432=Calc!$C$4)),ROW(),0)</f>
        <v>2432</v>
      </c>
    </row>
    <row r="2433" customFormat="false" ht="15" hidden="false" customHeight="false" outlineLevel="0" collapsed="false">
      <c r="A2433" s="57" t="s">
        <v>2998</v>
      </c>
      <c r="B2433" s="58" t="n">
        <v>45944</v>
      </c>
      <c r="C2433" s="57" t="n">
        <f aca="false">YEAR(B2433)</f>
        <v>2025</v>
      </c>
      <c r="D2433" s="57" t="n">
        <f aca="false">MONTH(B2433)</f>
        <v>10</v>
      </c>
      <c r="E2433" s="57" t="s">
        <v>338</v>
      </c>
      <c r="F2433" s="57" t="s">
        <v>78</v>
      </c>
      <c r="G2433" s="57" t="s">
        <v>35</v>
      </c>
      <c r="H2433" s="57" t="s">
        <v>38</v>
      </c>
      <c r="I2433" s="59" t="n">
        <v>2</v>
      </c>
      <c r="J2433" s="60" t="n">
        <v>49</v>
      </c>
      <c r="K2433" s="60" t="n">
        <v>22</v>
      </c>
      <c r="L2433" s="61" t="n">
        <f aca="false">I2433*J2433</f>
        <v>98</v>
      </c>
      <c r="M2433" s="61" t="n">
        <f aca="false">L2433-I2433*K2433</f>
        <v>54</v>
      </c>
      <c r="N2433" s="57" t="n">
        <f aca="false">IF(COUNTIFS(E$2:E2433,E2433,C$2:C2433,C2433)=1,1,0)</f>
        <v>0</v>
      </c>
      <c r="O2433" s="57" t="n">
        <f aca="false">IF(COUNTIFS(E$2:E2433,E2433,C$2:C2433,C2433,D$2:D2433,D2433)=1,1,0)</f>
        <v>1</v>
      </c>
      <c r="P2433" s="57" t="n">
        <f aca="false">IF(AND(C2433=Calc!$C$3,OR(Calc!$C$4=0,D2433=Calc!$C$4)),ROW(),0)</f>
        <v>2433</v>
      </c>
    </row>
    <row r="2434" customFormat="false" ht="15" hidden="false" customHeight="false" outlineLevel="0" collapsed="false">
      <c r="A2434" s="57" t="s">
        <v>2999</v>
      </c>
      <c r="B2434" s="58" t="n">
        <v>45944</v>
      </c>
      <c r="C2434" s="57" t="n">
        <f aca="false">YEAR(B2434)</f>
        <v>2025</v>
      </c>
      <c r="D2434" s="57" t="n">
        <f aca="false">MONTH(B2434)</f>
        <v>10</v>
      </c>
      <c r="E2434" s="57" t="s">
        <v>355</v>
      </c>
      <c r="F2434" s="57" t="s">
        <v>78</v>
      </c>
      <c r="G2434" s="57" t="s">
        <v>40</v>
      </c>
      <c r="H2434" s="57" t="s">
        <v>42</v>
      </c>
      <c r="I2434" s="59" t="n">
        <v>1</v>
      </c>
      <c r="J2434" s="60" t="n">
        <v>79</v>
      </c>
      <c r="K2434" s="60" t="n">
        <v>31</v>
      </c>
      <c r="L2434" s="61" t="n">
        <f aca="false">I2434*J2434</f>
        <v>79</v>
      </c>
      <c r="M2434" s="61" t="n">
        <f aca="false">L2434-I2434*K2434</f>
        <v>48</v>
      </c>
      <c r="N2434" s="57" t="n">
        <f aca="false">IF(COUNTIFS(E$2:E2434,E2434,C$2:C2434,C2434)=1,1,0)</f>
        <v>0</v>
      </c>
      <c r="O2434" s="57" t="n">
        <f aca="false">IF(COUNTIFS(E$2:E2434,E2434,C$2:C2434,C2434,D$2:D2434,D2434)=1,1,0)</f>
        <v>1</v>
      </c>
      <c r="P2434" s="57" t="n">
        <f aca="false">IF(AND(C2434=Calc!$C$3,OR(Calc!$C$4=0,D2434=Calc!$C$4)),ROW(),0)</f>
        <v>2434</v>
      </c>
    </row>
    <row r="2435" customFormat="false" ht="15" hidden="false" customHeight="false" outlineLevel="0" collapsed="false">
      <c r="A2435" s="57" t="s">
        <v>3000</v>
      </c>
      <c r="B2435" s="58" t="n">
        <v>45944</v>
      </c>
      <c r="C2435" s="57" t="n">
        <f aca="false">YEAR(B2435)</f>
        <v>2025</v>
      </c>
      <c r="D2435" s="57" t="n">
        <f aca="false">MONTH(B2435)</f>
        <v>10</v>
      </c>
      <c r="E2435" s="57" t="s">
        <v>292</v>
      </c>
      <c r="F2435" s="57" t="s">
        <v>72</v>
      </c>
      <c r="G2435" s="57" t="s">
        <v>35</v>
      </c>
      <c r="H2435" s="57" t="s">
        <v>38</v>
      </c>
      <c r="I2435" s="59" t="n">
        <v>2</v>
      </c>
      <c r="J2435" s="60" t="n">
        <v>49</v>
      </c>
      <c r="K2435" s="60" t="n">
        <v>22</v>
      </c>
      <c r="L2435" s="61" t="n">
        <f aca="false">I2435*J2435</f>
        <v>98</v>
      </c>
      <c r="M2435" s="61" t="n">
        <f aca="false">L2435-I2435*K2435</f>
        <v>54</v>
      </c>
      <c r="N2435" s="57" t="n">
        <f aca="false">IF(COUNTIFS(E$2:E2435,E2435,C$2:C2435,C2435)=1,1,0)</f>
        <v>0</v>
      </c>
      <c r="O2435" s="57" t="n">
        <f aca="false">IF(COUNTIFS(E$2:E2435,E2435,C$2:C2435,C2435,D$2:D2435,D2435)=1,1,0)</f>
        <v>1</v>
      </c>
      <c r="P2435" s="57" t="n">
        <f aca="false">IF(AND(C2435=Calc!$C$3,OR(Calc!$C$4=0,D2435=Calc!$C$4)),ROW(),0)</f>
        <v>2435</v>
      </c>
    </row>
    <row r="2436" customFormat="false" ht="15" hidden="false" customHeight="false" outlineLevel="0" collapsed="false">
      <c r="A2436" s="57" t="s">
        <v>3001</v>
      </c>
      <c r="B2436" s="58" t="n">
        <v>45944</v>
      </c>
      <c r="C2436" s="57" t="n">
        <f aca="false">YEAR(B2436)</f>
        <v>2025</v>
      </c>
      <c r="D2436" s="57" t="n">
        <f aca="false">MONTH(B2436)</f>
        <v>10</v>
      </c>
      <c r="E2436" s="57" t="s">
        <v>368</v>
      </c>
      <c r="F2436" s="57" t="s">
        <v>69</v>
      </c>
      <c r="G2436" s="57" t="s">
        <v>40</v>
      </c>
      <c r="H2436" s="57" t="s">
        <v>39</v>
      </c>
      <c r="I2436" s="59" t="n">
        <v>1</v>
      </c>
      <c r="J2436" s="60" t="n">
        <v>54</v>
      </c>
      <c r="K2436" s="60" t="n">
        <v>19</v>
      </c>
      <c r="L2436" s="61" t="n">
        <f aca="false">I2436*J2436</f>
        <v>54</v>
      </c>
      <c r="M2436" s="61" t="n">
        <f aca="false">L2436-I2436*K2436</f>
        <v>35</v>
      </c>
      <c r="N2436" s="57" t="n">
        <f aca="false">IF(COUNTIFS(E$2:E2436,E2436,C$2:C2436,C2436)=1,1,0)</f>
        <v>0</v>
      </c>
      <c r="O2436" s="57" t="n">
        <f aca="false">IF(COUNTIFS(E$2:E2436,E2436,C$2:C2436,C2436,D$2:D2436,D2436)=1,1,0)</f>
        <v>0</v>
      </c>
      <c r="P2436" s="57" t="n">
        <f aca="false">IF(AND(C2436=Calc!$C$3,OR(Calc!$C$4=0,D2436=Calc!$C$4)),ROW(),0)</f>
        <v>2436</v>
      </c>
    </row>
    <row r="2437" customFormat="false" ht="15" hidden="false" customHeight="false" outlineLevel="0" collapsed="false">
      <c r="A2437" s="57" t="s">
        <v>3002</v>
      </c>
      <c r="B2437" s="58" t="n">
        <v>45944</v>
      </c>
      <c r="C2437" s="57" t="n">
        <f aca="false">YEAR(B2437)</f>
        <v>2025</v>
      </c>
      <c r="D2437" s="57" t="n">
        <f aca="false">MONTH(B2437)</f>
        <v>10</v>
      </c>
      <c r="E2437" s="57" t="s">
        <v>1109</v>
      </c>
      <c r="F2437" s="57" t="s">
        <v>78</v>
      </c>
      <c r="G2437" s="57" t="s">
        <v>35</v>
      </c>
      <c r="H2437" s="57" t="s">
        <v>37</v>
      </c>
      <c r="I2437" s="59" t="n">
        <v>1</v>
      </c>
      <c r="J2437" s="60" t="n">
        <v>59</v>
      </c>
      <c r="K2437" s="60" t="n">
        <v>27</v>
      </c>
      <c r="L2437" s="61" t="n">
        <f aca="false">I2437*J2437</f>
        <v>59</v>
      </c>
      <c r="M2437" s="61" t="n">
        <f aca="false">L2437-I2437*K2437</f>
        <v>32</v>
      </c>
      <c r="N2437" s="57" t="n">
        <f aca="false">IF(COUNTIFS(E$2:E2437,E2437,C$2:C2437,C2437)=1,1,0)</f>
        <v>0</v>
      </c>
      <c r="O2437" s="57" t="n">
        <f aca="false">IF(COUNTIFS(E$2:E2437,E2437,C$2:C2437,C2437,D$2:D2437,D2437)=1,1,0)</f>
        <v>1</v>
      </c>
      <c r="P2437" s="57" t="n">
        <f aca="false">IF(AND(C2437=Calc!$C$3,OR(Calc!$C$4=0,D2437=Calc!$C$4)),ROW(),0)</f>
        <v>2437</v>
      </c>
    </row>
    <row r="2438" customFormat="false" ht="15" hidden="false" customHeight="false" outlineLevel="0" collapsed="false">
      <c r="A2438" s="57" t="s">
        <v>3003</v>
      </c>
      <c r="B2438" s="58" t="n">
        <v>45945</v>
      </c>
      <c r="C2438" s="57" t="n">
        <f aca="false">YEAR(B2438)</f>
        <v>2025</v>
      </c>
      <c r="D2438" s="57" t="n">
        <f aca="false">MONTH(B2438)</f>
        <v>10</v>
      </c>
      <c r="E2438" s="57" t="s">
        <v>77</v>
      </c>
      <c r="F2438" s="57" t="s">
        <v>78</v>
      </c>
      <c r="G2438" s="57" t="s">
        <v>35</v>
      </c>
      <c r="H2438" s="57" t="s">
        <v>38</v>
      </c>
      <c r="I2438" s="59" t="n">
        <v>1</v>
      </c>
      <c r="J2438" s="60" t="n">
        <v>49</v>
      </c>
      <c r="K2438" s="60" t="n">
        <v>22</v>
      </c>
      <c r="L2438" s="61" t="n">
        <f aca="false">I2438*J2438</f>
        <v>49</v>
      </c>
      <c r="M2438" s="61" t="n">
        <f aca="false">L2438-I2438*K2438</f>
        <v>27</v>
      </c>
      <c r="N2438" s="57" t="n">
        <f aca="false">IF(COUNTIFS(E$2:E2438,E2438,C$2:C2438,C2438)=1,1,0)</f>
        <v>0</v>
      </c>
      <c r="O2438" s="57" t="n">
        <f aca="false">IF(COUNTIFS(E$2:E2438,E2438,C$2:C2438,C2438,D$2:D2438,D2438)=1,1,0)</f>
        <v>1</v>
      </c>
      <c r="P2438" s="57" t="n">
        <f aca="false">IF(AND(C2438=Calc!$C$3,OR(Calc!$C$4=0,D2438=Calc!$C$4)),ROW(),0)</f>
        <v>2438</v>
      </c>
    </row>
    <row r="2439" customFormat="false" ht="15" hidden="false" customHeight="false" outlineLevel="0" collapsed="false">
      <c r="A2439" s="57" t="s">
        <v>3004</v>
      </c>
      <c r="B2439" s="58" t="n">
        <v>45945</v>
      </c>
      <c r="C2439" s="57" t="n">
        <f aca="false">YEAR(B2439)</f>
        <v>2025</v>
      </c>
      <c r="D2439" s="57" t="n">
        <f aca="false">MONTH(B2439)</f>
        <v>10</v>
      </c>
      <c r="E2439" s="57" t="s">
        <v>395</v>
      </c>
      <c r="F2439" s="57" t="s">
        <v>69</v>
      </c>
      <c r="G2439" s="57" t="s">
        <v>40</v>
      </c>
      <c r="H2439" s="57" t="s">
        <v>41</v>
      </c>
      <c r="I2439" s="59" t="n">
        <v>3</v>
      </c>
      <c r="J2439" s="60" t="n">
        <v>46</v>
      </c>
      <c r="K2439" s="60" t="n">
        <v>16</v>
      </c>
      <c r="L2439" s="61" t="n">
        <f aca="false">I2439*J2439</f>
        <v>138</v>
      </c>
      <c r="M2439" s="61" t="n">
        <f aca="false">L2439-I2439*K2439</f>
        <v>90</v>
      </c>
      <c r="N2439" s="57" t="n">
        <f aca="false">IF(COUNTIFS(E$2:E2439,E2439,C$2:C2439,C2439)=1,1,0)</f>
        <v>0</v>
      </c>
      <c r="O2439" s="57" t="n">
        <f aca="false">IF(COUNTIFS(E$2:E2439,E2439,C$2:C2439,C2439,D$2:D2439,D2439)=1,1,0)</f>
        <v>1</v>
      </c>
      <c r="P2439" s="57" t="n">
        <f aca="false">IF(AND(C2439=Calc!$C$3,OR(Calc!$C$4=0,D2439=Calc!$C$4)),ROW(),0)</f>
        <v>2439</v>
      </c>
    </row>
    <row r="2440" customFormat="false" ht="15" hidden="false" customHeight="false" outlineLevel="0" collapsed="false">
      <c r="A2440" s="57" t="s">
        <v>3005</v>
      </c>
      <c r="B2440" s="58" t="n">
        <v>45945</v>
      </c>
      <c r="C2440" s="57" t="n">
        <f aca="false">YEAR(B2440)</f>
        <v>2025</v>
      </c>
      <c r="D2440" s="57" t="n">
        <f aca="false">MONTH(B2440)</f>
        <v>10</v>
      </c>
      <c r="E2440" s="57" t="s">
        <v>355</v>
      </c>
      <c r="F2440" s="57" t="s">
        <v>78</v>
      </c>
      <c r="G2440" s="57" t="s">
        <v>40</v>
      </c>
      <c r="H2440" s="57" t="s">
        <v>41</v>
      </c>
      <c r="I2440" s="59" t="n">
        <v>1</v>
      </c>
      <c r="J2440" s="60" t="n">
        <v>46</v>
      </c>
      <c r="K2440" s="60" t="n">
        <v>16</v>
      </c>
      <c r="L2440" s="61" t="n">
        <f aca="false">I2440*J2440</f>
        <v>46</v>
      </c>
      <c r="M2440" s="61" t="n">
        <f aca="false">L2440-I2440*K2440</f>
        <v>30</v>
      </c>
      <c r="N2440" s="57" t="n">
        <f aca="false">IF(COUNTIFS(E$2:E2440,E2440,C$2:C2440,C2440)=1,1,0)</f>
        <v>0</v>
      </c>
      <c r="O2440" s="57" t="n">
        <f aca="false">IF(COUNTIFS(E$2:E2440,E2440,C$2:C2440,C2440,D$2:D2440,D2440)=1,1,0)</f>
        <v>0</v>
      </c>
      <c r="P2440" s="57" t="n">
        <f aca="false">IF(AND(C2440=Calc!$C$3,OR(Calc!$C$4=0,D2440=Calc!$C$4)),ROW(),0)</f>
        <v>2440</v>
      </c>
    </row>
    <row r="2441" customFormat="false" ht="15" hidden="false" customHeight="false" outlineLevel="0" collapsed="false">
      <c r="A2441" s="57" t="s">
        <v>3006</v>
      </c>
      <c r="B2441" s="58" t="n">
        <v>45946</v>
      </c>
      <c r="C2441" s="57" t="n">
        <f aca="false">YEAR(B2441)</f>
        <v>2025</v>
      </c>
      <c r="D2441" s="57" t="n">
        <f aca="false">MONTH(B2441)</f>
        <v>10</v>
      </c>
      <c r="E2441" s="57" t="s">
        <v>201</v>
      </c>
      <c r="F2441" s="57" t="s">
        <v>75</v>
      </c>
      <c r="G2441" s="57" t="s">
        <v>35</v>
      </c>
      <c r="H2441" s="57" t="s">
        <v>34</v>
      </c>
      <c r="I2441" s="59" t="n">
        <v>1</v>
      </c>
      <c r="J2441" s="60" t="n">
        <v>89</v>
      </c>
      <c r="K2441" s="60" t="n">
        <v>41</v>
      </c>
      <c r="L2441" s="61" t="n">
        <f aca="false">I2441*J2441</f>
        <v>89</v>
      </c>
      <c r="M2441" s="61" t="n">
        <f aca="false">L2441-I2441*K2441</f>
        <v>48</v>
      </c>
      <c r="N2441" s="57" t="n">
        <f aca="false">IF(COUNTIFS(E$2:E2441,E2441,C$2:C2441,C2441)=1,1,0)</f>
        <v>0</v>
      </c>
      <c r="O2441" s="57" t="n">
        <f aca="false">IF(COUNTIFS(E$2:E2441,E2441,C$2:C2441,C2441,D$2:D2441,D2441)=1,1,0)</f>
        <v>1</v>
      </c>
      <c r="P2441" s="57" t="n">
        <f aca="false">IF(AND(C2441=Calc!$C$3,OR(Calc!$C$4=0,D2441=Calc!$C$4)),ROW(),0)</f>
        <v>2441</v>
      </c>
    </row>
    <row r="2442" customFormat="false" ht="15" hidden="false" customHeight="false" outlineLevel="0" collapsed="false">
      <c r="A2442" s="57" t="s">
        <v>3007</v>
      </c>
      <c r="B2442" s="58" t="n">
        <v>45946</v>
      </c>
      <c r="C2442" s="57" t="n">
        <f aca="false">YEAR(B2442)</f>
        <v>2025</v>
      </c>
      <c r="D2442" s="57" t="n">
        <f aca="false">MONTH(B2442)</f>
        <v>10</v>
      </c>
      <c r="E2442" s="57" t="s">
        <v>899</v>
      </c>
      <c r="F2442" s="57" t="s">
        <v>75</v>
      </c>
      <c r="G2442" s="57" t="s">
        <v>35</v>
      </c>
      <c r="H2442" s="57" t="s">
        <v>38</v>
      </c>
      <c r="I2442" s="59" t="n">
        <v>1</v>
      </c>
      <c r="J2442" s="60" t="n">
        <v>49</v>
      </c>
      <c r="K2442" s="60" t="n">
        <v>22</v>
      </c>
      <c r="L2442" s="61" t="n">
        <f aca="false">I2442*J2442</f>
        <v>49</v>
      </c>
      <c r="M2442" s="61" t="n">
        <f aca="false">L2442-I2442*K2442</f>
        <v>27</v>
      </c>
      <c r="N2442" s="57" t="n">
        <f aca="false">IF(COUNTIFS(E$2:E2442,E2442,C$2:C2442,C2442)=1,1,0)</f>
        <v>0</v>
      </c>
      <c r="O2442" s="57" t="n">
        <f aca="false">IF(COUNTIFS(E$2:E2442,E2442,C$2:C2442,C2442,D$2:D2442,D2442)=1,1,0)</f>
        <v>1</v>
      </c>
      <c r="P2442" s="57" t="n">
        <f aca="false">IF(AND(C2442=Calc!$C$3,OR(Calc!$C$4=0,D2442=Calc!$C$4)),ROW(),0)</f>
        <v>2442</v>
      </c>
    </row>
    <row r="2443" customFormat="false" ht="15" hidden="false" customHeight="false" outlineLevel="0" collapsed="false">
      <c r="A2443" s="57" t="s">
        <v>3008</v>
      </c>
      <c r="B2443" s="58" t="n">
        <v>45946</v>
      </c>
      <c r="C2443" s="57" t="n">
        <f aca="false">YEAR(B2443)</f>
        <v>2025</v>
      </c>
      <c r="D2443" s="57" t="n">
        <f aca="false">MONTH(B2443)</f>
        <v>10</v>
      </c>
      <c r="E2443" s="57" t="s">
        <v>1728</v>
      </c>
      <c r="F2443" s="57" t="s">
        <v>75</v>
      </c>
      <c r="G2443" s="57" t="s">
        <v>35</v>
      </c>
      <c r="H2443" s="57" t="s">
        <v>34</v>
      </c>
      <c r="I2443" s="59" t="n">
        <v>1</v>
      </c>
      <c r="J2443" s="60" t="n">
        <v>89</v>
      </c>
      <c r="K2443" s="60" t="n">
        <v>41</v>
      </c>
      <c r="L2443" s="61" t="n">
        <f aca="false">I2443*J2443</f>
        <v>89</v>
      </c>
      <c r="M2443" s="61" t="n">
        <f aca="false">L2443-I2443*K2443</f>
        <v>48</v>
      </c>
      <c r="N2443" s="57" t="n">
        <f aca="false">IF(COUNTIFS(E$2:E2443,E2443,C$2:C2443,C2443)=1,1,0)</f>
        <v>0</v>
      </c>
      <c r="O2443" s="57" t="n">
        <f aca="false">IF(COUNTIFS(E$2:E2443,E2443,C$2:C2443,C2443,D$2:D2443,D2443)=1,1,0)</f>
        <v>0</v>
      </c>
      <c r="P2443" s="57" t="n">
        <f aca="false">IF(AND(C2443=Calc!$C$3,OR(Calc!$C$4=0,D2443=Calc!$C$4)),ROW(),0)</f>
        <v>2443</v>
      </c>
    </row>
    <row r="2444" customFormat="false" ht="15" hidden="false" customHeight="false" outlineLevel="0" collapsed="false">
      <c r="A2444" s="57" t="s">
        <v>3009</v>
      </c>
      <c r="B2444" s="58" t="n">
        <v>45946</v>
      </c>
      <c r="C2444" s="57" t="n">
        <f aca="false">YEAR(B2444)</f>
        <v>2025</v>
      </c>
      <c r="D2444" s="57" t="n">
        <f aca="false">MONTH(B2444)</f>
        <v>10</v>
      </c>
      <c r="E2444" s="57" t="s">
        <v>238</v>
      </c>
      <c r="F2444" s="57" t="s">
        <v>78</v>
      </c>
      <c r="G2444" s="57" t="s">
        <v>35</v>
      </c>
      <c r="H2444" s="57" t="s">
        <v>38</v>
      </c>
      <c r="I2444" s="59" t="n">
        <v>3</v>
      </c>
      <c r="J2444" s="60" t="n">
        <v>49</v>
      </c>
      <c r="K2444" s="60" t="n">
        <v>22</v>
      </c>
      <c r="L2444" s="61" t="n">
        <f aca="false">I2444*J2444</f>
        <v>147</v>
      </c>
      <c r="M2444" s="61" t="n">
        <f aca="false">L2444-I2444*K2444</f>
        <v>81</v>
      </c>
      <c r="N2444" s="57" t="n">
        <f aca="false">IF(COUNTIFS(E$2:E2444,E2444,C$2:C2444,C2444)=1,1,0)</f>
        <v>0</v>
      </c>
      <c r="O2444" s="57" t="n">
        <f aca="false">IF(COUNTIFS(E$2:E2444,E2444,C$2:C2444,C2444,D$2:D2444,D2444)=1,1,0)</f>
        <v>1</v>
      </c>
      <c r="P2444" s="57" t="n">
        <f aca="false">IF(AND(C2444=Calc!$C$3,OR(Calc!$C$4=0,D2444=Calc!$C$4)),ROW(),0)</f>
        <v>2444</v>
      </c>
    </row>
    <row r="2445" customFormat="false" ht="15" hidden="false" customHeight="false" outlineLevel="0" collapsed="false">
      <c r="A2445" s="57" t="s">
        <v>3010</v>
      </c>
      <c r="B2445" s="58" t="n">
        <v>45947</v>
      </c>
      <c r="C2445" s="57" t="n">
        <f aca="false">YEAR(B2445)</f>
        <v>2025</v>
      </c>
      <c r="D2445" s="57" t="n">
        <f aca="false">MONTH(B2445)</f>
        <v>10</v>
      </c>
      <c r="E2445" s="57" t="s">
        <v>1940</v>
      </c>
      <c r="F2445" s="57" t="s">
        <v>75</v>
      </c>
      <c r="G2445" s="57" t="s">
        <v>35</v>
      </c>
      <c r="H2445" s="57" t="s">
        <v>37</v>
      </c>
      <c r="I2445" s="59" t="n">
        <v>1</v>
      </c>
      <c r="J2445" s="60" t="n">
        <v>59</v>
      </c>
      <c r="K2445" s="60" t="n">
        <v>27</v>
      </c>
      <c r="L2445" s="61" t="n">
        <f aca="false">I2445*J2445</f>
        <v>59</v>
      </c>
      <c r="M2445" s="61" t="n">
        <f aca="false">L2445-I2445*K2445</f>
        <v>32</v>
      </c>
      <c r="N2445" s="57" t="n">
        <f aca="false">IF(COUNTIFS(E$2:E2445,E2445,C$2:C2445,C2445)=1,1,0)</f>
        <v>0</v>
      </c>
      <c r="O2445" s="57" t="n">
        <f aca="false">IF(COUNTIFS(E$2:E2445,E2445,C$2:C2445,C2445,D$2:D2445,D2445)=1,1,0)</f>
        <v>1</v>
      </c>
      <c r="P2445" s="57" t="n">
        <f aca="false">IF(AND(C2445=Calc!$C$3,OR(Calc!$C$4=0,D2445=Calc!$C$4)),ROW(),0)</f>
        <v>2445</v>
      </c>
    </row>
    <row r="2446" customFormat="false" ht="15" hidden="false" customHeight="false" outlineLevel="0" collapsed="false">
      <c r="A2446" s="57" t="s">
        <v>3011</v>
      </c>
      <c r="B2446" s="58" t="n">
        <v>45947</v>
      </c>
      <c r="C2446" s="57" t="n">
        <f aca="false">YEAR(B2446)</f>
        <v>2025</v>
      </c>
      <c r="D2446" s="57" t="n">
        <f aca="false">MONTH(B2446)</f>
        <v>10</v>
      </c>
      <c r="E2446" s="57" t="s">
        <v>133</v>
      </c>
      <c r="F2446" s="57" t="s">
        <v>72</v>
      </c>
      <c r="G2446" s="57" t="s">
        <v>35</v>
      </c>
      <c r="H2446" s="57" t="s">
        <v>34</v>
      </c>
      <c r="I2446" s="59" t="n">
        <v>1</v>
      </c>
      <c r="J2446" s="60" t="n">
        <v>89</v>
      </c>
      <c r="K2446" s="60" t="n">
        <v>41</v>
      </c>
      <c r="L2446" s="61" t="n">
        <f aca="false">I2446*J2446</f>
        <v>89</v>
      </c>
      <c r="M2446" s="61" t="n">
        <f aca="false">L2446-I2446*K2446</f>
        <v>48</v>
      </c>
      <c r="N2446" s="57" t="n">
        <f aca="false">IF(COUNTIFS(E$2:E2446,E2446,C$2:C2446,C2446)=1,1,0)</f>
        <v>0</v>
      </c>
      <c r="O2446" s="57" t="n">
        <f aca="false">IF(COUNTIFS(E$2:E2446,E2446,C$2:C2446,C2446,D$2:D2446,D2446)=1,1,0)</f>
        <v>1</v>
      </c>
      <c r="P2446" s="57" t="n">
        <f aca="false">IF(AND(C2446=Calc!$C$3,OR(Calc!$C$4=0,D2446=Calc!$C$4)),ROW(),0)</f>
        <v>2446</v>
      </c>
    </row>
    <row r="2447" customFormat="false" ht="15" hidden="false" customHeight="false" outlineLevel="0" collapsed="false">
      <c r="A2447" s="57" t="s">
        <v>3012</v>
      </c>
      <c r="B2447" s="58" t="n">
        <v>45947</v>
      </c>
      <c r="C2447" s="57" t="n">
        <f aca="false">YEAR(B2447)</f>
        <v>2025</v>
      </c>
      <c r="D2447" s="57" t="n">
        <f aca="false">MONTH(B2447)</f>
        <v>10</v>
      </c>
      <c r="E2447" s="57" t="s">
        <v>566</v>
      </c>
      <c r="F2447" s="57" t="s">
        <v>69</v>
      </c>
      <c r="G2447" s="57" t="s">
        <v>40</v>
      </c>
      <c r="H2447" s="57" t="s">
        <v>42</v>
      </c>
      <c r="I2447" s="59" t="n">
        <v>2</v>
      </c>
      <c r="J2447" s="60" t="n">
        <v>79</v>
      </c>
      <c r="K2447" s="60" t="n">
        <v>31</v>
      </c>
      <c r="L2447" s="61" t="n">
        <f aca="false">I2447*J2447</f>
        <v>158</v>
      </c>
      <c r="M2447" s="61" t="n">
        <f aca="false">L2447-I2447*K2447</f>
        <v>96</v>
      </c>
      <c r="N2447" s="57" t="n">
        <f aca="false">IF(COUNTIFS(E$2:E2447,E2447,C$2:C2447,C2447)=1,1,0)</f>
        <v>0</v>
      </c>
      <c r="O2447" s="57" t="n">
        <f aca="false">IF(COUNTIFS(E$2:E2447,E2447,C$2:C2447,C2447,D$2:D2447,D2447)=1,1,0)</f>
        <v>1</v>
      </c>
      <c r="P2447" s="57" t="n">
        <f aca="false">IF(AND(C2447=Calc!$C$3,OR(Calc!$C$4=0,D2447=Calc!$C$4)),ROW(),0)</f>
        <v>2447</v>
      </c>
    </row>
    <row r="2448" customFormat="false" ht="15" hidden="false" customHeight="false" outlineLevel="0" collapsed="false">
      <c r="A2448" s="57" t="s">
        <v>3013</v>
      </c>
      <c r="B2448" s="58" t="n">
        <v>45947</v>
      </c>
      <c r="C2448" s="57" t="n">
        <f aca="false">YEAR(B2448)</f>
        <v>2025</v>
      </c>
      <c r="D2448" s="57" t="n">
        <f aca="false">MONTH(B2448)</f>
        <v>10</v>
      </c>
      <c r="E2448" s="57" t="s">
        <v>376</v>
      </c>
      <c r="F2448" s="57" t="s">
        <v>78</v>
      </c>
      <c r="G2448" s="57" t="s">
        <v>35</v>
      </c>
      <c r="H2448" s="57" t="s">
        <v>36</v>
      </c>
      <c r="I2448" s="59" t="n">
        <v>1</v>
      </c>
      <c r="J2448" s="60" t="n">
        <v>179</v>
      </c>
      <c r="K2448" s="60" t="n">
        <v>92</v>
      </c>
      <c r="L2448" s="61" t="n">
        <f aca="false">I2448*J2448</f>
        <v>179</v>
      </c>
      <c r="M2448" s="61" t="n">
        <f aca="false">L2448-I2448*K2448</f>
        <v>87</v>
      </c>
      <c r="N2448" s="57" t="n">
        <f aca="false">IF(COUNTIFS(E$2:E2448,E2448,C$2:C2448,C2448)=1,1,0)</f>
        <v>0</v>
      </c>
      <c r="O2448" s="57" t="n">
        <f aca="false">IF(COUNTIFS(E$2:E2448,E2448,C$2:C2448,C2448,D$2:D2448,D2448)=1,1,0)</f>
        <v>1</v>
      </c>
      <c r="P2448" s="57" t="n">
        <f aca="false">IF(AND(C2448=Calc!$C$3,OR(Calc!$C$4=0,D2448=Calc!$C$4)),ROW(),0)</f>
        <v>2448</v>
      </c>
    </row>
    <row r="2449" customFormat="false" ht="15" hidden="false" customHeight="false" outlineLevel="0" collapsed="false">
      <c r="A2449" s="57" t="s">
        <v>3014</v>
      </c>
      <c r="B2449" s="58" t="n">
        <v>45947</v>
      </c>
      <c r="C2449" s="57" t="n">
        <f aca="false">YEAR(B2449)</f>
        <v>2025</v>
      </c>
      <c r="D2449" s="57" t="n">
        <f aca="false">MONTH(B2449)</f>
        <v>10</v>
      </c>
      <c r="E2449" s="57" t="s">
        <v>440</v>
      </c>
      <c r="F2449" s="57" t="s">
        <v>78</v>
      </c>
      <c r="G2449" s="57" t="s">
        <v>40</v>
      </c>
      <c r="H2449" s="57" t="s">
        <v>39</v>
      </c>
      <c r="I2449" s="59" t="n">
        <v>1</v>
      </c>
      <c r="J2449" s="60" t="n">
        <v>54</v>
      </c>
      <c r="K2449" s="60" t="n">
        <v>19</v>
      </c>
      <c r="L2449" s="61" t="n">
        <f aca="false">I2449*J2449</f>
        <v>54</v>
      </c>
      <c r="M2449" s="61" t="n">
        <f aca="false">L2449-I2449*K2449</f>
        <v>35</v>
      </c>
      <c r="N2449" s="57" t="n">
        <f aca="false">IF(COUNTIFS(E$2:E2449,E2449,C$2:C2449,C2449)=1,1,0)</f>
        <v>0</v>
      </c>
      <c r="O2449" s="57" t="n">
        <f aca="false">IF(COUNTIFS(E$2:E2449,E2449,C$2:C2449,C2449,D$2:D2449,D2449)=1,1,0)</f>
        <v>1</v>
      </c>
      <c r="P2449" s="57" t="n">
        <f aca="false">IF(AND(C2449=Calc!$C$3,OR(Calc!$C$4=0,D2449=Calc!$C$4)),ROW(),0)</f>
        <v>2449</v>
      </c>
    </row>
    <row r="2450" customFormat="false" ht="15" hidden="false" customHeight="false" outlineLevel="0" collapsed="false">
      <c r="A2450" s="57" t="s">
        <v>3015</v>
      </c>
      <c r="B2450" s="58" t="n">
        <v>45948</v>
      </c>
      <c r="C2450" s="57" t="n">
        <f aca="false">YEAR(B2450)</f>
        <v>2025</v>
      </c>
      <c r="D2450" s="57" t="n">
        <f aca="false">MONTH(B2450)</f>
        <v>10</v>
      </c>
      <c r="E2450" s="57" t="s">
        <v>185</v>
      </c>
      <c r="F2450" s="57" t="s">
        <v>81</v>
      </c>
      <c r="G2450" s="57" t="s">
        <v>50</v>
      </c>
      <c r="H2450" s="57" t="s">
        <v>52</v>
      </c>
      <c r="I2450" s="59" t="n">
        <v>3</v>
      </c>
      <c r="J2450" s="60" t="n">
        <v>45</v>
      </c>
      <c r="K2450" s="60" t="n">
        <v>14</v>
      </c>
      <c r="L2450" s="61" t="n">
        <f aca="false">I2450*J2450</f>
        <v>135</v>
      </c>
      <c r="M2450" s="61" t="n">
        <f aca="false">L2450-I2450*K2450</f>
        <v>93</v>
      </c>
      <c r="N2450" s="57" t="n">
        <f aca="false">IF(COUNTIFS(E$2:E2450,E2450,C$2:C2450,C2450)=1,1,0)</f>
        <v>0</v>
      </c>
      <c r="O2450" s="57" t="n">
        <f aca="false">IF(COUNTIFS(E$2:E2450,E2450,C$2:C2450,C2450,D$2:D2450,D2450)=1,1,0)</f>
        <v>1</v>
      </c>
      <c r="P2450" s="57" t="n">
        <f aca="false">IF(AND(C2450=Calc!$C$3,OR(Calc!$C$4=0,D2450=Calc!$C$4)),ROW(),0)</f>
        <v>2450</v>
      </c>
    </row>
    <row r="2451" customFormat="false" ht="15" hidden="false" customHeight="false" outlineLevel="0" collapsed="false">
      <c r="A2451" s="57" t="s">
        <v>3016</v>
      </c>
      <c r="B2451" s="58" t="n">
        <v>45948</v>
      </c>
      <c r="C2451" s="57" t="n">
        <f aca="false">YEAR(B2451)</f>
        <v>2025</v>
      </c>
      <c r="D2451" s="57" t="n">
        <f aca="false">MONTH(B2451)</f>
        <v>10</v>
      </c>
      <c r="E2451" s="57" t="s">
        <v>2089</v>
      </c>
      <c r="F2451" s="57" t="s">
        <v>69</v>
      </c>
      <c r="G2451" s="57" t="s">
        <v>45</v>
      </c>
      <c r="H2451" s="57" t="s">
        <v>44</v>
      </c>
      <c r="I2451" s="59" t="n">
        <v>1</v>
      </c>
      <c r="J2451" s="60" t="n">
        <v>119</v>
      </c>
      <c r="K2451" s="60" t="n">
        <v>63</v>
      </c>
      <c r="L2451" s="61" t="n">
        <f aca="false">I2451*J2451</f>
        <v>119</v>
      </c>
      <c r="M2451" s="61" t="n">
        <f aca="false">L2451-I2451*K2451</f>
        <v>56</v>
      </c>
      <c r="N2451" s="57" t="n">
        <f aca="false">IF(COUNTIFS(E$2:E2451,E2451,C$2:C2451,C2451)=1,1,0)</f>
        <v>0</v>
      </c>
      <c r="O2451" s="57" t="n">
        <f aca="false">IF(COUNTIFS(E$2:E2451,E2451,C$2:C2451,C2451,D$2:D2451,D2451)=1,1,0)</f>
        <v>1</v>
      </c>
      <c r="P2451" s="57" t="n">
        <f aca="false">IF(AND(C2451=Calc!$C$3,OR(Calc!$C$4=0,D2451=Calc!$C$4)),ROW(),0)</f>
        <v>2451</v>
      </c>
    </row>
    <row r="2452" customFormat="false" ht="15" hidden="false" customHeight="false" outlineLevel="0" collapsed="false">
      <c r="A2452" s="57" t="s">
        <v>3017</v>
      </c>
      <c r="B2452" s="58" t="n">
        <v>45948</v>
      </c>
      <c r="C2452" s="57" t="n">
        <f aca="false">YEAR(B2452)</f>
        <v>2025</v>
      </c>
      <c r="D2452" s="57" t="n">
        <f aca="false">MONTH(B2452)</f>
        <v>10</v>
      </c>
      <c r="E2452" s="57" t="s">
        <v>275</v>
      </c>
      <c r="F2452" s="57" t="s">
        <v>75</v>
      </c>
      <c r="G2452" s="57" t="s">
        <v>35</v>
      </c>
      <c r="H2452" s="57" t="s">
        <v>36</v>
      </c>
      <c r="I2452" s="59" t="n">
        <v>2</v>
      </c>
      <c r="J2452" s="60" t="n">
        <v>179</v>
      </c>
      <c r="K2452" s="60" t="n">
        <v>92</v>
      </c>
      <c r="L2452" s="61" t="n">
        <f aca="false">I2452*J2452</f>
        <v>358</v>
      </c>
      <c r="M2452" s="61" t="n">
        <f aca="false">L2452-I2452*K2452</f>
        <v>174</v>
      </c>
      <c r="N2452" s="57" t="n">
        <f aca="false">IF(COUNTIFS(E$2:E2452,E2452,C$2:C2452,C2452)=1,1,0)</f>
        <v>0</v>
      </c>
      <c r="O2452" s="57" t="n">
        <f aca="false">IF(COUNTIFS(E$2:E2452,E2452,C$2:C2452,C2452,D$2:D2452,D2452)=1,1,0)</f>
        <v>1</v>
      </c>
      <c r="P2452" s="57" t="n">
        <f aca="false">IF(AND(C2452=Calc!$C$3,OR(Calc!$C$4=0,D2452=Calc!$C$4)),ROW(),0)</f>
        <v>2452</v>
      </c>
    </row>
    <row r="2453" customFormat="false" ht="15" hidden="false" customHeight="false" outlineLevel="0" collapsed="false">
      <c r="A2453" s="57" t="s">
        <v>3018</v>
      </c>
      <c r="B2453" s="58" t="n">
        <v>45948</v>
      </c>
      <c r="C2453" s="57" t="n">
        <f aca="false">YEAR(B2453)</f>
        <v>2025</v>
      </c>
      <c r="D2453" s="57" t="n">
        <f aca="false">MONTH(B2453)</f>
        <v>10</v>
      </c>
      <c r="E2453" s="57" t="s">
        <v>382</v>
      </c>
      <c r="F2453" s="57" t="s">
        <v>69</v>
      </c>
      <c r="G2453" s="57" t="s">
        <v>35</v>
      </c>
      <c r="H2453" s="57" t="s">
        <v>34</v>
      </c>
      <c r="I2453" s="59" t="n">
        <v>2</v>
      </c>
      <c r="J2453" s="60" t="n">
        <v>89</v>
      </c>
      <c r="K2453" s="60" t="n">
        <v>41</v>
      </c>
      <c r="L2453" s="61" t="n">
        <f aca="false">I2453*J2453</f>
        <v>178</v>
      </c>
      <c r="M2453" s="61" t="n">
        <f aca="false">L2453-I2453*K2453</f>
        <v>96</v>
      </c>
      <c r="N2453" s="57" t="n">
        <f aca="false">IF(COUNTIFS(E$2:E2453,E2453,C$2:C2453,C2453)=1,1,0)</f>
        <v>0</v>
      </c>
      <c r="O2453" s="57" t="n">
        <f aca="false">IF(COUNTIFS(E$2:E2453,E2453,C$2:C2453,C2453,D$2:D2453,D2453)=1,1,0)</f>
        <v>1</v>
      </c>
      <c r="P2453" s="57" t="n">
        <f aca="false">IF(AND(C2453=Calc!$C$3,OR(Calc!$C$4=0,D2453=Calc!$C$4)),ROW(),0)</f>
        <v>2453</v>
      </c>
    </row>
    <row r="2454" customFormat="false" ht="15" hidden="false" customHeight="false" outlineLevel="0" collapsed="false">
      <c r="A2454" s="57" t="s">
        <v>3019</v>
      </c>
      <c r="B2454" s="58" t="n">
        <v>45948</v>
      </c>
      <c r="C2454" s="57" t="n">
        <f aca="false">YEAR(B2454)</f>
        <v>2025</v>
      </c>
      <c r="D2454" s="57" t="n">
        <f aca="false">MONTH(B2454)</f>
        <v>10</v>
      </c>
      <c r="E2454" s="57" t="s">
        <v>440</v>
      </c>
      <c r="F2454" s="57" t="s">
        <v>78</v>
      </c>
      <c r="G2454" s="57" t="s">
        <v>40</v>
      </c>
      <c r="H2454" s="57" t="s">
        <v>41</v>
      </c>
      <c r="I2454" s="59" t="n">
        <v>2</v>
      </c>
      <c r="J2454" s="60" t="n">
        <v>46</v>
      </c>
      <c r="K2454" s="60" t="n">
        <v>16</v>
      </c>
      <c r="L2454" s="61" t="n">
        <f aca="false">I2454*J2454</f>
        <v>92</v>
      </c>
      <c r="M2454" s="61" t="n">
        <f aca="false">L2454-I2454*K2454</f>
        <v>60</v>
      </c>
      <c r="N2454" s="57" t="n">
        <f aca="false">IF(COUNTIFS(E$2:E2454,E2454,C$2:C2454,C2454)=1,1,0)</f>
        <v>0</v>
      </c>
      <c r="O2454" s="57" t="n">
        <f aca="false">IF(COUNTIFS(E$2:E2454,E2454,C$2:C2454,C2454,D$2:D2454,D2454)=1,1,0)</f>
        <v>0</v>
      </c>
      <c r="P2454" s="57" t="n">
        <f aca="false">IF(AND(C2454=Calc!$C$3,OR(Calc!$C$4=0,D2454=Calc!$C$4)),ROW(),0)</f>
        <v>2454</v>
      </c>
    </row>
    <row r="2455" customFormat="false" ht="15" hidden="false" customHeight="false" outlineLevel="0" collapsed="false">
      <c r="A2455" s="57" t="s">
        <v>3020</v>
      </c>
      <c r="B2455" s="58" t="n">
        <v>45949</v>
      </c>
      <c r="C2455" s="57" t="n">
        <f aca="false">YEAR(B2455)</f>
        <v>2025</v>
      </c>
      <c r="D2455" s="57" t="n">
        <f aca="false">MONTH(B2455)</f>
        <v>10</v>
      </c>
      <c r="E2455" s="57" t="s">
        <v>1813</v>
      </c>
      <c r="F2455" s="57" t="s">
        <v>78</v>
      </c>
      <c r="G2455" s="57" t="s">
        <v>35</v>
      </c>
      <c r="H2455" s="57" t="s">
        <v>34</v>
      </c>
      <c r="I2455" s="59" t="n">
        <v>1</v>
      </c>
      <c r="J2455" s="60" t="n">
        <v>89</v>
      </c>
      <c r="K2455" s="60" t="n">
        <v>41</v>
      </c>
      <c r="L2455" s="61" t="n">
        <f aca="false">I2455*J2455</f>
        <v>89</v>
      </c>
      <c r="M2455" s="61" t="n">
        <f aca="false">L2455-I2455*K2455</f>
        <v>48</v>
      </c>
      <c r="N2455" s="57" t="n">
        <f aca="false">IF(COUNTIFS(E$2:E2455,E2455,C$2:C2455,C2455)=1,1,0)</f>
        <v>1</v>
      </c>
      <c r="O2455" s="57" t="n">
        <f aca="false">IF(COUNTIFS(E$2:E2455,E2455,C$2:C2455,C2455,D$2:D2455,D2455)=1,1,0)</f>
        <v>1</v>
      </c>
      <c r="P2455" s="57" t="n">
        <f aca="false">IF(AND(C2455=Calc!$C$3,OR(Calc!$C$4=0,D2455=Calc!$C$4)),ROW(),0)</f>
        <v>2455</v>
      </c>
    </row>
    <row r="2456" customFormat="false" ht="15" hidden="false" customHeight="false" outlineLevel="0" collapsed="false">
      <c r="A2456" s="57" t="s">
        <v>3021</v>
      </c>
      <c r="B2456" s="58" t="n">
        <v>45949</v>
      </c>
      <c r="C2456" s="57" t="n">
        <f aca="false">YEAR(B2456)</f>
        <v>2025</v>
      </c>
      <c r="D2456" s="57" t="n">
        <f aca="false">MONTH(B2456)</f>
        <v>10</v>
      </c>
      <c r="E2456" s="57" t="s">
        <v>1539</v>
      </c>
      <c r="F2456" s="57" t="s">
        <v>75</v>
      </c>
      <c r="G2456" s="57" t="s">
        <v>35</v>
      </c>
      <c r="H2456" s="57" t="s">
        <v>37</v>
      </c>
      <c r="I2456" s="59" t="n">
        <v>1</v>
      </c>
      <c r="J2456" s="60" t="n">
        <v>59</v>
      </c>
      <c r="K2456" s="60" t="n">
        <v>27</v>
      </c>
      <c r="L2456" s="61" t="n">
        <f aca="false">I2456*J2456</f>
        <v>59</v>
      </c>
      <c r="M2456" s="61" t="n">
        <f aca="false">L2456-I2456*K2456</f>
        <v>32</v>
      </c>
      <c r="N2456" s="57" t="n">
        <f aca="false">IF(COUNTIFS(E$2:E2456,E2456,C$2:C2456,C2456)=1,1,0)</f>
        <v>1</v>
      </c>
      <c r="O2456" s="57" t="n">
        <f aca="false">IF(COUNTIFS(E$2:E2456,E2456,C$2:C2456,C2456,D$2:D2456,D2456)=1,1,0)</f>
        <v>1</v>
      </c>
      <c r="P2456" s="57" t="n">
        <f aca="false">IF(AND(C2456=Calc!$C$3,OR(Calc!$C$4=0,D2456=Calc!$C$4)),ROW(),0)</f>
        <v>2456</v>
      </c>
    </row>
    <row r="2457" customFormat="false" ht="15" hidden="false" customHeight="false" outlineLevel="0" collapsed="false">
      <c r="A2457" s="57" t="s">
        <v>3022</v>
      </c>
      <c r="B2457" s="58" t="n">
        <v>45949</v>
      </c>
      <c r="C2457" s="57" t="n">
        <f aca="false">YEAR(B2457)</f>
        <v>2025</v>
      </c>
      <c r="D2457" s="57" t="n">
        <f aca="false">MONTH(B2457)</f>
        <v>10</v>
      </c>
      <c r="E2457" s="57" t="s">
        <v>386</v>
      </c>
      <c r="F2457" s="57" t="s">
        <v>78</v>
      </c>
      <c r="G2457" s="57" t="s">
        <v>50</v>
      </c>
      <c r="H2457" s="57" t="s">
        <v>51</v>
      </c>
      <c r="I2457" s="59" t="n">
        <v>1</v>
      </c>
      <c r="J2457" s="60" t="n">
        <v>69</v>
      </c>
      <c r="K2457" s="60" t="n">
        <v>29</v>
      </c>
      <c r="L2457" s="61" t="n">
        <f aca="false">I2457*J2457</f>
        <v>69</v>
      </c>
      <c r="M2457" s="61" t="n">
        <f aca="false">L2457-I2457*K2457</f>
        <v>40</v>
      </c>
      <c r="N2457" s="57" t="n">
        <f aca="false">IF(COUNTIFS(E$2:E2457,E2457,C$2:C2457,C2457)=1,1,0)</f>
        <v>0</v>
      </c>
      <c r="O2457" s="57" t="n">
        <f aca="false">IF(COUNTIFS(E$2:E2457,E2457,C$2:C2457,C2457,D$2:D2457,D2457)=1,1,0)</f>
        <v>1</v>
      </c>
      <c r="P2457" s="57" t="n">
        <f aca="false">IF(AND(C2457=Calc!$C$3,OR(Calc!$C$4=0,D2457=Calc!$C$4)),ROW(),0)</f>
        <v>2457</v>
      </c>
    </row>
    <row r="2458" customFormat="false" ht="15" hidden="false" customHeight="false" outlineLevel="0" collapsed="false">
      <c r="A2458" s="57" t="s">
        <v>3023</v>
      </c>
      <c r="B2458" s="58" t="n">
        <v>45949</v>
      </c>
      <c r="C2458" s="57" t="n">
        <f aca="false">YEAR(B2458)</f>
        <v>2025</v>
      </c>
      <c r="D2458" s="57" t="n">
        <f aca="false">MONTH(B2458)</f>
        <v>10</v>
      </c>
      <c r="E2458" s="57" t="s">
        <v>290</v>
      </c>
      <c r="F2458" s="57" t="s">
        <v>75</v>
      </c>
      <c r="G2458" s="57" t="s">
        <v>40</v>
      </c>
      <c r="H2458" s="57" t="s">
        <v>41</v>
      </c>
      <c r="I2458" s="59" t="n">
        <v>1</v>
      </c>
      <c r="J2458" s="60" t="n">
        <v>46</v>
      </c>
      <c r="K2458" s="60" t="n">
        <v>16</v>
      </c>
      <c r="L2458" s="61" t="n">
        <f aca="false">I2458*J2458</f>
        <v>46</v>
      </c>
      <c r="M2458" s="61" t="n">
        <f aca="false">L2458-I2458*K2458</f>
        <v>30</v>
      </c>
      <c r="N2458" s="57" t="n">
        <f aca="false">IF(COUNTIFS(E$2:E2458,E2458,C$2:C2458,C2458)=1,1,0)</f>
        <v>1</v>
      </c>
      <c r="O2458" s="57" t="n">
        <f aca="false">IF(COUNTIFS(E$2:E2458,E2458,C$2:C2458,C2458,D$2:D2458,D2458)=1,1,0)</f>
        <v>1</v>
      </c>
      <c r="P2458" s="57" t="n">
        <f aca="false">IF(AND(C2458=Calc!$C$3,OR(Calc!$C$4=0,D2458=Calc!$C$4)),ROW(),0)</f>
        <v>2458</v>
      </c>
    </row>
    <row r="2459" customFormat="false" ht="15" hidden="false" customHeight="false" outlineLevel="0" collapsed="false">
      <c r="A2459" s="57" t="s">
        <v>3024</v>
      </c>
      <c r="B2459" s="58" t="n">
        <v>45950</v>
      </c>
      <c r="C2459" s="57" t="n">
        <f aca="false">YEAR(B2459)</f>
        <v>2025</v>
      </c>
      <c r="D2459" s="57" t="n">
        <f aca="false">MONTH(B2459)</f>
        <v>10</v>
      </c>
      <c r="E2459" s="57" t="s">
        <v>461</v>
      </c>
      <c r="F2459" s="57" t="s">
        <v>78</v>
      </c>
      <c r="G2459" s="57" t="s">
        <v>35</v>
      </c>
      <c r="H2459" s="57" t="s">
        <v>34</v>
      </c>
      <c r="I2459" s="59" t="n">
        <v>2</v>
      </c>
      <c r="J2459" s="60" t="n">
        <v>89</v>
      </c>
      <c r="K2459" s="60" t="n">
        <v>41</v>
      </c>
      <c r="L2459" s="61" t="n">
        <f aca="false">I2459*J2459</f>
        <v>178</v>
      </c>
      <c r="M2459" s="61" t="n">
        <f aca="false">L2459-I2459*K2459</f>
        <v>96</v>
      </c>
      <c r="N2459" s="57" t="n">
        <f aca="false">IF(COUNTIFS(E$2:E2459,E2459,C$2:C2459,C2459)=1,1,0)</f>
        <v>0</v>
      </c>
      <c r="O2459" s="57" t="n">
        <f aca="false">IF(COUNTIFS(E$2:E2459,E2459,C$2:C2459,C2459,D$2:D2459,D2459)=1,1,0)</f>
        <v>1</v>
      </c>
      <c r="P2459" s="57" t="n">
        <f aca="false">IF(AND(C2459=Calc!$C$3,OR(Calc!$C$4=0,D2459=Calc!$C$4)),ROW(),0)</f>
        <v>2459</v>
      </c>
    </row>
    <row r="2460" customFormat="false" ht="15" hidden="false" customHeight="false" outlineLevel="0" collapsed="false">
      <c r="A2460" s="57" t="s">
        <v>3025</v>
      </c>
      <c r="B2460" s="58" t="n">
        <v>45950</v>
      </c>
      <c r="C2460" s="57" t="n">
        <f aca="false">YEAR(B2460)</f>
        <v>2025</v>
      </c>
      <c r="D2460" s="57" t="n">
        <f aca="false">MONTH(B2460)</f>
        <v>10</v>
      </c>
      <c r="E2460" s="57" t="s">
        <v>122</v>
      </c>
      <c r="F2460" s="57" t="s">
        <v>81</v>
      </c>
      <c r="G2460" s="57" t="s">
        <v>35</v>
      </c>
      <c r="H2460" s="57" t="s">
        <v>36</v>
      </c>
      <c r="I2460" s="59" t="n">
        <v>2</v>
      </c>
      <c r="J2460" s="60" t="n">
        <v>179</v>
      </c>
      <c r="K2460" s="60" t="n">
        <v>92</v>
      </c>
      <c r="L2460" s="61" t="n">
        <f aca="false">I2460*J2460</f>
        <v>358</v>
      </c>
      <c r="M2460" s="61" t="n">
        <f aca="false">L2460-I2460*K2460</f>
        <v>174</v>
      </c>
      <c r="N2460" s="57" t="n">
        <f aca="false">IF(COUNTIFS(E$2:E2460,E2460,C$2:C2460,C2460)=1,1,0)</f>
        <v>0</v>
      </c>
      <c r="O2460" s="57" t="n">
        <f aca="false">IF(COUNTIFS(E$2:E2460,E2460,C$2:C2460,C2460,D$2:D2460,D2460)=1,1,0)</f>
        <v>1</v>
      </c>
      <c r="P2460" s="57" t="n">
        <f aca="false">IF(AND(C2460=Calc!$C$3,OR(Calc!$C$4=0,D2460=Calc!$C$4)),ROW(),0)</f>
        <v>2460</v>
      </c>
    </row>
    <row r="2461" customFormat="false" ht="15" hidden="false" customHeight="false" outlineLevel="0" collapsed="false">
      <c r="A2461" s="57" t="s">
        <v>3026</v>
      </c>
      <c r="B2461" s="58" t="n">
        <v>45950</v>
      </c>
      <c r="C2461" s="57" t="n">
        <f aca="false">YEAR(B2461)</f>
        <v>2025</v>
      </c>
      <c r="D2461" s="57" t="n">
        <f aca="false">MONTH(B2461)</f>
        <v>10</v>
      </c>
      <c r="E2461" s="57" t="s">
        <v>265</v>
      </c>
      <c r="F2461" s="57" t="s">
        <v>78</v>
      </c>
      <c r="G2461" s="57" t="s">
        <v>35</v>
      </c>
      <c r="H2461" s="57" t="s">
        <v>34</v>
      </c>
      <c r="I2461" s="59" t="n">
        <v>1</v>
      </c>
      <c r="J2461" s="60" t="n">
        <v>89</v>
      </c>
      <c r="K2461" s="60" t="n">
        <v>41</v>
      </c>
      <c r="L2461" s="61" t="n">
        <f aca="false">I2461*J2461</f>
        <v>89</v>
      </c>
      <c r="M2461" s="61" t="n">
        <f aca="false">L2461-I2461*K2461</f>
        <v>48</v>
      </c>
      <c r="N2461" s="57" t="n">
        <f aca="false">IF(COUNTIFS(E$2:E2461,E2461,C$2:C2461,C2461)=1,1,0)</f>
        <v>0</v>
      </c>
      <c r="O2461" s="57" t="n">
        <f aca="false">IF(COUNTIFS(E$2:E2461,E2461,C$2:C2461,C2461,D$2:D2461,D2461)=1,1,0)</f>
        <v>0</v>
      </c>
      <c r="P2461" s="57" t="n">
        <f aca="false">IF(AND(C2461=Calc!$C$3,OR(Calc!$C$4=0,D2461=Calc!$C$4)),ROW(),0)</f>
        <v>2461</v>
      </c>
    </row>
    <row r="2462" customFormat="false" ht="15" hidden="false" customHeight="false" outlineLevel="0" collapsed="false">
      <c r="A2462" s="57" t="s">
        <v>3027</v>
      </c>
      <c r="B2462" s="58" t="n">
        <v>45950</v>
      </c>
      <c r="C2462" s="57" t="n">
        <f aca="false">YEAR(B2462)</f>
        <v>2025</v>
      </c>
      <c r="D2462" s="57" t="n">
        <f aca="false">MONTH(B2462)</f>
        <v>10</v>
      </c>
      <c r="E2462" s="57" t="s">
        <v>279</v>
      </c>
      <c r="F2462" s="57" t="s">
        <v>75</v>
      </c>
      <c r="G2462" s="57" t="s">
        <v>45</v>
      </c>
      <c r="H2462" s="57" t="s">
        <v>47</v>
      </c>
      <c r="I2462" s="59" t="n">
        <v>1</v>
      </c>
      <c r="J2462" s="60" t="n">
        <v>34</v>
      </c>
      <c r="K2462" s="60" t="n">
        <v>12</v>
      </c>
      <c r="L2462" s="61" t="n">
        <f aca="false">I2462*J2462</f>
        <v>34</v>
      </c>
      <c r="M2462" s="61" t="n">
        <f aca="false">L2462-I2462*K2462</f>
        <v>22</v>
      </c>
      <c r="N2462" s="57" t="n">
        <f aca="false">IF(COUNTIFS(E$2:E2462,E2462,C$2:C2462,C2462)=1,1,0)</f>
        <v>0</v>
      </c>
      <c r="O2462" s="57" t="n">
        <f aca="false">IF(COUNTIFS(E$2:E2462,E2462,C$2:C2462,C2462,D$2:D2462,D2462)=1,1,0)</f>
        <v>1</v>
      </c>
      <c r="P2462" s="57" t="n">
        <f aca="false">IF(AND(C2462=Calc!$C$3,OR(Calc!$C$4=0,D2462=Calc!$C$4)),ROW(),0)</f>
        <v>2462</v>
      </c>
    </row>
    <row r="2463" customFormat="false" ht="15" hidden="false" customHeight="false" outlineLevel="0" collapsed="false">
      <c r="A2463" s="57" t="s">
        <v>3028</v>
      </c>
      <c r="B2463" s="58" t="n">
        <v>45951</v>
      </c>
      <c r="C2463" s="57" t="n">
        <f aca="false">YEAR(B2463)</f>
        <v>2025</v>
      </c>
      <c r="D2463" s="57" t="n">
        <f aca="false">MONTH(B2463)</f>
        <v>10</v>
      </c>
      <c r="E2463" s="57" t="s">
        <v>277</v>
      </c>
      <c r="F2463" s="57" t="s">
        <v>75</v>
      </c>
      <c r="G2463" s="57" t="s">
        <v>35</v>
      </c>
      <c r="H2463" s="57" t="s">
        <v>34</v>
      </c>
      <c r="I2463" s="59" t="n">
        <v>1</v>
      </c>
      <c r="J2463" s="60" t="n">
        <v>89</v>
      </c>
      <c r="K2463" s="60" t="n">
        <v>41</v>
      </c>
      <c r="L2463" s="61" t="n">
        <f aca="false">I2463*J2463</f>
        <v>89</v>
      </c>
      <c r="M2463" s="61" t="n">
        <f aca="false">L2463-I2463*K2463</f>
        <v>48</v>
      </c>
      <c r="N2463" s="57" t="n">
        <f aca="false">IF(COUNTIFS(E$2:E2463,E2463,C$2:C2463,C2463)=1,1,0)</f>
        <v>0</v>
      </c>
      <c r="O2463" s="57" t="n">
        <f aca="false">IF(COUNTIFS(E$2:E2463,E2463,C$2:C2463,C2463,D$2:D2463,D2463)=1,1,0)</f>
        <v>1</v>
      </c>
      <c r="P2463" s="57" t="n">
        <f aca="false">IF(AND(C2463=Calc!$C$3,OR(Calc!$C$4=0,D2463=Calc!$C$4)),ROW(),0)</f>
        <v>2463</v>
      </c>
    </row>
    <row r="2464" customFormat="false" ht="15" hidden="false" customHeight="false" outlineLevel="0" collapsed="false">
      <c r="A2464" s="57" t="s">
        <v>3029</v>
      </c>
      <c r="B2464" s="58" t="n">
        <v>45951</v>
      </c>
      <c r="C2464" s="57" t="n">
        <f aca="false">YEAR(B2464)</f>
        <v>2025</v>
      </c>
      <c r="D2464" s="57" t="n">
        <f aca="false">MONTH(B2464)</f>
        <v>10</v>
      </c>
      <c r="E2464" s="57" t="s">
        <v>294</v>
      </c>
      <c r="F2464" s="57" t="s">
        <v>69</v>
      </c>
      <c r="G2464" s="57" t="s">
        <v>40</v>
      </c>
      <c r="H2464" s="57" t="s">
        <v>41</v>
      </c>
      <c r="I2464" s="59" t="n">
        <v>1</v>
      </c>
      <c r="J2464" s="60" t="n">
        <v>46</v>
      </c>
      <c r="K2464" s="60" t="n">
        <v>16</v>
      </c>
      <c r="L2464" s="61" t="n">
        <f aca="false">I2464*J2464</f>
        <v>46</v>
      </c>
      <c r="M2464" s="61" t="n">
        <f aca="false">L2464-I2464*K2464</f>
        <v>30</v>
      </c>
      <c r="N2464" s="57" t="n">
        <f aca="false">IF(COUNTIFS(E$2:E2464,E2464,C$2:C2464,C2464)=1,1,0)</f>
        <v>0</v>
      </c>
      <c r="O2464" s="57" t="n">
        <f aca="false">IF(COUNTIFS(E$2:E2464,E2464,C$2:C2464,C2464,D$2:D2464,D2464)=1,1,0)</f>
        <v>1</v>
      </c>
      <c r="P2464" s="57" t="n">
        <f aca="false">IF(AND(C2464=Calc!$C$3,OR(Calc!$C$4=0,D2464=Calc!$C$4)),ROW(),0)</f>
        <v>2464</v>
      </c>
    </row>
    <row r="2465" customFormat="false" ht="15" hidden="false" customHeight="false" outlineLevel="0" collapsed="false">
      <c r="A2465" s="57" t="s">
        <v>3030</v>
      </c>
      <c r="B2465" s="58" t="n">
        <v>45951</v>
      </c>
      <c r="C2465" s="57" t="n">
        <f aca="false">YEAR(B2465)</f>
        <v>2025</v>
      </c>
      <c r="D2465" s="57" t="n">
        <f aca="false">MONTH(B2465)</f>
        <v>10</v>
      </c>
      <c r="E2465" s="57" t="s">
        <v>547</v>
      </c>
      <c r="F2465" s="57" t="s">
        <v>72</v>
      </c>
      <c r="G2465" s="57" t="s">
        <v>35</v>
      </c>
      <c r="H2465" s="57" t="s">
        <v>38</v>
      </c>
      <c r="I2465" s="59" t="n">
        <v>1</v>
      </c>
      <c r="J2465" s="60" t="n">
        <v>49</v>
      </c>
      <c r="K2465" s="60" t="n">
        <v>22</v>
      </c>
      <c r="L2465" s="61" t="n">
        <f aca="false">I2465*J2465</f>
        <v>49</v>
      </c>
      <c r="M2465" s="61" t="n">
        <f aca="false">L2465-I2465*K2465</f>
        <v>27</v>
      </c>
      <c r="N2465" s="57" t="n">
        <f aca="false">IF(COUNTIFS(E$2:E2465,E2465,C$2:C2465,C2465)=1,1,0)</f>
        <v>0</v>
      </c>
      <c r="O2465" s="57" t="n">
        <f aca="false">IF(COUNTIFS(E$2:E2465,E2465,C$2:C2465,C2465,D$2:D2465,D2465)=1,1,0)</f>
        <v>1</v>
      </c>
      <c r="P2465" s="57" t="n">
        <f aca="false">IF(AND(C2465=Calc!$C$3,OR(Calc!$C$4=0,D2465=Calc!$C$4)),ROW(),0)</f>
        <v>2465</v>
      </c>
    </row>
    <row r="2466" customFormat="false" ht="15" hidden="false" customHeight="false" outlineLevel="0" collapsed="false">
      <c r="A2466" s="57" t="s">
        <v>3031</v>
      </c>
      <c r="B2466" s="58" t="n">
        <v>45951</v>
      </c>
      <c r="C2466" s="57" t="n">
        <f aca="false">YEAR(B2466)</f>
        <v>2025</v>
      </c>
      <c r="D2466" s="57" t="n">
        <f aca="false">MONTH(B2466)</f>
        <v>10</v>
      </c>
      <c r="E2466" s="57" t="s">
        <v>240</v>
      </c>
      <c r="F2466" s="57" t="s">
        <v>75</v>
      </c>
      <c r="G2466" s="57" t="s">
        <v>35</v>
      </c>
      <c r="H2466" s="57" t="s">
        <v>37</v>
      </c>
      <c r="I2466" s="59" t="n">
        <v>1</v>
      </c>
      <c r="J2466" s="60" t="n">
        <v>59</v>
      </c>
      <c r="K2466" s="60" t="n">
        <v>27</v>
      </c>
      <c r="L2466" s="61" t="n">
        <f aca="false">I2466*J2466</f>
        <v>59</v>
      </c>
      <c r="M2466" s="61" t="n">
        <f aca="false">L2466-I2466*K2466</f>
        <v>32</v>
      </c>
      <c r="N2466" s="57" t="n">
        <f aca="false">IF(COUNTIFS(E$2:E2466,E2466,C$2:C2466,C2466)=1,1,0)</f>
        <v>0</v>
      </c>
      <c r="O2466" s="57" t="n">
        <f aca="false">IF(COUNTIFS(E$2:E2466,E2466,C$2:C2466,C2466,D$2:D2466,D2466)=1,1,0)</f>
        <v>1</v>
      </c>
      <c r="P2466" s="57" t="n">
        <f aca="false">IF(AND(C2466=Calc!$C$3,OR(Calc!$C$4=0,D2466=Calc!$C$4)),ROW(),0)</f>
        <v>2466</v>
      </c>
    </row>
    <row r="2467" customFormat="false" ht="15" hidden="false" customHeight="false" outlineLevel="0" collapsed="false">
      <c r="A2467" s="57" t="s">
        <v>3032</v>
      </c>
      <c r="B2467" s="58" t="n">
        <v>45952</v>
      </c>
      <c r="C2467" s="57" t="n">
        <f aca="false">YEAR(B2467)</f>
        <v>2025</v>
      </c>
      <c r="D2467" s="57" t="n">
        <f aca="false">MONTH(B2467)</f>
        <v>10</v>
      </c>
      <c r="E2467" s="57" t="s">
        <v>2141</v>
      </c>
      <c r="F2467" s="57" t="s">
        <v>75</v>
      </c>
      <c r="G2467" s="57" t="s">
        <v>35</v>
      </c>
      <c r="H2467" s="57" t="s">
        <v>36</v>
      </c>
      <c r="I2467" s="59" t="n">
        <v>2</v>
      </c>
      <c r="J2467" s="60" t="n">
        <v>179</v>
      </c>
      <c r="K2467" s="60" t="n">
        <v>92</v>
      </c>
      <c r="L2467" s="61" t="n">
        <f aca="false">I2467*J2467</f>
        <v>358</v>
      </c>
      <c r="M2467" s="61" t="n">
        <f aca="false">L2467-I2467*K2467</f>
        <v>174</v>
      </c>
      <c r="N2467" s="57" t="n">
        <f aca="false">IF(COUNTIFS(E$2:E2467,E2467,C$2:C2467,C2467)=1,1,0)</f>
        <v>0</v>
      </c>
      <c r="O2467" s="57" t="n">
        <f aca="false">IF(COUNTIFS(E$2:E2467,E2467,C$2:C2467,C2467,D$2:D2467,D2467)=1,1,0)</f>
        <v>1</v>
      </c>
      <c r="P2467" s="57" t="n">
        <f aca="false">IF(AND(C2467=Calc!$C$3,OR(Calc!$C$4=0,D2467=Calc!$C$4)),ROW(),0)</f>
        <v>2467</v>
      </c>
    </row>
    <row r="2468" customFormat="false" ht="15" hidden="false" customHeight="false" outlineLevel="0" collapsed="false">
      <c r="A2468" s="57" t="s">
        <v>3033</v>
      </c>
      <c r="B2468" s="58" t="n">
        <v>45952</v>
      </c>
      <c r="C2468" s="57" t="n">
        <f aca="false">YEAR(B2468)</f>
        <v>2025</v>
      </c>
      <c r="D2468" s="57" t="n">
        <f aca="false">MONTH(B2468)</f>
        <v>10</v>
      </c>
      <c r="E2468" s="57" t="s">
        <v>646</v>
      </c>
      <c r="F2468" s="57" t="s">
        <v>81</v>
      </c>
      <c r="G2468" s="57" t="s">
        <v>35</v>
      </c>
      <c r="H2468" s="57" t="s">
        <v>36</v>
      </c>
      <c r="I2468" s="59" t="n">
        <v>1</v>
      </c>
      <c r="J2468" s="60" t="n">
        <v>179</v>
      </c>
      <c r="K2468" s="60" t="n">
        <v>92</v>
      </c>
      <c r="L2468" s="61" t="n">
        <f aca="false">I2468*J2468</f>
        <v>179</v>
      </c>
      <c r="M2468" s="61" t="n">
        <f aca="false">L2468-I2468*K2468</f>
        <v>87</v>
      </c>
      <c r="N2468" s="57" t="n">
        <f aca="false">IF(COUNTIFS(E$2:E2468,E2468,C$2:C2468,C2468)=1,1,0)</f>
        <v>0</v>
      </c>
      <c r="O2468" s="57" t="n">
        <f aca="false">IF(COUNTIFS(E$2:E2468,E2468,C$2:C2468,C2468,D$2:D2468,D2468)=1,1,0)</f>
        <v>1</v>
      </c>
      <c r="P2468" s="57" t="n">
        <f aca="false">IF(AND(C2468=Calc!$C$3,OR(Calc!$C$4=0,D2468=Calc!$C$4)),ROW(),0)</f>
        <v>2468</v>
      </c>
    </row>
    <row r="2469" customFormat="false" ht="15" hidden="false" customHeight="false" outlineLevel="0" collapsed="false">
      <c r="A2469" s="57" t="s">
        <v>3034</v>
      </c>
      <c r="B2469" s="58" t="n">
        <v>45952</v>
      </c>
      <c r="C2469" s="57" t="n">
        <f aca="false">YEAR(B2469)</f>
        <v>2025</v>
      </c>
      <c r="D2469" s="57" t="n">
        <f aca="false">MONTH(B2469)</f>
        <v>10</v>
      </c>
      <c r="E2469" s="57" t="s">
        <v>424</v>
      </c>
      <c r="F2469" s="57" t="s">
        <v>78</v>
      </c>
      <c r="G2469" s="57" t="s">
        <v>45</v>
      </c>
      <c r="H2469" s="57" t="s">
        <v>46</v>
      </c>
      <c r="I2469" s="59" t="n">
        <v>1</v>
      </c>
      <c r="J2469" s="60" t="n">
        <v>149</v>
      </c>
      <c r="K2469" s="60" t="n">
        <v>71</v>
      </c>
      <c r="L2469" s="61" t="n">
        <f aca="false">I2469*J2469</f>
        <v>149</v>
      </c>
      <c r="M2469" s="61" t="n">
        <f aca="false">L2469-I2469*K2469</f>
        <v>78</v>
      </c>
      <c r="N2469" s="57" t="n">
        <f aca="false">IF(COUNTIFS(E$2:E2469,E2469,C$2:C2469,C2469)=1,1,0)</f>
        <v>0</v>
      </c>
      <c r="O2469" s="57" t="n">
        <f aca="false">IF(COUNTIFS(E$2:E2469,E2469,C$2:C2469,C2469,D$2:D2469,D2469)=1,1,0)</f>
        <v>1</v>
      </c>
      <c r="P2469" s="57" t="n">
        <f aca="false">IF(AND(C2469=Calc!$C$3,OR(Calc!$C$4=0,D2469=Calc!$C$4)),ROW(),0)</f>
        <v>2469</v>
      </c>
    </row>
    <row r="2470" customFormat="false" ht="15" hidden="false" customHeight="false" outlineLevel="0" collapsed="false">
      <c r="A2470" s="57" t="s">
        <v>3035</v>
      </c>
      <c r="B2470" s="58" t="n">
        <v>45952</v>
      </c>
      <c r="C2470" s="57" t="n">
        <f aca="false">YEAR(B2470)</f>
        <v>2025</v>
      </c>
      <c r="D2470" s="57" t="n">
        <f aca="false">MONTH(B2470)</f>
        <v>10</v>
      </c>
      <c r="E2470" s="57" t="s">
        <v>3036</v>
      </c>
      <c r="F2470" s="57" t="s">
        <v>75</v>
      </c>
      <c r="G2470" s="57" t="s">
        <v>50</v>
      </c>
      <c r="H2470" s="57" t="s">
        <v>49</v>
      </c>
      <c r="I2470" s="59" t="n">
        <v>1</v>
      </c>
      <c r="J2470" s="60" t="n">
        <v>32</v>
      </c>
      <c r="K2470" s="60" t="n">
        <v>7</v>
      </c>
      <c r="L2470" s="61" t="n">
        <f aca="false">I2470*J2470</f>
        <v>32</v>
      </c>
      <c r="M2470" s="61" t="n">
        <f aca="false">L2470-I2470*K2470</f>
        <v>25</v>
      </c>
      <c r="N2470" s="57" t="n">
        <f aca="false">IF(COUNTIFS(E$2:E2470,E2470,C$2:C2470,C2470)=1,1,0)</f>
        <v>1</v>
      </c>
      <c r="O2470" s="57" t="n">
        <f aca="false">IF(COUNTIFS(E$2:E2470,E2470,C$2:C2470,C2470,D$2:D2470,D2470)=1,1,0)</f>
        <v>1</v>
      </c>
      <c r="P2470" s="57" t="n">
        <f aca="false">IF(AND(C2470=Calc!$C$3,OR(Calc!$C$4=0,D2470=Calc!$C$4)),ROW(),0)</f>
        <v>2470</v>
      </c>
    </row>
    <row r="2471" customFormat="false" ht="15" hidden="false" customHeight="false" outlineLevel="0" collapsed="false">
      <c r="A2471" s="57" t="s">
        <v>3037</v>
      </c>
      <c r="B2471" s="58" t="n">
        <v>45953</v>
      </c>
      <c r="C2471" s="57" t="n">
        <f aca="false">YEAR(B2471)</f>
        <v>2025</v>
      </c>
      <c r="D2471" s="57" t="n">
        <f aca="false">MONTH(B2471)</f>
        <v>10</v>
      </c>
      <c r="E2471" s="57" t="s">
        <v>240</v>
      </c>
      <c r="F2471" s="57" t="s">
        <v>75</v>
      </c>
      <c r="G2471" s="57" t="s">
        <v>40</v>
      </c>
      <c r="H2471" s="57" t="s">
        <v>43</v>
      </c>
      <c r="I2471" s="59" t="n">
        <v>1</v>
      </c>
      <c r="J2471" s="60" t="n">
        <v>29</v>
      </c>
      <c r="K2471" s="60" t="n">
        <v>9</v>
      </c>
      <c r="L2471" s="61" t="n">
        <f aca="false">I2471*J2471</f>
        <v>29</v>
      </c>
      <c r="M2471" s="61" t="n">
        <f aca="false">L2471-I2471*K2471</f>
        <v>20</v>
      </c>
      <c r="N2471" s="57" t="n">
        <f aca="false">IF(COUNTIFS(E$2:E2471,E2471,C$2:C2471,C2471)=1,1,0)</f>
        <v>0</v>
      </c>
      <c r="O2471" s="57" t="n">
        <f aca="false">IF(COUNTIFS(E$2:E2471,E2471,C$2:C2471,C2471,D$2:D2471,D2471)=1,1,0)</f>
        <v>0</v>
      </c>
      <c r="P2471" s="57" t="n">
        <f aca="false">IF(AND(C2471=Calc!$C$3,OR(Calc!$C$4=0,D2471=Calc!$C$4)),ROW(),0)</f>
        <v>2471</v>
      </c>
    </row>
    <row r="2472" customFormat="false" ht="15" hidden="false" customHeight="false" outlineLevel="0" collapsed="false">
      <c r="A2472" s="57" t="s">
        <v>3038</v>
      </c>
      <c r="B2472" s="58" t="n">
        <v>45953</v>
      </c>
      <c r="C2472" s="57" t="n">
        <f aca="false">YEAR(B2472)</f>
        <v>2025</v>
      </c>
      <c r="D2472" s="57" t="n">
        <f aca="false">MONTH(B2472)</f>
        <v>10</v>
      </c>
      <c r="E2472" s="57" t="s">
        <v>1124</v>
      </c>
      <c r="F2472" s="57" t="s">
        <v>75</v>
      </c>
      <c r="G2472" s="57" t="s">
        <v>35</v>
      </c>
      <c r="H2472" s="57" t="s">
        <v>36</v>
      </c>
      <c r="I2472" s="59" t="n">
        <v>2</v>
      </c>
      <c r="J2472" s="60" t="n">
        <v>179</v>
      </c>
      <c r="K2472" s="60" t="n">
        <v>92</v>
      </c>
      <c r="L2472" s="61" t="n">
        <f aca="false">I2472*J2472</f>
        <v>358</v>
      </c>
      <c r="M2472" s="61" t="n">
        <f aca="false">L2472-I2472*K2472</f>
        <v>174</v>
      </c>
      <c r="N2472" s="57" t="n">
        <f aca="false">IF(COUNTIFS(E$2:E2472,E2472,C$2:C2472,C2472)=1,1,0)</f>
        <v>0</v>
      </c>
      <c r="O2472" s="57" t="n">
        <f aca="false">IF(COUNTIFS(E$2:E2472,E2472,C$2:C2472,C2472,D$2:D2472,D2472)=1,1,0)</f>
        <v>1</v>
      </c>
      <c r="P2472" s="57" t="n">
        <f aca="false">IF(AND(C2472=Calc!$C$3,OR(Calc!$C$4=0,D2472=Calc!$C$4)),ROW(),0)</f>
        <v>2472</v>
      </c>
    </row>
    <row r="2473" customFormat="false" ht="15" hidden="false" customHeight="false" outlineLevel="0" collapsed="false">
      <c r="A2473" s="57" t="s">
        <v>3039</v>
      </c>
      <c r="B2473" s="58" t="n">
        <v>45954</v>
      </c>
      <c r="C2473" s="57" t="n">
        <f aca="false">YEAR(B2473)</f>
        <v>2025</v>
      </c>
      <c r="D2473" s="57" t="n">
        <f aca="false">MONTH(B2473)</f>
        <v>10</v>
      </c>
      <c r="E2473" s="57" t="s">
        <v>114</v>
      </c>
      <c r="F2473" s="57" t="s">
        <v>69</v>
      </c>
      <c r="G2473" s="57" t="s">
        <v>45</v>
      </c>
      <c r="H2473" s="57" t="s">
        <v>47</v>
      </c>
      <c r="I2473" s="59" t="n">
        <v>2</v>
      </c>
      <c r="J2473" s="60" t="n">
        <v>34</v>
      </c>
      <c r="K2473" s="60" t="n">
        <v>12</v>
      </c>
      <c r="L2473" s="61" t="n">
        <f aca="false">I2473*J2473</f>
        <v>68</v>
      </c>
      <c r="M2473" s="61" t="n">
        <f aca="false">L2473-I2473*K2473</f>
        <v>44</v>
      </c>
      <c r="N2473" s="57" t="n">
        <f aca="false">IF(COUNTIFS(E$2:E2473,E2473,C$2:C2473,C2473)=1,1,0)</f>
        <v>0</v>
      </c>
      <c r="O2473" s="57" t="n">
        <f aca="false">IF(COUNTIFS(E$2:E2473,E2473,C$2:C2473,C2473,D$2:D2473,D2473)=1,1,0)</f>
        <v>0</v>
      </c>
      <c r="P2473" s="57" t="n">
        <f aca="false">IF(AND(C2473=Calc!$C$3,OR(Calc!$C$4=0,D2473=Calc!$C$4)),ROW(),0)</f>
        <v>2473</v>
      </c>
    </row>
    <row r="2474" customFormat="false" ht="15" hidden="false" customHeight="false" outlineLevel="0" collapsed="false">
      <c r="A2474" s="57" t="s">
        <v>3040</v>
      </c>
      <c r="B2474" s="58" t="n">
        <v>45954</v>
      </c>
      <c r="C2474" s="57" t="n">
        <f aca="false">YEAR(B2474)</f>
        <v>2025</v>
      </c>
      <c r="D2474" s="57" t="n">
        <f aca="false">MONTH(B2474)</f>
        <v>10</v>
      </c>
      <c r="E2474" s="57" t="s">
        <v>2570</v>
      </c>
      <c r="F2474" s="57" t="s">
        <v>78</v>
      </c>
      <c r="G2474" s="57" t="s">
        <v>45</v>
      </c>
      <c r="H2474" s="57" t="s">
        <v>44</v>
      </c>
      <c r="I2474" s="59" t="n">
        <v>1</v>
      </c>
      <c r="J2474" s="60" t="n">
        <v>119</v>
      </c>
      <c r="K2474" s="60" t="n">
        <v>63</v>
      </c>
      <c r="L2474" s="61" t="n">
        <f aca="false">I2474*J2474</f>
        <v>119</v>
      </c>
      <c r="M2474" s="61" t="n">
        <f aca="false">L2474-I2474*K2474</f>
        <v>56</v>
      </c>
      <c r="N2474" s="57" t="n">
        <f aca="false">IF(COUNTIFS(E$2:E2474,E2474,C$2:C2474,C2474)=1,1,0)</f>
        <v>0</v>
      </c>
      <c r="O2474" s="57" t="n">
        <f aca="false">IF(COUNTIFS(E$2:E2474,E2474,C$2:C2474,C2474,D$2:D2474,D2474)=1,1,0)</f>
        <v>1</v>
      </c>
      <c r="P2474" s="57" t="n">
        <f aca="false">IF(AND(C2474=Calc!$C$3,OR(Calc!$C$4=0,D2474=Calc!$C$4)),ROW(),0)</f>
        <v>2474</v>
      </c>
    </row>
    <row r="2475" customFormat="false" ht="15" hidden="false" customHeight="false" outlineLevel="0" collapsed="false">
      <c r="A2475" s="57" t="s">
        <v>3041</v>
      </c>
      <c r="B2475" s="58" t="n">
        <v>45954</v>
      </c>
      <c r="C2475" s="57" t="n">
        <f aca="false">YEAR(B2475)</f>
        <v>2025</v>
      </c>
      <c r="D2475" s="57" t="n">
        <f aca="false">MONTH(B2475)</f>
        <v>10</v>
      </c>
      <c r="E2475" s="57" t="s">
        <v>296</v>
      </c>
      <c r="F2475" s="57" t="s">
        <v>75</v>
      </c>
      <c r="G2475" s="57" t="s">
        <v>50</v>
      </c>
      <c r="H2475" s="57" t="s">
        <v>52</v>
      </c>
      <c r="I2475" s="59" t="n">
        <v>1</v>
      </c>
      <c r="J2475" s="60" t="n">
        <v>45</v>
      </c>
      <c r="K2475" s="60" t="n">
        <v>14</v>
      </c>
      <c r="L2475" s="61" t="n">
        <f aca="false">I2475*J2475</f>
        <v>45</v>
      </c>
      <c r="M2475" s="61" t="n">
        <f aca="false">L2475-I2475*K2475</f>
        <v>31</v>
      </c>
      <c r="N2475" s="57" t="n">
        <f aca="false">IF(COUNTIFS(E$2:E2475,E2475,C$2:C2475,C2475)=1,1,0)</f>
        <v>0</v>
      </c>
      <c r="O2475" s="57" t="n">
        <f aca="false">IF(COUNTIFS(E$2:E2475,E2475,C$2:C2475,C2475,D$2:D2475,D2475)=1,1,0)</f>
        <v>1</v>
      </c>
      <c r="P2475" s="57" t="n">
        <f aca="false">IF(AND(C2475=Calc!$C$3,OR(Calc!$C$4=0,D2475=Calc!$C$4)),ROW(),0)</f>
        <v>2475</v>
      </c>
    </row>
    <row r="2476" customFormat="false" ht="15" hidden="false" customHeight="false" outlineLevel="0" collapsed="false">
      <c r="A2476" s="57" t="s">
        <v>3042</v>
      </c>
      <c r="B2476" s="58" t="n">
        <v>45955</v>
      </c>
      <c r="C2476" s="57" t="n">
        <f aca="false">YEAR(B2476)</f>
        <v>2025</v>
      </c>
      <c r="D2476" s="57" t="n">
        <f aca="false">MONTH(B2476)</f>
        <v>10</v>
      </c>
      <c r="E2476" s="57" t="s">
        <v>206</v>
      </c>
      <c r="F2476" s="57" t="s">
        <v>78</v>
      </c>
      <c r="G2476" s="57" t="s">
        <v>35</v>
      </c>
      <c r="H2476" s="57" t="s">
        <v>38</v>
      </c>
      <c r="I2476" s="59" t="n">
        <v>1</v>
      </c>
      <c r="J2476" s="60" t="n">
        <v>49</v>
      </c>
      <c r="K2476" s="60" t="n">
        <v>22</v>
      </c>
      <c r="L2476" s="61" t="n">
        <f aca="false">I2476*J2476</f>
        <v>49</v>
      </c>
      <c r="M2476" s="61" t="n">
        <f aca="false">L2476-I2476*K2476</f>
        <v>27</v>
      </c>
      <c r="N2476" s="57" t="n">
        <f aca="false">IF(COUNTIFS(E$2:E2476,E2476,C$2:C2476,C2476)=1,1,0)</f>
        <v>0</v>
      </c>
      <c r="O2476" s="57" t="n">
        <f aca="false">IF(COUNTIFS(E$2:E2476,E2476,C$2:C2476,C2476,D$2:D2476,D2476)=1,1,0)</f>
        <v>1</v>
      </c>
      <c r="P2476" s="57" t="n">
        <f aca="false">IF(AND(C2476=Calc!$C$3,OR(Calc!$C$4=0,D2476=Calc!$C$4)),ROW(),0)</f>
        <v>2476</v>
      </c>
    </row>
    <row r="2477" customFormat="false" ht="15" hidden="false" customHeight="false" outlineLevel="0" collapsed="false">
      <c r="A2477" s="57" t="s">
        <v>3043</v>
      </c>
      <c r="B2477" s="58" t="n">
        <v>45955</v>
      </c>
      <c r="C2477" s="57" t="n">
        <f aca="false">YEAR(B2477)</f>
        <v>2025</v>
      </c>
      <c r="D2477" s="57" t="n">
        <f aca="false">MONTH(B2477)</f>
        <v>10</v>
      </c>
      <c r="E2477" s="57" t="s">
        <v>1206</v>
      </c>
      <c r="F2477" s="57" t="s">
        <v>75</v>
      </c>
      <c r="G2477" s="57" t="s">
        <v>40</v>
      </c>
      <c r="H2477" s="57" t="s">
        <v>39</v>
      </c>
      <c r="I2477" s="59" t="n">
        <v>1</v>
      </c>
      <c r="J2477" s="60" t="n">
        <v>54</v>
      </c>
      <c r="K2477" s="60" t="n">
        <v>19</v>
      </c>
      <c r="L2477" s="61" t="n">
        <f aca="false">I2477*J2477</f>
        <v>54</v>
      </c>
      <c r="M2477" s="61" t="n">
        <f aca="false">L2477-I2477*K2477</f>
        <v>35</v>
      </c>
      <c r="N2477" s="57" t="n">
        <f aca="false">IF(COUNTIFS(E$2:E2477,E2477,C$2:C2477,C2477)=1,1,0)</f>
        <v>0</v>
      </c>
      <c r="O2477" s="57" t="n">
        <f aca="false">IF(COUNTIFS(E$2:E2477,E2477,C$2:C2477,C2477,D$2:D2477,D2477)=1,1,0)</f>
        <v>1</v>
      </c>
      <c r="P2477" s="57" t="n">
        <f aca="false">IF(AND(C2477=Calc!$C$3,OR(Calc!$C$4=0,D2477=Calc!$C$4)),ROW(),0)</f>
        <v>2477</v>
      </c>
    </row>
    <row r="2478" customFormat="false" ht="15" hidden="false" customHeight="false" outlineLevel="0" collapsed="false">
      <c r="A2478" s="57" t="s">
        <v>3044</v>
      </c>
      <c r="B2478" s="58" t="n">
        <v>45955</v>
      </c>
      <c r="C2478" s="57" t="n">
        <f aca="false">YEAR(B2478)</f>
        <v>2025</v>
      </c>
      <c r="D2478" s="57" t="n">
        <f aca="false">MONTH(B2478)</f>
        <v>10</v>
      </c>
      <c r="E2478" s="57" t="s">
        <v>906</v>
      </c>
      <c r="F2478" s="57" t="s">
        <v>78</v>
      </c>
      <c r="G2478" s="57" t="s">
        <v>45</v>
      </c>
      <c r="H2478" s="57" t="s">
        <v>44</v>
      </c>
      <c r="I2478" s="59" t="n">
        <v>1</v>
      </c>
      <c r="J2478" s="60" t="n">
        <v>119</v>
      </c>
      <c r="K2478" s="60" t="n">
        <v>63</v>
      </c>
      <c r="L2478" s="61" t="n">
        <f aca="false">I2478*J2478</f>
        <v>119</v>
      </c>
      <c r="M2478" s="61" t="n">
        <f aca="false">L2478-I2478*K2478</f>
        <v>56</v>
      </c>
      <c r="N2478" s="57" t="n">
        <f aca="false">IF(COUNTIFS(E$2:E2478,E2478,C$2:C2478,C2478)=1,1,0)</f>
        <v>1</v>
      </c>
      <c r="O2478" s="57" t="n">
        <f aca="false">IF(COUNTIFS(E$2:E2478,E2478,C$2:C2478,C2478,D$2:D2478,D2478)=1,1,0)</f>
        <v>1</v>
      </c>
      <c r="P2478" s="57" t="n">
        <f aca="false">IF(AND(C2478=Calc!$C$3,OR(Calc!$C$4=0,D2478=Calc!$C$4)),ROW(),0)</f>
        <v>2478</v>
      </c>
    </row>
    <row r="2479" customFormat="false" ht="15" hidden="false" customHeight="false" outlineLevel="0" collapsed="false">
      <c r="A2479" s="57" t="s">
        <v>3045</v>
      </c>
      <c r="B2479" s="58" t="n">
        <v>45955</v>
      </c>
      <c r="C2479" s="57" t="n">
        <f aca="false">YEAR(B2479)</f>
        <v>2025</v>
      </c>
      <c r="D2479" s="57" t="n">
        <f aca="false">MONTH(B2479)</f>
        <v>10</v>
      </c>
      <c r="E2479" s="57" t="s">
        <v>1478</v>
      </c>
      <c r="F2479" s="57" t="s">
        <v>69</v>
      </c>
      <c r="G2479" s="57" t="s">
        <v>40</v>
      </c>
      <c r="H2479" s="57" t="s">
        <v>42</v>
      </c>
      <c r="I2479" s="59" t="n">
        <v>1</v>
      </c>
      <c r="J2479" s="60" t="n">
        <v>79</v>
      </c>
      <c r="K2479" s="60" t="n">
        <v>31</v>
      </c>
      <c r="L2479" s="61" t="n">
        <f aca="false">I2479*J2479</f>
        <v>79</v>
      </c>
      <c r="M2479" s="61" t="n">
        <f aca="false">L2479-I2479*K2479</f>
        <v>48</v>
      </c>
      <c r="N2479" s="57" t="n">
        <f aca="false">IF(COUNTIFS(E$2:E2479,E2479,C$2:C2479,C2479)=1,1,0)</f>
        <v>0</v>
      </c>
      <c r="O2479" s="57" t="n">
        <f aca="false">IF(COUNTIFS(E$2:E2479,E2479,C$2:C2479,C2479,D$2:D2479,D2479)=1,1,0)</f>
        <v>1</v>
      </c>
      <c r="P2479" s="57" t="n">
        <f aca="false">IF(AND(C2479=Calc!$C$3,OR(Calc!$C$4=0,D2479=Calc!$C$4)),ROW(),0)</f>
        <v>2479</v>
      </c>
    </row>
    <row r="2480" customFormat="false" ht="15" hidden="false" customHeight="false" outlineLevel="0" collapsed="false">
      <c r="A2480" s="57" t="s">
        <v>3046</v>
      </c>
      <c r="B2480" s="58" t="n">
        <v>45955</v>
      </c>
      <c r="C2480" s="57" t="n">
        <f aca="false">YEAR(B2480)</f>
        <v>2025</v>
      </c>
      <c r="D2480" s="57" t="n">
        <f aca="false">MONTH(B2480)</f>
        <v>10</v>
      </c>
      <c r="E2480" s="57" t="s">
        <v>455</v>
      </c>
      <c r="F2480" s="57" t="s">
        <v>69</v>
      </c>
      <c r="G2480" s="57" t="s">
        <v>35</v>
      </c>
      <c r="H2480" s="57" t="s">
        <v>34</v>
      </c>
      <c r="I2480" s="59" t="n">
        <v>1</v>
      </c>
      <c r="J2480" s="60" t="n">
        <v>89</v>
      </c>
      <c r="K2480" s="60" t="n">
        <v>41</v>
      </c>
      <c r="L2480" s="61" t="n">
        <f aca="false">I2480*J2480</f>
        <v>89</v>
      </c>
      <c r="M2480" s="61" t="n">
        <f aca="false">L2480-I2480*K2480</f>
        <v>48</v>
      </c>
      <c r="N2480" s="57" t="n">
        <f aca="false">IF(COUNTIFS(E$2:E2480,E2480,C$2:C2480,C2480)=1,1,0)</f>
        <v>0</v>
      </c>
      <c r="O2480" s="57" t="n">
        <f aca="false">IF(COUNTIFS(E$2:E2480,E2480,C$2:C2480,C2480,D$2:D2480,D2480)=1,1,0)</f>
        <v>1</v>
      </c>
      <c r="P2480" s="57" t="n">
        <f aca="false">IF(AND(C2480=Calc!$C$3,OR(Calc!$C$4=0,D2480=Calc!$C$4)),ROW(),0)</f>
        <v>2480</v>
      </c>
    </row>
    <row r="2481" customFormat="false" ht="15" hidden="false" customHeight="false" outlineLevel="0" collapsed="false">
      <c r="A2481" s="57" t="s">
        <v>3047</v>
      </c>
      <c r="B2481" s="58" t="n">
        <v>45956</v>
      </c>
      <c r="C2481" s="57" t="n">
        <f aca="false">YEAR(B2481)</f>
        <v>2025</v>
      </c>
      <c r="D2481" s="57" t="n">
        <f aca="false">MONTH(B2481)</f>
        <v>10</v>
      </c>
      <c r="E2481" s="57" t="s">
        <v>978</v>
      </c>
      <c r="F2481" s="57" t="s">
        <v>75</v>
      </c>
      <c r="G2481" s="57" t="s">
        <v>50</v>
      </c>
      <c r="H2481" s="57" t="s">
        <v>49</v>
      </c>
      <c r="I2481" s="59" t="n">
        <v>2</v>
      </c>
      <c r="J2481" s="60" t="n">
        <v>32</v>
      </c>
      <c r="K2481" s="60" t="n">
        <v>7</v>
      </c>
      <c r="L2481" s="61" t="n">
        <f aca="false">I2481*J2481</f>
        <v>64</v>
      </c>
      <c r="M2481" s="61" t="n">
        <f aca="false">L2481-I2481*K2481</f>
        <v>50</v>
      </c>
      <c r="N2481" s="57" t="n">
        <f aca="false">IF(COUNTIFS(E$2:E2481,E2481,C$2:C2481,C2481)=1,1,0)</f>
        <v>0</v>
      </c>
      <c r="O2481" s="57" t="n">
        <f aca="false">IF(COUNTIFS(E$2:E2481,E2481,C$2:C2481,C2481,D$2:D2481,D2481)=1,1,0)</f>
        <v>1</v>
      </c>
      <c r="P2481" s="57" t="n">
        <f aca="false">IF(AND(C2481=Calc!$C$3,OR(Calc!$C$4=0,D2481=Calc!$C$4)),ROW(),0)</f>
        <v>2481</v>
      </c>
    </row>
    <row r="2482" customFormat="false" ht="15" hidden="false" customHeight="false" outlineLevel="0" collapsed="false">
      <c r="A2482" s="57" t="s">
        <v>3048</v>
      </c>
      <c r="B2482" s="58" t="n">
        <v>45956</v>
      </c>
      <c r="C2482" s="57" t="n">
        <f aca="false">YEAR(B2482)</f>
        <v>2025</v>
      </c>
      <c r="D2482" s="57" t="n">
        <f aca="false">MONTH(B2482)</f>
        <v>10</v>
      </c>
      <c r="E2482" s="57" t="s">
        <v>477</v>
      </c>
      <c r="F2482" s="57" t="s">
        <v>78</v>
      </c>
      <c r="G2482" s="57" t="s">
        <v>35</v>
      </c>
      <c r="H2482" s="57" t="s">
        <v>38</v>
      </c>
      <c r="I2482" s="59" t="n">
        <v>1</v>
      </c>
      <c r="J2482" s="60" t="n">
        <v>49</v>
      </c>
      <c r="K2482" s="60" t="n">
        <v>22</v>
      </c>
      <c r="L2482" s="61" t="n">
        <f aca="false">I2482*J2482</f>
        <v>49</v>
      </c>
      <c r="M2482" s="61" t="n">
        <f aca="false">L2482-I2482*K2482</f>
        <v>27</v>
      </c>
      <c r="N2482" s="57" t="n">
        <f aca="false">IF(COUNTIFS(E$2:E2482,E2482,C$2:C2482,C2482)=1,1,0)</f>
        <v>0</v>
      </c>
      <c r="O2482" s="57" t="n">
        <f aca="false">IF(COUNTIFS(E$2:E2482,E2482,C$2:C2482,C2482,D$2:D2482,D2482)=1,1,0)</f>
        <v>1</v>
      </c>
      <c r="P2482" s="57" t="n">
        <f aca="false">IF(AND(C2482=Calc!$C$3,OR(Calc!$C$4=0,D2482=Calc!$C$4)),ROW(),0)</f>
        <v>2482</v>
      </c>
    </row>
    <row r="2483" customFormat="false" ht="15" hidden="false" customHeight="false" outlineLevel="0" collapsed="false">
      <c r="A2483" s="57" t="s">
        <v>3049</v>
      </c>
      <c r="B2483" s="58" t="n">
        <v>45956</v>
      </c>
      <c r="C2483" s="57" t="n">
        <f aca="false">YEAR(B2483)</f>
        <v>2025</v>
      </c>
      <c r="D2483" s="57" t="n">
        <f aca="false">MONTH(B2483)</f>
        <v>10</v>
      </c>
      <c r="E2483" s="57" t="s">
        <v>434</v>
      </c>
      <c r="F2483" s="57" t="s">
        <v>78</v>
      </c>
      <c r="G2483" s="57" t="s">
        <v>45</v>
      </c>
      <c r="H2483" s="57" t="s">
        <v>48</v>
      </c>
      <c r="I2483" s="59" t="n">
        <v>1</v>
      </c>
      <c r="J2483" s="60" t="n">
        <v>99</v>
      </c>
      <c r="K2483" s="60" t="n">
        <v>38</v>
      </c>
      <c r="L2483" s="61" t="n">
        <f aca="false">I2483*J2483</f>
        <v>99</v>
      </c>
      <c r="M2483" s="61" t="n">
        <f aca="false">L2483-I2483*K2483</f>
        <v>61</v>
      </c>
      <c r="N2483" s="57" t="n">
        <f aca="false">IF(COUNTIFS(E$2:E2483,E2483,C$2:C2483,C2483)=1,1,0)</f>
        <v>0</v>
      </c>
      <c r="O2483" s="57" t="n">
        <f aca="false">IF(COUNTIFS(E$2:E2483,E2483,C$2:C2483,C2483,D$2:D2483,D2483)=1,1,0)</f>
        <v>1</v>
      </c>
      <c r="P2483" s="57" t="n">
        <f aca="false">IF(AND(C2483=Calc!$C$3,OR(Calc!$C$4=0,D2483=Calc!$C$4)),ROW(),0)</f>
        <v>2483</v>
      </c>
    </row>
    <row r="2484" customFormat="false" ht="15" hidden="false" customHeight="false" outlineLevel="0" collapsed="false">
      <c r="A2484" s="57" t="s">
        <v>3050</v>
      </c>
      <c r="B2484" s="58" t="n">
        <v>45956</v>
      </c>
      <c r="C2484" s="57" t="n">
        <f aca="false">YEAR(B2484)</f>
        <v>2025</v>
      </c>
      <c r="D2484" s="57" t="n">
        <f aca="false">MONTH(B2484)</f>
        <v>10</v>
      </c>
      <c r="E2484" s="57" t="s">
        <v>148</v>
      </c>
      <c r="F2484" s="57" t="s">
        <v>78</v>
      </c>
      <c r="G2484" s="57" t="s">
        <v>45</v>
      </c>
      <c r="H2484" s="57" t="s">
        <v>48</v>
      </c>
      <c r="I2484" s="59" t="n">
        <v>1</v>
      </c>
      <c r="J2484" s="60" t="n">
        <v>99</v>
      </c>
      <c r="K2484" s="60" t="n">
        <v>38</v>
      </c>
      <c r="L2484" s="61" t="n">
        <f aca="false">I2484*J2484</f>
        <v>99</v>
      </c>
      <c r="M2484" s="61" t="n">
        <f aca="false">L2484-I2484*K2484</f>
        <v>61</v>
      </c>
      <c r="N2484" s="57" t="n">
        <f aca="false">IF(COUNTIFS(E$2:E2484,E2484,C$2:C2484,C2484)=1,1,0)</f>
        <v>0</v>
      </c>
      <c r="O2484" s="57" t="n">
        <f aca="false">IF(COUNTIFS(E$2:E2484,E2484,C$2:C2484,C2484,D$2:D2484,D2484)=1,1,0)</f>
        <v>1</v>
      </c>
      <c r="P2484" s="57" t="n">
        <f aca="false">IF(AND(C2484=Calc!$C$3,OR(Calc!$C$4=0,D2484=Calc!$C$4)),ROW(),0)</f>
        <v>2484</v>
      </c>
    </row>
    <row r="2485" customFormat="false" ht="15" hidden="false" customHeight="false" outlineLevel="0" collapsed="false">
      <c r="A2485" s="57" t="s">
        <v>3051</v>
      </c>
      <c r="B2485" s="58" t="n">
        <v>45957</v>
      </c>
      <c r="C2485" s="57" t="n">
        <f aca="false">YEAR(B2485)</f>
        <v>2025</v>
      </c>
      <c r="D2485" s="57" t="n">
        <f aca="false">MONTH(B2485)</f>
        <v>10</v>
      </c>
      <c r="E2485" s="57" t="s">
        <v>125</v>
      </c>
      <c r="F2485" s="57" t="s">
        <v>69</v>
      </c>
      <c r="G2485" s="57" t="s">
        <v>45</v>
      </c>
      <c r="H2485" s="57" t="s">
        <v>44</v>
      </c>
      <c r="I2485" s="59" t="n">
        <v>1</v>
      </c>
      <c r="J2485" s="60" t="n">
        <v>119</v>
      </c>
      <c r="K2485" s="60" t="n">
        <v>63</v>
      </c>
      <c r="L2485" s="61" t="n">
        <f aca="false">I2485*J2485</f>
        <v>119</v>
      </c>
      <c r="M2485" s="61" t="n">
        <f aca="false">L2485-I2485*K2485</f>
        <v>56</v>
      </c>
      <c r="N2485" s="57" t="n">
        <f aca="false">IF(COUNTIFS(E$2:E2485,E2485,C$2:C2485,C2485)=1,1,0)</f>
        <v>0</v>
      </c>
      <c r="O2485" s="57" t="n">
        <f aca="false">IF(COUNTIFS(E$2:E2485,E2485,C$2:C2485,C2485,D$2:D2485,D2485)=1,1,0)</f>
        <v>1</v>
      </c>
      <c r="P2485" s="57" t="n">
        <f aca="false">IF(AND(C2485=Calc!$C$3,OR(Calc!$C$4=0,D2485=Calc!$C$4)),ROW(),0)</f>
        <v>2485</v>
      </c>
    </row>
    <row r="2486" customFormat="false" ht="15" hidden="false" customHeight="false" outlineLevel="0" collapsed="false">
      <c r="A2486" s="57" t="s">
        <v>3052</v>
      </c>
      <c r="B2486" s="58" t="n">
        <v>45957</v>
      </c>
      <c r="C2486" s="57" t="n">
        <f aca="false">YEAR(B2486)</f>
        <v>2025</v>
      </c>
      <c r="D2486" s="57" t="n">
        <f aca="false">MONTH(B2486)</f>
        <v>10</v>
      </c>
      <c r="E2486" s="57" t="s">
        <v>104</v>
      </c>
      <c r="F2486" s="57" t="s">
        <v>78</v>
      </c>
      <c r="G2486" s="57" t="s">
        <v>50</v>
      </c>
      <c r="H2486" s="57" t="s">
        <v>49</v>
      </c>
      <c r="I2486" s="59" t="n">
        <v>1</v>
      </c>
      <c r="J2486" s="60" t="n">
        <v>32</v>
      </c>
      <c r="K2486" s="60" t="n">
        <v>7</v>
      </c>
      <c r="L2486" s="61" t="n">
        <f aca="false">I2486*J2486</f>
        <v>32</v>
      </c>
      <c r="M2486" s="61" t="n">
        <f aca="false">L2486-I2486*K2486</f>
        <v>25</v>
      </c>
      <c r="N2486" s="57" t="n">
        <f aca="false">IF(COUNTIFS(E$2:E2486,E2486,C$2:C2486,C2486)=1,1,0)</f>
        <v>0</v>
      </c>
      <c r="O2486" s="57" t="n">
        <f aca="false">IF(COUNTIFS(E$2:E2486,E2486,C$2:C2486,C2486,D$2:D2486,D2486)=1,1,0)</f>
        <v>1</v>
      </c>
      <c r="P2486" s="57" t="n">
        <f aca="false">IF(AND(C2486=Calc!$C$3,OR(Calc!$C$4=0,D2486=Calc!$C$4)),ROW(),0)</f>
        <v>2486</v>
      </c>
    </row>
    <row r="2487" customFormat="false" ht="15" hidden="false" customHeight="false" outlineLevel="0" collapsed="false">
      <c r="A2487" s="57" t="s">
        <v>3053</v>
      </c>
      <c r="B2487" s="58" t="n">
        <v>45957</v>
      </c>
      <c r="C2487" s="57" t="n">
        <f aca="false">YEAR(B2487)</f>
        <v>2025</v>
      </c>
      <c r="D2487" s="57" t="n">
        <f aca="false">MONTH(B2487)</f>
        <v>10</v>
      </c>
      <c r="E2487" s="57" t="s">
        <v>823</v>
      </c>
      <c r="F2487" s="57" t="s">
        <v>81</v>
      </c>
      <c r="G2487" s="57" t="s">
        <v>40</v>
      </c>
      <c r="H2487" s="57" t="s">
        <v>39</v>
      </c>
      <c r="I2487" s="59" t="n">
        <v>1</v>
      </c>
      <c r="J2487" s="60" t="n">
        <v>54</v>
      </c>
      <c r="K2487" s="60" t="n">
        <v>19</v>
      </c>
      <c r="L2487" s="61" t="n">
        <f aca="false">I2487*J2487</f>
        <v>54</v>
      </c>
      <c r="M2487" s="61" t="n">
        <f aca="false">L2487-I2487*K2487</f>
        <v>35</v>
      </c>
      <c r="N2487" s="57" t="n">
        <f aca="false">IF(COUNTIFS(E$2:E2487,E2487,C$2:C2487,C2487)=1,1,0)</f>
        <v>1</v>
      </c>
      <c r="O2487" s="57" t="n">
        <f aca="false">IF(COUNTIFS(E$2:E2487,E2487,C$2:C2487,C2487,D$2:D2487,D2487)=1,1,0)</f>
        <v>1</v>
      </c>
      <c r="P2487" s="57" t="n">
        <f aca="false">IF(AND(C2487=Calc!$C$3,OR(Calc!$C$4=0,D2487=Calc!$C$4)),ROW(),0)</f>
        <v>2487</v>
      </c>
    </row>
    <row r="2488" customFormat="false" ht="15" hidden="false" customHeight="false" outlineLevel="0" collapsed="false">
      <c r="A2488" s="57" t="s">
        <v>3054</v>
      </c>
      <c r="B2488" s="58" t="n">
        <v>45957</v>
      </c>
      <c r="C2488" s="57" t="n">
        <f aca="false">YEAR(B2488)</f>
        <v>2025</v>
      </c>
      <c r="D2488" s="57" t="n">
        <f aca="false">MONTH(B2488)</f>
        <v>10</v>
      </c>
      <c r="E2488" s="57" t="s">
        <v>1114</v>
      </c>
      <c r="F2488" s="57" t="s">
        <v>75</v>
      </c>
      <c r="G2488" s="57" t="s">
        <v>35</v>
      </c>
      <c r="H2488" s="57" t="s">
        <v>38</v>
      </c>
      <c r="I2488" s="59" t="n">
        <v>1</v>
      </c>
      <c r="J2488" s="60" t="n">
        <v>49</v>
      </c>
      <c r="K2488" s="60" t="n">
        <v>22</v>
      </c>
      <c r="L2488" s="61" t="n">
        <f aca="false">I2488*J2488</f>
        <v>49</v>
      </c>
      <c r="M2488" s="61" t="n">
        <f aca="false">L2488-I2488*K2488</f>
        <v>27</v>
      </c>
      <c r="N2488" s="57" t="n">
        <f aca="false">IF(COUNTIFS(E$2:E2488,E2488,C$2:C2488,C2488)=1,1,0)</f>
        <v>0</v>
      </c>
      <c r="O2488" s="57" t="n">
        <f aca="false">IF(COUNTIFS(E$2:E2488,E2488,C$2:C2488,C2488,D$2:D2488,D2488)=1,1,0)</f>
        <v>0</v>
      </c>
      <c r="P2488" s="57" t="n">
        <f aca="false">IF(AND(C2488=Calc!$C$3,OR(Calc!$C$4=0,D2488=Calc!$C$4)),ROW(),0)</f>
        <v>2488</v>
      </c>
    </row>
    <row r="2489" customFormat="false" ht="15" hidden="false" customHeight="false" outlineLevel="0" collapsed="false">
      <c r="A2489" s="57" t="s">
        <v>3055</v>
      </c>
      <c r="B2489" s="58" t="n">
        <v>45958</v>
      </c>
      <c r="C2489" s="57" t="n">
        <f aca="false">YEAR(B2489)</f>
        <v>2025</v>
      </c>
      <c r="D2489" s="57" t="n">
        <f aca="false">MONTH(B2489)</f>
        <v>10</v>
      </c>
      <c r="E2489" s="57" t="s">
        <v>794</v>
      </c>
      <c r="F2489" s="57" t="s">
        <v>69</v>
      </c>
      <c r="G2489" s="57" t="s">
        <v>35</v>
      </c>
      <c r="H2489" s="57" t="s">
        <v>34</v>
      </c>
      <c r="I2489" s="59" t="n">
        <v>1</v>
      </c>
      <c r="J2489" s="60" t="n">
        <v>89</v>
      </c>
      <c r="K2489" s="60" t="n">
        <v>41</v>
      </c>
      <c r="L2489" s="61" t="n">
        <f aca="false">I2489*J2489</f>
        <v>89</v>
      </c>
      <c r="M2489" s="61" t="n">
        <f aca="false">L2489-I2489*K2489</f>
        <v>48</v>
      </c>
      <c r="N2489" s="57" t="n">
        <f aca="false">IF(COUNTIFS(E$2:E2489,E2489,C$2:C2489,C2489)=1,1,0)</f>
        <v>0</v>
      </c>
      <c r="O2489" s="57" t="n">
        <f aca="false">IF(COUNTIFS(E$2:E2489,E2489,C$2:C2489,C2489,D$2:D2489,D2489)=1,1,0)</f>
        <v>1</v>
      </c>
      <c r="P2489" s="57" t="n">
        <f aca="false">IF(AND(C2489=Calc!$C$3,OR(Calc!$C$4=0,D2489=Calc!$C$4)),ROW(),0)</f>
        <v>2489</v>
      </c>
    </row>
    <row r="2490" customFormat="false" ht="15" hidden="false" customHeight="false" outlineLevel="0" collapsed="false">
      <c r="A2490" s="57" t="s">
        <v>3056</v>
      </c>
      <c r="B2490" s="58" t="n">
        <v>45958</v>
      </c>
      <c r="C2490" s="57" t="n">
        <f aca="false">YEAR(B2490)</f>
        <v>2025</v>
      </c>
      <c r="D2490" s="57" t="n">
        <f aca="false">MONTH(B2490)</f>
        <v>10</v>
      </c>
      <c r="E2490" s="57" t="s">
        <v>1430</v>
      </c>
      <c r="F2490" s="57" t="s">
        <v>75</v>
      </c>
      <c r="G2490" s="57" t="s">
        <v>50</v>
      </c>
      <c r="H2490" s="57" t="s">
        <v>51</v>
      </c>
      <c r="I2490" s="59" t="n">
        <v>2</v>
      </c>
      <c r="J2490" s="60" t="n">
        <v>69</v>
      </c>
      <c r="K2490" s="60" t="n">
        <v>29</v>
      </c>
      <c r="L2490" s="61" t="n">
        <f aca="false">I2490*J2490</f>
        <v>138</v>
      </c>
      <c r="M2490" s="61" t="n">
        <f aca="false">L2490-I2490*K2490</f>
        <v>80</v>
      </c>
      <c r="N2490" s="57" t="n">
        <f aca="false">IF(COUNTIFS(E$2:E2490,E2490,C$2:C2490,C2490)=1,1,0)</f>
        <v>0</v>
      </c>
      <c r="O2490" s="57" t="n">
        <f aca="false">IF(COUNTIFS(E$2:E2490,E2490,C$2:C2490,C2490,D$2:D2490,D2490)=1,1,0)</f>
        <v>1</v>
      </c>
      <c r="P2490" s="57" t="n">
        <f aca="false">IF(AND(C2490=Calc!$C$3,OR(Calc!$C$4=0,D2490=Calc!$C$4)),ROW(),0)</f>
        <v>2490</v>
      </c>
    </row>
    <row r="2491" customFormat="false" ht="15" hidden="false" customHeight="false" outlineLevel="0" collapsed="false">
      <c r="A2491" s="57" t="s">
        <v>3057</v>
      </c>
      <c r="B2491" s="58" t="n">
        <v>45958</v>
      </c>
      <c r="C2491" s="57" t="n">
        <f aca="false">YEAR(B2491)</f>
        <v>2025</v>
      </c>
      <c r="D2491" s="57" t="n">
        <f aca="false">MONTH(B2491)</f>
        <v>10</v>
      </c>
      <c r="E2491" s="57" t="s">
        <v>170</v>
      </c>
      <c r="F2491" s="57" t="s">
        <v>69</v>
      </c>
      <c r="G2491" s="57" t="s">
        <v>45</v>
      </c>
      <c r="H2491" s="57" t="s">
        <v>44</v>
      </c>
      <c r="I2491" s="59" t="n">
        <v>3</v>
      </c>
      <c r="J2491" s="60" t="n">
        <v>119</v>
      </c>
      <c r="K2491" s="60" t="n">
        <v>63</v>
      </c>
      <c r="L2491" s="61" t="n">
        <f aca="false">I2491*J2491</f>
        <v>357</v>
      </c>
      <c r="M2491" s="61" t="n">
        <f aca="false">L2491-I2491*K2491</f>
        <v>168</v>
      </c>
      <c r="N2491" s="57" t="n">
        <f aca="false">IF(COUNTIFS(E$2:E2491,E2491,C$2:C2491,C2491)=1,1,0)</f>
        <v>0</v>
      </c>
      <c r="O2491" s="57" t="n">
        <f aca="false">IF(COUNTIFS(E$2:E2491,E2491,C$2:C2491,C2491,D$2:D2491,D2491)=1,1,0)</f>
        <v>1</v>
      </c>
      <c r="P2491" s="57" t="n">
        <f aca="false">IF(AND(C2491=Calc!$C$3,OR(Calc!$C$4=0,D2491=Calc!$C$4)),ROW(),0)</f>
        <v>2491</v>
      </c>
    </row>
    <row r="2492" customFormat="false" ht="15" hidden="false" customHeight="false" outlineLevel="0" collapsed="false">
      <c r="A2492" s="57" t="s">
        <v>3058</v>
      </c>
      <c r="B2492" s="58" t="n">
        <v>45958</v>
      </c>
      <c r="C2492" s="57" t="n">
        <f aca="false">YEAR(B2492)</f>
        <v>2025</v>
      </c>
      <c r="D2492" s="57" t="n">
        <f aca="false">MONTH(B2492)</f>
        <v>10</v>
      </c>
      <c r="E2492" s="57" t="s">
        <v>290</v>
      </c>
      <c r="F2492" s="57" t="s">
        <v>75</v>
      </c>
      <c r="G2492" s="57" t="s">
        <v>35</v>
      </c>
      <c r="H2492" s="57" t="s">
        <v>36</v>
      </c>
      <c r="I2492" s="59" t="n">
        <v>1</v>
      </c>
      <c r="J2492" s="60" t="n">
        <v>179</v>
      </c>
      <c r="K2492" s="60" t="n">
        <v>92</v>
      </c>
      <c r="L2492" s="61" t="n">
        <f aca="false">I2492*J2492</f>
        <v>179</v>
      </c>
      <c r="M2492" s="61" t="n">
        <f aca="false">L2492-I2492*K2492</f>
        <v>87</v>
      </c>
      <c r="N2492" s="57" t="n">
        <f aca="false">IF(COUNTIFS(E$2:E2492,E2492,C$2:C2492,C2492)=1,1,0)</f>
        <v>0</v>
      </c>
      <c r="O2492" s="57" t="n">
        <f aca="false">IF(COUNTIFS(E$2:E2492,E2492,C$2:C2492,C2492,D$2:D2492,D2492)=1,1,0)</f>
        <v>0</v>
      </c>
      <c r="P2492" s="57" t="n">
        <f aca="false">IF(AND(C2492=Calc!$C$3,OR(Calc!$C$4=0,D2492=Calc!$C$4)),ROW(),0)</f>
        <v>2492</v>
      </c>
    </row>
    <row r="2493" customFormat="false" ht="15" hidden="false" customHeight="false" outlineLevel="0" collapsed="false">
      <c r="A2493" s="57" t="s">
        <v>3059</v>
      </c>
      <c r="B2493" s="58" t="n">
        <v>45959</v>
      </c>
      <c r="C2493" s="57" t="n">
        <f aca="false">YEAR(B2493)</f>
        <v>2025</v>
      </c>
      <c r="D2493" s="57" t="n">
        <f aca="false">MONTH(B2493)</f>
        <v>10</v>
      </c>
      <c r="E2493" s="57" t="s">
        <v>2588</v>
      </c>
      <c r="F2493" s="57" t="s">
        <v>81</v>
      </c>
      <c r="G2493" s="57" t="s">
        <v>35</v>
      </c>
      <c r="H2493" s="57" t="s">
        <v>36</v>
      </c>
      <c r="I2493" s="59" t="n">
        <v>1</v>
      </c>
      <c r="J2493" s="60" t="n">
        <v>179</v>
      </c>
      <c r="K2493" s="60" t="n">
        <v>92</v>
      </c>
      <c r="L2493" s="61" t="n">
        <f aca="false">I2493*J2493</f>
        <v>179</v>
      </c>
      <c r="M2493" s="61" t="n">
        <f aca="false">L2493-I2493*K2493</f>
        <v>87</v>
      </c>
      <c r="N2493" s="57" t="n">
        <f aca="false">IF(COUNTIFS(E$2:E2493,E2493,C$2:C2493,C2493)=1,1,0)</f>
        <v>0</v>
      </c>
      <c r="O2493" s="57" t="n">
        <f aca="false">IF(COUNTIFS(E$2:E2493,E2493,C$2:C2493,C2493,D$2:D2493,D2493)=1,1,0)</f>
        <v>1</v>
      </c>
      <c r="P2493" s="57" t="n">
        <f aca="false">IF(AND(C2493=Calc!$C$3,OR(Calc!$C$4=0,D2493=Calc!$C$4)),ROW(),0)</f>
        <v>2493</v>
      </c>
    </row>
    <row r="2494" customFormat="false" ht="15" hidden="false" customHeight="false" outlineLevel="0" collapsed="false">
      <c r="A2494" s="57" t="s">
        <v>3060</v>
      </c>
      <c r="B2494" s="58" t="n">
        <v>45959</v>
      </c>
      <c r="C2494" s="57" t="n">
        <f aca="false">YEAR(B2494)</f>
        <v>2025</v>
      </c>
      <c r="D2494" s="57" t="n">
        <f aca="false">MONTH(B2494)</f>
        <v>10</v>
      </c>
      <c r="E2494" s="57" t="s">
        <v>594</v>
      </c>
      <c r="F2494" s="57" t="s">
        <v>81</v>
      </c>
      <c r="G2494" s="57" t="s">
        <v>35</v>
      </c>
      <c r="H2494" s="57" t="s">
        <v>37</v>
      </c>
      <c r="I2494" s="59" t="n">
        <v>1</v>
      </c>
      <c r="J2494" s="60" t="n">
        <v>59</v>
      </c>
      <c r="K2494" s="60" t="n">
        <v>27</v>
      </c>
      <c r="L2494" s="61" t="n">
        <f aca="false">I2494*J2494</f>
        <v>59</v>
      </c>
      <c r="M2494" s="61" t="n">
        <f aca="false">L2494-I2494*K2494</f>
        <v>32</v>
      </c>
      <c r="N2494" s="57" t="n">
        <f aca="false">IF(COUNTIFS(E$2:E2494,E2494,C$2:C2494,C2494)=1,1,0)</f>
        <v>0</v>
      </c>
      <c r="O2494" s="57" t="n">
        <f aca="false">IF(COUNTIFS(E$2:E2494,E2494,C$2:C2494,C2494,D$2:D2494,D2494)=1,1,0)</f>
        <v>1</v>
      </c>
      <c r="P2494" s="57" t="n">
        <f aca="false">IF(AND(C2494=Calc!$C$3,OR(Calc!$C$4=0,D2494=Calc!$C$4)),ROW(),0)</f>
        <v>2494</v>
      </c>
    </row>
    <row r="2495" customFormat="false" ht="15" hidden="false" customHeight="false" outlineLevel="0" collapsed="false">
      <c r="A2495" s="57" t="s">
        <v>3061</v>
      </c>
      <c r="B2495" s="58" t="n">
        <v>45959</v>
      </c>
      <c r="C2495" s="57" t="n">
        <f aca="false">YEAR(B2495)</f>
        <v>2025</v>
      </c>
      <c r="D2495" s="57" t="n">
        <f aca="false">MONTH(B2495)</f>
        <v>10</v>
      </c>
      <c r="E2495" s="57" t="s">
        <v>752</v>
      </c>
      <c r="F2495" s="57" t="s">
        <v>69</v>
      </c>
      <c r="G2495" s="57" t="s">
        <v>35</v>
      </c>
      <c r="H2495" s="57" t="s">
        <v>34</v>
      </c>
      <c r="I2495" s="59" t="n">
        <v>1</v>
      </c>
      <c r="J2495" s="60" t="n">
        <v>89</v>
      </c>
      <c r="K2495" s="60" t="n">
        <v>41</v>
      </c>
      <c r="L2495" s="61" t="n">
        <f aca="false">I2495*J2495</f>
        <v>89</v>
      </c>
      <c r="M2495" s="61" t="n">
        <f aca="false">L2495-I2495*K2495</f>
        <v>48</v>
      </c>
      <c r="N2495" s="57" t="n">
        <f aca="false">IF(COUNTIFS(E$2:E2495,E2495,C$2:C2495,C2495)=1,1,0)</f>
        <v>0</v>
      </c>
      <c r="O2495" s="57" t="n">
        <f aca="false">IF(COUNTIFS(E$2:E2495,E2495,C$2:C2495,C2495,D$2:D2495,D2495)=1,1,0)</f>
        <v>1</v>
      </c>
      <c r="P2495" s="57" t="n">
        <f aca="false">IF(AND(C2495=Calc!$C$3,OR(Calc!$C$4=0,D2495=Calc!$C$4)),ROW(),0)</f>
        <v>2495</v>
      </c>
    </row>
    <row r="2496" customFormat="false" ht="15" hidden="false" customHeight="false" outlineLevel="0" collapsed="false">
      <c r="A2496" s="57" t="s">
        <v>3062</v>
      </c>
      <c r="B2496" s="58" t="n">
        <v>45959</v>
      </c>
      <c r="C2496" s="57" t="n">
        <f aca="false">YEAR(B2496)</f>
        <v>2025</v>
      </c>
      <c r="D2496" s="57" t="n">
        <f aca="false">MONTH(B2496)</f>
        <v>10</v>
      </c>
      <c r="E2496" s="57" t="s">
        <v>2089</v>
      </c>
      <c r="F2496" s="57" t="s">
        <v>69</v>
      </c>
      <c r="G2496" s="57" t="s">
        <v>54</v>
      </c>
      <c r="H2496" s="57" t="s">
        <v>55</v>
      </c>
      <c r="I2496" s="59" t="n">
        <v>1</v>
      </c>
      <c r="J2496" s="60" t="n">
        <v>64</v>
      </c>
      <c r="K2496" s="60" t="n">
        <v>25</v>
      </c>
      <c r="L2496" s="61" t="n">
        <f aca="false">I2496*J2496</f>
        <v>64</v>
      </c>
      <c r="M2496" s="61" t="n">
        <f aca="false">L2496-I2496*K2496</f>
        <v>39</v>
      </c>
      <c r="N2496" s="57" t="n">
        <f aca="false">IF(COUNTIFS(E$2:E2496,E2496,C$2:C2496,C2496)=1,1,0)</f>
        <v>0</v>
      </c>
      <c r="O2496" s="57" t="n">
        <f aca="false">IF(COUNTIFS(E$2:E2496,E2496,C$2:C2496,C2496,D$2:D2496,D2496)=1,1,0)</f>
        <v>0</v>
      </c>
      <c r="P2496" s="57" t="n">
        <f aca="false">IF(AND(C2496=Calc!$C$3,OR(Calc!$C$4=0,D2496=Calc!$C$4)),ROW(),0)</f>
        <v>2496</v>
      </c>
    </row>
    <row r="2497" customFormat="false" ht="15" hidden="false" customHeight="false" outlineLevel="0" collapsed="false">
      <c r="A2497" s="57" t="s">
        <v>3063</v>
      </c>
      <c r="B2497" s="58" t="n">
        <v>45960</v>
      </c>
      <c r="C2497" s="57" t="n">
        <f aca="false">YEAR(B2497)</f>
        <v>2025</v>
      </c>
      <c r="D2497" s="57" t="n">
        <f aca="false">MONTH(B2497)</f>
        <v>10</v>
      </c>
      <c r="E2497" s="57" t="s">
        <v>104</v>
      </c>
      <c r="F2497" s="57" t="s">
        <v>78</v>
      </c>
      <c r="G2497" s="57" t="s">
        <v>35</v>
      </c>
      <c r="H2497" s="57" t="s">
        <v>34</v>
      </c>
      <c r="I2497" s="59" t="n">
        <v>1</v>
      </c>
      <c r="J2497" s="60" t="n">
        <v>89</v>
      </c>
      <c r="K2497" s="60" t="n">
        <v>41</v>
      </c>
      <c r="L2497" s="61" t="n">
        <f aca="false">I2497*J2497</f>
        <v>89</v>
      </c>
      <c r="M2497" s="61" t="n">
        <f aca="false">L2497-I2497*K2497</f>
        <v>48</v>
      </c>
      <c r="N2497" s="57" t="n">
        <f aca="false">IF(COUNTIFS(E$2:E2497,E2497,C$2:C2497,C2497)=1,1,0)</f>
        <v>0</v>
      </c>
      <c r="O2497" s="57" t="n">
        <f aca="false">IF(COUNTIFS(E$2:E2497,E2497,C$2:C2497,C2497,D$2:D2497,D2497)=1,1,0)</f>
        <v>0</v>
      </c>
      <c r="P2497" s="57" t="n">
        <f aca="false">IF(AND(C2497=Calc!$C$3,OR(Calc!$C$4=0,D2497=Calc!$C$4)),ROW(),0)</f>
        <v>2497</v>
      </c>
    </row>
    <row r="2498" customFormat="false" ht="15" hidden="false" customHeight="false" outlineLevel="0" collapsed="false">
      <c r="A2498" s="57" t="s">
        <v>3064</v>
      </c>
      <c r="B2498" s="58" t="n">
        <v>45960</v>
      </c>
      <c r="C2498" s="57" t="n">
        <f aca="false">YEAR(B2498)</f>
        <v>2025</v>
      </c>
      <c r="D2498" s="57" t="n">
        <f aca="false">MONTH(B2498)</f>
        <v>10</v>
      </c>
      <c r="E2498" s="57" t="s">
        <v>1070</v>
      </c>
      <c r="F2498" s="57" t="s">
        <v>69</v>
      </c>
      <c r="G2498" s="57" t="s">
        <v>50</v>
      </c>
      <c r="H2498" s="57" t="s">
        <v>52</v>
      </c>
      <c r="I2498" s="59" t="n">
        <v>1</v>
      </c>
      <c r="J2498" s="60" t="n">
        <v>45</v>
      </c>
      <c r="K2498" s="60" t="n">
        <v>14</v>
      </c>
      <c r="L2498" s="61" t="n">
        <f aca="false">I2498*J2498</f>
        <v>45</v>
      </c>
      <c r="M2498" s="61" t="n">
        <f aca="false">L2498-I2498*K2498</f>
        <v>31</v>
      </c>
      <c r="N2498" s="57" t="n">
        <f aca="false">IF(COUNTIFS(E$2:E2498,E2498,C$2:C2498,C2498)=1,1,0)</f>
        <v>0</v>
      </c>
      <c r="O2498" s="57" t="n">
        <f aca="false">IF(COUNTIFS(E$2:E2498,E2498,C$2:C2498,C2498,D$2:D2498,D2498)=1,1,0)</f>
        <v>1</v>
      </c>
      <c r="P2498" s="57" t="n">
        <f aca="false">IF(AND(C2498=Calc!$C$3,OR(Calc!$C$4=0,D2498=Calc!$C$4)),ROW(),0)</f>
        <v>2498</v>
      </c>
    </row>
    <row r="2499" customFormat="false" ht="15" hidden="false" customHeight="false" outlineLevel="0" collapsed="false">
      <c r="A2499" s="57" t="s">
        <v>3065</v>
      </c>
      <c r="B2499" s="58" t="n">
        <v>45960</v>
      </c>
      <c r="C2499" s="57" t="n">
        <f aca="false">YEAR(B2499)</f>
        <v>2025</v>
      </c>
      <c r="D2499" s="57" t="n">
        <f aca="false">MONTH(B2499)</f>
        <v>10</v>
      </c>
      <c r="E2499" s="57" t="s">
        <v>1092</v>
      </c>
      <c r="F2499" s="57" t="s">
        <v>75</v>
      </c>
      <c r="G2499" s="57" t="s">
        <v>54</v>
      </c>
      <c r="H2499" s="57" t="s">
        <v>53</v>
      </c>
      <c r="I2499" s="59" t="n">
        <v>1</v>
      </c>
      <c r="J2499" s="60" t="n">
        <v>39</v>
      </c>
      <c r="K2499" s="60" t="n">
        <v>13</v>
      </c>
      <c r="L2499" s="61" t="n">
        <f aca="false">I2499*J2499</f>
        <v>39</v>
      </c>
      <c r="M2499" s="61" t="n">
        <f aca="false">L2499-I2499*K2499</f>
        <v>26</v>
      </c>
      <c r="N2499" s="57" t="n">
        <f aca="false">IF(COUNTIFS(E$2:E2499,E2499,C$2:C2499,C2499)=1,1,0)</f>
        <v>0</v>
      </c>
      <c r="O2499" s="57" t="n">
        <f aca="false">IF(COUNTIFS(E$2:E2499,E2499,C$2:C2499,C2499,D$2:D2499,D2499)=1,1,0)</f>
        <v>1</v>
      </c>
      <c r="P2499" s="57" t="n">
        <f aca="false">IF(AND(C2499=Calc!$C$3,OR(Calc!$C$4=0,D2499=Calc!$C$4)),ROW(),0)</f>
        <v>2499</v>
      </c>
    </row>
    <row r="2500" customFormat="false" ht="15" hidden="false" customHeight="false" outlineLevel="0" collapsed="false">
      <c r="A2500" s="57" t="s">
        <v>3066</v>
      </c>
      <c r="B2500" s="58" t="n">
        <v>45960</v>
      </c>
      <c r="C2500" s="57" t="n">
        <f aca="false">YEAR(B2500)</f>
        <v>2025</v>
      </c>
      <c r="D2500" s="57" t="n">
        <f aca="false">MONTH(B2500)</f>
        <v>10</v>
      </c>
      <c r="E2500" s="57" t="s">
        <v>424</v>
      </c>
      <c r="F2500" s="57" t="s">
        <v>78</v>
      </c>
      <c r="G2500" s="57" t="s">
        <v>35</v>
      </c>
      <c r="H2500" s="57" t="s">
        <v>34</v>
      </c>
      <c r="I2500" s="59" t="n">
        <v>2</v>
      </c>
      <c r="J2500" s="60" t="n">
        <v>89</v>
      </c>
      <c r="K2500" s="60" t="n">
        <v>41</v>
      </c>
      <c r="L2500" s="61" t="n">
        <f aca="false">I2500*J2500</f>
        <v>178</v>
      </c>
      <c r="M2500" s="61" t="n">
        <f aca="false">L2500-I2500*K2500</f>
        <v>96</v>
      </c>
      <c r="N2500" s="57" t="n">
        <f aca="false">IF(COUNTIFS(E$2:E2500,E2500,C$2:C2500,C2500)=1,1,0)</f>
        <v>0</v>
      </c>
      <c r="O2500" s="57" t="n">
        <f aca="false">IF(COUNTIFS(E$2:E2500,E2500,C$2:C2500,C2500,D$2:D2500,D2500)=1,1,0)</f>
        <v>0</v>
      </c>
      <c r="P2500" s="57" t="n">
        <f aca="false">IF(AND(C2500=Calc!$C$3,OR(Calc!$C$4=0,D2500=Calc!$C$4)),ROW(),0)</f>
        <v>2500</v>
      </c>
    </row>
    <row r="2501" customFormat="false" ht="15" hidden="false" customHeight="false" outlineLevel="0" collapsed="false">
      <c r="A2501" s="57" t="s">
        <v>3067</v>
      </c>
      <c r="B2501" s="58" t="n">
        <v>45960</v>
      </c>
      <c r="C2501" s="57" t="n">
        <f aca="false">YEAR(B2501)</f>
        <v>2025</v>
      </c>
      <c r="D2501" s="57" t="n">
        <f aca="false">MONTH(B2501)</f>
        <v>10</v>
      </c>
      <c r="E2501" s="57" t="s">
        <v>326</v>
      </c>
      <c r="F2501" s="57" t="s">
        <v>78</v>
      </c>
      <c r="G2501" s="57" t="s">
        <v>45</v>
      </c>
      <c r="H2501" s="57" t="s">
        <v>44</v>
      </c>
      <c r="I2501" s="59" t="n">
        <v>1</v>
      </c>
      <c r="J2501" s="60" t="n">
        <v>119</v>
      </c>
      <c r="K2501" s="60" t="n">
        <v>63</v>
      </c>
      <c r="L2501" s="61" t="n">
        <f aca="false">I2501*J2501</f>
        <v>119</v>
      </c>
      <c r="M2501" s="61" t="n">
        <f aca="false">L2501-I2501*K2501</f>
        <v>56</v>
      </c>
      <c r="N2501" s="57" t="n">
        <f aca="false">IF(COUNTIFS(E$2:E2501,E2501,C$2:C2501,C2501)=1,1,0)</f>
        <v>0</v>
      </c>
      <c r="O2501" s="57" t="n">
        <f aca="false">IF(COUNTIFS(E$2:E2501,E2501,C$2:C2501,C2501,D$2:D2501,D2501)=1,1,0)</f>
        <v>1</v>
      </c>
      <c r="P2501" s="57" t="n">
        <f aca="false">IF(AND(C2501=Calc!$C$3,OR(Calc!$C$4=0,D2501=Calc!$C$4)),ROW(),0)</f>
        <v>2501</v>
      </c>
    </row>
    <row r="2502" customFormat="false" ht="15" hidden="false" customHeight="false" outlineLevel="0" collapsed="false">
      <c r="A2502" s="57" t="s">
        <v>3068</v>
      </c>
      <c r="B2502" s="58" t="n">
        <v>45961</v>
      </c>
      <c r="C2502" s="57" t="n">
        <f aca="false">YEAR(B2502)</f>
        <v>2025</v>
      </c>
      <c r="D2502" s="57" t="n">
        <f aca="false">MONTH(B2502)</f>
        <v>10</v>
      </c>
      <c r="E2502" s="57" t="s">
        <v>91</v>
      </c>
      <c r="F2502" s="57" t="s">
        <v>69</v>
      </c>
      <c r="G2502" s="57" t="s">
        <v>35</v>
      </c>
      <c r="H2502" s="57" t="s">
        <v>36</v>
      </c>
      <c r="I2502" s="59" t="n">
        <v>1</v>
      </c>
      <c r="J2502" s="60" t="n">
        <v>179</v>
      </c>
      <c r="K2502" s="60" t="n">
        <v>92</v>
      </c>
      <c r="L2502" s="61" t="n">
        <f aca="false">I2502*J2502</f>
        <v>179</v>
      </c>
      <c r="M2502" s="61" t="n">
        <f aca="false">L2502-I2502*K2502</f>
        <v>87</v>
      </c>
      <c r="N2502" s="57" t="n">
        <f aca="false">IF(COUNTIFS(E$2:E2502,E2502,C$2:C2502,C2502)=1,1,0)</f>
        <v>0</v>
      </c>
      <c r="O2502" s="57" t="n">
        <f aca="false">IF(COUNTIFS(E$2:E2502,E2502,C$2:C2502,C2502,D$2:D2502,D2502)=1,1,0)</f>
        <v>1</v>
      </c>
      <c r="P2502" s="57" t="n">
        <f aca="false">IF(AND(C2502=Calc!$C$3,OR(Calc!$C$4=0,D2502=Calc!$C$4)),ROW(),0)</f>
        <v>2502</v>
      </c>
    </row>
    <row r="2503" customFormat="false" ht="15" hidden="false" customHeight="false" outlineLevel="0" collapsed="false">
      <c r="A2503" s="57" t="s">
        <v>3069</v>
      </c>
      <c r="B2503" s="58" t="n">
        <v>45961</v>
      </c>
      <c r="C2503" s="57" t="n">
        <f aca="false">YEAR(B2503)</f>
        <v>2025</v>
      </c>
      <c r="D2503" s="57" t="n">
        <f aca="false">MONTH(B2503)</f>
        <v>10</v>
      </c>
      <c r="E2503" s="57" t="s">
        <v>836</v>
      </c>
      <c r="F2503" s="57" t="s">
        <v>69</v>
      </c>
      <c r="G2503" s="57" t="s">
        <v>50</v>
      </c>
      <c r="H2503" s="57" t="s">
        <v>49</v>
      </c>
      <c r="I2503" s="59" t="n">
        <v>1</v>
      </c>
      <c r="J2503" s="60" t="n">
        <v>32</v>
      </c>
      <c r="K2503" s="60" t="n">
        <v>7</v>
      </c>
      <c r="L2503" s="61" t="n">
        <f aca="false">I2503*J2503</f>
        <v>32</v>
      </c>
      <c r="M2503" s="61" t="n">
        <f aca="false">L2503-I2503*K2503</f>
        <v>25</v>
      </c>
      <c r="N2503" s="57" t="n">
        <f aca="false">IF(COUNTIFS(E$2:E2503,E2503,C$2:C2503,C2503)=1,1,0)</f>
        <v>0</v>
      </c>
      <c r="O2503" s="57" t="n">
        <f aca="false">IF(COUNTIFS(E$2:E2503,E2503,C$2:C2503,C2503,D$2:D2503,D2503)=1,1,0)</f>
        <v>1</v>
      </c>
      <c r="P2503" s="57" t="n">
        <f aca="false">IF(AND(C2503=Calc!$C$3,OR(Calc!$C$4=0,D2503=Calc!$C$4)),ROW(),0)</f>
        <v>2503</v>
      </c>
    </row>
    <row r="2504" customFormat="false" ht="15" hidden="false" customHeight="false" outlineLevel="0" collapsed="false">
      <c r="A2504" s="57" t="s">
        <v>3070</v>
      </c>
      <c r="B2504" s="58" t="n">
        <v>45961</v>
      </c>
      <c r="C2504" s="57" t="n">
        <f aca="false">YEAR(B2504)</f>
        <v>2025</v>
      </c>
      <c r="D2504" s="57" t="n">
        <f aca="false">MONTH(B2504)</f>
        <v>10</v>
      </c>
      <c r="E2504" s="57" t="s">
        <v>698</v>
      </c>
      <c r="F2504" s="57" t="s">
        <v>75</v>
      </c>
      <c r="G2504" s="57" t="s">
        <v>40</v>
      </c>
      <c r="H2504" s="57" t="s">
        <v>39</v>
      </c>
      <c r="I2504" s="59" t="n">
        <v>1</v>
      </c>
      <c r="J2504" s="60" t="n">
        <v>54</v>
      </c>
      <c r="K2504" s="60" t="n">
        <v>19</v>
      </c>
      <c r="L2504" s="61" t="n">
        <f aca="false">I2504*J2504</f>
        <v>54</v>
      </c>
      <c r="M2504" s="61" t="n">
        <f aca="false">L2504-I2504*K2504</f>
        <v>35</v>
      </c>
      <c r="N2504" s="57" t="n">
        <f aca="false">IF(COUNTIFS(E$2:E2504,E2504,C$2:C2504,C2504)=1,1,0)</f>
        <v>0</v>
      </c>
      <c r="O2504" s="57" t="n">
        <f aca="false">IF(COUNTIFS(E$2:E2504,E2504,C$2:C2504,C2504,D$2:D2504,D2504)=1,1,0)</f>
        <v>0</v>
      </c>
      <c r="P2504" s="57" t="n">
        <f aca="false">IF(AND(C2504=Calc!$C$3,OR(Calc!$C$4=0,D2504=Calc!$C$4)),ROW(),0)</f>
        <v>2504</v>
      </c>
    </row>
    <row r="2505" customFormat="false" ht="15" hidden="false" customHeight="false" outlineLevel="0" collapsed="false">
      <c r="A2505" s="57" t="s">
        <v>3071</v>
      </c>
      <c r="B2505" s="58" t="n">
        <v>45961</v>
      </c>
      <c r="C2505" s="57" t="n">
        <f aca="false">YEAR(B2505)</f>
        <v>2025</v>
      </c>
      <c r="D2505" s="57" t="n">
        <f aca="false">MONTH(B2505)</f>
        <v>10</v>
      </c>
      <c r="E2505" s="57" t="s">
        <v>477</v>
      </c>
      <c r="F2505" s="57" t="s">
        <v>78</v>
      </c>
      <c r="G2505" s="57" t="s">
        <v>45</v>
      </c>
      <c r="H2505" s="57" t="s">
        <v>48</v>
      </c>
      <c r="I2505" s="59" t="n">
        <v>1</v>
      </c>
      <c r="J2505" s="60" t="n">
        <v>99</v>
      </c>
      <c r="K2505" s="60" t="n">
        <v>38</v>
      </c>
      <c r="L2505" s="61" t="n">
        <f aca="false">I2505*J2505</f>
        <v>99</v>
      </c>
      <c r="M2505" s="61" t="n">
        <f aca="false">L2505-I2505*K2505</f>
        <v>61</v>
      </c>
      <c r="N2505" s="57" t="n">
        <f aca="false">IF(COUNTIFS(E$2:E2505,E2505,C$2:C2505,C2505)=1,1,0)</f>
        <v>0</v>
      </c>
      <c r="O2505" s="57" t="n">
        <f aca="false">IF(COUNTIFS(E$2:E2505,E2505,C$2:C2505,C2505,D$2:D2505,D2505)=1,1,0)</f>
        <v>0</v>
      </c>
      <c r="P2505" s="57" t="n">
        <f aca="false">IF(AND(C2505=Calc!$C$3,OR(Calc!$C$4=0,D2505=Calc!$C$4)),ROW(),0)</f>
        <v>2505</v>
      </c>
    </row>
    <row r="2506" customFormat="false" ht="15" hidden="false" customHeight="false" outlineLevel="0" collapsed="false">
      <c r="A2506" s="57" t="s">
        <v>3072</v>
      </c>
      <c r="B2506" s="58" t="n">
        <v>45961</v>
      </c>
      <c r="C2506" s="57" t="n">
        <f aca="false">YEAR(B2506)</f>
        <v>2025</v>
      </c>
      <c r="D2506" s="57" t="n">
        <f aca="false">MONTH(B2506)</f>
        <v>10</v>
      </c>
      <c r="E2506" s="57" t="s">
        <v>884</v>
      </c>
      <c r="F2506" s="57" t="s">
        <v>72</v>
      </c>
      <c r="G2506" s="57" t="s">
        <v>40</v>
      </c>
      <c r="H2506" s="57" t="s">
        <v>39</v>
      </c>
      <c r="I2506" s="59" t="n">
        <v>1</v>
      </c>
      <c r="J2506" s="60" t="n">
        <v>54</v>
      </c>
      <c r="K2506" s="60" t="n">
        <v>19</v>
      </c>
      <c r="L2506" s="61" t="n">
        <f aca="false">I2506*J2506</f>
        <v>54</v>
      </c>
      <c r="M2506" s="61" t="n">
        <f aca="false">L2506-I2506*K2506</f>
        <v>35</v>
      </c>
      <c r="N2506" s="57" t="n">
        <f aca="false">IF(COUNTIFS(E$2:E2506,E2506,C$2:C2506,C2506)=1,1,0)</f>
        <v>1</v>
      </c>
      <c r="O2506" s="57" t="n">
        <f aca="false">IF(COUNTIFS(E$2:E2506,E2506,C$2:C2506,C2506,D$2:D2506,D2506)=1,1,0)</f>
        <v>1</v>
      </c>
      <c r="P2506" s="57" t="n">
        <f aca="false">IF(AND(C2506=Calc!$C$3,OR(Calc!$C$4=0,D2506=Calc!$C$4)),ROW(),0)</f>
        <v>2506</v>
      </c>
    </row>
    <row r="2507" customFormat="false" ht="15" hidden="false" customHeight="false" outlineLevel="0" collapsed="false">
      <c r="A2507" s="57" t="s">
        <v>3073</v>
      </c>
      <c r="B2507" s="58" t="n">
        <v>45962</v>
      </c>
      <c r="C2507" s="57" t="n">
        <f aca="false">YEAR(B2507)</f>
        <v>2025</v>
      </c>
      <c r="D2507" s="57" t="n">
        <f aca="false">MONTH(B2507)</f>
        <v>11</v>
      </c>
      <c r="E2507" s="57" t="s">
        <v>395</v>
      </c>
      <c r="F2507" s="57" t="s">
        <v>69</v>
      </c>
      <c r="G2507" s="57" t="s">
        <v>35</v>
      </c>
      <c r="H2507" s="57" t="s">
        <v>36</v>
      </c>
      <c r="I2507" s="59" t="n">
        <v>3</v>
      </c>
      <c r="J2507" s="60" t="n">
        <v>179</v>
      </c>
      <c r="K2507" s="60" t="n">
        <v>92</v>
      </c>
      <c r="L2507" s="61" t="n">
        <f aca="false">I2507*J2507</f>
        <v>537</v>
      </c>
      <c r="M2507" s="61" t="n">
        <f aca="false">L2507-I2507*K2507</f>
        <v>261</v>
      </c>
      <c r="N2507" s="57" t="n">
        <f aca="false">IF(COUNTIFS(E$2:E2507,E2507,C$2:C2507,C2507)=1,1,0)</f>
        <v>0</v>
      </c>
      <c r="O2507" s="57" t="n">
        <f aca="false">IF(COUNTIFS(E$2:E2507,E2507,C$2:C2507,C2507,D$2:D2507,D2507)=1,1,0)</f>
        <v>1</v>
      </c>
      <c r="P2507" s="57" t="n">
        <f aca="false">IF(AND(C2507=Calc!$C$3,OR(Calc!$C$4=0,D2507=Calc!$C$4)),ROW(),0)</f>
        <v>2507</v>
      </c>
    </row>
    <row r="2508" customFormat="false" ht="15" hidden="false" customHeight="false" outlineLevel="0" collapsed="false">
      <c r="A2508" s="57" t="s">
        <v>3074</v>
      </c>
      <c r="B2508" s="58" t="n">
        <v>45962</v>
      </c>
      <c r="C2508" s="57" t="n">
        <f aca="false">YEAR(B2508)</f>
        <v>2025</v>
      </c>
      <c r="D2508" s="57" t="n">
        <f aca="false">MONTH(B2508)</f>
        <v>11</v>
      </c>
      <c r="E2508" s="57" t="s">
        <v>897</v>
      </c>
      <c r="F2508" s="57" t="s">
        <v>69</v>
      </c>
      <c r="G2508" s="57" t="s">
        <v>45</v>
      </c>
      <c r="H2508" s="57" t="s">
        <v>44</v>
      </c>
      <c r="I2508" s="59" t="n">
        <v>1</v>
      </c>
      <c r="J2508" s="60" t="n">
        <v>119</v>
      </c>
      <c r="K2508" s="60" t="n">
        <v>63</v>
      </c>
      <c r="L2508" s="61" t="n">
        <f aca="false">I2508*J2508</f>
        <v>119</v>
      </c>
      <c r="M2508" s="61" t="n">
        <f aca="false">L2508-I2508*K2508</f>
        <v>56</v>
      </c>
      <c r="N2508" s="57" t="n">
        <f aca="false">IF(COUNTIFS(E$2:E2508,E2508,C$2:C2508,C2508)=1,1,0)</f>
        <v>1</v>
      </c>
      <c r="O2508" s="57" t="n">
        <f aca="false">IF(COUNTIFS(E$2:E2508,E2508,C$2:C2508,C2508,D$2:D2508,D2508)=1,1,0)</f>
        <v>1</v>
      </c>
      <c r="P2508" s="57" t="n">
        <f aca="false">IF(AND(C2508=Calc!$C$3,OR(Calc!$C$4=0,D2508=Calc!$C$4)),ROW(),0)</f>
        <v>2508</v>
      </c>
    </row>
    <row r="2509" customFormat="false" ht="15" hidden="false" customHeight="false" outlineLevel="0" collapsed="false">
      <c r="A2509" s="57" t="s">
        <v>3075</v>
      </c>
      <c r="B2509" s="58" t="n">
        <v>45962</v>
      </c>
      <c r="C2509" s="57" t="n">
        <f aca="false">YEAR(B2509)</f>
        <v>2025</v>
      </c>
      <c r="D2509" s="57" t="n">
        <f aca="false">MONTH(B2509)</f>
        <v>11</v>
      </c>
      <c r="E2509" s="57" t="s">
        <v>162</v>
      </c>
      <c r="F2509" s="57" t="s">
        <v>78</v>
      </c>
      <c r="G2509" s="57" t="s">
        <v>40</v>
      </c>
      <c r="H2509" s="57" t="s">
        <v>41</v>
      </c>
      <c r="I2509" s="59" t="n">
        <v>1</v>
      </c>
      <c r="J2509" s="60" t="n">
        <v>46</v>
      </c>
      <c r="K2509" s="60" t="n">
        <v>16</v>
      </c>
      <c r="L2509" s="61" t="n">
        <f aca="false">I2509*J2509</f>
        <v>46</v>
      </c>
      <c r="M2509" s="61" t="n">
        <f aca="false">L2509-I2509*K2509</f>
        <v>30</v>
      </c>
      <c r="N2509" s="57" t="n">
        <f aca="false">IF(COUNTIFS(E$2:E2509,E2509,C$2:C2509,C2509)=1,1,0)</f>
        <v>1</v>
      </c>
      <c r="O2509" s="57" t="n">
        <f aca="false">IF(COUNTIFS(E$2:E2509,E2509,C$2:C2509,C2509,D$2:D2509,D2509)=1,1,0)</f>
        <v>1</v>
      </c>
      <c r="P2509" s="57" t="n">
        <f aca="false">IF(AND(C2509=Calc!$C$3,OR(Calc!$C$4=0,D2509=Calc!$C$4)),ROW(),0)</f>
        <v>2509</v>
      </c>
    </row>
    <row r="2510" customFormat="false" ht="15" hidden="false" customHeight="false" outlineLevel="0" collapsed="false">
      <c r="A2510" s="57" t="s">
        <v>3076</v>
      </c>
      <c r="B2510" s="58" t="n">
        <v>45962</v>
      </c>
      <c r="C2510" s="57" t="n">
        <f aca="false">YEAR(B2510)</f>
        <v>2025</v>
      </c>
      <c r="D2510" s="57" t="n">
        <f aca="false">MONTH(B2510)</f>
        <v>11</v>
      </c>
      <c r="E2510" s="57" t="s">
        <v>1658</v>
      </c>
      <c r="F2510" s="57" t="s">
        <v>69</v>
      </c>
      <c r="G2510" s="57" t="s">
        <v>40</v>
      </c>
      <c r="H2510" s="57" t="s">
        <v>43</v>
      </c>
      <c r="I2510" s="59" t="n">
        <v>1</v>
      </c>
      <c r="J2510" s="60" t="n">
        <v>29</v>
      </c>
      <c r="K2510" s="60" t="n">
        <v>9</v>
      </c>
      <c r="L2510" s="61" t="n">
        <f aca="false">I2510*J2510</f>
        <v>29</v>
      </c>
      <c r="M2510" s="61" t="n">
        <f aca="false">L2510-I2510*K2510</f>
        <v>20</v>
      </c>
      <c r="N2510" s="57" t="n">
        <f aca="false">IF(COUNTIFS(E$2:E2510,E2510,C$2:C2510,C2510)=1,1,0)</f>
        <v>0</v>
      </c>
      <c r="O2510" s="57" t="n">
        <f aca="false">IF(COUNTIFS(E$2:E2510,E2510,C$2:C2510,C2510,D$2:D2510,D2510)=1,1,0)</f>
        <v>1</v>
      </c>
      <c r="P2510" s="57" t="n">
        <f aca="false">IF(AND(C2510=Calc!$C$3,OR(Calc!$C$4=0,D2510=Calc!$C$4)),ROW(),0)</f>
        <v>2510</v>
      </c>
    </row>
    <row r="2511" customFormat="false" ht="15" hidden="false" customHeight="false" outlineLevel="0" collapsed="false">
      <c r="A2511" s="57" t="s">
        <v>3077</v>
      </c>
      <c r="B2511" s="58" t="n">
        <v>45962</v>
      </c>
      <c r="C2511" s="57" t="n">
        <f aca="false">YEAR(B2511)</f>
        <v>2025</v>
      </c>
      <c r="D2511" s="57" t="n">
        <f aca="false">MONTH(B2511)</f>
        <v>11</v>
      </c>
      <c r="E2511" s="57" t="s">
        <v>122</v>
      </c>
      <c r="F2511" s="57" t="s">
        <v>81</v>
      </c>
      <c r="G2511" s="57" t="s">
        <v>54</v>
      </c>
      <c r="H2511" s="57" t="s">
        <v>55</v>
      </c>
      <c r="I2511" s="59" t="n">
        <v>1</v>
      </c>
      <c r="J2511" s="60" t="n">
        <v>64</v>
      </c>
      <c r="K2511" s="60" t="n">
        <v>25</v>
      </c>
      <c r="L2511" s="61" t="n">
        <f aca="false">I2511*J2511</f>
        <v>64</v>
      </c>
      <c r="M2511" s="61" t="n">
        <f aca="false">L2511-I2511*K2511</f>
        <v>39</v>
      </c>
      <c r="N2511" s="57" t="n">
        <f aca="false">IF(COUNTIFS(E$2:E2511,E2511,C$2:C2511,C2511)=1,1,0)</f>
        <v>0</v>
      </c>
      <c r="O2511" s="57" t="n">
        <f aca="false">IF(COUNTIFS(E$2:E2511,E2511,C$2:C2511,C2511,D$2:D2511,D2511)=1,1,0)</f>
        <v>1</v>
      </c>
      <c r="P2511" s="57" t="n">
        <f aca="false">IF(AND(C2511=Calc!$C$3,OR(Calc!$C$4=0,D2511=Calc!$C$4)),ROW(),0)</f>
        <v>2511</v>
      </c>
    </row>
    <row r="2512" customFormat="false" ht="15" hidden="false" customHeight="false" outlineLevel="0" collapsed="false">
      <c r="A2512" s="57" t="s">
        <v>3078</v>
      </c>
      <c r="B2512" s="58" t="n">
        <v>45963</v>
      </c>
      <c r="C2512" s="57" t="n">
        <f aca="false">YEAR(B2512)</f>
        <v>2025</v>
      </c>
      <c r="D2512" s="57" t="n">
        <f aca="false">MONTH(B2512)</f>
        <v>11</v>
      </c>
      <c r="E2512" s="57" t="s">
        <v>877</v>
      </c>
      <c r="F2512" s="57" t="s">
        <v>69</v>
      </c>
      <c r="G2512" s="57" t="s">
        <v>45</v>
      </c>
      <c r="H2512" s="57" t="s">
        <v>48</v>
      </c>
      <c r="I2512" s="59" t="n">
        <v>1</v>
      </c>
      <c r="J2512" s="60" t="n">
        <v>99</v>
      </c>
      <c r="K2512" s="60" t="n">
        <v>38</v>
      </c>
      <c r="L2512" s="61" t="n">
        <f aca="false">I2512*J2512</f>
        <v>99</v>
      </c>
      <c r="M2512" s="61" t="n">
        <f aca="false">L2512-I2512*K2512</f>
        <v>61</v>
      </c>
      <c r="N2512" s="57" t="n">
        <f aca="false">IF(COUNTIFS(E$2:E2512,E2512,C$2:C2512,C2512)=1,1,0)</f>
        <v>1</v>
      </c>
      <c r="O2512" s="57" t="n">
        <f aca="false">IF(COUNTIFS(E$2:E2512,E2512,C$2:C2512,C2512,D$2:D2512,D2512)=1,1,0)</f>
        <v>1</v>
      </c>
      <c r="P2512" s="57" t="n">
        <f aca="false">IF(AND(C2512=Calc!$C$3,OR(Calc!$C$4=0,D2512=Calc!$C$4)),ROW(),0)</f>
        <v>2512</v>
      </c>
    </row>
    <row r="2513" customFormat="false" ht="15" hidden="false" customHeight="false" outlineLevel="0" collapsed="false">
      <c r="A2513" s="57" t="s">
        <v>3079</v>
      </c>
      <c r="B2513" s="58" t="n">
        <v>45963</v>
      </c>
      <c r="C2513" s="57" t="n">
        <f aca="false">YEAR(B2513)</f>
        <v>2025</v>
      </c>
      <c r="D2513" s="57" t="n">
        <f aca="false">MONTH(B2513)</f>
        <v>11</v>
      </c>
      <c r="E2513" s="57" t="s">
        <v>721</v>
      </c>
      <c r="F2513" s="57" t="s">
        <v>69</v>
      </c>
      <c r="G2513" s="57" t="s">
        <v>35</v>
      </c>
      <c r="H2513" s="57" t="s">
        <v>34</v>
      </c>
      <c r="I2513" s="59" t="n">
        <v>2</v>
      </c>
      <c r="J2513" s="60" t="n">
        <v>89</v>
      </c>
      <c r="K2513" s="60" t="n">
        <v>41</v>
      </c>
      <c r="L2513" s="61" t="n">
        <f aca="false">I2513*J2513</f>
        <v>178</v>
      </c>
      <c r="M2513" s="61" t="n">
        <f aca="false">L2513-I2513*K2513</f>
        <v>96</v>
      </c>
      <c r="N2513" s="57" t="n">
        <f aca="false">IF(COUNTIFS(E$2:E2513,E2513,C$2:C2513,C2513)=1,1,0)</f>
        <v>0</v>
      </c>
      <c r="O2513" s="57" t="n">
        <f aca="false">IF(COUNTIFS(E$2:E2513,E2513,C$2:C2513,C2513,D$2:D2513,D2513)=1,1,0)</f>
        <v>1</v>
      </c>
      <c r="P2513" s="57" t="n">
        <f aca="false">IF(AND(C2513=Calc!$C$3,OR(Calc!$C$4=0,D2513=Calc!$C$4)),ROW(),0)</f>
        <v>2513</v>
      </c>
    </row>
    <row r="2514" customFormat="false" ht="15" hidden="false" customHeight="false" outlineLevel="0" collapsed="false">
      <c r="A2514" s="57" t="s">
        <v>3080</v>
      </c>
      <c r="B2514" s="58" t="n">
        <v>45963</v>
      </c>
      <c r="C2514" s="57" t="n">
        <f aca="false">YEAR(B2514)</f>
        <v>2025</v>
      </c>
      <c r="D2514" s="57" t="n">
        <f aca="false">MONTH(B2514)</f>
        <v>11</v>
      </c>
      <c r="E2514" s="57" t="s">
        <v>914</v>
      </c>
      <c r="F2514" s="57" t="s">
        <v>75</v>
      </c>
      <c r="G2514" s="57" t="s">
        <v>45</v>
      </c>
      <c r="H2514" s="57" t="s">
        <v>47</v>
      </c>
      <c r="I2514" s="59" t="n">
        <v>1</v>
      </c>
      <c r="J2514" s="60" t="n">
        <v>34</v>
      </c>
      <c r="K2514" s="60" t="n">
        <v>12</v>
      </c>
      <c r="L2514" s="61" t="n">
        <f aca="false">I2514*J2514</f>
        <v>34</v>
      </c>
      <c r="M2514" s="61" t="n">
        <f aca="false">L2514-I2514*K2514</f>
        <v>22</v>
      </c>
      <c r="N2514" s="57" t="n">
        <f aca="false">IF(COUNTIFS(E$2:E2514,E2514,C$2:C2514,C2514)=1,1,0)</f>
        <v>0</v>
      </c>
      <c r="O2514" s="57" t="n">
        <f aca="false">IF(COUNTIFS(E$2:E2514,E2514,C$2:C2514,C2514,D$2:D2514,D2514)=1,1,0)</f>
        <v>1</v>
      </c>
      <c r="P2514" s="57" t="n">
        <f aca="false">IF(AND(C2514=Calc!$C$3,OR(Calc!$C$4=0,D2514=Calc!$C$4)),ROW(),0)</f>
        <v>2514</v>
      </c>
    </row>
    <row r="2515" customFormat="false" ht="15" hidden="false" customHeight="false" outlineLevel="0" collapsed="false">
      <c r="A2515" s="57" t="s">
        <v>3081</v>
      </c>
      <c r="B2515" s="58" t="n">
        <v>45963</v>
      </c>
      <c r="C2515" s="57" t="n">
        <f aca="false">YEAR(B2515)</f>
        <v>2025</v>
      </c>
      <c r="D2515" s="57" t="n">
        <f aca="false">MONTH(B2515)</f>
        <v>11</v>
      </c>
      <c r="E2515" s="57" t="s">
        <v>390</v>
      </c>
      <c r="F2515" s="57" t="s">
        <v>72</v>
      </c>
      <c r="G2515" s="57" t="s">
        <v>35</v>
      </c>
      <c r="H2515" s="57" t="s">
        <v>38</v>
      </c>
      <c r="I2515" s="59" t="n">
        <v>2</v>
      </c>
      <c r="J2515" s="60" t="n">
        <v>49</v>
      </c>
      <c r="K2515" s="60" t="n">
        <v>22</v>
      </c>
      <c r="L2515" s="61" t="n">
        <f aca="false">I2515*J2515</f>
        <v>98</v>
      </c>
      <c r="M2515" s="61" t="n">
        <f aca="false">L2515-I2515*K2515</f>
        <v>54</v>
      </c>
      <c r="N2515" s="57" t="n">
        <f aca="false">IF(COUNTIFS(E$2:E2515,E2515,C$2:C2515,C2515)=1,1,0)</f>
        <v>0</v>
      </c>
      <c r="O2515" s="57" t="n">
        <f aca="false">IF(COUNTIFS(E$2:E2515,E2515,C$2:C2515,C2515,D$2:D2515,D2515)=1,1,0)</f>
        <v>1</v>
      </c>
      <c r="P2515" s="57" t="n">
        <f aca="false">IF(AND(C2515=Calc!$C$3,OR(Calc!$C$4=0,D2515=Calc!$C$4)),ROW(),0)</f>
        <v>2515</v>
      </c>
    </row>
    <row r="2516" customFormat="false" ht="15" hidden="false" customHeight="false" outlineLevel="0" collapsed="false">
      <c r="A2516" s="57" t="s">
        <v>3082</v>
      </c>
      <c r="B2516" s="58" t="n">
        <v>45963</v>
      </c>
      <c r="C2516" s="57" t="n">
        <f aca="false">YEAR(B2516)</f>
        <v>2025</v>
      </c>
      <c r="D2516" s="57" t="n">
        <f aca="false">MONTH(B2516)</f>
        <v>11</v>
      </c>
      <c r="E2516" s="57" t="s">
        <v>1688</v>
      </c>
      <c r="F2516" s="57" t="s">
        <v>72</v>
      </c>
      <c r="G2516" s="57" t="s">
        <v>35</v>
      </c>
      <c r="H2516" s="57" t="s">
        <v>38</v>
      </c>
      <c r="I2516" s="59" t="n">
        <v>1</v>
      </c>
      <c r="J2516" s="60" t="n">
        <v>49</v>
      </c>
      <c r="K2516" s="60" t="n">
        <v>22</v>
      </c>
      <c r="L2516" s="61" t="n">
        <f aca="false">I2516*J2516</f>
        <v>49</v>
      </c>
      <c r="M2516" s="61" t="n">
        <f aca="false">L2516-I2516*K2516</f>
        <v>27</v>
      </c>
      <c r="N2516" s="57" t="n">
        <f aca="false">IF(COUNTIFS(E$2:E2516,E2516,C$2:C2516,C2516)=1,1,0)</f>
        <v>0</v>
      </c>
      <c r="O2516" s="57" t="n">
        <f aca="false">IF(COUNTIFS(E$2:E2516,E2516,C$2:C2516,C2516,D$2:D2516,D2516)=1,1,0)</f>
        <v>1</v>
      </c>
      <c r="P2516" s="57" t="n">
        <f aca="false">IF(AND(C2516=Calc!$C$3,OR(Calc!$C$4=0,D2516=Calc!$C$4)),ROW(),0)</f>
        <v>2516</v>
      </c>
    </row>
    <row r="2517" customFormat="false" ht="15" hidden="false" customHeight="false" outlineLevel="0" collapsed="false">
      <c r="A2517" s="57" t="s">
        <v>3083</v>
      </c>
      <c r="B2517" s="58" t="n">
        <v>45963</v>
      </c>
      <c r="C2517" s="57" t="n">
        <f aca="false">YEAR(B2517)</f>
        <v>2025</v>
      </c>
      <c r="D2517" s="57" t="n">
        <f aca="false">MONTH(B2517)</f>
        <v>11</v>
      </c>
      <c r="E2517" s="57" t="s">
        <v>229</v>
      </c>
      <c r="F2517" s="57" t="s">
        <v>81</v>
      </c>
      <c r="G2517" s="57" t="s">
        <v>40</v>
      </c>
      <c r="H2517" s="57" t="s">
        <v>43</v>
      </c>
      <c r="I2517" s="59" t="n">
        <v>1</v>
      </c>
      <c r="J2517" s="60" t="n">
        <v>29</v>
      </c>
      <c r="K2517" s="60" t="n">
        <v>9</v>
      </c>
      <c r="L2517" s="61" t="n">
        <f aca="false">I2517*J2517</f>
        <v>29</v>
      </c>
      <c r="M2517" s="61" t="n">
        <f aca="false">L2517-I2517*K2517</f>
        <v>20</v>
      </c>
      <c r="N2517" s="57" t="n">
        <f aca="false">IF(COUNTIFS(E$2:E2517,E2517,C$2:C2517,C2517)=1,1,0)</f>
        <v>0</v>
      </c>
      <c r="O2517" s="57" t="n">
        <f aca="false">IF(COUNTIFS(E$2:E2517,E2517,C$2:C2517,C2517,D$2:D2517,D2517)=1,1,0)</f>
        <v>1</v>
      </c>
      <c r="P2517" s="57" t="n">
        <f aca="false">IF(AND(C2517=Calc!$C$3,OR(Calc!$C$4=0,D2517=Calc!$C$4)),ROW(),0)</f>
        <v>2517</v>
      </c>
    </row>
    <row r="2518" customFormat="false" ht="15" hidden="false" customHeight="false" outlineLevel="0" collapsed="false">
      <c r="A2518" s="57" t="s">
        <v>3084</v>
      </c>
      <c r="B2518" s="58" t="n">
        <v>45963</v>
      </c>
      <c r="C2518" s="57" t="n">
        <f aca="false">YEAR(B2518)</f>
        <v>2025</v>
      </c>
      <c r="D2518" s="57" t="n">
        <f aca="false">MONTH(B2518)</f>
        <v>11</v>
      </c>
      <c r="E2518" s="57" t="s">
        <v>1077</v>
      </c>
      <c r="F2518" s="57" t="s">
        <v>81</v>
      </c>
      <c r="G2518" s="57" t="s">
        <v>54</v>
      </c>
      <c r="H2518" s="57" t="s">
        <v>53</v>
      </c>
      <c r="I2518" s="59" t="n">
        <v>3</v>
      </c>
      <c r="J2518" s="60" t="n">
        <v>39</v>
      </c>
      <c r="K2518" s="60" t="n">
        <v>13</v>
      </c>
      <c r="L2518" s="61" t="n">
        <f aca="false">I2518*J2518</f>
        <v>117</v>
      </c>
      <c r="M2518" s="61" t="n">
        <f aca="false">L2518-I2518*K2518</f>
        <v>78</v>
      </c>
      <c r="N2518" s="57" t="n">
        <f aca="false">IF(COUNTIFS(E$2:E2518,E2518,C$2:C2518,C2518)=1,1,0)</f>
        <v>0</v>
      </c>
      <c r="O2518" s="57" t="n">
        <f aca="false">IF(COUNTIFS(E$2:E2518,E2518,C$2:C2518,C2518,D$2:D2518,D2518)=1,1,0)</f>
        <v>1</v>
      </c>
      <c r="P2518" s="57" t="n">
        <f aca="false">IF(AND(C2518=Calc!$C$3,OR(Calc!$C$4=0,D2518=Calc!$C$4)),ROW(),0)</f>
        <v>2518</v>
      </c>
    </row>
    <row r="2519" customFormat="false" ht="15" hidden="false" customHeight="false" outlineLevel="0" collapsed="false">
      <c r="A2519" s="57" t="s">
        <v>3085</v>
      </c>
      <c r="B2519" s="58" t="n">
        <v>45964</v>
      </c>
      <c r="C2519" s="57" t="n">
        <f aca="false">YEAR(B2519)</f>
        <v>2025</v>
      </c>
      <c r="D2519" s="57" t="n">
        <f aca="false">MONTH(B2519)</f>
        <v>11</v>
      </c>
      <c r="E2519" s="57" t="s">
        <v>687</v>
      </c>
      <c r="F2519" s="57" t="s">
        <v>75</v>
      </c>
      <c r="G2519" s="57" t="s">
        <v>40</v>
      </c>
      <c r="H2519" s="57" t="s">
        <v>43</v>
      </c>
      <c r="I2519" s="59" t="n">
        <v>1</v>
      </c>
      <c r="J2519" s="60" t="n">
        <v>29</v>
      </c>
      <c r="K2519" s="60" t="n">
        <v>9</v>
      </c>
      <c r="L2519" s="61" t="n">
        <f aca="false">I2519*J2519</f>
        <v>29</v>
      </c>
      <c r="M2519" s="61" t="n">
        <f aca="false">L2519-I2519*K2519</f>
        <v>20</v>
      </c>
      <c r="N2519" s="57" t="n">
        <f aca="false">IF(COUNTIFS(E$2:E2519,E2519,C$2:C2519,C2519)=1,1,0)</f>
        <v>0</v>
      </c>
      <c r="O2519" s="57" t="n">
        <f aca="false">IF(COUNTIFS(E$2:E2519,E2519,C$2:C2519,C2519,D$2:D2519,D2519)=1,1,0)</f>
        <v>1</v>
      </c>
      <c r="P2519" s="57" t="n">
        <f aca="false">IF(AND(C2519=Calc!$C$3,OR(Calc!$C$4=0,D2519=Calc!$C$4)),ROW(),0)</f>
        <v>2519</v>
      </c>
    </row>
    <row r="2520" customFormat="false" ht="15" hidden="false" customHeight="false" outlineLevel="0" collapsed="false">
      <c r="A2520" s="57" t="s">
        <v>3086</v>
      </c>
      <c r="B2520" s="58" t="n">
        <v>45964</v>
      </c>
      <c r="C2520" s="57" t="n">
        <f aca="false">YEAR(B2520)</f>
        <v>2025</v>
      </c>
      <c r="D2520" s="57" t="n">
        <f aca="false">MONTH(B2520)</f>
        <v>11</v>
      </c>
      <c r="E2520" s="57" t="s">
        <v>1728</v>
      </c>
      <c r="F2520" s="57" t="s">
        <v>75</v>
      </c>
      <c r="G2520" s="57" t="s">
        <v>50</v>
      </c>
      <c r="H2520" s="57" t="s">
        <v>49</v>
      </c>
      <c r="I2520" s="59" t="n">
        <v>1</v>
      </c>
      <c r="J2520" s="60" t="n">
        <v>32</v>
      </c>
      <c r="K2520" s="60" t="n">
        <v>7</v>
      </c>
      <c r="L2520" s="61" t="n">
        <f aca="false">I2520*J2520</f>
        <v>32</v>
      </c>
      <c r="M2520" s="61" t="n">
        <f aca="false">L2520-I2520*K2520</f>
        <v>25</v>
      </c>
      <c r="N2520" s="57" t="n">
        <f aca="false">IF(COUNTIFS(E$2:E2520,E2520,C$2:C2520,C2520)=1,1,0)</f>
        <v>0</v>
      </c>
      <c r="O2520" s="57" t="n">
        <f aca="false">IF(COUNTIFS(E$2:E2520,E2520,C$2:C2520,C2520,D$2:D2520,D2520)=1,1,0)</f>
        <v>1</v>
      </c>
      <c r="P2520" s="57" t="n">
        <f aca="false">IF(AND(C2520=Calc!$C$3,OR(Calc!$C$4=0,D2520=Calc!$C$4)),ROW(),0)</f>
        <v>2520</v>
      </c>
    </row>
    <row r="2521" customFormat="false" ht="15" hidden="false" customHeight="false" outlineLevel="0" collapsed="false">
      <c r="A2521" s="57" t="s">
        <v>3087</v>
      </c>
      <c r="B2521" s="58" t="n">
        <v>45964</v>
      </c>
      <c r="C2521" s="57" t="n">
        <f aca="false">YEAR(B2521)</f>
        <v>2025</v>
      </c>
      <c r="D2521" s="57" t="n">
        <f aca="false">MONTH(B2521)</f>
        <v>11</v>
      </c>
      <c r="E2521" s="57" t="s">
        <v>158</v>
      </c>
      <c r="F2521" s="57" t="s">
        <v>81</v>
      </c>
      <c r="G2521" s="57" t="s">
        <v>35</v>
      </c>
      <c r="H2521" s="57" t="s">
        <v>36</v>
      </c>
      <c r="I2521" s="59" t="n">
        <v>1</v>
      </c>
      <c r="J2521" s="60" t="n">
        <v>179</v>
      </c>
      <c r="K2521" s="60" t="n">
        <v>92</v>
      </c>
      <c r="L2521" s="61" t="n">
        <f aca="false">I2521*J2521</f>
        <v>179</v>
      </c>
      <c r="M2521" s="61" t="n">
        <f aca="false">L2521-I2521*K2521</f>
        <v>87</v>
      </c>
      <c r="N2521" s="57" t="n">
        <f aca="false">IF(COUNTIFS(E$2:E2521,E2521,C$2:C2521,C2521)=1,1,0)</f>
        <v>0</v>
      </c>
      <c r="O2521" s="57" t="n">
        <f aca="false">IF(COUNTIFS(E$2:E2521,E2521,C$2:C2521,C2521,D$2:D2521,D2521)=1,1,0)</f>
        <v>1</v>
      </c>
      <c r="P2521" s="57" t="n">
        <f aca="false">IF(AND(C2521=Calc!$C$3,OR(Calc!$C$4=0,D2521=Calc!$C$4)),ROW(),0)</f>
        <v>2521</v>
      </c>
    </row>
    <row r="2522" customFormat="false" ht="15" hidden="false" customHeight="false" outlineLevel="0" collapsed="false">
      <c r="A2522" s="57" t="s">
        <v>3088</v>
      </c>
      <c r="B2522" s="58" t="n">
        <v>45964</v>
      </c>
      <c r="C2522" s="57" t="n">
        <f aca="false">YEAR(B2522)</f>
        <v>2025</v>
      </c>
      <c r="D2522" s="57" t="n">
        <f aca="false">MONTH(B2522)</f>
        <v>11</v>
      </c>
      <c r="E2522" s="57" t="s">
        <v>120</v>
      </c>
      <c r="F2522" s="57" t="s">
        <v>78</v>
      </c>
      <c r="G2522" s="57" t="s">
        <v>40</v>
      </c>
      <c r="H2522" s="57" t="s">
        <v>43</v>
      </c>
      <c r="I2522" s="59" t="n">
        <v>1</v>
      </c>
      <c r="J2522" s="60" t="n">
        <v>29</v>
      </c>
      <c r="K2522" s="60" t="n">
        <v>9</v>
      </c>
      <c r="L2522" s="61" t="n">
        <f aca="false">I2522*J2522</f>
        <v>29</v>
      </c>
      <c r="M2522" s="61" t="n">
        <f aca="false">L2522-I2522*K2522</f>
        <v>20</v>
      </c>
      <c r="N2522" s="57" t="n">
        <f aca="false">IF(COUNTIFS(E$2:E2522,E2522,C$2:C2522,C2522)=1,1,0)</f>
        <v>0</v>
      </c>
      <c r="O2522" s="57" t="n">
        <f aca="false">IF(COUNTIFS(E$2:E2522,E2522,C$2:C2522,C2522,D$2:D2522,D2522)=1,1,0)</f>
        <v>1</v>
      </c>
      <c r="P2522" s="57" t="n">
        <f aca="false">IF(AND(C2522=Calc!$C$3,OR(Calc!$C$4=0,D2522=Calc!$C$4)),ROW(),0)</f>
        <v>2522</v>
      </c>
    </row>
    <row r="2523" customFormat="false" ht="15" hidden="false" customHeight="false" outlineLevel="0" collapsed="false">
      <c r="A2523" s="57" t="s">
        <v>3089</v>
      </c>
      <c r="B2523" s="58" t="n">
        <v>45964</v>
      </c>
      <c r="C2523" s="57" t="n">
        <f aca="false">YEAR(B2523)</f>
        <v>2025</v>
      </c>
      <c r="D2523" s="57" t="n">
        <f aca="false">MONTH(B2523)</f>
        <v>11</v>
      </c>
      <c r="E2523" s="57" t="s">
        <v>477</v>
      </c>
      <c r="F2523" s="57" t="s">
        <v>78</v>
      </c>
      <c r="G2523" s="57" t="s">
        <v>35</v>
      </c>
      <c r="H2523" s="57" t="s">
        <v>34</v>
      </c>
      <c r="I2523" s="59" t="n">
        <v>1</v>
      </c>
      <c r="J2523" s="60" t="n">
        <v>89</v>
      </c>
      <c r="K2523" s="60" t="n">
        <v>41</v>
      </c>
      <c r="L2523" s="61" t="n">
        <f aca="false">I2523*J2523</f>
        <v>89</v>
      </c>
      <c r="M2523" s="61" t="n">
        <f aca="false">L2523-I2523*K2523</f>
        <v>48</v>
      </c>
      <c r="N2523" s="57" t="n">
        <f aca="false">IF(COUNTIFS(E$2:E2523,E2523,C$2:C2523,C2523)=1,1,0)</f>
        <v>0</v>
      </c>
      <c r="O2523" s="57" t="n">
        <f aca="false">IF(COUNTIFS(E$2:E2523,E2523,C$2:C2523,C2523,D$2:D2523,D2523)=1,1,0)</f>
        <v>1</v>
      </c>
      <c r="P2523" s="57" t="n">
        <f aca="false">IF(AND(C2523=Calc!$C$3,OR(Calc!$C$4=0,D2523=Calc!$C$4)),ROW(),0)</f>
        <v>2523</v>
      </c>
    </row>
    <row r="2524" customFormat="false" ht="15" hidden="false" customHeight="false" outlineLevel="0" collapsed="false">
      <c r="A2524" s="57" t="s">
        <v>3090</v>
      </c>
      <c r="B2524" s="58" t="n">
        <v>45964</v>
      </c>
      <c r="C2524" s="57" t="n">
        <f aca="false">YEAR(B2524)</f>
        <v>2025</v>
      </c>
      <c r="D2524" s="57" t="n">
        <f aca="false">MONTH(B2524)</f>
        <v>11</v>
      </c>
      <c r="E2524" s="57" t="s">
        <v>189</v>
      </c>
      <c r="F2524" s="57" t="s">
        <v>69</v>
      </c>
      <c r="G2524" s="57" t="s">
        <v>35</v>
      </c>
      <c r="H2524" s="57" t="s">
        <v>34</v>
      </c>
      <c r="I2524" s="59" t="n">
        <v>1</v>
      </c>
      <c r="J2524" s="60" t="n">
        <v>89</v>
      </c>
      <c r="K2524" s="60" t="n">
        <v>41</v>
      </c>
      <c r="L2524" s="61" t="n">
        <f aca="false">I2524*J2524</f>
        <v>89</v>
      </c>
      <c r="M2524" s="61" t="n">
        <f aca="false">L2524-I2524*K2524</f>
        <v>48</v>
      </c>
      <c r="N2524" s="57" t="n">
        <f aca="false">IF(COUNTIFS(E$2:E2524,E2524,C$2:C2524,C2524)=1,1,0)</f>
        <v>0</v>
      </c>
      <c r="O2524" s="57" t="n">
        <f aca="false">IF(COUNTIFS(E$2:E2524,E2524,C$2:C2524,C2524,D$2:D2524,D2524)=1,1,0)</f>
        <v>1</v>
      </c>
      <c r="P2524" s="57" t="n">
        <f aca="false">IF(AND(C2524=Calc!$C$3,OR(Calc!$C$4=0,D2524=Calc!$C$4)),ROW(),0)</f>
        <v>2524</v>
      </c>
    </row>
    <row r="2525" customFormat="false" ht="15" hidden="false" customHeight="false" outlineLevel="0" collapsed="false">
      <c r="A2525" s="57" t="s">
        <v>3091</v>
      </c>
      <c r="B2525" s="58" t="n">
        <v>45965</v>
      </c>
      <c r="C2525" s="57" t="n">
        <f aca="false">YEAR(B2525)</f>
        <v>2025</v>
      </c>
      <c r="D2525" s="57" t="n">
        <f aca="false">MONTH(B2525)</f>
        <v>11</v>
      </c>
      <c r="E2525" s="57" t="s">
        <v>313</v>
      </c>
      <c r="F2525" s="57" t="s">
        <v>75</v>
      </c>
      <c r="G2525" s="57" t="s">
        <v>35</v>
      </c>
      <c r="H2525" s="57" t="s">
        <v>36</v>
      </c>
      <c r="I2525" s="59" t="n">
        <v>1</v>
      </c>
      <c r="J2525" s="60" t="n">
        <v>179</v>
      </c>
      <c r="K2525" s="60" t="n">
        <v>92</v>
      </c>
      <c r="L2525" s="61" t="n">
        <f aca="false">I2525*J2525</f>
        <v>179</v>
      </c>
      <c r="M2525" s="61" t="n">
        <f aca="false">L2525-I2525*K2525</f>
        <v>87</v>
      </c>
      <c r="N2525" s="57" t="n">
        <f aca="false">IF(COUNTIFS(E$2:E2525,E2525,C$2:C2525,C2525)=1,1,0)</f>
        <v>0</v>
      </c>
      <c r="O2525" s="57" t="n">
        <f aca="false">IF(COUNTIFS(E$2:E2525,E2525,C$2:C2525,C2525,D$2:D2525,D2525)=1,1,0)</f>
        <v>1</v>
      </c>
      <c r="P2525" s="57" t="n">
        <f aca="false">IF(AND(C2525=Calc!$C$3,OR(Calc!$C$4=0,D2525=Calc!$C$4)),ROW(),0)</f>
        <v>2525</v>
      </c>
    </row>
    <row r="2526" customFormat="false" ht="15" hidden="false" customHeight="false" outlineLevel="0" collapsed="false">
      <c r="A2526" s="57" t="s">
        <v>3092</v>
      </c>
      <c r="B2526" s="58" t="n">
        <v>45965</v>
      </c>
      <c r="C2526" s="57" t="n">
        <f aca="false">YEAR(B2526)</f>
        <v>2025</v>
      </c>
      <c r="D2526" s="57" t="n">
        <f aca="false">MONTH(B2526)</f>
        <v>11</v>
      </c>
      <c r="E2526" s="57" t="s">
        <v>173</v>
      </c>
      <c r="F2526" s="57" t="s">
        <v>69</v>
      </c>
      <c r="G2526" s="57" t="s">
        <v>45</v>
      </c>
      <c r="H2526" s="57" t="s">
        <v>46</v>
      </c>
      <c r="I2526" s="59" t="n">
        <v>1</v>
      </c>
      <c r="J2526" s="60" t="n">
        <v>149</v>
      </c>
      <c r="K2526" s="60" t="n">
        <v>71</v>
      </c>
      <c r="L2526" s="61" t="n">
        <f aca="false">I2526*J2526</f>
        <v>149</v>
      </c>
      <c r="M2526" s="61" t="n">
        <f aca="false">L2526-I2526*K2526</f>
        <v>78</v>
      </c>
      <c r="N2526" s="57" t="n">
        <f aca="false">IF(COUNTIFS(E$2:E2526,E2526,C$2:C2526,C2526)=1,1,0)</f>
        <v>0</v>
      </c>
      <c r="O2526" s="57" t="n">
        <f aca="false">IF(COUNTIFS(E$2:E2526,E2526,C$2:C2526,C2526,D$2:D2526,D2526)=1,1,0)</f>
        <v>1</v>
      </c>
      <c r="P2526" s="57" t="n">
        <f aca="false">IF(AND(C2526=Calc!$C$3,OR(Calc!$C$4=0,D2526=Calc!$C$4)),ROW(),0)</f>
        <v>2526</v>
      </c>
    </row>
    <row r="2527" customFormat="false" ht="15" hidden="false" customHeight="false" outlineLevel="0" collapsed="false">
      <c r="A2527" s="57" t="s">
        <v>3093</v>
      </c>
      <c r="B2527" s="58" t="n">
        <v>45965</v>
      </c>
      <c r="C2527" s="57" t="n">
        <f aca="false">YEAR(B2527)</f>
        <v>2025</v>
      </c>
      <c r="D2527" s="57" t="n">
        <f aca="false">MONTH(B2527)</f>
        <v>11</v>
      </c>
      <c r="E2527" s="57" t="s">
        <v>1833</v>
      </c>
      <c r="F2527" s="57" t="s">
        <v>72</v>
      </c>
      <c r="G2527" s="57" t="s">
        <v>35</v>
      </c>
      <c r="H2527" s="57" t="s">
        <v>38</v>
      </c>
      <c r="I2527" s="59" t="n">
        <v>1</v>
      </c>
      <c r="J2527" s="60" t="n">
        <v>49</v>
      </c>
      <c r="K2527" s="60" t="n">
        <v>22</v>
      </c>
      <c r="L2527" s="61" t="n">
        <f aca="false">I2527*J2527</f>
        <v>49</v>
      </c>
      <c r="M2527" s="61" t="n">
        <f aca="false">L2527-I2527*K2527</f>
        <v>27</v>
      </c>
      <c r="N2527" s="57" t="n">
        <f aca="false">IF(COUNTIFS(E$2:E2527,E2527,C$2:C2527,C2527)=1,1,0)</f>
        <v>0</v>
      </c>
      <c r="O2527" s="57" t="n">
        <f aca="false">IF(COUNTIFS(E$2:E2527,E2527,C$2:C2527,C2527,D$2:D2527,D2527)=1,1,0)</f>
        <v>1</v>
      </c>
      <c r="P2527" s="57" t="n">
        <f aca="false">IF(AND(C2527=Calc!$C$3,OR(Calc!$C$4=0,D2527=Calc!$C$4)),ROW(),0)</f>
        <v>2527</v>
      </c>
    </row>
    <row r="2528" customFormat="false" ht="15" hidden="false" customHeight="false" outlineLevel="0" collapsed="false">
      <c r="A2528" s="57" t="s">
        <v>3094</v>
      </c>
      <c r="B2528" s="58" t="n">
        <v>45965</v>
      </c>
      <c r="C2528" s="57" t="n">
        <f aca="false">YEAR(B2528)</f>
        <v>2025</v>
      </c>
      <c r="D2528" s="57" t="n">
        <f aca="false">MONTH(B2528)</f>
        <v>11</v>
      </c>
      <c r="E2528" s="57" t="s">
        <v>702</v>
      </c>
      <c r="F2528" s="57" t="s">
        <v>78</v>
      </c>
      <c r="G2528" s="57" t="s">
        <v>35</v>
      </c>
      <c r="H2528" s="57" t="s">
        <v>36</v>
      </c>
      <c r="I2528" s="59" t="n">
        <v>2</v>
      </c>
      <c r="J2528" s="60" t="n">
        <v>179</v>
      </c>
      <c r="K2528" s="60" t="n">
        <v>92</v>
      </c>
      <c r="L2528" s="61" t="n">
        <f aca="false">I2528*J2528</f>
        <v>358</v>
      </c>
      <c r="M2528" s="61" t="n">
        <f aca="false">L2528-I2528*K2528</f>
        <v>174</v>
      </c>
      <c r="N2528" s="57" t="n">
        <f aca="false">IF(COUNTIFS(E$2:E2528,E2528,C$2:C2528,C2528)=1,1,0)</f>
        <v>1</v>
      </c>
      <c r="O2528" s="57" t="n">
        <f aca="false">IF(COUNTIFS(E$2:E2528,E2528,C$2:C2528,C2528,D$2:D2528,D2528)=1,1,0)</f>
        <v>1</v>
      </c>
      <c r="P2528" s="57" t="n">
        <f aca="false">IF(AND(C2528=Calc!$C$3,OR(Calc!$C$4=0,D2528=Calc!$C$4)),ROW(),0)</f>
        <v>2528</v>
      </c>
    </row>
    <row r="2529" customFormat="false" ht="15" hidden="false" customHeight="false" outlineLevel="0" collapsed="false">
      <c r="A2529" s="57" t="s">
        <v>3095</v>
      </c>
      <c r="B2529" s="58" t="n">
        <v>45965</v>
      </c>
      <c r="C2529" s="57" t="n">
        <f aca="false">YEAR(B2529)</f>
        <v>2025</v>
      </c>
      <c r="D2529" s="57" t="n">
        <f aca="false">MONTH(B2529)</f>
        <v>11</v>
      </c>
      <c r="E2529" s="57" t="s">
        <v>1304</v>
      </c>
      <c r="F2529" s="57" t="s">
        <v>78</v>
      </c>
      <c r="G2529" s="57" t="s">
        <v>50</v>
      </c>
      <c r="H2529" s="57" t="s">
        <v>51</v>
      </c>
      <c r="I2529" s="59" t="n">
        <v>2</v>
      </c>
      <c r="J2529" s="60" t="n">
        <v>69</v>
      </c>
      <c r="K2529" s="60" t="n">
        <v>29</v>
      </c>
      <c r="L2529" s="61" t="n">
        <f aca="false">I2529*J2529</f>
        <v>138</v>
      </c>
      <c r="M2529" s="61" t="n">
        <f aca="false">L2529-I2529*K2529</f>
        <v>80</v>
      </c>
      <c r="N2529" s="57" t="n">
        <f aca="false">IF(COUNTIFS(E$2:E2529,E2529,C$2:C2529,C2529)=1,1,0)</f>
        <v>0</v>
      </c>
      <c r="O2529" s="57" t="n">
        <f aca="false">IF(COUNTIFS(E$2:E2529,E2529,C$2:C2529,C2529,D$2:D2529,D2529)=1,1,0)</f>
        <v>1</v>
      </c>
      <c r="P2529" s="57" t="n">
        <f aca="false">IF(AND(C2529=Calc!$C$3,OR(Calc!$C$4=0,D2529=Calc!$C$4)),ROW(),0)</f>
        <v>2529</v>
      </c>
    </row>
    <row r="2530" customFormat="false" ht="15" hidden="false" customHeight="false" outlineLevel="0" collapsed="false">
      <c r="A2530" s="57" t="s">
        <v>3096</v>
      </c>
      <c r="B2530" s="58" t="n">
        <v>45965</v>
      </c>
      <c r="C2530" s="57" t="n">
        <f aca="false">YEAR(B2530)</f>
        <v>2025</v>
      </c>
      <c r="D2530" s="57" t="n">
        <f aca="false">MONTH(B2530)</f>
        <v>11</v>
      </c>
      <c r="E2530" s="57" t="s">
        <v>313</v>
      </c>
      <c r="F2530" s="57" t="s">
        <v>75</v>
      </c>
      <c r="G2530" s="57" t="s">
        <v>35</v>
      </c>
      <c r="H2530" s="57" t="s">
        <v>34</v>
      </c>
      <c r="I2530" s="59" t="n">
        <v>1</v>
      </c>
      <c r="J2530" s="60" t="n">
        <v>89</v>
      </c>
      <c r="K2530" s="60" t="n">
        <v>41</v>
      </c>
      <c r="L2530" s="61" t="n">
        <f aca="false">I2530*J2530</f>
        <v>89</v>
      </c>
      <c r="M2530" s="61" t="n">
        <f aca="false">L2530-I2530*K2530</f>
        <v>48</v>
      </c>
      <c r="N2530" s="57" t="n">
        <f aca="false">IF(COUNTIFS(E$2:E2530,E2530,C$2:C2530,C2530)=1,1,0)</f>
        <v>0</v>
      </c>
      <c r="O2530" s="57" t="n">
        <f aca="false">IF(COUNTIFS(E$2:E2530,E2530,C$2:C2530,C2530,D$2:D2530,D2530)=1,1,0)</f>
        <v>0</v>
      </c>
      <c r="P2530" s="57" t="n">
        <f aca="false">IF(AND(C2530=Calc!$C$3,OR(Calc!$C$4=0,D2530=Calc!$C$4)),ROW(),0)</f>
        <v>2530</v>
      </c>
    </row>
    <row r="2531" customFormat="false" ht="15" hidden="false" customHeight="false" outlineLevel="0" collapsed="false">
      <c r="A2531" s="57" t="s">
        <v>3097</v>
      </c>
      <c r="B2531" s="58" t="n">
        <v>45966</v>
      </c>
      <c r="C2531" s="57" t="n">
        <f aca="false">YEAR(B2531)</f>
        <v>2025</v>
      </c>
      <c r="D2531" s="57" t="n">
        <f aca="false">MONTH(B2531)</f>
        <v>11</v>
      </c>
      <c r="E2531" s="57" t="s">
        <v>83</v>
      </c>
      <c r="F2531" s="57" t="s">
        <v>75</v>
      </c>
      <c r="G2531" s="57" t="s">
        <v>45</v>
      </c>
      <c r="H2531" s="57" t="s">
        <v>46</v>
      </c>
      <c r="I2531" s="59" t="n">
        <v>1</v>
      </c>
      <c r="J2531" s="60" t="n">
        <v>149</v>
      </c>
      <c r="K2531" s="60" t="n">
        <v>71</v>
      </c>
      <c r="L2531" s="61" t="n">
        <f aca="false">I2531*J2531</f>
        <v>149</v>
      </c>
      <c r="M2531" s="61" t="n">
        <f aca="false">L2531-I2531*K2531</f>
        <v>78</v>
      </c>
      <c r="N2531" s="57" t="n">
        <f aca="false">IF(COUNTIFS(E$2:E2531,E2531,C$2:C2531,C2531)=1,1,0)</f>
        <v>0</v>
      </c>
      <c r="O2531" s="57" t="n">
        <f aca="false">IF(COUNTIFS(E$2:E2531,E2531,C$2:C2531,C2531,D$2:D2531,D2531)=1,1,0)</f>
        <v>1</v>
      </c>
      <c r="P2531" s="57" t="n">
        <f aca="false">IF(AND(C2531=Calc!$C$3,OR(Calc!$C$4=0,D2531=Calc!$C$4)),ROW(),0)</f>
        <v>2531</v>
      </c>
    </row>
    <row r="2532" customFormat="false" ht="15" hidden="false" customHeight="false" outlineLevel="0" collapsed="false">
      <c r="A2532" s="57" t="s">
        <v>3098</v>
      </c>
      <c r="B2532" s="58" t="n">
        <v>45966</v>
      </c>
      <c r="C2532" s="57" t="n">
        <f aca="false">YEAR(B2532)</f>
        <v>2025</v>
      </c>
      <c r="D2532" s="57" t="n">
        <f aca="false">MONTH(B2532)</f>
        <v>11</v>
      </c>
      <c r="E2532" s="57" t="s">
        <v>1738</v>
      </c>
      <c r="F2532" s="57" t="s">
        <v>75</v>
      </c>
      <c r="G2532" s="57" t="s">
        <v>45</v>
      </c>
      <c r="H2532" s="57" t="s">
        <v>48</v>
      </c>
      <c r="I2532" s="59" t="n">
        <v>1</v>
      </c>
      <c r="J2532" s="60" t="n">
        <v>99</v>
      </c>
      <c r="K2532" s="60" t="n">
        <v>38</v>
      </c>
      <c r="L2532" s="61" t="n">
        <f aca="false">I2532*J2532</f>
        <v>99</v>
      </c>
      <c r="M2532" s="61" t="n">
        <f aca="false">L2532-I2532*K2532</f>
        <v>61</v>
      </c>
      <c r="N2532" s="57" t="n">
        <f aca="false">IF(COUNTIFS(E$2:E2532,E2532,C$2:C2532,C2532)=1,1,0)</f>
        <v>1</v>
      </c>
      <c r="O2532" s="57" t="n">
        <f aca="false">IF(COUNTIFS(E$2:E2532,E2532,C$2:C2532,C2532,D$2:D2532,D2532)=1,1,0)</f>
        <v>1</v>
      </c>
      <c r="P2532" s="57" t="n">
        <f aca="false">IF(AND(C2532=Calc!$C$3,OR(Calc!$C$4=0,D2532=Calc!$C$4)),ROW(),0)</f>
        <v>2532</v>
      </c>
    </row>
    <row r="2533" customFormat="false" ht="15" hidden="false" customHeight="false" outlineLevel="0" collapsed="false">
      <c r="A2533" s="57" t="s">
        <v>3099</v>
      </c>
      <c r="B2533" s="58" t="n">
        <v>45966</v>
      </c>
      <c r="C2533" s="57" t="n">
        <f aca="false">YEAR(B2533)</f>
        <v>2025</v>
      </c>
      <c r="D2533" s="57" t="n">
        <f aca="false">MONTH(B2533)</f>
        <v>11</v>
      </c>
      <c r="E2533" s="57" t="s">
        <v>125</v>
      </c>
      <c r="F2533" s="57" t="s">
        <v>69</v>
      </c>
      <c r="G2533" s="57" t="s">
        <v>50</v>
      </c>
      <c r="H2533" s="57" t="s">
        <v>52</v>
      </c>
      <c r="I2533" s="59" t="n">
        <v>1</v>
      </c>
      <c r="J2533" s="60" t="n">
        <v>45</v>
      </c>
      <c r="K2533" s="60" t="n">
        <v>14</v>
      </c>
      <c r="L2533" s="61" t="n">
        <f aca="false">I2533*J2533</f>
        <v>45</v>
      </c>
      <c r="M2533" s="61" t="n">
        <f aca="false">L2533-I2533*K2533</f>
        <v>31</v>
      </c>
      <c r="N2533" s="57" t="n">
        <f aca="false">IF(COUNTIFS(E$2:E2533,E2533,C$2:C2533,C2533)=1,1,0)</f>
        <v>0</v>
      </c>
      <c r="O2533" s="57" t="n">
        <f aca="false">IF(COUNTIFS(E$2:E2533,E2533,C$2:C2533,C2533,D$2:D2533,D2533)=1,1,0)</f>
        <v>1</v>
      </c>
      <c r="P2533" s="57" t="n">
        <f aca="false">IF(AND(C2533=Calc!$C$3,OR(Calc!$C$4=0,D2533=Calc!$C$4)),ROW(),0)</f>
        <v>2533</v>
      </c>
    </row>
    <row r="2534" customFormat="false" ht="15" hidden="false" customHeight="false" outlineLevel="0" collapsed="false">
      <c r="A2534" s="57" t="s">
        <v>3100</v>
      </c>
      <c r="B2534" s="58" t="n">
        <v>45966</v>
      </c>
      <c r="C2534" s="57" t="n">
        <f aca="false">YEAR(B2534)</f>
        <v>2025</v>
      </c>
      <c r="D2534" s="57" t="n">
        <f aca="false">MONTH(B2534)</f>
        <v>11</v>
      </c>
      <c r="E2534" s="57" t="s">
        <v>114</v>
      </c>
      <c r="F2534" s="57" t="s">
        <v>69</v>
      </c>
      <c r="G2534" s="57" t="s">
        <v>35</v>
      </c>
      <c r="H2534" s="57" t="s">
        <v>38</v>
      </c>
      <c r="I2534" s="59" t="n">
        <v>1</v>
      </c>
      <c r="J2534" s="60" t="n">
        <v>49</v>
      </c>
      <c r="K2534" s="60" t="n">
        <v>22</v>
      </c>
      <c r="L2534" s="61" t="n">
        <f aca="false">I2534*J2534</f>
        <v>49</v>
      </c>
      <c r="M2534" s="61" t="n">
        <f aca="false">L2534-I2534*K2534</f>
        <v>27</v>
      </c>
      <c r="N2534" s="57" t="n">
        <f aca="false">IF(COUNTIFS(E$2:E2534,E2534,C$2:C2534,C2534)=1,1,0)</f>
        <v>0</v>
      </c>
      <c r="O2534" s="57" t="n">
        <f aca="false">IF(COUNTIFS(E$2:E2534,E2534,C$2:C2534,C2534,D$2:D2534,D2534)=1,1,0)</f>
        <v>1</v>
      </c>
      <c r="P2534" s="57" t="n">
        <f aca="false">IF(AND(C2534=Calc!$C$3,OR(Calc!$C$4=0,D2534=Calc!$C$4)),ROW(),0)</f>
        <v>2534</v>
      </c>
    </row>
    <row r="2535" customFormat="false" ht="15" hidden="false" customHeight="false" outlineLevel="0" collapsed="false">
      <c r="A2535" s="57" t="s">
        <v>3101</v>
      </c>
      <c r="B2535" s="58" t="n">
        <v>45966</v>
      </c>
      <c r="C2535" s="57" t="n">
        <f aca="false">YEAR(B2535)</f>
        <v>2025</v>
      </c>
      <c r="D2535" s="57" t="n">
        <f aca="false">MONTH(B2535)</f>
        <v>11</v>
      </c>
      <c r="E2535" s="57" t="s">
        <v>929</v>
      </c>
      <c r="F2535" s="57" t="s">
        <v>72</v>
      </c>
      <c r="G2535" s="57" t="s">
        <v>35</v>
      </c>
      <c r="H2535" s="57" t="s">
        <v>37</v>
      </c>
      <c r="I2535" s="59" t="n">
        <v>1</v>
      </c>
      <c r="J2535" s="60" t="n">
        <v>59</v>
      </c>
      <c r="K2535" s="60" t="n">
        <v>27</v>
      </c>
      <c r="L2535" s="61" t="n">
        <f aca="false">I2535*J2535</f>
        <v>59</v>
      </c>
      <c r="M2535" s="61" t="n">
        <f aca="false">L2535-I2535*K2535</f>
        <v>32</v>
      </c>
      <c r="N2535" s="57" t="n">
        <f aca="false">IF(COUNTIFS(E$2:E2535,E2535,C$2:C2535,C2535)=1,1,0)</f>
        <v>1</v>
      </c>
      <c r="O2535" s="57" t="n">
        <f aca="false">IF(COUNTIFS(E$2:E2535,E2535,C$2:C2535,C2535,D$2:D2535,D2535)=1,1,0)</f>
        <v>1</v>
      </c>
      <c r="P2535" s="57" t="n">
        <f aca="false">IF(AND(C2535=Calc!$C$3,OR(Calc!$C$4=0,D2535=Calc!$C$4)),ROW(),0)</f>
        <v>2535</v>
      </c>
    </row>
    <row r="2536" customFormat="false" ht="15" hidden="false" customHeight="false" outlineLevel="0" collapsed="false">
      <c r="A2536" s="57" t="s">
        <v>3102</v>
      </c>
      <c r="B2536" s="58" t="n">
        <v>45967</v>
      </c>
      <c r="C2536" s="57" t="n">
        <f aca="false">YEAR(B2536)</f>
        <v>2025</v>
      </c>
      <c r="D2536" s="57" t="n">
        <f aca="false">MONTH(B2536)</f>
        <v>11</v>
      </c>
      <c r="E2536" s="57" t="s">
        <v>189</v>
      </c>
      <c r="F2536" s="57" t="s">
        <v>69</v>
      </c>
      <c r="G2536" s="57" t="s">
        <v>45</v>
      </c>
      <c r="H2536" s="57" t="s">
        <v>46</v>
      </c>
      <c r="I2536" s="59" t="n">
        <v>1</v>
      </c>
      <c r="J2536" s="60" t="n">
        <v>149</v>
      </c>
      <c r="K2536" s="60" t="n">
        <v>71</v>
      </c>
      <c r="L2536" s="61" t="n">
        <f aca="false">I2536*J2536</f>
        <v>149</v>
      </c>
      <c r="M2536" s="61" t="n">
        <f aca="false">L2536-I2536*K2536</f>
        <v>78</v>
      </c>
      <c r="N2536" s="57" t="n">
        <f aca="false">IF(COUNTIFS(E$2:E2536,E2536,C$2:C2536,C2536)=1,1,0)</f>
        <v>0</v>
      </c>
      <c r="O2536" s="57" t="n">
        <f aca="false">IF(COUNTIFS(E$2:E2536,E2536,C$2:C2536,C2536,D$2:D2536,D2536)=1,1,0)</f>
        <v>0</v>
      </c>
      <c r="P2536" s="57" t="n">
        <f aca="false">IF(AND(C2536=Calc!$C$3,OR(Calc!$C$4=0,D2536=Calc!$C$4)),ROW(),0)</f>
        <v>2536</v>
      </c>
    </row>
    <row r="2537" customFormat="false" ht="15" hidden="false" customHeight="false" outlineLevel="0" collapsed="false">
      <c r="A2537" s="57" t="s">
        <v>3103</v>
      </c>
      <c r="B2537" s="58" t="n">
        <v>45967</v>
      </c>
      <c r="C2537" s="57" t="n">
        <f aca="false">YEAR(B2537)</f>
        <v>2025</v>
      </c>
      <c r="D2537" s="57" t="n">
        <f aca="false">MONTH(B2537)</f>
        <v>11</v>
      </c>
      <c r="E2537" s="57" t="s">
        <v>1398</v>
      </c>
      <c r="F2537" s="57" t="s">
        <v>69</v>
      </c>
      <c r="G2537" s="57" t="s">
        <v>35</v>
      </c>
      <c r="H2537" s="57" t="s">
        <v>34</v>
      </c>
      <c r="I2537" s="59" t="n">
        <v>1</v>
      </c>
      <c r="J2537" s="60" t="n">
        <v>89</v>
      </c>
      <c r="K2537" s="60" t="n">
        <v>41</v>
      </c>
      <c r="L2537" s="61" t="n">
        <f aca="false">I2537*J2537</f>
        <v>89</v>
      </c>
      <c r="M2537" s="61" t="n">
        <f aca="false">L2537-I2537*K2537</f>
        <v>48</v>
      </c>
      <c r="N2537" s="57" t="n">
        <f aca="false">IF(COUNTIFS(E$2:E2537,E2537,C$2:C2537,C2537)=1,1,0)</f>
        <v>0</v>
      </c>
      <c r="O2537" s="57" t="n">
        <f aca="false">IF(COUNTIFS(E$2:E2537,E2537,C$2:C2537,C2537,D$2:D2537,D2537)=1,1,0)</f>
        <v>1</v>
      </c>
      <c r="P2537" s="57" t="n">
        <f aca="false">IF(AND(C2537=Calc!$C$3,OR(Calc!$C$4=0,D2537=Calc!$C$4)),ROW(),0)</f>
        <v>2537</v>
      </c>
    </row>
    <row r="2538" customFormat="false" ht="15" hidden="false" customHeight="false" outlineLevel="0" collapsed="false">
      <c r="A2538" s="57" t="s">
        <v>3104</v>
      </c>
      <c r="B2538" s="58" t="n">
        <v>45967</v>
      </c>
      <c r="C2538" s="57" t="n">
        <f aca="false">YEAR(B2538)</f>
        <v>2025</v>
      </c>
      <c r="D2538" s="57" t="n">
        <f aca="false">MONTH(B2538)</f>
        <v>11</v>
      </c>
      <c r="E2538" s="57" t="s">
        <v>1940</v>
      </c>
      <c r="F2538" s="57" t="s">
        <v>75</v>
      </c>
      <c r="G2538" s="57" t="s">
        <v>45</v>
      </c>
      <c r="H2538" s="57" t="s">
        <v>47</v>
      </c>
      <c r="I2538" s="59" t="n">
        <v>1</v>
      </c>
      <c r="J2538" s="60" t="n">
        <v>34</v>
      </c>
      <c r="K2538" s="60" t="n">
        <v>12</v>
      </c>
      <c r="L2538" s="61" t="n">
        <f aca="false">I2538*J2538</f>
        <v>34</v>
      </c>
      <c r="M2538" s="61" t="n">
        <f aca="false">L2538-I2538*K2538</f>
        <v>22</v>
      </c>
      <c r="N2538" s="57" t="n">
        <f aca="false">IF(COUNTIFS(E$2:E2538,E2538,C$2:C2538,C2538)=1,1,0)</f>
        <v>0</v>
      </c>
      <c r="O2538" s="57" t="n">
        <f aca="false">IF(COUNTIFS(E$2:E2538,E2538,C$2:C2538,C2538,D$2:D2538,D2538)=1,1,0)</f>
        <v>1</v>
      </c>
      <c r="P2538" s="57" t="n">
        <f aca="false">IF(AND(C2538=Calc!$C$3,OR(Calc!$C$4=0,D2538=Calc!$C$4)),ROW(),0)</f>
        <v>2538</v>
      </c>
    </row>
    <row r="2539" customFormat="false" ht="15" hidden="false" customHeight="false" outlineLevel="0" collapsed="false">
      <c r="A2539" s="57" t="s">
        <v>3105</v>
      </c>
      <c r="B2539" s="58" t="n">
        <v>45967</v>
      </c>
      <c r="C2539" s="57" t="n">
        <f aca="false">YEAR(B2539)</f>
        <v>2025</v>
      </c>
      <c r="D2539" s="57" t="n">
        <f aca="false">MONTH(B2539)</f>
        <v>11</v>
      </c>
      <c r="E2539" s="57" t="s">
        <v>1580</v>
      </c>
      <c r="F2539" s="57" t="s">
        <v>78</v>
      </c>
      <c r="G2539" s="57" t="s">
        <v>45</v>
      </c>
      <c r="H2539" s="57" t="s">
        <v>44</v>
      </c>
      <c r="I2539" s="59" t="n">
        <v>1</v>
      </c>
      <c r="J2539" s="60" t="n">
        <v>119</v>
      </c>
      <c r="K2539" s="60" t="n">
        <v>63</v>
      </c>
      <c r="L2539" s="61" t="n">
        <f aca="false">I2539*J2539</f>
        <v>119</v>
      </c>
      <c r="M2539" s="61" t="n">
        <f aca="false">L2539-I2539*K2539</f>
        <v>56</v>
      </c>
      <c r="N2539" s="57" t="n">
        <f aca="false">IF(COUNTIFS(E$2:E2539,E2539,C$2:C2539,C2539)=1,1,0)</f>
        <v>1</v>
      </c>
      <c r="O2539" s="57" t="n">
        <f aca="false">IF(COUNTIFS(E$2:E2539,E2539,C$2:C2539,C2539,D$2:D2539,D2539)=1,1,0)</f>
        <v>1</v>
      </c>
      <c r="P2539" s="57" t="n">
        <f aca="false">IF(AND(C2539=Calc!$C$3,OR(Calc!$C$4=0,D2539=Calc!$C$4)),ROW(),0)</f>
        <v>2539</v>
      </c>
    </row>
    <row r="2540" customFormat="false" ht="15" hidden="false" customHeight="false" outlineLevel="0" collapsed="false">
      <c r="A2540" s="57" t="s">
        <v>3106</v>
      </c>
      <c r="B2540" s="58" t="n">
        <v>45967</v>
      </c>
      <c r="C2540" s="57" t="n">
        <f aca="false">YEAR(B2540)</f>
        <v>2025</v>
      </c>
      <c r="D2540" s="57" t="n">
        <f aca="false">MONTH(B2540)</f>
        <v>11</v>
      </c>
      <c r="E2540" s="57" t="s">
        <v>1151</v>
      </c>
      <c r="F2540" s="57" t="s">
        <v>78</v>
      </c>
      <c r="G2540" s="57" t="s">
        <v>40</v>
      </c>
      <c r="H2540" s="57" t="s">
        <v>43</v>
      </c>
      <c r="I2540" s="59" t="n">
        <v>1</v>
      </c>
      <c r="J2540" s="60" t="n">
        <v>29</v>
      </c>
      <c r="K2540" s="60" t="n">
        <v>9</v>
      </c>
      <c r="L2540" s="61" t="n">
        <f aca="false">I2540*J2540</f>
        <v>29</v>
      </c>
      <c r="M2540" s="61" t="n">
        <f aca="false">L2540-I2540*K2540</f>
        <v>20</v>
      </c>
      <c r="N2540" s="57" t="n">
        <f aca="false">IF(COUNTIFS(E$2:E2540,E2540,C$2:C2540,C2540)=1,1,0)</f>
        <v>0</v>
      </c>
      <c r="O2540" s="57" t="n">
        <f aca="false">IF(COUNTIFS(E$2:E2540,E2540,C$2:C2540,C2540,D$2:D2540,D2540)=1,1,0)</f>
        <v>1</v>
      </c>
      <c r="P2540" s="57" t="n">
        <f aca="false">IF(AND(C2540=Calc!$C$3,OR(Calc!$C$4=0,D2540=Calc!$C$4)),ROW(),0)</f>
        <v>2540</v>
      </c>
    </row>
    <row r="2541" customFormat="false" ht="15" hidden="false" customHeight="false" outlineLevel="0" collapsed="false">
      <c r="A2541" s="57" t="s">
        <v>3107</v>
      </c>
      <c r="B2541" s="58" t="n">
        <v>45967</v>
      </c>
      <c r="C2541" s="57" t="n">
        <f aca="false">YEAR(B2541)</f>
        <v>2025</v>
      </c>
      <c r="D2541" s="57" t="n">
        <f aca="false">MONTH(B2541)</f>
        <v>11</v>
      </c>
      <c r="E2541" s="57" t="s">
        <v>120</v>
      </c>
      <c r="F2541" s="57" t="s">
        <v>78</v>
      </c>
      <c r="G2541" s="57" t="s">
        <v>40</v>
      </c>
      <c r="H2541" s="57" t="s">
        <v>43</v>
      </c>
      <c r="I2541" s="59" t="n">
        <v>1</v>
      </c>
      <c r="J2541" s="60" t="n">
        <v>29</v>
      </c>
      <c r="K2541" s="60" t="n">
        <v>9</v>
      </c>
      <c r="L2541" s="61" t="n">
        <f aca="false">I2541*J2541</f>
        <v>29</v>
      </c>
      <c r="M2541" s="61" t="n">
        <f aca="false">L2541-I2541*K2541</f>
        <v>20</v>
      </c>
      <c r="N2541" s="57" t="n">
        <f aca="false">IF(COUNTIFS(E$2:E2541,E2541,C$2:C2541,C2541)=1,1,0)</f>
        <v>0</v>
      </c>
      <c r="O2541" s="57" t="n">
        <f aca="false">IF(COUNTIFS(E$2:E2541,E2541,C$2:C2541,C2541,D$2:D2541,D2541)=1,1,0)</f>
        <v>0</v>
      </c>
      <c r="P2541" s="57" t="n">
        <f aca="false">IF(AND(C2541=Calc!$C$3,OR(Calc!$C$4=0,D2541=Calc!$C$4)),ROW(),0)</f>
        <v>2541</v>
      </c>
    </row>
    <row r="2542" customFormat="false" ht="15" hidden="false" customHeight="false" outlineLevel="0" collapsed="false">
      <c r="A2542" s="57" t="s">
        <v>3108</v>
      </c>
      <c r="B2542" s="58" t="n">
        <v>45967</v>
      </c>
      <c r="C2542" s="57" t="n">
        <f aca="false">YEAR(B2542)</f>
        <v>2025</v>
      </c>
      <c r="D2542" s="57" t="n">
        <f aca="false">MONTH(B2542)</f>
        <v>11</v>
      </c>
      <c r="E2542" s="57" t="s">
        <v>1032</v>
      </c>
      <c r="F2542" s="57" t="s">
        <v>75</v>
      </c>
      <c r="G2542" s="57" t="s">
        <v>35</v>
      </c>
      <c r="H2542" s="57" t="s">
        <v>34</v>
      </c>
      <c r="I2542" s="59" t="n">
        <v>1</v>
      </c>
      <c r="J2542" s="60" t="n">
        <v>89</v>
      </c>
      <c r="K2542" s="60" t="n">
        <v>41</v>
      </c>
      <c r="L2542" s="61" t="n">
        <f aca="false">I2542*J2542</f>
        <v>89</v>
      </c>
      <c r="M2542" s="61" t="n">
        <f aca="false">L2542-I2542*K2542</f>
        <v>48</v>
      </c>
      <c r="N2542" s="57" t="n">
        <f aca="false">IF(COUNTIFS(E$2:E2542,E2542,C$2:C2542,C2542)=1,1,0)</f>
        <v>0</v>
      </c>
      <c r="O2542" s="57" t="n">
        <f aca="false">IF(COUNTIFS(E$2:E2542,E2542,C$2:C2542,C2542,D$2:D2542,D2542)=1,1,0)</f>
        <v>1</v>
      </c>
      <c r="P2542" s="57" t="n">
        <f aca="false">IF(AND(C2542=Calc!$C$3,OR(Calc!$C$4=0,D2542=Calc!$C$4)),ROW(),0)</f>
        <v>2542</v>
      </c>
    </row>
    <row r="2543" customFormat="false" ht="15" hidden="false" customHeight="false" outlineLevel="0" collapsed="false">
      <c r="A2543" s="57" t="s">
        <v>3109</v>
      </c>
      <c r="B2543" s="58" t="n">
        <v>45967</v>
      </c>
      <c r="C2543" s="57" t="n">
        <f aca="false">YEAR(B2543)</f>
        <v>2025</v>
      </c>
      <c r="D2543" s="57" t="n">
        <f aca="false">MONTH(B2543)</f>
        <v>11</v>
      </c>
      <c r="E2543" s="57" t="s">
        <v>1728</v>
      </c>
      <c r="F2543" s="57" t="s">
        <v>75</v>
      </c>
      <c r="G2543" s="57" t="s">
        <v>45</v>
      </c>
      <c r="H2543" s="57" t="s">
        <v>47</v>
      </c>
      <c r="I2543" s="59" t="n">
        <v>1</v>
      </c>
      <c r="J2543" s="60" t="n">
        <v>34</v>
      </c>
      <c r="K2543" s="60" t="n">
        <v>12</v>
      </c>
      <c r="L2543" s="61" t="n">
        <f aca="false">I2543*J2543</f>
        <v>34</v>
      </c>
      <c r="M2543" s="61" t="n">
        <f aca="false">L2543-I2543*K2543</f>
        <v>22</v>
      </c>
      <c r="N2543" s="57" t="n">
        <f aca="false">IF(COUNTIFS(E$2:E2543,E2543,C$2:C2543,C2543)=1,1,0)</f>
        <v>0</v>
      </c>
      <c r="O2543" s="57" t="n">
        <f aca="false">IF(COUNTIFS(E$2:E2543,E2543,C$2:C2543,C2543,D$2:D2543,D2543)=1,1,0)</f>
        <v>0</v>
      </c>
      <c r="P2543" s="57" t="n">
        <f aca="false">IF(AND(C2543=Calc!$C$3,OR(Calc!$C$4=0,D2543=Calc!$C$4)),ROW(),0)</f>
        <v>2543</v>
      </c>
    </row>
    <row r="2544" customFormat="false" ht="15" hidden="false" customHeight="false" outlineLevel="0" collapsed="false">
      <c r="A2544" s="57" t="s">
        <v>3110</v>
      </c>
      <c r="B2544" s="58" t="n">
        <v>45968</v>
      </c>
      <c r="C2544" s="57" t="n">
        <f aca="false">YEAR(B2544)</f>
        <v>2025</v>
      </c>
      <c r="D2544" s="57" t="n">
        <f aca="false">MONTH(B2544)</f>
        <v>11</v>
      </c>
      <c r="E2544" s="57" t="s">
        <v>340</v>
      </c>
      <c r="F2544" s="57" t="s">
        <v>69</v>
      </c>
      <c r="G2544" s="57" t="s">
        <v>45</v>
      </c>
      <c r="H2544" s="57" t="s">
        <v>46</v>
      </c>
      <c r="I2544" s="59" t="n">
        <v>1</v>
      </c>
      <c r="J2544" s="60" t="n">
        <v>149</v>
      </c>
      <c r="K2544" s="60" t="n">
        <v>71</v>
      </c>
      <c r="L2544" s="61" t="n">
        <f aca="false">I2544*J2544</f>
        <v>149</v>
      </c>
      <c r="M2544" s="61" t="n">
        <f aca="false">L2544-I2544*K2544</f>
        <v>78</v>
      </c>
      <c r="N2544" s="57" t="n">
        <f aca="false">IF(COUNTIFS(E$2:E2544,E2544,C$2:C2544,C2544)=1,1,0)</f>
        <v>1</v>
      </c>
      <c r="O2544" s="57" t="n">
        <f aca="false">IF(COUNTIFS(E$2:E2544,E2544,C$2:C2544,C2544,D$2:D2544,D2544)=1,1,0)</f>
        <v>1</v>
      </c>
      <c r="P2544" s="57" t="n">
        <f aca="false">IF(AND(C2544=Calc!$C$3,OR(Calc!$C$4=0,D2544=Calc!$C$4)),ROW(),0)</f>
        <v>2544</v>
      </c>
    </row>
    <row r="2545" customFormat="false" ht="15" hidden="false" customHeight="false" outlineLevel="0" collapsed="false">
      <c r="A2545" s="57" t="s">
        <v>3111</v>
      </c>
      <c r="B2545" s="58" t="n">
        <v>45968</v>
      </c>
      <c r="C2545" s="57" t="n">
        <f aca="false">YEAR(B2545)</f>
        <v>2025</v>
      </c>
      <c r="D2545" s="57" t="n">
        <f aca="false">MONTH(B2545)</f>
        <v>11</v>
      </c>
      <c r="E2545" s="57" t="s">
        <v>95</v>
      </c>
      <c r="F2545" s="57" t="s">
        <v>75</v>
      </c>
      <c r="G2545" s="57" t="s">
        <v>40</v>
      </c>
      <c r="H2545" s="57" t="s">
        <v>39</v>
      </c>
      <c r="I2545" s="59" t="n">
        <v>1</v>
      </c>
      <c r="J2545" s="60" t="n">
        <v>54</v>
      </c>
      <c r="K2545" s="60" t="n">
        <v>19</v>
      </c>
      <c r="L2545" s="61" t="n">
        <f aca="false">I2545*J2545</f>
        <v>54</v>
      </c>
      <c r="M2545" s="61" t="n">
        <f aca="false">L2545-I2545*K2545</f>
        <v>35</v>
      </c>
      <c r="N2545" s="57" t="n">
        <f aca="false">IF(COUNTIFS(E$2:E2545,E2545,C$2:C2545,C2545)=1,1,0)</f>
        <v>0</v>
      </c>
      <c r="O2545" s="57" t="n">
        <f aca="false">IF(COUNTIFS(E$2:E2545,E2545,C$2:C2545,C2545,D$2:D2545,D2545)=1,1,0)</f>
        <v>1</v>
      </c>
      <c r="P2545" s="57" t="n">
        <f aca="false">IF(AND(C2545=Calc!$C$3,OR(Calc!$C$4=0,D2545=Calc!$C$4)),ROW(),0)</f>
        <v>2545</v>
      </c>
    </row>
    <row r="2546" customFormat="false" ht="15" hidden="false" customHeight="false" outlineLevel="0" collapsed="false">
      <c r="A2546" s="57" t="s">
        <v>3112</v>
      </c>
      <c r="B2546" s="58" t="n">
        <v>45968</v>
      </c>
      <c r="C2546" s="57" t="n">
        <f aca="false">YEAR(B2546)</f>
        <v>2025</v>
      </c>
      <c r="D2546" s="57" t="n">
        <f aca="false">MONTH(B2546)</f>
        <v>11</v>
      </c>
      <c r="E2546" s="57" t="s">
        <v>725</v>
      </c>
      <c r="F2546" s="57" t="s">
        <v>69</v>
      </c>
      <c r="G2546" s="57" t="s">
        <v>40</v>
      </c>
      <c r="H2546" s="57" t="s">
        <v>43</v>
      </c>
      <c r="I2546" s="59" t="n">
        <v>1</v>
      </c>
      <c r="J2546" s="60" t="n">
        <v>29</v>
      </c>
      <c r="K2546" s="60" t="n">
        <v>9</v>
      </c>
      <c r="L2546" s="61" t="n">
        <f aca="false">I2546*J2546</f>
        <v>29</v>
      </c>
      <c r="M2546" s="61" t="n">
        <f aca="false">L2546-I2546*K2546</f>
        <v>20</v>
      </c>
      <c r="N2546" s="57" t="n">
        <f aca="false">IF(COUNTIFS(E$2:E2546,E2546,C$2:C2546,C2546)=1,1,0)</f>
        <v>0</v>
      </c>
      <c r="O2546" s="57" t="n">
        <f aca="false">IF(COUNTIFS(E$2:E2546,E2546,C$2:C2546,C2546,D$2:D2546,D2546)=1,1,0)</f>
        <v>1</v>
      </c>
      <c r="P2546" s="57" t="n">
        <f aca="false">IF(AND(C2546=Calc!$C$3,OR(Calc!$C$4=0,D2546=Calc!$C$4)),ROW(),0)</f>
        <v>2546</v>
      </c>
    </row>
    <row r="2547" customFormat="false" ht="15" hidden="false" customHeight="false" outlineLevel="0" collapsed="false">
      <c r="A2547" s="57" t="s">
        <v>3113</v>
      </c>
      <c r="B2547" s="58" t="n">
        <v>45968</v>
      </c>
      <c r="C2547" s="57" t="n">
        <f aca="false">YEAR(B2547)</f>
        <v>2025</v>
      </c>
      <c r="D2547" s="57" t="n">
        <f aca="false">MONTH(B2547)</f>
        <v>11</v>
      </c>
      <c r="E2547" s="57" t="s">
        <v>1046</v>
      </c>
      <c r="F2547" s="57" t="s">
        <v>69</v>
      </c>
      <c r="G2547" s="57" t="s">
        <v>45</v>
      </c>
      <c r="H2547" s="57" t="s">
        <v>44</v>
      </c>
      <c r="I2547" s="59" t="n">
        <v>1</v>
      </c>
      <c r="J2547" s="60" t="n">
        <v>119</v>
      </c>
      <c r="K2547" s="60" t="n">
        <v>63</v>
      </c>
      <c r="L2547" s="61" t="n">
        <f aca="false">I2547*J2547</f>
        <v>119</v>
      </c>
      <c r="M2547" s="61" t="n">
        <f aca="false">L2547-I2547*K2547</f>
        <v>56</v>
      </c>
      <c r="N2547" s="57" t="n">
        <f aca="false">IF(COUNTIFS(E$2:E2547,E2547,C$2:C2547,C2547)=1,1,0)</f>
        <v>0</v>
      </c>
      <c r="O2547" s="57" t="n">
        <f aca="false">IF(COUNTIFS(E$2:E2547,E2547,C$2:C2547,C2547,D$2:D2547,D2547)=1,1,0)</f>
        <v>1</v>
      </c>
      <c r="P2547" s="57" t="n">
        <f aca="false">IF(AND(C2547=Calc!$C$3,OR(Calc!$C$4=0,D2547=Calc!$C$4)),ROW(),0)</f>
        <v>2547</v>
      </c>
    </row>
    <row r="2548" customFormat="false" ht="15" hidden="false" customHeight="false" outlineLevel="0" collapsed="false">
      <c r="A2548" s="57" t="s">
        <v>3114</v>
      </c>
      <c r="B2548" s="58" t="n">
        <v>45968</v>
      </c>
      <c r="C2548" s="57" t="n">
        <f aca="false">YEAR(B2548)</f>
        <v>2025</v>
      </c>
      <c r="D2548" s="57" t="n">
        <f aca="false">MONTH(B2548)</f>
        <v>11</v>
      </c>
      <c r="E2548" s="57" t="s">
        <v>1413</v>
      </c>
      <c r="F2548" s="57" t="s">
        <v>75</v>
      </c>
      <c r="G2548" s="57" t="s">
        <v>45</v>
      </c>
      <c r="H2548" s="57" t="s">
        <v>48</v>
      </c>
      <c r="I2548" s="59" t="n">
        <v>1</v>
      </c>
      <c r="J2548" s="60" t="n">
        <v>99</v>
      </c>
      <c r="K2548" s="60" t="n">
        <v>38</v>
      </c>
      <c r="L2548" s="61" t="n">
        <f aca="false">I2548*J2548</f>
        <v>99</v>
      </c>
      <c r="M2548" s="61" t="n">
        <f aca="false">L2548-I2548*K2548</f>
        <v>61</v>
      </c>
      <c r="N2548" s="57" t="n">
        <f aca="false">IF(COUNTIFS(E$2:E2548,E2548,C$2:C2548,C2548)=1,1,0)</f>
        <v>0</v>
      </c>
      <c r="O2548" s="57" t="n">
        <f aca="false">IF(COUNTIFS(E$2:E2548,E2548,C$2:C2548,C2548,D$2:D2548,D2548)=1,1,0)</f>
        <v>1</v>
      </c>
      <c r="P2548" s="57" t="n">
        <f aca="false">IF(AND(C2548=Calc!$C$3,OR(Calc!$C$4=0,D2548=Calc!$C$4)),ROW(),0)</f>
        <v>2548</v>
      </c>
    </row>
    <row r="2549" customFormat="false" ht="15" hidden="false" customHeight="false" outlineLevel="0" collapsed="false">
      <c r="A2549" s="57" t="s">
        <v>3115</v>
      </c>
      <c r="B2549" s="58" t="n">
        <v>45968</v>
      </c>
      <c r="C2549" s="57" t="n">
        <f aca="false">YEAR(B2549)</f>
        <v>2025</v>
      </c>
      <c r="D2549" s="57" t="n">
        <f aca="false">MONTH(B2549)</f>
        <v>11</v>
      </c>
      <c r="E2549" s="57" t="s">
        <v>89</v>
      </c>
      <c r="F2549" s="57" t="s">
        <v>81</v>
      </c>
      <c r="G2549" s="57" t="s">
        <v>35</v>
      </c>
      <c r="H2549" s="57" t="s">
        <v>36</v>
      </c>
      <c r="I2549" s="59" t="n">
        <v>1</v>
      </c>
      <c r="J2549" s="60" t="n">
        <v>179</v>
      </c>
      <c r="K2549" s="60" t="n">
        <v>92</v>
      </c>
      <c r="L2549" s="61" t="n">
        <f aca="false">I2549*J2549</f>
        <v>179</v>
      </c>
      <c r="M2549" s="61" t="n">
        <f aca="false">L2549-I2549*K2549</f>
        <v>87</v>
      </c>
      <c r="N2549" s="57" t="n">
        <f aca="false">IF(COUNTIFS(E$2:E2549,E2549,C$2:C2549,C2549)=1,1,0)</f>
        <v>0</v>
      </c>
      <c r="O2549" s="57" t="n">
        <f aca="false">IF(COUNTIFS(E$2:E2549,E2549,C$2:C2549,C2549,D$2:D2549,D2549)=1,1,0)</f>
        <v>1</v>
      </c>
      <c r="P2549" s="57" t="n">
        <f aca="false">IF(AND(C2549=Calc!$C$3,OR(Calc!$C$4=0,D2549=Calc!$C$4)),ROW(),0)</f>
        <v>2549</v>
      </c>
    </row>
    <row r="2550" customFormat="false" ht="15" hidden="false" customHeight="false" outlineLevel="0" collapsed="false">
      <c r="A2550" s="57" t="s">
        <v>3116</v>
      </c>
      <c r="B2550" s="58" t="n">
        <v>45969</v>
      </c>
      <c r="C2550" s="57" t="n">
        <f aca="false">YEAR(B2550)</f>
        <v>2025</v>
      </c>
      <c r="D2550" s="57" t="n">
        <f aca="false">MONTH(B2550)</f>
        <v>11</v>
      </c>
      <c r="E2550" s="57" t="s">
        <v>183</v>
      </c>
      <c r="F2550" s="57" t="s">
        <v>72</v>
      </c>
      <c r="G2550" s="57" t="s">
        <v>45</v>
      </c>
      <c r="H2550" s="57" t="s">
        <v>46</v>
      </c>
      <c r="I2550" s="59" t="n">
        <v>1</v>
      </c>
      <c r="J2550" s="60" t="n">
        <v>149</v>
      </c>
      <c r="K2550" s="60" t="n">
        <v>71</v>
      </c>
      <c r="L2550" s="61" t="n">
        <f aca="false">I2550*J2550</f>
        <v>149</v>
      </c>
      <c r="M2550" s="61" t="n">
        <f aca="false">L2550-I2550*K2550</f>
        <v>78</v>
      </c>
      <c r="N2550" s="57" t="n">
        <f aca="false">IF(COUNTIFS(E$2:E2550,E2550,C$2:C2550,C2550)=1,1,0)</f>
        <v>0</v>
      </c>
      <c r="O2550" s="57" t="n">
        <f aca="false">IF(COUNTIFS(E$2:E2550,E2550,C$2:C2550,C2550,D$2:D2550,D2550)=1,1,0)</f>
        <v>1</v>
      </c>
      <c r="P2550" s="57" t="n">
        <f aca="false">IF(AND(C2550=Calc!$C$3,OR(Calc!$C$4=0,D2550=Calc!$C$4)),ROW(),0)</f>
        <v>2550</v>
      </c>
    </row>
    <row r="2551" customFormat="false" ht="15" hidden="false" customHeight="false" outlineLevel="0" collapsed="false">
      <c r="A2551" s="57" t="s">
        <v>3117</v>
      </c>
      <c r="B2551" s="58" t="n">
        <v>45969</v>
      </c>
      <c r="C2551" s="57" t="n">
        <f aca="false">YEAR(B2551)</f>
        <v>2025</v>
      </c>
      <c r="D2551" s="57" t="n">
        <f aca="false">MONTH(B2551)</f>
        <v>11</v>
      </c>
      <c r="E2551" s="57" t="s">
        <v>185</v>
      </c>
      <c r="F2551" s="57" t="s">
        <v>81</v>
      </c>
      <c r="G2551" s="57" t="s">
        <v>40</v>
      </c>
      <c r="H2551" s="57" t="s">
        <v>39</v>
      </c>
      <c r="I2551" s="59" t="n">
        <v>1</v>
      </c>
      <c r="J2551" s="60" t="n">
        <v>54</v>
      </c>
      <c r="K2551" s="60" t="n">
        <v>19</v>
      </c>
      <c r="L2551" s="61" t="n">
        <f aca="false">I2551*J2551</f>
        <v>54</v>
      </c>
      <c r="M2551" s="61" t="n">
        <f aca="false">L2551-I2551*K2551</f>
        <v>35</v>
      </c>
      <c r="N2551" s="57" t="n">
        <f aca="false">IF(COUNTIFS(E$2:E2551,E2551,C$2:C2551,C2551)=1,1,0)</f>
        <v>0</v>
      </c>
      <c r="O2551" s="57" t="n">
        <f aca="false">IF(COUNTIFS(E$2:E2551,E2551,C$2:C2551,C2551,D$2:D2551,D2551)=1,1,0)</f>
        <v>1</v>
      </c>
      <c r="P2551" s="57" t="n">
        <f aca="false">IF(AND(C2551=Calc!$C$3,OR(Calc!$C$4=0,D2551=Calc!$C$4)),ROW(),0)</f>
        <v>2551</v>
      </c>
    </row>
    <row r="2552" customFormat="false" ht="15" hidden="false" customHeight="false" outlineLevel="0" collapsed="false">
      <c r="A2552" s="57" t="s">
        <v>3118</v>
      </c>
      <c r="B2552" s="58" t="n">
        <v>45969</v>
      </c>
      <c r="C2552" s="57" t="n">
        <f aca="false">YEAR(B2552)</f>
        <v>2025</v>
      </c>
      <c r="D2552" s="57" t="n">
        <f aca="false">MONTH(B2552)</f>
        <v>11</v>
      </c>
      <c r="E2552" s="57" t="s">
        <v>796</v>
      </c>
      <c r="F2552" s="57" t="s">
        <v>69</v>
      </c>
      <c r="G2552" s="57" t="s">
        <v>40</v>
      </c>
      <c r="H2552" s="57" t="s">
        <v>39</v>
      </c>
      <c r="I2552" s="59" t="n">
        <v>1</v>
      </c>
      <c r="J2552" s="60" t="n">
        <v>54</v>
      </c>
      <c r="K2552" s="60" t="n">
        <v>19</v>
      </c>
      <c r="L2552" s="61" t="n">
        <f aca="false">I2552*J2552</f>
        <v>54</v>
      </c>
      <c r="M2552" s="61" t="n">
        <f aca="false">L2552-I2552*K2552</f>
        <v>35</v>
      </c>
      <c r="N2552" s="57" t="n">
        <f aca="false">IF(COUNTIFS(E$2:E2552,E2552,C$2:C2552,C2552)=1,1,0)</f>
        <v>0</v>
      </c>
      <c r="O2552" s="57" t="n">
        <f aca="false">IF(COUNTIFS(E$2:E2552,E2552,C$2:C2552,C2552,D$2:D2552,D2552)=1,1,0)</f>
        <v>1</v>
      </c>
      <c r="P2552" s="57" t="n">
        <f aca="false">IF(AND(C2552=Calc!$C$3,OR(Calc!$C$4=0,D2552=Calc!$C$4)),ROW(),0)</f>
        <v>2552</v>
      </c>
    </row>
    <row r="2553" customFormat="false" ht="15" hidden="false" customHeight="false" outlineLevel="0" collapsed="false">
      <c r="A2553" s="57" t="s">
        <v>3119</v>
      </c>
      <c r="B2553" s="58" t="n">
        <v>45969</v>
      </c>
      <c r="C2553" s="57" t="n">
        <f aca="false">YEAR(B2553)</f>
        <v>2025</v>
      </c>
      <c r="D2553" s="57" t="n">
        <f aca="false">MONTH(B2553)</f>
        <v>11</v>
      </c>
      <c r="E2553" s="57" t="s">
        <v>743</v>
      </c>
      <c r="F2553" s="57" t="s">
        <v>69</v>
      </c>
      <c r="G2553" s="57" t="s">
        <v>40</v>
      </c>
      <c r="H2553" s="57" t="s">
        <v>43</v>
      </c>
      <c r="I2553" s="59" t="n">
        <v>1</v>
      </c>
      <c r="J2553" s="60" t="n">
        <v>29</v>
      </c>
      <c r="K2553" s="60" t="n">
        <v>9</v>
      </c>
      <c r="L2553" s="61" t="n">
        <f aca="false">I2553*J2553</f>
        <v>29</v>
      </c>
      <c r="M2553" s="61" t="n">
        <f aca="false">L2553-I2553*K2553</f>
        <v>20</v>
      </c>
      <c r="N2553" s="57" t="n">
        <f aca="false">IF(COUNTIFS(E$2:E2553,E2553,C$2:C2553,C2553)=1,1,0)</f>
        <v>0</v>
      </c>
      <c r="O2553" s="57" t="n">
        <f aca="false">IF(COUNTIFS(E$2:E2553,E2553,C$2:C2553,C2553,D$2:D2553,D2553)=1,1,0)</f>
        <v>1</v>
      </c>
      <c r="P2553" s="57" t="n">
        <f aca="false">IF(AND(C2553=Calc!$C$3,OR(Calc!$C$4=0,D2553=Calc!$C$4)),ROW(),0)</f>
        <v>2553</v>
      </c>
    </row>
    <row r="2554" customFormat="false" ht="15" hidden="false" customHeight="false" outlineLevel="0" collapsed="false">
      <c r="A2554" s="57" t="s">
        <v>3120</v>
      </c>
      <c r="B2554" s="58" t="n">
        <v>45969</v>
      </c>
      <c r="C2554" s="57" t="n">
        <f aca="false">YEAR(B2554)</f>
        <v>2025</v>
      </c>
      <c r="D2554" s="57" t="n">
        <f aca="false">MONTH(B2554)</f>
        <v>11</v>
      </c>
      <c r="E2554" s="57" t="s">
        <v>177</v>
      </c>
      <c r="F2554" s="57" t="s">
        <v>75</v>
      </c>
      <c r="G2554" s="57" t="s">
        <v>35</v>
      </c>
      <c r="H2554" s="57" t="s">
        <v>37</v>
      </c>
      <c r="I2554" s="59" t="n">
        <v>1</v>
      </c>
      <c r="J2554" s="60" t="n">
        <v>59</v>
      </c>
      <c r="K2554" s="60" t="n">
        <v>27</v>
      </c>
      <c r="L2554" s="61" t="n">
        <f aca="false">I2554*J2554</f>
        <v>59</v>
      </c>
      <c r="M2554" s="61" t="n">
        <f aca="false">L2554-I2554*K2554</f>
        <v>32</v>
      </c>
      <c r="N2554" s="57" t="n">
        <f aca="false">IF(COUNTIFS(E$2:E2554,E2554,C$2:C2554,C2554)=1,1,0)</f>
        <v>1</v>
      </c>
      <c r="O2554" s="57" t="n">
        <f aca="false">IF(COUNTIFS(E$2:E2554,E2554,C$2:C2554,C2554,D$2:D2554,D2554)=1,1,0)</f>
        <v>1</v>
      </c>
      <c r="P2554" s="57" t="n">
        <f aca="false">IF(AND(C2554=Calc!$C$3,OR(Calc!$C$4=0,D2554=Calc!$C$4)),ROW(),0)</f>
        <v>2554</v>
      </c>
    </row>
    <row r="2555" customFormat="false" ht="15" hidden="false" customHeight="false" outlineLevel="0" collapsed="false">
      <c r="A2555" s="57" t="s">
        <v>3121</v>
      </c>
      <c r="B2555" s="58" t="n">
        <v>45970</v>
      </c>
      <c r="C2555" s="57" t="n">
        <f aca="false">YEAR(B2555)</f>
        <v>2025</v>
      </c>
      <c r="D2555" s="57" t="n">
        <f aca="false">MONTH(B2555)</f>
        <v>11</v>
      </c>
      <c r="E2555" s="57" t="s">
        <v>601</v>
      </c>
      <c r="F2555" s="57" t="s">
        <v>78</v>
      </c>
      <c r="G2555" s="57" t="s">
        <v>40</v>
      </c>
      <c r="H2555" s="57" t="s">
        <v>41</v>
      </c>
      <c r="I2555" s="59" t="n">
        <v>1</v>
      </c>
      <c r="J2555" s="60" t="n">
        <v>46</v>
      </c>
      <c r="K2555" s="60" t="n">
        <v>16</v>
      </c>
      <c r="L2555" s="61" t="n">
        <f aca="false">I2555*J2555</f>
        <v>46</v>
      </c>
      <c r="M2555" s="61" t="n">
        <f aca="false">L2555-I2555*K2555</f>
        <v>30</v>
      </c>
      <c r="N2555" s="57" t="n">
        <f aca="false">IF(COUNTIFS(E$2:E2555,E2555,C$2:C2555,C2555)=1,1,0)</f>
        <v>0</v>
      </c>
      <c r="O2555" s="57" t="n">
        <f aca="false">IF(COUNTIFS(E$2:E2555,E2555,C$2:C2555,C2555,D$2:D2555,D2555)=1,1,0)</f>
        <v>1</v>
      </c>
      <c r="P2555" s="57" t="n">
        <f aca="false">IF(AND(C2555=Calc!$C$3,OR(Calc!$C$4=0,D2555=Calc!$C$4)),ROW(),0)</f>
        <v>2555</v>
      </c>
    </row>
    <row r="2556" customFormat="false" ht="15" hidden="false" customHeight="false" outlineLevel="0" collapsed="false">
      <c r="A2556" s="57" t="s">
        <v>3122</v>
      </c>
      <c r="B2556" s="58" t="n">
        <v>45970</v>
      </c>
      <c r="C2556" s="57" t="n">
        <f aca="false">YEAR(B2556)</f>
        <v>2025</v>
      </c>
      <c r="D2556" s="57" t="n">
        <f aca="false">MONTH(B2556)</f>
        <v>11</v>
      </c>
      <c r="E2556" s="57" t="s">
        <v>104</v>
      </c>
      <c r="F2556" s="57" t="s">
        <v>78</v>
      </c>
      <c r="G2556" s="57" t="s">
        <v>35</v>
      </c>
      <c r="H2556" s="57" t="s">
        <v>34</v>
      </c>
      <c r="I2556" s="59" t="n">
        <v>2</v>
      </c>
      <c r="J2556" s="60" t="n">
        <v>89</v>
      </c>
      <c r="K2556" s="60" t="n">
        <v>41</v>
      </c>
      <c r="L2556" s="61" t="n">
        <f aca="false">I2556*J2556</f>
        <v>178</v>
      </c>
      <c r="M2556" s="61" t="n">
        <f aca="false">L2556-I2556*K2556</f>
        <v>96</v>
      </c>
      <c r="N2556" s="57" t="n">
        <f aca="false">IF(COUNTIFS(E$2:E2556,E2556,C$2:C2556,C2556)=1,1,0)</f>
        <v>0</v>
      </c>
      <c r="O2556" s="57" t="n">
        <f aca="false">IF(COUNTIFS(E$2:E2556,E2556,C$2:C2556,C2556,D$2:D2556,D2556)=1,1,0)</f>
        <v>1</v>
      </c>
      <c r="P2556" s="57" t="n">
        <f aca="false">IF(AND(C2556=Calc!$C$3,OR(Calc!$C$4=0,D2556=Calc!$C$4)),ROW(),0)</f>
        <v>2556</v>
      </c>
    </row>
    <row r="2557" customFormat="false" ht="15" hidden="false" customHeight="false" outlineLevel="0" collapsed="false">
      <c r="A2557" s="57" t="s">
        <v>3123</v>
      </c>
      <c r="B2557" s="58" t="n">
        <v>45970</v>
      </c>
      <c r="C2557" s="57" t="n">
        <f aca="false">YEAR(B2557)</f>
        <v>2025</v>
      </c>
      <c r="D2557" s="57" t="n">
        <f aca="false">MONTH(B2557)</f>
        <v>11</v>
      </c>
      <c r="E2557" s="57" t="s">
        <v>85</v>
      </c>
      <c r="F2557" s="57" t="s">
        <v>69</v>
      </c>
      <c r="G2557" s="57" t="s">
        <v>35</v>
      </c>
      <c r="H2557" s="57" t="s">
        <v>36</v>
      </c>
      <c r="I2557" s="59" t="n">
        <v>2</v>
      </c>
      <c r="J2557" s="60" t="n">
        <v>179</v>
      </c>
      <c r="K2557" s="60" t="n">
        <v>92</v>
      </c>
      <c r="L2557" s="61" t="n">
        <f aca="false">I2557*J2557</f>
        <v>358</v>
      </c>
      <c r="M2557" s="61" t="n">
        <f aca="false">L2557-I2557*K2557</f>
        <v>174</v>
      </c>
      <c r="N2557" s="57" t="n">
        <f aca="false">IF(COUNTIFS(E$2:E2557,E2557,C$2:C2557,C2557)=1,1,0)</f>
        <v>0</v>
      </c>
      <c r="O2557" s="57" t="n">
        <f aca="false">IF(COUNTIFS(E$2:E2557,E2557,C$2:C2557,C2557,D$2:D2557,D2557)=1,1,0)</f>
        <v>1</v>
      </c>
      <c r="P2557" s="57" t="n">
        <f aca="false">IF(AND(C2557=Calc!$C$3,OR(Calc!$C$4=0,D2557=Calc!$C$4)),ROW(),0)</f>
        <v>2557</v>
      </c>
    </row>
    <row r="2558" customFormat="false" ht="15" hidden="false" customHeight="false" outlineLevel="0" collapsed="false">
      <c r="A2558" s="57" t="s">
        <v>3124</v>
      </c>
      <c r="B2558" s="58" t="n">
        <v>45970</v>
      </c>
      <c r="C2558" s="57" t="n">
        <f aca="false">YEAR(B2558)</f>
        <v>2025</v>
      </c>
      <c r="D2558" s="57" t="n">
        <f aca="false">MONTH(B2558)</f>
        <v>11</v>
      </c>
      <c r="E2558" s="57" t="s">
        <v>500</v>
      </c>
      <c r="F2558" s="57" t="s">
        <v>72</v>
      </c>
      <c r="G2558" s="57" t="s">
        <v>45</v>
      </c>
      <c r="H2558" s="57" t="s">
        <v>46</v>
      </c>
      <c r="I2558" s="59" t="n">
        <v>2</v>
      </c>
      <c r="J2558" s="60" t="n">
        <v>149</v>
      </c>
      <c r="K2558" s="60" t="n">
        <v>71</v>
      </c>
      <c r="L2558" s="61" t="n">
        <f aca="false">I2558*J2558</f>
        <v>298</v>
      </c>
      <c r="M2558" s="61" t="n">
        <f aca="false">L2558-I2558*K2558</f>
        <v>156</v>
      </c>
      <c r="N2558" s="57" t="n">
        <f aca="false">IF(COUNTIFS(E$2:E2558,E2558,C$2:C2558,C2558)=1,1,0)</f>
        <v>0</v>
      </c>
      <c r="O2558" s="57" t="n">
        <f aca="false">IF(COUNTIFS(E$2:E2558,E2558,C$2:C2558,C2558,D$2:D2558,D2558)=1,1,0)</f>
        <v>1</v>
      </c>
      <c r="P2558" s="57" t="n">
        <f aca="false">IF(AND(C2558=Calc!$C$3,OR(Calc!$C$4=0,D2558=Calc!$C$4)),ROW(),0)</f>
        <v>2558</v>
      </c>
    </row>
    <row r="2559" customFormat="false" ht="15" hidden="false" customHeight="false" outlineLevel="0" collapsed="false">
      <c r="A2559" s="57" t="s">
        <v>3125</v>
      </c>
      <c r="B2559" s="58" t="n">
        <v>45970</v>
      </c>
      <c r="C2559" s="57" t="n">
        <f aca="false">YEAR(B2559)</f>
        <v>2025</v>
      </c>
      <c r="D2559" s="57" t="n">
        <f aca="false">MONTH(B2559)</f>
        <v>11</v>
      </c>
      <c r="E2559" s="57" t="s">
        <v>93</v>
      </c>
      <c r="F2559" s="57" t="s">
        <v>81</v>
      </c>
      <c r="G2559" s="57" t="s">
        <v>54</v>
      </c>
      <c r="H2559" s="57" t="s">
        <v>56</v>
      </c>
      <c r="I2559" s="59" t="n">
        <v>1</v>
      </c>
      <c r="J2559" s="60" t="n">
        <v>42</v>
      </c>
      <c r="K2559" s="60" t="n">
        <v>17</v>
      </c>
      <c r="L2559" s="61" t="n">
        <f aca="false">I2559*J2559</f>
        <v>42</v>
      </c>
      <c r="M2559" s="61" t="n">
        <f aca="false">L2559-I2559*K2559</f>
        <v>25</v>
      </c>
      <c r="N2559" s="57" t="n">
        <f aca="false">IF(COUNTIFS(E$2:E2559,E2559,C$2:C2559,C2559)=1,1,0)</f>
        <v>0</v>
      </c>
      <c r="O2559" s="57" t="n">
        <f aca="false">IF(COUNTIFS(E$2:E2559,E2559,C$2:C2559,C2559,D$2:D2559,D2559)=1,1,0)</f>
        <v>1</v>
      </c>
      <c r="P2559" s="57" t="n">
        <f aca="false">IF(AND(C2559=Calc!$C$3,OR(Calc!$C$4=0,D2559=Calc!$C$4)),ROW(),0)</f>
        <v>2559</v>
      </c>
    </row>
    <row r="2560" customFormat="false" ht="15" hidden="false" customHeight="false" outlineLevel="0" collapsed="false">
      <c r="A2560" s="57" t="s">
        <v>3126</v>
      </c>
      <c r="B2560" s="58" t="n">
        <v>45970</v>
      </c>
      <c r="C2560" s="57" t="n">
        <f aca="false">YEAR(B2560)</f>
        <v>2025</v>
      </c>
      <c r="D2560" s="57" t="n">
        <f aca="false">MONTH(B2560)</f>
        <v>11</v>
      </c>
      <c r="E2560" s="57" t="s">
        <v>1124</v>
      </c>
      <c r="F2560" s="57" t="s">
        <v>75</v>
      </c>
      <c r="G2560" s="57" t="s">
        <v>40</v>
      </c>
      <c r="H2560" s="57" t="s">
        <v>41</v>
      </c>
      <c r="I2560" s="59" t="n">
        <v>1</v>
      </c>
      <c r="J2560" s="60" t="n">
        <v>46</v>
      </c>
      <c r="K2560" s="60" t="n">
        <v>16</v>
      </c>
      <c r="L2560" s="61" t="n">
        <f aca="false">I2560*J2560</f>
        <v>46</v>
      </c>
      <c r="M2560" s="61" t="n">
        <f aca="false">L2560-I2560*K2560</f>
        <v>30</v>
      </c>
      <c r="N2560" s="57" t="n">
        <f aca="false">IF(COUNTIFS(E$2:E2560,E2560,C$2:C2560,C2560)=1,1,0)</f>
        <v>0</v>
      </c>
      <c r="O2560" s="57" t="n">
        <f aca="false">IF(COUNTIFS(E$2:E2560,E2560,C$2:C2560,C2560,D$2:D2560,D2560)=1,1,0)</f>
        <v>1</v>
      </c>
      <c r="P2560" s="57" t="n">
        <f aca="false">IF(AND(C2560=Calc!$C$3,OR(Calc!$C$4=0,D2560=Calc!$C$4)),ROW(),0)</f>
        <v>2560</v>
      </c>
    </row>
    <row r="2561" customFormat="false" ht="15" hidden="false" customHeight="false" outlineLevel="0" collapsed="false">
      <c r="A2561" s="57" t="s">
        <v>3127</v>
      </c>
      <c r="B2561" s="58" t="n">
        <v>45971</v>
      </c>
      <c r="C2561" s="57" t="n">
        <f aca="false">YEAR(B2561)</f>
        <v>2025</v>
      </c>
      <c r="D2561" s="57" t="n">
        <f aca="false">MONTH(B2561)</f>
        <v>11</v>
      </c>
      <c r="E2561" s="57" t="s">
        <v>1195</v>
      </c>
      <c r="F2561" s="57" t="s">
        <v>72</v>
      </c>
      <c r="G2561" s="57" t="s">
        <v>45</v>
      </c>
      <c r="H2561" s="57" t="s">
        <v>44</v>
      </c>
      <c r="I2561" s="59" t="n">
        <v>1</v>
      </c>
      <c r="J2561" s="60" t="n">
        <v>119</v>
      </c>
      <c r="K2561" s="60" t="n">
        <v>63</v>
      </c>
      <c r="L2561" s="61" t="n">
        <f aca="false">I2561*J2561</f>
        <v>119</v>
      </c>
      <c r="M2561" s="61" t="n">
        <f aca="false">L2561-I2561*K2561</f>
        <v>56</v>
      </c>
      <c r="N2561" s="57" t="n">
        <f aca="false">IF(COUNTIFS(E$2:E2561,E2561,C$2:C2561,C2561)=1,1,0)</f>
        <v>0</v>
      </c>
      <c r="O2561" s="57" t="n">
        <f aca="false">IF(COUNTIFS(E$2:E2561,E2561,C$2:C2561,C2561,D$2:D2561,D2561)=1,1,0)</f>
        <v>1</v>
      </c>
      <c r="P2561" s="57" t="n">
        <f aca="false">IF(AND(C2561=Calc!$C$3,OR(Calc!$C$4=0,D2561=Calc!$C$4)),ROW(),0)</f>
        <v>2561</v>
      </c>
    </row>
    <row r="2562" customFormat="false" ht="15" hidden="false" customHeight="false" outlineLevel="0" collapsed="false">
      <c r="A2562" s="57" t="s">
        <v>3128</v>
      </c>
      <c r="B2562" s="58" t="n">
        <v>45971</v>
      </c>
      <c r="C2562" s="57" t="n">
        <f aca="false">YEAR(B2562)</f>
        <v>2025</v>
      </c>
      <c r="D2562" s="57" t="n">
        <f aca="false">MONTH(B2562)</f>
        <v>11</v>
      </c>
      <c r="E2562" s="57" t="s">
        <v>3129</v>
      </c>
      <c r="F2562" s="57" t="s">
        <v>69</v>
      </c>
      <c r="G2562" s="57" t="s">
        <v>54</v>
      </c>
      <c r="H2562" s="57" t="s">
        <v>53</v>
      </c>
      <c r="I2562" s="59" t="n">
        <v>1</v>
      </c>
      <c r="J2562" s="60" t="n">
        <v>39</v>
      </c>
      <c r="K2562" s="60" t="n">
        <v>13</v>
      </c>
      <c r="L2562" s="61" t="n">
        <f aca="false">I2562*J2562</f>
        <v>39</v>
      </c>
      <c r="M2562" s="61" t="n">
        <f aca="false">L2562-I2562*K2562</f>
        <v>26</v>
      </c>
      <c r="N2562" s="57" t="n">
        <f aca="false">IF(COUNTIFS(E$2:E2562,E2562,C$2:C2562,C2562)=1,1,0)</f>
        <v>1</v>
      </c>
      <c r="O2562" s="57" t="n">
        <f aca="false">IF(COUNTIFS(E$2:E2562,E2562,C$2:C2562,C2562,D$2:D2562,D2562)=1,1,0)</f>
        <v>1</v>
      </c>
      <c r="P2562" s="57" t="n">
        <f aca="false">IF(AND(C2562=Calc!$C$3,OR(Calc!$C$4=0,D2562=Calc!$C$4)),ROW(),0)</f>
        <v>2562</v>
      </c>
    </row>
    <row r="2563" customFormat="false" ht="15" hidden="false" customHeight="false" outlineLevel="0" collapsed="false">
      <c r="A2563" s="57" t="s">
        <v>3130</v>
      </c>
      <c r="B2563" s="58" t="n">
        <v>45971</v>
      </c>
      <c r="C2563" s="57" t="n">
        <f aca="false">YEAR(B2563)</f>
        <v>2025</v>
      </c>
      <c r="D2563" s="57" t="n">
        <f aca="false">MONTH(B2563)</f>
        <v>11</v>
      </c>
      <c r="E2563" s="57" t="s">
        <v>175</v>
      </c>
      <c r="F2563" s="57" t="s">
        <v>75</v>
      </c>
      <c r="G2563" s="57" t="s">
        <v>45</v>
      </c>
      <c r="H2563" s="57" t="s">
        <v>48</v>
      </c>
      <c r="I2563" s="59" t="n">
        <v>3</v>
      </c>
      <c r="J2563" s="60" t="n">
        <v>99</v>
      </c>
      <c r="K2563" s="60" t="n">
        <v>38</v>
      </c>
      <c r="L2563" s="61" t="n">
        <f aca="false">I2563*J2563</f>
        <v>297</v>
      </c>
      <c r="M2563" s="61" t="n">
        <f aca="false">L2563-I2563*K2563</f>
        <v>183</v>
      </c>
      <c r="N2563" s="57" t="n">
        <f aca="false">IF(COUNTIFS(E$2:E2563,E2563,C$2:C2563,C2563)=1,1,0)</f>
        <v>0</v>
      </c>
      <c r="O2563" s="57" t="n">
        <f aca="false">IF(COUNTIFS(E$2:E2563,E2563,C$2:C2563,C2563,D$2:D2563,D2563)=1,1,0)</f>
        <v>1</v>
      </c>
      <c r="P2563" s="57" t="n">
        <f aca="false">IF(AND(C2563=Calc!$C$3,OR(Calc!$C$4=0,D2563=Calc!$C$4)),ROW(),0)</f>
        <v>2563</v>
      </c>
    </row>
    <row r="2564" customFormat="false" ht="15" hidden="false" customHeight="false" outlineLevel="0" collapsed="false">
      <c r="A2564" s="57" t="s">
        <v>3131</v>
      </c>
      <c r="B2564" s="58" t="n">
        <v>45971</v>
      </c>
      <c r="C2564" s="57" t="n">
        <f aca="false">YEAR(B2564)</f>
        <v>2025</v>
      </c>
      <c r="D2564" s="57" t="n">
        <f aca="false">MONTH(B2564)</f>
        <v>11</v>
      </c>
      <c r="E2564" s="57" t="s">
        <v>181</v>
      </c>
      <c r="F2564" s="57" t="s">
        <v>69</v>
      </c>
      <c r="G2564" s="57" t="s">
        <v>40</v>
      </c>
      <c r="H2564" s="57" t="s">
        <v>43</v>
      </c>
      <c r="I2564" s="59" t="n">
        <v>1</v>
      </c>
      <c r="J2564" s="60" t="n">
        <v>29</v>
      </c>
      <c r="K2564" s="60" t="n">
        <v>9</v>
      </c>
      <c r="L2564" s="61" t="n">
        <f aca="false">I2564*J2564</f>
        <v>29</v>
      </c>
      <c r="M2564" s="61" t="n">
        <f aca="false">L2564-I2564*K2564</f>
        <v>20</v>
      </c>
      <c r="N2564" s="57" t="n">
        <f aca="false">IF(COUNTIFS(E$2:E2564,E2564,C$2:C2564,C2564)=1,1,0)</f>
        <v>0</v>
      </c>
      <c r="O2564" s="57" t="n">
        <f aca="false">IF(COUNTIFS(E$2:E2564,E2564,C$2:C2564,C2564,D$2:D2564,D2564)=1,1,0)</f>
        <v>1</v>
      </c>
      <c r="P2564" s="57" t="n">
        <f aca="false">IF(AND(C2564=Calc!$C$3,OR(Calc!$C$4=0,D2564=Calc!$C$4)),ROW(),0)</f>
        <v>2564</v>
      </c>
    </row>
    <row r="2565" customFormat="false" ht="15" hidden="false" customHeight="false" outlineLevel="0" collapsed="false">
      <c r="A2565" s="57" t="s">
        <v>3132</v>
      </c>
      <c r="B2565" s="58" t="n">
        <v>45971</v>
      </c>
      <c r="C2565" s="57" t="n">
        <f aca="false">YEAR(B2565)</f>
        <v>2025</v>
      </c>
      <c r="D2565" s="57" t="n">
        <f aca="false">MONTH(B2565)</f>
        <v>11</v>
      </c>
      <c r="E2565" s="57" t="s">
        <v>1819</v>
      </c>
      <c r="F2565" s="57" t="s">
        <v>72</v>
      </c>
      <c r="G2565" s="57" t="s">
        <v>35</v>
      </c>
      <c r="H2565" s="57" t="s">
        <v>34</v>
      </c>
      <c r="I2565" s="59" t="n">
        <v>1</v>
      </c>
      <c r="J2565" s="60" t="n">
        <v>89</v>
      </c>
      <c r="K2565" s="60" t="n">
        <v>41</v>
      </c>
      <c r="L2565" s="61" t="n">
        <f aca="false">I2565*J2565</f>
        <v>89</v>
      </c>
      <c r="M2565" s="61" t="n">
        <f aca="false">L2565-I2565*K2565</f>
        <v>48</v>
      </c>
      <c r="N2565" s="57" t="n">
        <f aca="false">IF(COUNTIFS(E$2:E2565,E2565,C$2:C2565,C2565)=1,1,0)</f>
        <v>1</v>
      </c>
      <c r="O2565" s="57" t="n">
        <f aca="false">IF(COUNTIFS(E$2:E2565,E2565,C$2:C2565,C2565,D$2:D2565,D2565)=1,1,0)</f>
        <v>1</v>
      </c>
      <c r="P2565" s="57" t="n">
        <f aca="false">IF(AND(C2565=Calc!$C$3,OR(Calc!$C$4=0,D2565=Calc!$C$4)),ROW(),0)</f>
        <v>2565</v>
      </c>
    </row>
    <row r="2566" customFormat="false" ht="15" hidden="false" customHeight="false" outlineLevel="0" collapsed="false">
      <c r="A2566" s="57" t="s">
        <v>3133</v>
      </c>
      <c r="B2566" s="58" t="n">
        <v>45971</v>
      </c>
      <c r="C2566" s="57" t="n">
        <f aca="false">YEAR(B2566)</f>
        <v>2025</v>
      </c>
      <c r="D2566" s="57" t="n">
        <f aca="false">MONTH(B2566)</f>
        <v>11</v>
      </c>
      <c r="E2566" s="57" t="s">
        <v>114</v>
      </c>
      <c r="F2566" s="57" t="s">
        <v>69</v>
      </c>
      <c r="G2566" s="57" t="s">
        <v>45</v>
      </c>
      <c r="H2566" s="57" t="s">
        <v>47</v>
      </c>
      <c r="I2566" s="59" t="n">
        <v>2</v>
      </c>
      <c r="J2566" s="60" t="n">
        <v>34</v>
      </c>
      <c r="K2566" s="60" t="n">
        <v>12</v>
      </c>
      <c r="L2566" s="61" t="n">
        <f aca="false">I2566*J2566</f>
        <v>68</v>
      </c>
      <c r="M2566" s="61" t="n">
        <f aca="false">L2566-I2566*K2566</f>
        <v>44</v>
      </c>
      <c r="N2566" s="57" t="n">
        <f aca="false">IF(COUNTIFS(E$2:E2566,E2566,C$2:C2566,C2566)=1,1,0)</f>
        <v>0</v>
      </c>
      <c r="O2566" s="57" t="n">
        <f aca="false">IF(COUNTIFS(E$2:E2566,E2566,C$2:C2566,C2566,D$2:D2566,D2566)=1,1,0)</f>
        <v>0</v>
      </c>
      <c r="P2566" s="57" t="n">
        <f aca="false">IF(AND(C2566=Calc!$C$3,OR(Calc!$C$4=0,D2566=Calc!$C$4)),ROW(),0)</f>
        <v>2566</v>
      </c>
    </row>
    <row r="2567" customFormat="false" ht="15" hidden="false" customHeight="false" outlineLevel="0" collapsed="false">
      <c r="A2567" s="57" t="s">
        <v>3134</v>
      </c>
      <c r="B2567" s="58" t="n">
        <v>45972</v>
      </c>
      <c r="C2567" s="57" t="n">
        <f aca="false">YEAR(B2567)</f>
        <v>2025</v>
      </c>
      <c r="D2567" s="57" t="n">
        <f aca="false">MONTH(B2567)</f>
        <v>11</v>
      </c>
      <c r="E2567" s="57" t="s">
        <v>342</v>
      </c>
      <c r="F2567" s="57" t="s">
        <v>78</v>
      </c>
      <c r="G2567" s="57" t="s">
        <v>35</v>
      </c>
      <c r="H2567" s="57" t="s">
        <v>37</v>
      </c>
      <c r="I2567" s="59" t="n">
        <v>1</v>
      </c>
      <c r="J2567" s="60" t="n">
        <v>59</v>
      </c>
      <c r="K2567" s="60" t="n">
        <v>27</v>
      </c>
      <c r="L2567" s="61" t="n">
        <f aca="false">I2567*J2567</f>
        <v>59</v>
      </c>
      <c r="M2567" s="61" t="n">
        <f aca="false">L2567-I2567*K2567</f>
        <v>32</v>
      </c>
      <c r="N2567" s="57" t="n">
        <f aca="false">IF(COUNTIFS(E$2:E2567,E2567,C$2:C2567,C2567)=1,1,0)</f>
        <v>0</v>
      </c>
      <c r="O2567" s="57" t="n">
        <f aca="false">IF(COUNTIFS(E$2:E2567,E2567,C$2:C2567,C2567,D$2:D2567,D2567)=1,1,0)</f>
        <v>1</v>
      </c>
      <c r="P2567" s="57" t="n">
        <f aca="false">IF(AND(C2567=Calc!$C$3,OR(Calc!$C$4=0,D2567=Calc!$C$4)),ROW(),0)</f>
        <v>2567</v>
      </c>
    </row>
    <row r="2568" customFormat="false" ht="15" hidden="false" customHeight="false" outlineLevel="0" collapsed="false">
      <c r="A2568" s="57" t="s">
        <v>3135</v>
      </c>
      <c r="B2568" s="58" t="n">
        <v>45972</v>
      </c>
      <c r="C2568" s="57" t="n">
        <f aca="false">YEAR(B2568)</f>
        <v>2025</v>
      </c>
      <c r="D2568" s="57" t="n">
        <f aca="false">MONTH(B2568)</f>
        <v>11</v>
      </c>
      <c r="E2568" s="57" t="s">
        <v>83</v>
      </c>
      <c r="F2568" s="57" t="s">
        <v>75</v>
      </c>
      <c r="G2568" s="57" t="s">
        <v>45</v>
      </c>
      <c r="H2568" s="57" t="s">
        <v>47</v>
      </c>
      <c r="I2568" s="59" t="n">
        <v>1</v>
      </c>
      <c r="J2568" s="60" t="n">
        <v>34</v>
      </c>
      <c r="K2568" s="60" t="n">
        <v>12</v>
      </c>
      <c r="L2568" s="61" t="n">
        <f aca="false">I2568*J2568</f>
        <v>34</v>
      </c>
      <c r="M2568" s="61" t="n">
        <f aca="false">L2568-I2568*K2568</f>
        <v>22</v>
      </c>
      <c r="N2568" s="57" t="n">
        <f aca="false">IF(COUNTIFS(E$2:E2568,E2568,C$2:C2568,C2568)=1,1,0)</f>
        <v>0</v>
      </c>
      <c r="O2568" s="57" t="n">
        <f aca="false">IF(COUNTIFS(E$2:E2568,E2568,C$2:C2568,C2568,D$2:D2568,D2568)=1,1,0)</f>
        <v>0</v>
      </c>
      <c r="P2568" s="57" t="n">
        <f aca="false">IF(AND(C2568=Calc!$C$3,OR(Calc!$C$4=0,D2568=Calc!$C$4)),ROW(),0)</f>
        <v>2568</v>
      </c>
    </row>
    <row r="2569" customFormat="false" ht="15" hidden="false" customHeight="false" outlineLevel="0" collapsed="false">
      <c r="A2569" s="57" t="s">
        <v>3136</v>
      </c>
      <c r="B2569" s="58" t="n">
        <v>45972</v>
      </c>
      <c r="C2569" s="57" t="n">
        <f aca="false">YEAR(B2569)</f>
        <v>2025</v>
      </c>
      <c r="D2569" s="57" t="n">
        <f aca="false">MONTH(B2569)</f>
        <v>11</v>
      </c>
      <c r="E2569" s="57" t="s">
        <v>488</v>
      </c>
      <c r="F2569" s="57" t="s">
        <v>69</v>
      </c>
      <c r="G2569" s="57" t="s">
        <v>35</v>
      </c>
      <c r="H2569" s="57" t="s">
        <v>36</v>
      </c>
      <c r="I2569" s="59" t="n">
        <v>1</v>
      </c>
      <c r="J2569" s="60" t="n">
        <v>179</v>
      </c>
      <c r="K2569" s="60" t="n">
        <v>92</v>
      </c>
      <c r="L2569" s="61" t="n">
        <f aca="false">I2569*J2569</f>
        <v>179</v>
      </c>
      <c r="M2569" s="61" t="n">
        <f aca="false">L2569-I2569*K2569</f>
        <v>87</v>
      </c>
      <c r="N2569" s="57" t="n">
        <f aca="false">IF(COUNTIFS(E$2:E2569,E2569,C$2:C2569,C2569)=1,1,0)</f>
        <v>0</v>
      </c>
      <c r="O2569" s="57" t="n">
        <f aca="false">IF(COUNTIFS(E$2:E2569,E2569,C$2:C2569,C2569,D$2:D2569,D2569)=1,1,0)</f>
        <v>1</v>
      </c>
      <c r="P2569" s="57" t="n">
        <f aca="false">IF(AND(C2569=Calc!$C$3,OR(Calc!$C$4=0,D2569=Calc!$C$4)),ROW(),0)</f>
        <v>2569</v>
      </c>
    </row>
    <row r="2570" customFormat="false" ht="15" hidden="false" customHeight="false" outlineLevel="0" collapsed="false">
      <c r="A2570" s="57" t="s">
        <v>3137</v>
      </c>
      <c r="B2570" s="58" t="n">
        <v>45972</v>
      </c>
      <c r="C2570" s="57" t="n">
        <f aca="false">YEAR(B2570)</f>
        <v>2025</v>
      </c>
      <c r="D2570" s="57" t="n">
        <f aca="false">MONTH(B2570)</f>
        <v>11</v>
      </c>
      <c r="E2570" s="57" t="s">
        <v>229</v>
      </c>
      <c r="F2570" s="57" t="s">
        <v>81</v>
      </c>
      <c r="G2570" s="57" t="s">
        <v>35</v>
      </c>
      <c r="H2570" s="57" t="s">
        <v>38</v>
      </c>
      <c r="I2570" s="59" t="n">
        <v>2</v>
      </c>
      <c r="J2570" s="60" t="n">
        <v>49</v>
      </c>
      <c r="K2570" s="60" t="n">
        <v>22</v>
      </c>
      <c r="L2570" s="61" t="n">
        <f aca="false">I2570*J2570</f>
        <v>98</v>
      </c>
      <c r="M2570" s="61" t="n">
        <f aca="false">L2570-I2570*K2570</f>
        <v>54</v>
      </c>
      <c r="N2570" s="57" t="n">
        <f aca="false">IF(COUNTIFS(E$2:E2570,E2570,C$2:C2570,C2570)=1,1,0)</f>
        <v>0</v>
      </c>
      <c r="O2570" s="57" t="n">
        <f aca="false">IF(COUNTIFS(E$2:E2570,E2570,C$2:C2570,C2570,D$2:D2570,D2570)=1,1,0)</f>
        <v>0</v>
      </c>
      <c r="P2570" s="57" t="n">
        <f aca="false">IF(AND(C2570=Calc!$C$3,OR(Calc!$C$4=0,D2570=Calc!$C$4)),ROW(),0)</f>
        <v>2570</v>
      </c>
    </row>
    <row r="2571" customFormat="false" ht="15" hidden="false" customHeight="false" outlineLevel="0" collapsed="false">
      <c r="A2571" s="57" t="s">
        <v>3138</v>
      </c>
      <c r="B2571" s="58" t="n">
        <v>45972</v>
      </c>
      <c r="C2571" s="57" t="n">
        <f aca="false">YEAR(B2571)</f>
        <v>2025</v>
      </c>
      <c r="D2571" s="57" t="n">
        <f aca="false">MONTH(B2571)</f>
        <v>11</v>
      </c>
      <c r="E2571" s="57" t="s">
        <v>233</v>
      </c>
      <c r="F2571" s="57" t="s">
        <v>78</v>
      </c>
      <c r="G2571" s="57" t="s">
        <v>35</v>
      </c>
      <c r="H2571" s="57" t="s">
        <v>34</v>
      </c>
      <c r="I2571" s="59" t="n">
        <v>1</v>
      </c>
      <c r="J2571" s="60" t="n">
        <v>89</v>
      </c>
      <c r="K2571" s="60" t="n">
        <v>41</v>
      </c>
      <c r="L2571" s="61" t="n">
        <f aca="false">I2571*J2571</f>
        <v>89</v>
      </c>
      <c r="M2571" s="61" t="n">
        <f aca="false">L2571-I2571*K2571</f>
        <v>48</v>
      </c>
      <c r="N2571" s="57" t="n">
        <f aca="false">IF(COUNTIFS(E$2:E2571,E2571,C$2:C2571,C2571)=1,1,0)</f>
        <v>0</v>
      </c>
      <c r="O2571" s="57" t="n">
        <f aca="false">IF(COUNTIFS(E$2:E2571,E2571,C$2:C2571,C2571,D$2:D2571,D2571)=1,1,0)</f>
        <v>1</v>
      </c>
      <c r="P2571" s="57" t="n">
        <f aca="false">IF(AND(C2571=Calc!$C$3,OR(Calc!$C$4=0,D2571=Calc!$C$4)),ROW(),0)</f>
        <v>2571</v>
      </c>
    </row>
    <row r="2572" customFormat="false" ht="15" hidden="false" customHeight="false" outlineLevel="0" collapsed="false">
      <c r="A2572" s="57" t="s">
        <v>3139</v>
      </c>
      <c r="B2572" s="58" t="n">
        <v>45972</v>
      </c>
      <c r="C2572" s="57" t="n">
        <f aca="false">YEAR(B2572)</f>
        <v>2025</v>
      </c>
      <c r="D2572" s="57" t="n">
        <f aca="false">MONTH(B2572)</f>
        <v>11</v>
      </c>
      <c r="E2572" s="57" t="s">
        <v>382</v>
      </c>
      <c r="F2572" s="57" t="s">
        <v>69</v>
      </c>
      <c r="G2572" s="57" t="s">
        <v>50</v>
      </c>
      <c r="H2572" s="57" t="s">
        <v>49</v>
      </c>
      <c r="I2572" s="59" t="n">
        <v>2</v>
      </c>
      <c r="J2572" s="60" t="n">
        <v>32</v>
      </c>
      <c r="K2572" s="60" t="n">
        <v>7</v>
      </c>
      <c r="L2572" s="61" t="n">
        <f aca="false">I2572*J2572</f>
        <v>64</v>
      </c>
      <c r="M2572" s="61" t="n">
        <f aca="false">L2572-I2572*K2572</f>
        <v>50</v>
      </c>
      <c r="N2572" s="57" t="n">
        <f aca="false">IF(COUNTIFS(E$2:E2572,E2572,C$2:C2572,C2572)=1,1,0)</f>
        <v>0</v>
      </c>
      <c r="O2572" s="57" t="n">
        <f aca="false">IF(COUNTIFS(E$2:E2572,E2572,C$2:C2572,C2572,D$2:D2572,D2572)=1,1,0)</f>
        <v>1</v>
      </c>
      <c r="P2572" s="57" t="n">
        <f aca="false">IF(AND(C2572=Calc!$C$3,OR(Calc!$C$4=0,D2572=Calc!$C$4)),ROW(),0)</f>
        <v>2572</v>
      </c>
    </row>
    <row r="2573" customFormat="false" ht="15" hidden="false" customHeight="false" outlineLevel="0" collapsed="false">
      <c r="A2573" s="57" t="s">
        <v>3140</v>
      </c>
      <c r="B2573" s="58" t="n">
        <v>45972</v>
      </c>
      <c r="C2573" s="57" t="n">
        <f aca="false">YEAR(B2573)</f>
        <v>2025</v>
      </c>
      <c r="D2573" s="57" t="n">
        <f aca="false">MONTH(B2573)</f>
        <v>11</v>
      </c>
      <c r="E2573" s="57" t="s">
        <v>2089</v>
      </c>
      <c r="F2573" s="57" t="s">
        <v>69</v>
      </c>
      <c r="G2573" s="57" t="s">
        <v>35</v>
      </c>
      <c r="H2573" s="57" t="s">
        <v>37</v>
      </c>
      <c r="I2573" s="59" t="n">
        <v>3</v>
      </c>
      <c r="J2573" s="60" t="n">
        <v>59</v>
      </c>
      <c r="K2573" s="60" t="n">
        <v>27</v>
      </c>
      <c r="L2573" s="61" t="n">
        <f aca="false">I2573*J2573</f>
        <v>177</v>
      </c>
      <c r="M2573" s="61" t="n">
        <f aca="false">L2573-I2573*K2573</f>
        <v>96</v>
      </c>
      <c r="N2573" s="57" t="n">
        <f aca="false">IF(COUNTIFS(E$2:E2573,E2573,C$2:C2573,C2573)=1,1,0)</f>
        <v>0</v>
      </c>
      <c r="O2573" s="57" t="n">
        <f aca="false">IF(COUNTIFS(E$2:E2573,E2573,C$2:C2573,C2573,D$2:D2573,D2573)=1,1,0)</f>
        <v>1</v>
      </c>
      <c r="P2573" s="57" t="n">
        <f aca="false">IF(AND(C2573=Calc!$C$3,OR(Calc!$C$4=0,D2573=Calc!$C$4)),ROW(),0)</f>
        <v>2573</v>
      </c>
    </row>
    <row r="2574" customFormat="false" ht="15" hidden="false" customHeight="false" outlineLevel="0" collapsed="false">
      <c r="A2574" s="57" t="s">
        <v>3141</v>
      </c>
      <c r="B2574" s="58" t="n">
        <v>45973</v>
      </c>
      <c r="C2574" s="57" t="n">
        <f aca="false">YEAR(B2574)</f>
        <v>2025</v>
      </c>
      <c r="D2574" s="57" t="n">
        <f aca="false">MONTH(B2574)</f>
        <v>11</v>
      </c>
      <c r="E2574" s="57" t="s">
        <v>1602</v>
      </c>
      <c r="F2574" s="57" t="s">
        <v>81</v>
      </c>
      <c r="G2574" s="57" t="s">
        <v>40</v>
      </c>
      <c r="H2574" s="57" t="s">
        <v>43</v>
      </c>
      <c r="I2574" s="59" t="n">
        <v>1</v>
      </c>
      <c r="J2574" s="60" t="n">
        <v>29</v>
      </c>
      <c r="K2574" s="60" t="n">
        <v>9</v>
      </c>
      <c r="L2574" s="61" t="n">
        <f aca="false">I2574*J2574</f>
        <v>29</v>
      </c>
      <c r="M2574" s="61" t="n">
        <f aca="false">L2574-I2574*K2574</f>
        <v>20</v>
      </c>
      <c r="N2574" s="57" t="n">
        <f aca="false">IF(COUNTIFS(E$2:E2574,E2574,C$2:C2574,C2574)=1,1,0)</f>
        <v>0</v>
      </c>
      <c r="O2574" s="57" t="n">
        <f aca="false">IF(COUNTIFS(E$2:E2574,E2574,C$2:C2574,C2574,D$2:D2574,D2574)=1,1,0)</f>
        <v>1</v>
      </c>
      <c r="P2574" s="57" t="n">
        <f aca="false">IF(AND(C2574=Calc!$C$3,OR(Calc!$C$4=0,D2574=Calc!$C$4)),ROW(),0)</f>
        <v>2574</v>
      </c>
    </row>
    <row r="2575" customFormat="false" ht="15" hidden="false" customHeight="false" outlineLevel="0" collapsed="false">
      <c r="A2575" s="57" t="s">
        <v>3142</v>
      </c>
      <c r="B2575" s="58" t="n">
        <v>45973</v>
      </c>
      <c r="C2575" s="57" t="n">
        <f aca="false">YEAR(B2575)</f>
        <v>2025</v>
      </c>
      <c r="D2575" s="57" t="n">
        <f aca="false">MONTH(B2575)</f>
        <v>11</v>
      </c>
      <c r="E2575" s="57" t="s">
        <v>311</v>
      </c>
      <c r="F2575" s="57" t="s">
        <v>69</v>
      </c>
      <c r="G2575" s="57" t="s">
        <v>40</v>
      </c>
      <c r="H2575" s="57" t="s">
        <v>42</v>
      </c>
      <c r="I2575" s="59" t="n">
        <v>1</v>
      </c>
      <c r="J2575" s="60" t="n">
        <v>79</v>
      </c>
      <c r="K2575" s="60" t="n">
        <v>31</v>
      </c>
      <c r="L2575" s="61" t="n">
        <f aca="false">I2575*J2575</f>
        <v>79</v>
      </c>
      <c r="M2575" s="61" t="n">
        <f aca="false">L2575-I2575*K2575</f>
        <v>48</v>
      </c>
      <c r="N2575" s="57" t="n">
        <f aca="false">IF(COUNTIFS(E$2:E2575,E2575,C$2:C2575,C2575)=1,1,0)</f>
        <v>0</v>
      </c>
      <c r="O2575" s="57" t="n">
        <f aca="false">IF(COUNTIFS(E$2:E2575,E2575,C$2:C2575,C2575,D$2:D2575,D2575)=1,1,0)</f>
        <v>1</v>
      </c>
      <c r="P2575" s="57" t="n">
        <f aca="false">IF(AND(C2575=Calc!$C$3,OR(Calc!$C$4=0,D2575=Calc!$C$4)),ROW(),0)</f>
        <v>2575</v>
      </c>
    </row>
    <row r="2576" customFormat="false" ht="15" hidden="false" customHeight="false" outlineLevel="0" collapsed="false">
      <c r="A2576" s="57" t="s">
        <v>3143</v>
      </c>
      <c r="B2576" s="58" t="n">
        <v>45973</v>
      </c>
      <c r="C2576" s="57" t="n">
        <f aca="false">YEAR(B2576)</f>
        <v>2025</v>
      </c>
      <c r="D2576" s="57" t="n">
        <f aca="false">MONTH(B2576)</f>
        <v>11</v>
      </c>
      <c r="E2576" s="57" t="s">
        <v>2529</v>
      </c>
      <c r="F2576" s="57" t="s">
        <v>69</v>
      </c>
      <c r="G2576" s="57" t="s">
        <v>45</v>
      </c>
      <c r="H2576" s="57" t="s">
        <v>47</v>
      </c>
      <c r="I2576" s="59" t="n">
        <v>1</v>
      </c>
      <c r="J2576" s="60" t="n">
        <v>34</v>
      </c>
      <c r="K2576" s="60" t="n">
        <v>12</v>
      </c>
      <c r="L2576" s="61" t="n">
        <f aca="false">I2576*J2576</f>
        <v>34</v>
      </c>
      <c r="M2576" s="61" t="n">
        <f aca="false">L2576-I2576*K2576</f>
        <v>22</v>
      </c>
      <c r="N2576" s="57" t="n">
        <f aca="false">IF(COUNTIFS(E$2:E2576,E2576,C$2:C2576,C2576)=1,1,0)</f>
        <v>0</v>
      </c>
      <c r="O2576" s="57" t="n">
        <f aca="false">IF(COUNTIFS(E$2:E2576,E2576,C$2:C2576,C2576,D$2:D2576,D2576)=1,1,0)</f>
        <v>1</v>
      </c>
      <c r="P2576" s="57" t="n">
        <f aca="false">IF(AND(C2576=Calc!$C$3,OR(Calc!$C$4=0,D2576=Calc!$C$4)),ROW(),0)</f>
        <v>2576</v>
      </c>
    </row>
    <row r="2577" customFormat="false" ht="15" hidden="false" customHeight="false" outlineLevel="0" collapsed="false">
      <c r="A2577" s="57" t="s">
        <v>3144</v>
      </c>
      <c r="B2577" s="58" t="n">
        <v>45973</v>
      </c>
      <c r="C2577" s="57" t="n">
        <f aca="false">YEAR(B2577)</f>
        <v>2025</v>
      </c>
      <c r="D2577" s="57" t="n">
        <f aca="false">MONTH(B2577)</f>
        <v>11</v>
      </c>
      <c r="E2577" s="57" t="s">
        <v>1929</v>
      </c>
      <c r="F2577" s="57" t="s">
        <v>75</v>
      </c>
      <c r="G2577" s="57" t="s">
        <v>54</v>
      </c>
      <c r="H2577" s="57" t="s">
        <v>55</v>
      </c>
      <c r="I2577" s="59" t="n">
        <v>1</v>
      </c>
      <c r="J2577" s="60" t="n">
        <v>64</v>
      </c>
      <c r="K2577" s="60" t="n">
        <v>25</v>
      </c>
      <c r="L2577" s="61" t="n">
        <f aca="false">I2577*J2577</f>
        <v>64</v>
      </c>
      <c r="M2577" s="61" t="n">
        <f aca="false">L2577-I2577*K2577</f>
        <v>39</v>
      </c>
      <c r="N2577" s="57" t="n">
        <f aca="false">IF(COUNTIFS(E$2:E2577,E2577,C$2:C2577,C2577)=1,1,0)</f>
        <v>0</v>
      </c>
      <c r="O2577" s="57" t="n">
        <f aca="false">IF(COUNTIFS(E$2:E2577,E2577,C$2:C2577,C2577,D$2:D2577,D2577)=1,1,0)</f>
        <v>1</v>
      </c>
      <c r="P2577" s="57" t="n">
        <f aca="false">IF(AND(C2577=Calc!$C$3,OR(Calc!$C$4=0,D2577=Calc!$C$4)),ROW(),0)</f>
        <v>2577</v>
      </c>
    </row>
    <row r="2578" customFormat="false" ht="15" hidden="false" customHeight="false" outlineLevel="0" collapsed="false">
      <c r="A2578" s="57" t="s">
        <v>3145</v>
      </c>
      <c r="B2578" s="58" t="n">
        <v>45973</v>
      </c>
      <c r="C2578" s="57" t="n">
        <f aca="false">YEAR(B2578)</f>
        <v>2025</v>
      </c>
      <c r="D2578" s="57" t="n">
        <f aca="false">MONTH(B2578)</f>
        <v>11</v>
      </c>
      <c r="E2578" s="57" t="s">
        <v>277</v>
      </c>
      <c r="F2578" s="57" t="s">
        <v>75</v>
      </c>
      <c r="G2578" s="57" t="s">
        <v>35</v>
      </c>
      <c r="H2578" s="57" t="s">
        <v>38</v>
      </c>
      <c r="I2578" s="59" t="n">
        <v>3</v>
      </c>
      <c r="J2578" s="60" t="n">
        <v>49</v>
      </c>
      <c r="K2578" s="60" t="n">
        <v>22</v>
      </c>
      <c r="L2578" s="61" t="n">
        <f aca="false">I2578*J2578</f>
        <v>147</v>
      </c>
      <c r="M2578" s="61" t="n">
        <f aca="false">L2578-I2578*K2578</f>
        <v>81</v>
      </c>
      <c r="N2578" s="57" t="n">
        <f aca="false">IF(COUNTIFS(E$2:E2578,E2578,C$2:C2578,C2578)=1,1,0)</f>
        <v>0</v>
      </c>
      <c r="O2578" s="57" t="n">
        <f aca="false">IF(COUNTIFS(E$2:E2578,E2578,C$2:C2578,C2578,D$2:D2578,D2578)=1,1,0)</f>
        <v>1</v>
      </c>
      <c r="P2578" s="57" t="n">
        <f aca="false">IF(AND(C2578=Calc!$C$3,OR(Calc!$C$4=0,D2578=Calc!$C$4)),ROW(),0)</f>
        <v>2578</v>
      </c>
    </row>
    <row r="2579" customFormat="false" ht="15" hidden="false" customHeight="false" outlineLevel="0" collapsed="false">
      <c r="A2579" s="57" t="s">
        <v>3146</v>
      </c>
      <c r="B2579" s="58" t="n">
        <v>45974</v>
      </c>
      <c r="C2579" s="57" t="n">
        <f aca="false">YEAR(B2579)</f>
        <v>2025</v>
      </c>
      <c r="D2579" s="57" t="n">
        <f aca="false">MONTH(B2579)</f>
        <v>11</v>
      </c>
      <c r="E2579" s="57" t="s">
        <v>1862</v>
      </c>
      <c r="F2579" s="57" t="s">
        <v>75</v>
      </c>
      <c r="G2579" s="57" t="s">
        <v>45</v>
      </c>
      <c r="H2579" s="57" t="s">
        <v>47</v>
      </c>
      <c r="I2579" s="59" t="n">
        <v>2</v>
      </c>
      <c r="J2579" s="60" t="n">
        <v>34</v>
      </c>
      <c r="K2579" s="60" t="n">
        <v>12</v>
      </c>
      <c r="L2579" s="61" t="n">
        <f aca="false">I2579*J2579</f>
        <v>68</v>
      </c>
      <c r="M2579" s="61" t="n">
        <f aca="false">L2579-I2579*K2579</f>
        <v>44</v>
      </c>
      <c r="N2579" s="57" t="n">
        <f aca="false">IF(COUNTIFS(E$2:E2579,E2579,C$2:C2579,C2579)=1,1,0)</f>
        <v>0</v>
      </c>
      <c r="O2579" s="57" t="n">
        <f aca="false">IF(COUNTIFS(E$2:E2579,E2579,C$2:C2579,C2579,D$2:D2579,D2579)=1,1,0)</f>
        <v>1</v>
      </c>
      <c r="P2579" s="57" t="n">
        <f aca="false">IF(AND(C2579=Calc!$C$3,OR(Calc!$C$4=0,D2579=Calc!$C$4)),ROW(),0)</f>
        <v>2579</v>
      </c>
    </row>
    <row r="2580" customFormat="false" ht="15" hidden="false" customHeight="false" outlineLevel="0" collapsed="false">
      <c r="A2580" s="57" t="s">
        <v>3147</v>
      </c>
      <c r="B2580" s="58" t="n">
        <v>45974</v>
      </c>
      <c r="C2580" s="57" t="n">
        <f aca="false">YEAR(B2580)</f>
        <v>2025</v>
      </c>
      <c r="D2580" s="57" t="n">
        <f aca="false">MONTH(B2580)</f>
        <v>11</v>
      </c>
      <c r="E2580" s="57" t="s">
        <v>2182</v>
      </c>
      <c r="F2580" s="57" t="s">
        <v>69</v>
      </c>
      <c r="G2580" s="57" t="s">
        <v>35</v>
      </c>
      <c r="H2580" s="57" t="s">
        <v>38</v>
      </c>
      <c r="I2580" s="59" t="n">
        <v>1</v>
      </c>
      <c r="J2580" s="60" t="n">
        <v>49</v>
      </c>
      <c r="K2580" s="60" t="n">
        <v>22</v>
      </c>
      <c r="L2580" s="61" t="n">
        <f aca="false">I2580*J2580</f>
        <v>49</v>
      </c>
      <c r="M2580" s="61" t="n">
        <f aca="false">L2580-I2580*K2580</f>
        <v>27</v>
      </c>
      <c r="N2580" s="57" t="n">
        <f aca="false">IF(COUNTIFS(E$2:E2580,E2580,C$2:C2580,C2580)=1,1,0)</f>
        <v>0</v>
      </c>
      <c r="O2580" s="57" t="n">
        <f aca="false">IF(COUNTIFS(E$2:E2580,E2580,C$2:C2580,C2580,D$2:D2580,D2580)=1,1,0)</f>
        <v>1</v>
      </c>
      <c r="P2580" s="57" t="n">
        <f aca="false">IF(AND(C2580=Calc!$C$3,OR(Calc!$C$4=0,D2580=Calc!$C$4)),ROW(),0)</f>
        <v>2580</v>
      </c>
    </row>
    <row r="2581" customFormat="false" ht="15" hidden="false" customHeight="false" outlineLevel="0" collapsed="false">
      <c r="A2581" s="57" t="s">
        <v>3148</v>
      </c>
      <c r="B2581" s="58" t="n">
        <v>45974</v>
      </c>
      <c r="C2581" s="57" t="n">
        <f aca="false">YEAR(B2581)</f>
        <v>2025</v>
      </c>
      <c r="D2581" s="57" t="n">
        <f aca="false">MONTH(B2581)</f>
        <v>11</v>
      </c>
      <c r="E2581" s="57" t="s">
        <v>1092</v>
      </c>
      <c r="F2581" s="57" t="s">
        <v>75</v>
      </c>
      <c r="G2581" s="57" t="s">
        <v>35</v>
      </c>
      <c r="H2581" s="57" t="s">
        <v>37</v>
      </c>
      <c r="I2581" s="59" t="n">
        <v>1</v>
      </c>
      <c r="J2581" s="60" t="n">
        <v>59</v>
      </c>
      <c r="K2581" s="60" t="n">
        <v>27</v>
      </c>
      <c r="L2581" s="61" t="n">
        <f aca="false">I2581*J2581</f>
        <v>59</v>
      </c>
      <c r="M2581" s="61" t="n">
        <f aca="false">L2581-I2581*K2581</f>
        <v>32</v>
      </c>
      <c r="N2581" s="57" t="n">
        <f aca="false">IF(COUNTIFS(E$2:E2581,E2581,C$2:C2581,C2581)=1,1,0)</f>
        <v>0</v>
      </c>
      <c r="O2581" s="57" t="n">
        <f aca="false">IF(COUNTIFS(E$2:E2581,E2581,C$2:C2581,C2581,D$2:D2581,D2581)=1,1,0)</f>
        <v>1</v>
      </c>
      <c r="P2581" s="57" t="n">
        <f aca="false">IF(AND(C2581=Calc!$C$3,OR(Calc!$C$4=0,D2581=Calc!$C$4)),ROW(),0)</f>
        <v>2581</v>
      </c>
    </row>
    <row r="2582" customFormat="false" ht="15" hidden="false" customHeight="false" outlineLevel="0" collapsed="false">
      <c r="A2582" s="57" t="s">
        <v>3149</v>
      </c>
      <c r="B2582" s="58" t="n">
        <v>45974</v>
      </c>
      <c r="C2582" s="57" t="n">
        <f aca="false">YEAR(B2582)</f>
        <v>2025</v>
      </c>
      <c r="D2582" s="57" t="n">
        <f aca="false">MONTH(B2582)</f>
        <v>11</v>
      </c>
      <c r="E2582" s="57" t="s">
        <v>344</v>
      </c>
      <c r="F2582" s="57" t="s">
        <v>81</v>
      </c>
      <c r="G2582" s="57" t="s">
        <v>45</v>
      </c>
      <c r="H2582" s="57" t="s">
        <v>47</v>
      </c>
      <c r="I2582" s="59" t="n">
        <v>1</v>
      </c>
      <c r="J2582" s="60" t="n">
        <v>34</v>
      </c>
      <c r="K2582" s="60" t="n">
        <v>12</v>
      </c>
      <c r="L2582" s="61" t="n">
        <f aca="false">I2582*J2582</f>
        <v>34</v>
      </c>
      <c r="M2582" s="61" t="n">
        <f aca="false">L2582-I2582*K2582</f>
        <v>22</v>
      </c>
      <c r="N2582" s="57" t="n">
        <f aca="false">IF(COUNTIFS(E$2:E2582,E2582,C$2:C2582,C2582)=1,1,0)</f>
        <v>0</v>
      </c>
      <c r="O2582" s="57" t="n">
        <f aca="false">IF(COUNTIFS(E$2:E2582,E2582,C$2:C2582,C2582,D$2:D2582,D2582)=1,1,0)</f>
        <v>1</v>
      </c>
      <c r="P2582" s="57" t="n">
        <f aca="false">IF(AND(C2582=Calc!$C$3,OR(Calc!$C$4=0,D2582=Calc!$C$4)),ROW(),0)</f>
        <v>2582</v>
      </c>
    </row>
    <row r="2583" customFormat="false" ht="15" hidden="false" customHeight="false" outlineLevel="0" collapsed="false">
      <c r="A2583" s="57" t="s">
        <v>3150</v>
      </c>
      <c r="B2583" s="58" t="n">
        <v>45974</v>
      </c>
      <c r="C2583" s="57" t="n">
        <f aca="false">YEAR(B2583)</f>
        <v>2025</v>
      </c>
      <c r="D2583" s="57" t="n">
        <f aca="false">MONTH(B2583)</f>
        <v>11</v>
      </c>
      <c r="E2583" s="57" t="s">
        <v>978</v>
      </c>
      <c r="F2583" s="57" t="s">
        <v>75</v>
      </c>
      <c r="G2583" s="57" t="s">
        <v>50</v>
      </c>
      <c r="H2583" s="57" t="s">
        <v>52</v>
      </c>
      <c r="I2583" s="59" t="n">
        <v>1</v>
      </c>
      <c r="J2583" s="60" t="n">
        <v>45</v>
      </c>
      <c r="K2583" s="60" t="n">
        <v>14</v>
      </c>
      <c r="L2583" s="61" t="n">
        <f aca="false">I2583*J2583</f>
        <v>45</v>
      </c>
      <c r="M2583" s="61" t="n">
        <f aca="false">L2583-I2583*K2583</f>
        <v>31</v>
      </c>
      <c r="N2583" s="57" t="n">
        <f aca="false">IF(COUNTIFS(E$2:E2583,E2583,C$2:C2583,C2583)=1,1,0)</f>
        <v>0</v>
      </c>
      <c r="O2583" s="57" t="n">
        <f aca="false">IF(COUNTIFS(E$2:E2583,E2583,C$2:C2583,C2583,D$2:D2583,D2583)=1,1,0)</f>
        <v>1</v>
      </c>
      <c r="P2583" s="57" t="n">
        <f aca="false">IF(AND(C2583=Calc!$C$3,OR(Calc!$C$4=0,D2583=Calc!$C$4)),ROW(),0)</f>
        <v>2583</v>
      </c>
    </row>
    <row r="2584" customFormat="false" ht="15" hidden="false" customHeight="false" outlineLevel="0" collapsed="false">
      <c r="A2584" s="57" t="s">
        <v>3151</v>
      </c>
      <c r="B2584" s="58" t="n">
        <v>45974</v>
      </c>
      <c r="C2584" s="57" t="n">
        <f aca="false">YEAR(B2584)</f>
        <v>2025</v>
      </c>
      <c r="D2584" s="57" t="n">
        <f aca="false">MONTH(B2584)</f>
        <v>11</v>
      </c>
      <c r="E2584" s="57" t="s">
        <v>335</v>
      </c>
      <c r="F2584" s="57" t="s">
        <v>81</v>
      </c>
      <c r="G2584" s="57" t="s">
        <v>50</v>
      </c>
      <c r="H2584" s="57" t="s">
        <v>51</v>
      </c>
      <c r="I2584" s="59" t="n">
        <v>1</v>
      </c>
      <c r="J2584" s="60" t="n">
        <v>69</v>
      </c>
      <c r="K2584" s="60" t="n">
        <v>29</v>
      </c>
      <c r="L2584" s="61" t="n">
        <f aca="false">I2584*J2584</f>
        <v>69</v>
      </c>
      <c r="M2584" s="61" t="n">
        <f aca="false">L2584-I2584*K2584</f>
        <v>40</v>
      </c>
      <c r="N2584" s="57" t="n">
        <f aca="false">IF(COUNTIFS(E$2:E2584,E2584,C$2:C2584,C2584)=1,1,0)</f>
        <v>0</v>
      </c>
      <c r="O2584" s="57" t="n">
        <f aca="false">IF(COUNTIFS(E$2:E2584,E2584,C$2:C2584,C2584,D$2:D2584,D2584)=1,1,0)</f>
        <v>1</v>
      </c>
      <c r="P2584" s="57" t="n">
        <f aca="false">IF(AND(C2584=Calc!$C$3,OR(Calc!$C$4=0,D2584=Calc!$C$4)),ROW(),0)</f>
        <v>2584</v>
      </c>
    </row>
    <row r="2585" customFormat="false" ht="15" hidden="false" customHeight="false" outlineLevel="0" collapsed="false">
      <c r="A2585" s="57" t="s">
        <v>3152</v>
      </c>
      <c r="B2585" s="58" t="n">
        <v>45975</v>
      </c>
      <c r="C2585" s="57" t="n">
        <f aca="false">YEAR(B2585)</f>
        <v>2025</v>
      </c>
      <c r="D2585" s="57" t="n">
        <f aca="false">MONTH(B2585)</f>
        <v>11</v>
      </c>
      <c r="E2585" s="57" t="s">
        <v>183</v>
      </c>
      <c r="F2585" s="57" t="s">
        <v>72</v>
      </c>
      <c r="G2585" s="57" t="s">
        <v>40</v>
      </c>
      <c r="H2585" s="57" t="s">
        <v>43</v>
      </c>
      <c r="I2585" s="59" t="n">
        <v>1</v>
      </c>
      <c r="J2585" s="60" t="n">
        <v>29</v>
      </c>
      <c r="K2585" s="60" t="n">
        <v>9</v>
      </c>
      <c r="L2585" s="61" t="n">
        <f aca="false">I2585*J2585</f>
        <v>29</v>
      </c>
      <c r="M2585" s="61" t="n">
        <f aca="false">L2585-I2585*K2585</f>
        <v>20</v>
      </c>
      <c r="N2585" s="57" t="n">
        <f aca="false">IF(COUNTIFS(E$2:E2585,E2585,C$2:C2585,C2585)=1,1,0)</f>
        <v>0</v>
      </c>
      <c r="O2585" s="57" t="n">
        <f aca="false">IF(COUNTIFS(E$2:E2585,E2585,C$2:C2585,C2585,D$2:D2585,D2585)=1,1,0)</f>
        <v>0</v>
      </c>
      <c r="P2585" s="57" t="n">
        <f aca="false">IF(AND(C2585=Calc!$C$3,OR(Calc!$C$4=0,D2585=Calc!$C$4)),ROW(),0)</f>
        <v>2585</v>
      </c>
    </row>
    <row r="2586" customFormat="false" ht="15" hidden="false" customHeight="false" outlineLevel="0" collapsed="false">
      <c r="A2586" s="57" t="s">
        <v>3153</v>
      </c>
      <c r="B2586" s="58" t="n">
        <v>45975</v>
      </c>
      <c r="C2586" s="57" t="n">
        <f aca="false">YEAR(B2586)</f>
        <v>2025</v>
      </c>
      <c r="D2586" s="57" t="n">
        <f aca="false">MONTH(B2586)</f>
        <v>11</v>
      </c>
      <c r="E2586" s="57" t="s">
        <v>458</v>
      </c>
      <c r="F2586" s="57" t="s">
        <v>81</v>
      </c>
      <c r="G2586" s="57" t="s">
        <v>45</v>
      </c>
      <c r="H2586" s="57" t="s">
        <v>48</v>
      </c>
      <c r="I2586" s="59" t="n">
        <v>1</v>
      </c>
      <c r="J2586" s="60" t="n">
        <v>99</v>
      </c>
      <c r="K2586" s="60" t="n">
        <v>38</v>
      </c>
      <c r="L2586" s="61" t="n">
        <f aca="false">I2586*J2586</f>
        <v>99</v>
      </c>
      <c r="M2586" s="61" t="n">
        <f aca="false">L2586-I2586*K2586</f>
        <v>61</v>
      </c>
      <c r="N2586" s="57" t="n">
        <f aca="false">IF(COUNTIFS(E$2:E2586,E2586,C$2:C2586,C2586)=1,1,0)</f>
        <v>1</v>
      </c>
      <c r="O2586" s="57" t="n">
        <f aca="false">IF(COUNTIFS(E$2:E2586,E2586,C$2:C2586,C2586,D$2:D2586,D2586)=1,1,0)</f>
        <v>1</v>
      </c>
      <c r="P2586" s="57" t="n">
        <f aca="false">IF(AND(C2586=Calc!$C$3,OR(Calc!$C$4=0,D2586=Calc!$C$4)),ROW(),0)</f>
        <v>2586</v>
      </c>
    </row>
    <row r="2587" customFormat="false" ht="15" hidden="false" customHeight="false" outlineLevel="0" collapsed="false">
      <c r="A2587" s="57" t="s">
        <v>3154</v>
      </c>
      <c r="B2587" s="58" t="n">
        <v>45975</v>
      </c>
      <c r="C2587" s="57" t="n">
        <f aca="false">YEAR(B2587)</f>
        <v>2025</v>
      </c>
      <c r="D2587" s="57" t="n">
        <f aca="false">MONTH(B2587)</f>
        <v>11</v>
      </c>
      <c r="E2587" s="57" t="s">
        <v>300</v>
      </c>
      <c r="F2587" s="57" t="s">
        <v>81</v>
      </c>
      <c r="G2587" s="57" t="s">
        <v>35</v>
      </c>
      <c r="H2587" s="57" t="s">
        <v>37</v>
      </c>
      <c r="I2587" s="59" t="n">
        <v>1</v>
      </c>
      <c r="J2587" s="60" t="n">
        <v>59</v>
      </c>
      <c r="K2587" s="60" t="n">
        <v>27</v>
      </c>
      <c r="L2587" s="61" t="n">
        <f aca="false">I2587*J2587</f>
        <v>59</v>
      </c>
      <c r="M2587" s="61" t="n">
        <f aca="false">L2587-I2587*K2587</f>
        <v>32</v>
      </c>
      <c r="N2587" s="57" t="n">
        <f aca="false">IF(COUNTIFS(E$2:E2587,E2587,C$2:C2587,C2587)=1,1,0)</f>
        <v>0</v>
      </c>
      <c r="O2587" s="57" t="n">
        <f aca="false">IF(COUNTIFS(E$2:E2587,E2587,C$2:C2587,C2587,D$2:D2587,D2587)=1,1,0)</f>
        <v>1</v>
      </c>
      <c r="P2587" s="57" t="n">
        <f aca="false">IF(AND(C2587=Calc!$C$3,OR(Calc!$C$4=0,D2587=Calc!$C$4)),ROW(),0)</f>
        <v>2587</v>
      </c>
    </row>
    <row r="2588" customFormat="false" ht="15" hidden="false" customHeight="false" outlineLevel="0" collapsed="false">
      <c r="A2588" s="57" t="s">
        <v>3155</v>
      </c>
      <c r="B2588" s="58" t="n">
        <v>45975</v>
      </c>
      <c r="C2588" s="57" t="n">
        <f aca="false">YEAR(B2588)</f>
        <v>2025</v>
      </c>
      <c r="D2588" s="57" t="n">
        <f aca="false">MONTH(B2588)</f>
        <v>11</v>
      </c>
      <c r="E2588" s="57" t="s">
        <v>479</v>
      </c>
      <c r="F2588" s="57" t="s">
        <v>72</v>
      </c>
      <c r="G2588" s="57" t="s">
        <v>35</v>
      </c>
      <c r="H2588" s="57" t="s">
        <v>34</v>
      </c>
      <c r="I2588" s="59" t="n">
        <v>1</v>
      </c>
      <c r="J2588" s="60" t="n">
        <v>89</v>
      </c>
      <c r="K2588" s="60" t="n">
        <v>41</v>
      </c>
      <c r="L2588" s="61" t="n">
        <f aca="false">I2588*J2588</f>
        <v>89</v>
      </c>
      <c r="M2588" s="61" t="n">
        <f aca="false">L2588-I2588*K2588</f>
        <v>48</v>
      </c>
      <c r="N2588" s="57" t="n">
        <f aca="false">IF(COUNTIFS(E$2:E2588,E2588,C$2:C2588,C2588)=1,1,0)</f>
        <v>0</v>
      </c>
      <c r="O2588" s="57" t="n">
        <f aca="false">IF(COUNTIFS(E$2:E2588,E2588,C$2:C2588,C2588,D$2:D2588,D2588)=1,1,0)</f>
        <v>1</v>
      </c>
      <c r="P2588" s="57" t="n">
        <f aca="false">IF(AND(C2588=Calc!$C$3,OR(Calc!$C$4=0,D2588=Calc!$C$4)),ROW(),0)</f>
        <v>2588</v>
      </c>
    </row>
    <row r="2589" customFormat="false" ht="15" hidden="false" customHeight="false" outlineLevel="0" collapsed="false">
      <c r="A2589" s="57" t="s">
        <v>3156</v>
      </c>
      <c r="B2589" s="58" t="n">
        <v>45976</v>
      </c>
      <c r="C2589" s="57" t="n">
        <f aca="false">YEAR(B2589)</f>
        <v>2025</v>
      </c>
      <c r="D2589" s="57" t="n">
        <f aca="false">MONTH(B2589)</f>
        <v>11</v>
      </c>
      <c r="E2589" s="57" t="s">
        <v>3036</v>
      </c>
      <c r="F2589" s="57" t="s">
        <v>75</v>
      </c>
      <c r="G2589" s="57" t="s">
        <v>54</v>
      </c>
      <c r="H2589" s="57" t="s">
        <v>56</v>
      </c>
      <c r="I2589" s="59" t="n">
        <v>2</v>
      </c>
      <c r="J2589" s="60" t="n">
        <v>42</v>
      </c>
      <c r="K2589" s="60" t="n">
        <v>17</v>
      </c>
      <c r="L2589" s="61" t="n">
        <f aca="false">I2589*J2589</f>
        <v>84</v>
      </c>
      <c r="M2589" s="61" t="n">
        <f aca="false">L2589-I2589*K2589</f>
        <v>50</v>
      </c>
      <c r="N2589" s="57" t="n">
        <f aca="false">IF(COUNTIFS(E$2:E2589,E2589,C$2:C2589,C2589)=1,1,0)</f>
        <v>0</v>
      </c>
      <c r="O2589" s="57" t="n">
        <f aca="false">IF(COUNTIFS(E$2:E2589,E2589,C$2:C2589,C2589,D$2:D2589,D2589)=1,1,0)</f>
        <v>1</v>
      </c>
      <c r="P2589" s="57" t="n">
        <f aca="false">IF(AND(C2589=Calc!$C$3,OR(Calc!$C$4=0,D2589=Calc!$C$4)),ROW(),0)</f>
        <v>2589</v>
      </c>
    </row>
    <row r="2590" customFormat="false" ht="15" hidden="false" customHeight="false" outlineLevel="0" collapsed="false">
      <c r="A2590" s="57" t="s">
        <v>3157</v>
      </c>
      <c r="B2590" s="58" t="n">
        <v>45976</v>
      </c>
      <c r="C2590" s="57" t="n">
        <f aca="false">YEAR(B2590)</f>
        <v>2025</v>
      </c>
      <c r="D2590" s="57" t="n">
        <f aca="false">MONTH(B2590)</f>
        <v>11</v>
      </c>
      <c r="E2590" s="57" t="s">
        <v>1602</v>
      </c>
      <c r="F2590" s="57" t="s">
        <v>81</v>
      </c>
      <c r="G2590" s="57" t="s">
        <v>50</v>
      </c>
      <c r="H2590" s="57" t="s">
        <v>52</v>
      </c>
      <c r="I2590" s="59" t="n">
        <v>1</v>
      </c>
      <c r="J2590" s="60" t="n">
        <v>45</v>
      </c>
      <c r="K2590" s="60" t="n">
        <v>14</v>
      </c>
      <c r="L2590" s="61" t="n">
        <f aca="false">I2590*J2590</f>
        <v>45</v>
      </c>
      <c r="M2590" s="61" t="n">
        <f aca="false">L2590-I2590*K2590</f>
        <v>31</v>
      </c>
      <c r="N2590" s="57" t="n">
        <f aca="false">IF(COUNTIFS(E$2:E2590,E2590,C$2:C2590,C2590)=1,1,0)</f>
        <v>0</v>
      </c>
      <c r="O2590" s="57" t="n">
        <f aca="false">IF(COUNTIFS(E$2:E2590,E2590,C$2:C2590,C2590,D$2:D2590,D2590)=1,1,0)</f>
        <v>0</v>
      </c>
      <c r="P2590" s="57" t="n">
        <f aca="false">IF(AND(C2590=Calc!$C$3,OR(Calc!$C$4=0,D2590=Calc!$C$4)),ROW(),0)</f>
        <v>2590</v>
      </c>
    </row>
    <row r="2591" customFormat="false" ht="15" hidden="false" customHeight="false" outlineLevel="0" collapsed="false">
      <c r="A2591" s="57" t="s">
        <v>3158</v>
      </c>
      <c r="B2591" s="58" t="n">
        <v>45976</v>
      </c>
      <c r="C2591" s="57" t="n">
        <f aca="false">YEAR(B2591)</f>
        <v>2025</v>
      </c>
      <c r="D2591" s="57" t="n">
        <f aca="false">MONTH(B2591)</f>
        <v>11</v>
      </c>
      <c r="E2591" s="57" t="s">
        <v>1145</v>
      </c>
      <c r="F2591" s="57" t="s">
        <v>78</v>
      </c>
      <c r="G2591" s="57" t="s">
        <v>50</v>
      </c>
      <c r="H2591" s="57" t="s">
        <v>51</v>
      </c>
      <c r="I2591" s="59" t="n">
        <v>2</v>
      </c>
      <c r="J2591" s="60" t="n">
        <v>69</v>
      </c>
      <c r="K2591" s="60" t="n">
        <v>29</v>
      </c>
      <c r="L2591" s="61" t="n">
        <f aca="false">I2591*J2591</f>
        <v>138</v>
      </c>
      <c r="M2591" s="61" t="n">
        <f aca="false">L2591-I2591*K2591</f>
        <v>80</v>
      </c>
      <c r="N2591" s="57" t="n">
        <f aca="false">IF(COUNTIFS(E$2:E2591,E2591,C$2:C2591,C2591)=1,1,0)</f>
        <v>0</v>
      </c>
      <c r="O2591" s="57" t="n">
        <f aca="false">IF(COUNTIFS(E$2:E2591,E2591,C$2:C2591,C2591,D$2:D2591,D2591)=1,1,0)</f>
        <v>1</v>
      </c>
      <c r="P2591" s="57" t="n">
        <f aca="false">IF(AND(C2591=Calc!$C$3,OR(Calc!$C$4=0,D2591=Calc!$C$4)),ROW(),0)</f>
        <v>2591</v>
      </c>
    </row>
    <row r="2592" customFormat="false" ht="15" hidden="false" customHeight="false" outlineLevel="0" collapsed="false">
      <c r="A2592" s="57" t="s">
        <v>3159</v>
      </c>
      <c r="B2592" s="58" t="n">
        <v>45976</v>
      </c>
      <c r="C2592" s="57" t="n">
        <f aca="false">YEAR(B2592)</f>
        <v>2025</v>
      </c>
      <c r="D2592" s="57" t="n">
        <f aca="false">MONTH(B2592)</f>
        <v>11</v>
      </c>
      <c r="E2592" s="57" t="s">
        <v>2102</v>
      </c>
      <c r="F2592" s="57" t="s">
        <v>78</v>
      </c>
      <c r="G2592" s="57" t="s">
        <v>35</v>
      </c>
      <c r="H2592" s="57" t="s">
        <v>36</v>
      </c>
      <c r="I2592" s="59" t="n">
        <v>1</v>
      </c>
      <c r="J2592" s="60" t="n">
        <v>179</v>
      </c>
      <c r="K2592" s="60" t="n">
        <v>92</v>
      </c>
      <c r="L2592" s="61" t="n">
        <f aca="false">I2592*J2592</f>
        <v>179</v>
      </c>
      <c r="M2592" s="61" t="n">
        <f aca="false">L2592-I2592*K2592</f>
        <v>87</v>
      </c>
      <c r="N2592" s="57" t="n">
        <f aca="false">IF(COUNTIFS(E$2:E2592,E2592,C$2:C2592,C2592)=1,1,0)</f>
        <v>0</v>
      </c>
      <c r="O2592" s="57" t="n">
        <f aca="false">IF(COUNTIFS(E$2:E2592,E2592,C$2:C2592,C2592,D$2:D2592,D2592)=1,1,0)</f>
        <v>1</v>
      </c>
      <c r="P2592" s="57" t="n">
        <f aca="false">IF(AND(C2592=Calc!$C$3,OR(Calc!$C$4=0,D2592=Calc!$C$4)),ROW(),0)</f>
        <v>2592</v>
      </c>
    </row>
    <row r="2593" customFormat="false" ht="15" hidden="false" customHeight="false" outlineLevel="0" collapsed="false">
      <c r="A2593" s="57" t="s">
        <v>3160</v>
      </c>
      <c r="B2593" s="58" t="n">
        <v>45976</v>
      </c>
      <c r="C2593" s="57" t="n">
        <f aca="false">YEAR(B2593)</f>
        <v>2025</v>
      </c>
      <c r="D2593" s="57" t="n">
        <f aca="false">MONTH(B2593)</f>
        <v>11</v>
      </c>
      <c r="E2593" s="57" t="s">
        <v>823</v>
      </c>
      <c r="F2593" s="57" t="s">
        <v>81</v>
      </c>
      <c r="G2593" s="57" t="s">
        <v>54</v>
      </c>
      <c r="H2593" s="57" t="s">
        <v>53</v>
      </c>
      <c r="I2593" s="59" t="n">
        <v>1</v>
      </c>
      <c r="J2593" s="60" t="n">
        <v>39</v>
      </c>
      <c r="K2593" s="60" t="n">
        <v>13</v>
      </c>
      <c r="L2593" s="61" t="n">
        <f aca="false">I2593*J2593</f>
        <v>39</v>
      </c>
      <c r="M2593" s="61" t="n">
        <f aca="false">L2593-I2593*K2593</f>
        <v>26</v>
      </c>
      <c r="N2593" s="57" t="n">
        <f aca="false">IF(COUNTIFS(E$2:E2593,E2593,C$2:C2593,C2593)=1,1,0)</f>
        <v>0</v>
      </c>
      <c r="O2593" s="57" t="n">
        <f aca="false">IF(COUNTIFS(E$2:E2593,E2593,C$2:C2593,C2593,D$2:D2593,D2593)=1,1,0)</f>
        <v>1</v>
      </c>
      <c r="P2593" s="57" t="n">
        <f aca="false">IF(AND(C2593=Calc!$C$3,OR(Calc!$C$4=0,D2593=Calc!$C$4)),ROW(),0)</f>
        <v>2593</v>
      </c>
    </row>
    <row r="2594" customFormat="false" ht="15" hidden="false" customHeight="false" outlineLevel="0" collapsed="false">
      <c r="A2594" s="57" t="s">
        <v>3161</v>
      </c>
      <c r="B2594" s="58" t="n">
        <v>45977</v>
      </c>
      <c r="C2594" s="57" t="n">
        <f aca="false">YEAR(B2594)</f>
        <v>2025</v>
      </c>
      <c r="D2594" s="57" t="n">
        <f aca="false">MONTH(B2594)</f>
        <v>11</v>
      </c>
      <c r="E2594" s="57" t="s">
        <v>1107</v>
      </c>
      <c r="F2594" s="57" t="s">
        <v>78</v>
      </c>
      <c r="G2594" s="57" t="s">
        <v>45</v>
      </c>
      <c r="H2594" s="57" t="s">
        <v>48</v>
      </c>
      <c r="I2594" s="59" t="n">
        <v>1</v>
      </c>
      <c r="J2594" s="60" t="n">
        <v>99</v>
      </c>
      <c r="K2594" s="60" t="n">
        <v>38</v>
      </c>
      <c r="L2594" s="61" t="n">
        <f aca="false">I2594*J2594</f>
        <v>99</v>
      </c>
      <c r="M2594" s="61" t="n">
        <f aca="false">L2594-I2594*K2594</f>
        <v>61</v>
      </c>
      <c r="N2594" s="57" t="n">
        <f aca="false">IF(COUNTIFS(E$2:E2594,E2594,C$2:C2594,C2594)=1,1,0)</f>
        <v>0</v>
      </c>
      <c r="O2594" s="57" t="n">
        <f aca="false">IF(COUNTIFS(E$2:E2594,E2594,C$2:C2594,C2594,D$2:D2594,D2594)=1,1,0)</f>
        <v>1</v>
      </c>
      <c r="P2594" s="57" t="n">
        <f aca="false">IF(AND(C2594=Calc!$C$3,OR(Calc!$C$4=0,D2594=Calc!$C$4)),ROW(),0)</f>
        <v>2594</v>
      </c>
    </row>
    <row r="2595" customFormat="false" ht="15" hidden="false" customHeight="false" outlineLevel="0" collapsed="false">
      <c r="A2595" s="57" t="s">
        <v>3162</v>
      </c>
      <c r="B2595" s="58" t="n">
        <v>45977</v>
      </c>
      <c r="C2595" s="57" t="n">
        <f aca="false">YEAR(B2595)</f>
        <v>2025</v>
      </c>
      <c r="D2595" s="57" t="n">
        <f aca="false">MONTH(B2595)</f>
        <v>11</v>
      </c>
      <c r="E2595" s="57" t="s">
        <v>506</v>
      </c>
      <c r="F2595" s="57" t="s">
        <v>78</v>
      </c>
      <c r="G2595" s="57" t="s">
        <v>35</v>
      </c>
      <c r="H2595" s="57" t="s">
        <v>36</v>
      </c>
      <c r="I2595" s="59" t="n">
        <v>1</v>
      </c>
      <c r="J2595" s="60" t="n">
        <v>179</v>
      </c>
      <c r="K2595" s="60" t="n">
        <v>92</v>
      </c>
      <c r="L2595" s="61" t="n">
        <f aca="false">I2595*J2595</f>
        <v>179</v>
      </c>
      <c r="M2595" s="61" t="n">
        <f aca="false">L2595-I2595*K2595</f>
        <v>87</v>
      </c>
      <c r="N2595" s="57" t="n">
        <f aca="false">IF(COUNTIFS(E$2:E2595,E2595,C$2:C2595,C2595)=1,1,0)</f>
        <v>0</v>
      </c>
      <c r="O2595" s="57" t="n">
        <f aca="false">IF(COUNTIFS(E$2:E2595,E2595,C$2:C2595,C2595,D$2:D2595,D2595)=1,1,0)</f>
        <v>1</v>
      </c>
      <c r="P2595" s="57" t="n">
        <f aca="false">IF(AND(C2595=Calc!$C$3,OR(Calc!$C$4=0,D2595=Calc!$C$4)),ROW(),0)</f>
        <v>2595</v>
      </c>
    </row>
    <row r="2596" customFormat="false" ht="15" hidden="false" customHeight="false" outlineLevel="0" collapsed="false">
      <c r="A2596" s="57" t="s">
        <v>3163</v>
      </c>
      <c r="B2596" s="58" t="n">
        <v>45977</v>
      </c>
      <c r="C2596" s="57" t="n">
        <f aca="false">YEAR(B2596)</f>
        <v>2025</v>
      </c>
      <c r="D2596" s="57" t="n">
        <f aca="false">MONTH(B2596)</f>
        <v>11</v>
      </c>
      <c r="E2596" s="57" t="s">
        <v>494</v>
      </c>
      <c r="F2596" s="57" t="s">
        <v>78</v>
      </c>
      <c r="G2596" s="57" t="s">
        <v>35</v>
      </c>
      <c r="H2596" s="57" t="s">
        <v>34</v>
      </c>
      <c r="I2596" s="59" t="n">
        <v>1</v>
      </c>
      <c r="J2596" s="60" t="n">
        <v>89</v>
      </c>
      <c r="K2596" s="60" t="n">
        <v>41</v>
      </c>
      <c r="L2596" s="61" t="n">
        <f aca="false">I2596*J2596</f>
        <v>89</v>
      </c>
      <c r="M2596" s="61" t="n">
        <f aca="false">L2596-I2596*K2596</f>
        <v>48</v>
      </c>
      <c r="N2596" s="57" t="n">
        <f aca="false">IF(COUNTIFS(E$2:E2596,E2596,C$2:C2596,C2596)=1,1,0)</f>
        <v>0</v>
      </c>
      <c r="O2596" s="57" t="n">
        <f aca="false">IF(COUNTIFS(E$2:E2596,E2596,C$2:C2596,C2596,D$2:D2596,D2596)=1,1,0)</f>
        <v>1</v>
      </c>
      <c r="P2596" s="57" t="n">
        <f aca="false">IF(AND(C2596=Calc!$C$3,OR(Calc!$C$4=0,D2596=Calc!$C$4)),ROW(),0)</f>
        <v>2596</v>
      </c>
    </row>
    <row r="2597" customFormat="false" ht="15" hidden="false" customHeight="false" outlineLevel="0" collapsed="false">
      <c r="A2597" s="57" t="s">
        <v>3164</v>
      </c>
      <c r="B2597" s="58" t="n">
        <v>45977</v>
      </c>
      <c r="C2597" s="57" t="n">
        <f aca="false">YEAR(B2597)</f>
        <v>2025</v>
      </c>
      <c r="D2597" s="57" t="n">
        <f aca="false">MONTH(B2597)</f>
        <v>11</v>
      </c>
      <c r="E2597" s="57" t="s">
        <v>1101</v>
      </c>
      <c r="F2597" s="57" t="s">
        <v>75</v>
      </c>
      <c r="G2597" s="57" t="s">
        <v>35</v>
      </c>
      <c r="H2597" s="57" t="s">
        <v>36</v>
      </c>
      <c r="I2597" s="59" t="n">
        <v>1</v>
      </c>
      <c r="J2597" s="60" t="n">
        <v>179</v>
      </c>
      <c r="K2597" s="60" t="n">
        <v>92</v>
      </c>
      <c r="L2597" s="61" t="n">
        <f aca="false">I2597*J2597</f>
        <v>179</v>
      </c>
      <c r="M2597" s="61" t="n">
        <f aca="false">L2597-I2597*K2597</f>
        <v>87</v>
      </c>
      <c r="N2597" s="57" t="n">
        <f aca="false">IF(COUNTIFS(E$2:E2597,E2597,C$2:C2597,C2597)=1,1,0)</f>
        <v>0</v>
      </c>
      <c r="O2597" s="57" t="n">
        <f aca="false">IF(COUNTIFS(E$2:E2597,E2597,C$2:C2597,C2597,D$2:D2597,D2597)=1,1,0)</f>
        <v>1</v>
      </c>
      <c r="P2597" s="57" t="n">
        <f aca="false">IF(AND(C2597=Calc!$C$3,OR(Calc!$C$4=0,D2597=Calc!$C$4)),ROW(),0)</f>
        <v>2597</v>
      </c>
    </row>
    <row r="2598" customFormat="false" ht="15" hidden="false" customHeight="false" outlineLevel="0" collapsed="false">
      <c r="A2598" s="57" t="s">
        <v>3165</v>
      </c>
      <c r="B2598" s="58" t="n">
        <v>45977</v>
      </c>
      <c r="C2598" s="57" t="n">
        <f aca="false">YEAR(B2598)</f>
        <v>2025</v>
      </c>
      <c r="D2598" s="57" t="n">
        <f aca="false">MONTH(B2598)</f>
        <v>11</v>
      </c>
      <c r="E2598" s="57" t="s">
        <v>908</v>
      </c>
      <c r="F2598" s="57" t="s">
        <v>72</v>
      </c>
      <c r="G2598" s="57" t="s">
        <v>45</v>
      </c>
      <c r="H2598" s="57" t="s">
        <v>48</v>
      </c>
      <c r="I2598" s="59" t="n">
        <v>1</v>
      </c>
      <c r="J2598" s="60" t="n">
        <v>99</v>
      </c>
      <c r="K2598" s="60" t="n">
        <v>38</v>
      </c>
      <c r="L2598" s="61" t="n">
        <f aca="false">I2598*J2598</f>
        <v>99</v>
      </c>
      <c r="M2598" s="61" t="n">
        <f aca="false">L2598-I2598*K2598</f>
        <v>61</v>
      </c>
      <c r="N2598" s="57" t="n">
        <f aca="false">IF(COUNTIFS(E$2:E2598,E2598,C$2:C2598,C2598)=1,1,0)</f>
        <v>0</v>
      </c>
      <c r="O2598" s="57" t="n">
        <f aca="false">IF(COUNTIFS(E$2:E2598,E2598,C$2:C2598,C2598,D$2:D2598,D2598)=1,1,0)</f>
        <v>1</v>
      </c>
      <c r="P2598" s="57" t="n">
        <f aca="false">IF(AND(C2598=Calc!$C$3,OR(Calc!$C$4=0,D2598=Calc!$C$4)),ROW(),0)</f>
        <v>2598</v>
      </c>
    </row>
    <row r="2599" customFormat="false" ht="15" hidden="false" customHeight="false" outlineLevel="0" collapsed="false">
      <c r="A2599" s="57" t="s">
        <v>3166</v>
      </c>
      <c r="B2599" s="58" t="n">
        <v>45978</v>
      </c>
      <c r="C2599" s="57" t="n">
        <f aca="false">YEAR(B2599)</f>
        <v>2025</v>
      </c>
      <c r="D2599" s="57" t="n">
        <f aca="false">MONTH(B2599)</f>
        <v>11</v>
      </c>
      <c r="E2599" s="57" t="s">
        <v>734</v>
      </c>
      <c r="F2599" s="57" t="s">
        <v>69</v>
      </c>
      <c r="G2599" s="57" t="s">
        <v>40</v>
      </c>
      <c r="H2599" s="57" t="s">
        <v>39</v>
      </c>
      <c r="I2599" s="59" t="n">
        <v>1</v>
      </c>
      <c r="J2599" s="60" t="n">
        <v>54</v>
      </c>
      <c r="K2599" s="60" t="n">
        <v>19</v>
      </c>
      <c r="L2599" s="61" t="n">
        <f aca="false">I2599*J2599</f>
        <v>54</v>
      </c>
      <c r="M2599" s="61" t="n">
        <f aca="false">L2599-I2599*K2599</f>
        <v>35</v>
      </c>
      <c r="N2599" s="57" t="n">
        <f aca="false">IF(COUNTIFS(E$2:E2599,E2599,C$2:C2599,C2599)=1,1,0)</f>
        <v>1</v>
      </c>
      <c r="O2599" s="57" t="n">
        <f aca="false">IF(COUNTIFS(E$2:E2599,E2599,C$2:C2599,C2599,D$2:D2599,D2599)=1,1,0)</f>
        <v>1</v>
      </c>
      <c r="P2599" s="57" t="n">
        <f aca="false">IF(AND(C2599=Calc!$C$3,OR(Calc!$C$4=0,D2599=Calc!$C$4)),ROW(),0)</f>
        <v>2599</v>
      </c>
    </row>
    <row r="2600" customFormat="false" ht="15" hidden="false" customHeight="false" outlineLevel="0" collapsed="false">
      <c r="A2600" s="57" t="s">
        <v>3167</v>
      </c>
      <c r="B2600" s="58" t="n">
        <v>45978</v>
      </c>
      <c r="C2600" s="57" t="n">
        <f aca="false">YEAR(B2600)</f>
        <v>2025</v>
      </c>
      <c r="D2600" s="57" t="n">
        <f aca="false">MONTH(B2600)</f>
        <v>11</v>
      </c>
      <c r="E2600" s="57" t="s">
        <v>2040</v>
      </c>
      <c r="F2600" s="57" t="s">
        <v>72</v>
      </c>
      <c r="G2600" s="57" t="s">
        <v>45</v>
      </c>
      <c r="H2600" s="57" t="s">
        <v>47</v>
      </c>
      <c r="I2600" s="59" t="n">
        <v>1</v>
      </c>
      <c r="J2600" s="60" t="n">
        <v>34</v>
      </c>
      <c r="K2600" s="60" t="n">
        <v>12</v>
      </c>
      <c r="L2600" s="61" t="n">
        <f aca="false">I2600*J2600</f>
        <v>34</v>
      </c>
      <c r="M2600" s="61" t="n">
        <f aca="false">L2600-I2600*K2600</f>
        <v>22</v>
      </c>
      <c r="N2600" s="57" t="n">
        <f aca="false">IF(COUNTIFS(E$2:E2600,E2600,C$2:C2600,C2600)=1,1,0)</f>
        <v>0</v>
      </c>
      <c r="O2600" s="57" t="n">
        <f aca="false">IF(COUNTIFS(E$2:E2600,E2600,C$2:C2600,C2600,D$2:D2600,D2600)=1,1,0)</f>
        <v>1</v>
      </c>
      <c r="P2600" s="57" t="n">
        <f aca="false">IF(AND(C2600=Calc!$C$3,OR(Calc!$C$4=0,D2600=Calc!$C$4)),ROW(),0)</f>
        <v>2600</v>
      </c>
    </row>
    <row r="2601" customFormat="false" ht="15" hidden="false" customHeight="false" outlineLevel="0" collapsed="false">
      <c r="A2601" s="57" t="s">
        <v>3168</v>
      </c>
      <c r="B2601" s="58" t="n">
        <v>45978</v>
      </c>
      <c r="C2601" s="57" t="n">
        <f aca="false">YEAR(B2601)</f>
        <v>2025</v>
      </c>
      <c r="D2601" s="57" t="n">
        <f aca="false">MONTH(B2601)</f>
        <v>11</v>
      </c>
      <c r="E2601" s="57" t="s">
        <v>374</v>
      </c>
      <c r="F2601" s="57" t="s">
        <v>69</v>
      </c>
      <c r="G2601" s="57" t="s">
        <v>50</v>
      </c>
      <c r="H2601" s="57" t="s">
        <v>51</v>
      </c>
      <c r="I2601" s="59" t="n">
        <v>1</v>
      </c>
      <c r="J2601" s="60" t="n">
        <v>69</v>
      </c>
      <c r="K2601" s="60" t="n">
        <v>29</v>
      </c>
      <c r="L2601" s="61" t="n">
        <f aca="false">I2601*J2601</f>
        <v>69</v>
      </c>
      <c r="M2601" s="61" t="n">
        <f aca="false">L2601-I2601*K2601</f>
        <v>40</v>
      </c>
      <c r="N2601" s="57" t="n">
        <f aca="false">IF(COUNTIFS(E$2:E2601,E2601,C$2:C2601,C2601)=1,1,0)</f>
        <v>0</v>
      </c>
      <c r="O2601" s="57" t="n">
        <f aca="false">IF(COUNTIFS(E$2:E2601,E2601,C$2:C2601,C2601,D$2:D2601,D2601)=1,1,0)</f>
        <v>1</v>
      </c>
      <c r="P2601" s="57" t="n">
        <f aca="false">IF(AND(C2601=Calc!$C$3,OR(Calc!$C$4=0,D2601=Calc!$C$4)),ROW(),0)</f>
        <v>2601</v>
      </c>
    </row>
    <row r="2602" customFormat="false" ht="15" hidden="false" customHeight="false" outlineLevel="0" collapsed="false">
      <c r="A2602" s="57" t="s">
        <v>3169</v>
      </c>
      <c r="B2602" s="58" t="n">
        <v>45978</v>
      </c>
      <c r="C2602" s="57" t="n">
        <f aca="false">YEAR(B2602)</f>
        <v>2025</v>
      </c>
      <c r="D2602" s="57" t="n">
        <f aca="false">MONTH(B2602)</f>
        <v>11</v>
      </c>
      <c r="E2602" s="57" t="s">
        <v>477</v>
      </c>
      <c r="F2602" s="57" t="s">
        <v>78</v>
      </c>
      <c r="G2602" s="57" t="s">
        <v>40</v>
      </c>
      <c r="H2602" s="57" t="s">
        <v>42</v>
      </c>
      <c r="I2602" s="59" t="n">
        <v>1</v>
      </c>
      <c r="J2602" s="60" t="n">
        <v>79</v>
      </c>
      <c r="K2602" s="60" t="n">
        <v>31</v>
      </c>
      <c r="L2602" s="61" t="n">
        <f aca="false">I2602*J2602</f>
        <v>79</v>
      </c>
      <c r="M2602" s="61" t="n">
        <f aca="false">L2602-I2602*K2602</f>
        <v>48</v>
      </c>
      <c r="N2602" s="57" t="n">
        <f aca="false">IF(COUNTIFS(E$2:E2602,E2602,C$2:C2602,C2602)=1,1,0)</f>
        <v>0</v>
      </c>
      <c r="O2602" s="57" t="n">
        <f aca="false">IF(COUNTIFS(E$2:E2602,E2602,C$2:C2602,C2602,D$2:D2602,D2602)=1,1,0)</f>
        <v>0</v>
      </c>
      <c r="P2602" s="57" t="n">
        <f aca="false">IF(AND(C2602=Calc!$C$3,OR(Calc!$C$4=0,D2602=Calc!$C$4)),ROW(),0)</f>
        <v>2602</v>
      </c>
    </row>
    <row r="2603" customFormat="false" ht="15" hidden="false" customHeight="false" outlineLevel="0" collapsed="false">
      <c r="A2603" s="57" t="s">
        <v>3170</v>
      </c>
      <c r="B2603" s="58" t="n">
        <v>45978</v>
      </c>
      <c r="C2603" s="57" t="n">
        <f aca="false">YEAR(B2603)</f>
        <v>2025</v>
      </c>
      <c r="D2603" s="57" t="n">
        <f aca="false">MONTH(B2603)</f>
        <v>11</v>
      </c>
      <c r="E2603" s="57" t="s">
        <v>1124</v>
      </c>
      <c r="F2603" s="57" t="s">
        <v>75</v>
      </c>
      <c r="G2603" s="57" t="s">
        <v>35</v>
      </c>
      <c r="H2603" s="57" t="s">
        <v>34</v>
      </c>
      <c r="I2603" s="59" t="n">
        <v>1</v>
      </c>
      <c r="J2603" s="60" t="n">
        <v>89</v>
      </c>
      <c r="K2603" s="60" t="n">
        <v>41</v>
      </c>
      <c r="L2603" s="61" t="n">
        <f aca="false">I2603*J2603</f>
        <v>89</v>
      </c>
      <c r="M2603" s="61" t="n">
        <f aca="false">L2603-I2603*K2603</f>
        <v>48</v>
      </c>
      <c r="N2603" s="57" t="n">
        <f aca="false">IF(COUNTIFS(E$2:E2603,E2603,C$2:C2603,C2603)=1,1,0)</f>
        <v>0</v>
      </c>
      <c r="O2603" s="57" t="n">
        <f aca="false">IF(COUNTIFS(E$2:E2603,E2603,C$2:C2603,C2603,D$2:D2603,D2603)=1,1,0)</f>
        <v>0</v>
      </c>
      <c r="P2603" s="57" t="n">
        <f aca="false">IF(AND(C2603=Calc!$C$3,OR(Calc!$C$4=0,D2603=Calc!$C$4)),ROW(),0)</f>
        <v>2603</v>
      </c>
    </row>
    <row r="2604" customFormat="false" ht="15" hidden="false" customHeight="false" outlineLevel="0" collapsed="false">
      <c r="A2604" s="57" t="s">
        <v>3171</v>
      </c>
      <c r="B2604" s="58" t="n">
        <v>45978</v>
      </c>
      <c r="C2604" s="57" t="n">
        <f aca="false">YEAR(B2604)</f>
        <v>2025</v>
      </c>
      <c r="D2604" s="57" t="n">
        <f aca="false">MONTH(B2604)</f>
        <v>11</v>
      </c>
      <c r="E2604" s="57" t="s">
        <v>488</v>
      </c>
      <c r="F2604" s="57" t="s">
        <v>69</v>
      </c>
      <c r="G2604" s="57" t="s">
        <v>35</v>
      </c>
      <c r="H2604" s="57" t="s">
        <v>38</v>
      </c>
      <c r="I2604" s="59" t="n">
        <v>2</v>
      </c>
      <c r="J2604" s="60" t="n">
        <v>49</v>
      </c>
      <c r="K2604" s="60" t="n">
        <v>22</v>
      </c>
      <c r="L2604" s="61" t="n">
        <f aca="false">I2604*J2604</f>
        <v>98</v>
      </c>
      <c r="M2604" s="61" t="n">
        <f aca="false">L2604-I2604*K2604</f>
        <v>54</v>
      </c>
      <c r="N2604" s="57" t="n">
        <f aca="false">IF(COUNTIFS(E$2:E2604,E2604,C$2:C2604,C2604)=1,1,0)</f>
        <v>0</v>
      </c>
      <c r="O2604" s="57" t="n">
        <f aca="false">IF(COUNTIFS(E$2:E2604,E2604,C$2:C2604,C2604,D$2:D2604,D2604)=1,1,0)</f>
        <v>0</v>
      </c>
      <c r="P2604" s="57" t="n">
        <f aca="false">IF(AND(C2604=Calc!$C$3,OR(Calc!$C$4=0,D2604=Calc!$C$4)),ROW(),0)</f>
        <v>2604</v>
      </c>
    </row>
    <row r="2605" customFormat="false" ht="15" hidden="false" customHeight="false" outlineLevel="0" collapsed="false">
      <c r="A2605" s="57" t="s">
        <v>3172</v>
      </c>
      <c r="B2605" s="58" t="n">
        <v>45979</v>
      </c>
      <c r="C2605" s="57" t="n">
        <f aca="false">YEAR(B2605)</f>
        <v>2025</v>
      </c>
      <c r="D2605" s="57" t="n">
        <f aca="false">MONTH(B2605)</f>
        <v>11</v>
      </c>
      <c r="E2605" s="57" t="s">
        <v>1980</v>
      </c>
      <c r="F2605" s="57" t="s">
        <v>81</v>
      </c>
      <c r="G2605" s="57" t="s">
        <v>35</v>
      </c>
      <c r="H2605" s="57" t="s">
        <v>38</v>
      </c>
      <c r="I2605" s="59" t="n">
        <v>1</v>
      </c>
      <c r="J2605" s="60" t="n">
        <v>49</v>
      </c>
      <c r="K2605" s="60" t="n">
        <v>22</v>
      </c>
      <c r="L2605" s="61" t="n">
        <f aca="false">I2605*J2605</f>
        <v>49</v>
      </c>
      <c r="M2605" s="61" t="n">
        <f aca="false">L2605-I2605*K2605</f>
        <v>27</v>
      </c>
      <c r="N2605" s="57" t="n">
        <f aca="false">IF(COUNTIFS(E$2:E2605,E2605,C$2:C2605,C2605)=1,1,0)</f>
        <v>0</v>
      </c>
      <c r="O2605" s="57" t="n">
        <f aca="false">IF(COUNTIFS(E$2:E2605,E2605,C$2:C2605,C2605,D$2:D2605,D2605)=1,1,0)</f>
        <v>1</v>
      </c>
      <c r="P2605" s="57" t="n">
        <f aca="false">IF(AND(C2605=Calc!$C$3,OR(Calc!$C$4=0,D2605=Calc!$C$4)),ROW(),0)</f>
        <v>2605</v>
      </c>
    </row>
    <row r="2606" customFormat="false" ht="15" hidden="false" customHeight="false" outlineLevel="0" collapsed="false">
      <c r="A2606" s="57" t="s">
        <v>3173</v>
      </c>
      <c r="B2606" s="58" t="n">
        <v>45979</v>
      </c>
      <c r="C2606" s="57" t="n">
        <f aca="false">YEAR(B2606)</f>
        <v>2025</v>
      </c>
      <c r="D2606" s="57" t="n">
        <f aca="false">MONTH(B2606)</f>
        <v>11</v>
      </c>
      <c r="E2606" s="57" t="s">
        <v>372</v>
      </c>
      <c r="F2606" s="57" t="s">
        <v>81</v>
      </c>
      <c r="G2606" s="57" t="s">
        <v>45</v>
      </c>
      <c r="H2606" s="57" t="s">
        <v>47</v>
      </c>
      <c r="I2606" s="59" t="n">
        <v>2</v>
      </c>
      <c r="J2606" s="60" t="n">
        <v>34</v>
      </c>
      <c r="K2606" s="60" t="n">
        <v>12</v>
      </c>
      <c r="L2606" s="61" t="n">
        <f aca="false">I2606*J2606</f>
        <v>68</v>
      </c>
      <c r="M2606" s="61" t="n">
        <f aca="false">L2606-I2606*K2606</f>
        <v>44</v>
      </c>
      <c r="N2606" s="57" t="n">
        <f aca="false">IF(COUNTIFS(E$2:E2606,E2606,C$2:C2606,C2606)=1,1,0)</f>
        <v>0</v>
      </c>
      <c r="O2606" s="57" t="n">
        <f aca="false">IF(COUNTIFS(E$2:E2606,E2606,C$2:C2606,C2606,D$2:D2606,D2606)=1,1,0)</f>
        <v>1</v>
      </c>
      <c r="P2606" s="57" t="n">
        <f aca="false">IF(AND(C2606=Calc!$C$3,OR(Calc!$C$4=0,D2606=Calc!$C$4)),ROW(),0)</f>
        <v>2606</v>
      </c>
    </row>
    <row r="2607" customFormat="false" ht="15" hidden="false" customHeight="false" outlineLevel="0" collapsed="false">
      <c r="A2607" s="57" t="s">
        <v>3174</v>
      </c>
      <c r="B2607" s="58" t="n">
        <v>45979</v>
      </c>
      <c r="C2607" s="57" t="n">
        <f aca="false">YEAR(B2607)</f>
        <v>2025</v>
      </c>
      <c r="D2607" s="57" t="n">
        <f aca="false">MONTH(B2607)</f>
        <v>11</v>
      </c>
      <c r="E2607" s="57" t="s">
        <v>424</v>
      </c>
      <c r="F2607" s="57" t="s">
        <v>78</v>
      </c>
      <c r="G2607" s="57" t="s">
        <v>45</v>
      </c>
      <c r="H2607" s="57" t="s">
        <v>44</v>
      </c>
      <c r="I2607" s="59" t="n">
        <v>1</v>
      </c>
      <c r="J2607" s="60" t="n">
        <v>119</v>
      </c>
      <c r="K2607" s="60" t="n">
        <v>63</v>
      </c>
      <c r="L2607" s="61" t="n">
        <f aca="false">I2607*J2607</f>
        <v>119</v>
      </c>
      <c r="M2607" s="61" t="n">
        <f aca="false">L2607-I2607*K2607</f>
        <v>56</v>
      </c>
      <c r="N2607" s="57" t="n">
        <f aca="false">IF(COUNTIFS(E$2:E2607,E2607,C$2:C2607,C2607)=1,1,0)</f>
        <v>0</v>
      </c>
      <c r="O2607" s="57" t="n">
        <f aca="false">IF(COUNTIFS(E$2:E2607,E2607,C$2:C2607,C2607,D$2:D2607,D2607)=1,1,0)</f>
        <v>1</v>
      </c>
      <c r="P2607" s="57" t="n">
        <f aca="false">IF(AND(C2607=Calc!$C$3,OR(Calc!$C$4=0,D2607=Calc!$C$4)),ROW(),0)</f>
        <v>2607</v>
      </c>
    </row>
    <row r="2608" customFormat="false" ht="15" hidden="false" customHeight="false" outlineLevel="0" collapsed="false">
      <c r="A2608" s="57" t="s">
        <v>3175</v>
      </c>
      <c r="B2608" s="58" t="n">
        <v>45979</v>
      </c>
      <c r="C2608" s="57" t="n">
        <f aca="false">YEAR(B2608)</f>
        <v>2025</v>
      </c>
      <c r="D2608" s="57" t="n">
        <f aca="false">MONTH(B2608)</f>
        <v>11</v>
      </c>
      <c r="E2608" s="57" t="s">
        <v>1022</v>
      </c>
      <c r="F2608" s="57" t="s">
        <v>75</v>
      </c>
      <c r="G2608" s="57" t="s">
        <v>35</v>
      </c>
      <c r="H2608" s="57" t="s">
        <v>38</v>
      </c>
      <c r="I2608" s="59" t="n">
        <v>1</v>
      </c>
      <c r="J2608" s="60" t="n">
        <v>49</v>
      </c>
      <c r="K2608" s="60" t="n">
        <v>22</v>
      </c>
      <c r="L2608" s="61" t="n">
        <f aca="false">I2608*J2608</f>
        <v>49</v>
      </c>
      <c r="M2608" s="61" t="n">
        <f aca="false">L2608-I2608*K2608</f>
        <v>27</v>
      </c>
      <c r="N2608" s="57" t="n">
        <f aca="false">IF(COUNTIFS(E$2:E2608,E2608,C$2:C2608,C2608)=1,1,0)</f>
        <v>0</v>
      </c>
      <c r="O2608" s="57" t="n">
        <f aca="false">IF(COUNTIFS(E$2:E2608,E2608,C$2:C2608,C2608,D$2:D2608,D2608)=1,1,0)</f>
        <v>1</v>
      </c>
      <c r="P2608" s="57" t="n">
        <f aca="false">IF(AND(C2608=Calc!$C$3,OR(Calc!$C$4=0,D2608=Calc!$C$4)),ROW(),0)</f>
        <v>2608</v>
      </c>
    </row>
    <row r="2609" customFormat="false" ht="15" hidden="false" customHeight="false" outlineLevel="0" collapsed="false">
      <c r="A2609" s="57" t="s">
        <v>3176</v>
      </c>
      <c r="B2609" s="58" t="n">
        <v>45979</v>
      </c>
      <c r="C2609" s="57" t="n">
        <f aca="false">YEAR(B2609)</f>
        <v>2025</v>
      </c>
      <c r="D2609" s="57" t="n">
        <f aca="false">MONTH(B2609)</f>
        <v>11</v>
      </c>
      <c r="E2609" s="57" t="s">
        <v>1302</v>
      </c>
      <c r="F2609" s="57" t="s">
        <v>81</v>
      </c>
      <c r="G2609" s="57" t="s">
        <v>45</v>
      </c>
      <c r="H2609" s="57" t="s">
        <v>48</v>
      </c>
      <c r="I2609" s="59" t="n">
        <v>1</v>
      </c>
      <c r="J2609" s="60" t="n">
        <v>99</v>
      </c>
      <c r="K2609" s="60" t="n">
        <v>38</v>
      </c>
      <c r="L2609" s="61" t="n">
        <f aca="false">I2609*J2609</f>
        <v>99</v>
      </c>
      <c r="M2609" s="61" t="n">
        <f aca="false">L2609-I2609*K2609</f>
        <v>61</v>
      </c>
      <c r="N2609" s="57" t="n">
        <f aca="false">IF(COUNTIFS(E$2:E2609,E2609,C$2:C2609,C2609)=1,1,0)</f>
        <v>0</v>
      </c>
      <c r="O2609" s="57" t="n">
        <f aca="false">IF(COUNTIFS(E$2:E2609,E2609,C$2:C2609,C2609,D$2:D2609,D2609)=1,1,0)</f>
        <v>1</v>
      </c>
      <c r="P2609" s="57" t="n">
        <f aca="false">IF(AND(C2609=Calc!$C$3,OR(Calc!$C$4=0,D2609=Calc!$C$4)),ROW(),0)</f>
        <v>2609</v>
      </c>
    </row>
    <row r="2610" customFormat="false" ht="15" hidden="false" customHeight="false" outlineLevel="0" collapsed="false">
      <c r="A2610" s="57" t="s">
        <v>3177</v>
      </c>
      <c r="B2610" s="58" t="n">
        <v>45980</v>
      </c>
      <c r="C2610" s="57" t="n">
        <f aca="false">YEAR(B2610)</f>
        <v>2025</v>
      </c>
      <c r="D2610" s="57" t="n">
        <f aca="false">MONTH(B2610)</f>
        <v>11</v>
      </c>
      <c r="E2610" s="57" t="s">
        <v>1580</v>
      </c>
      <c r="F2610" s="57" t="s">
        <v>78</v>
      </c>
      <c r="G2610" s="57" t="s">
        <v>45</v>
      </c>
      <c r="H2610" s="57" t="s">
        <v>46</v>
      </c>
      <c r="I2610" s="59" t="n">
        <v>1</v>
      </c>
      <c r="J2610" s="60" t="n">
        <v>149</v>
      </c>
      <c r="K2610" s="60" t="n">
        <v>71</v>
      </c>
      <c r="L2610" s="61" t="n">
        <f aca="false">I2610*J2610</f>
        <v>149</v>
      </c>
      <c r="M2610" s="61" t="n">
        <f aca="false">L2610-I2610*K2610</f>
        <v>78</v>
      </c>
      <c r="N2610" s="57" t="n">
        <f aca="false">IF(COUNTIFS(E$2:E2610,E2610,C$2:C2610,C2610)=1,1,0)</f>
        <v>0</v>
      </c>
      <c r="O2610" s="57" t="n">
        <f aca="false">IF(COUNTIFS(E$2:E2610,E2610,C$2:C2610,C2610,D$2:D2610,D2610)=1,1,0)</f>
        <v>0</v>
      </c>
      <c r="P2610" s="57" t="n">
        <f aca="false">IF(AND(C2610=Calc!$C$3,OR(Calc!$C$4=0,D2610=Calc!$C$4)),ROW(),0)</f>
        <v>2610</v>
      </c>
    </row>
    <row r="2611" customFormat="false" ht="15" hidden="false" customHeight="false" outlineLevel="0" collapsed="false">
      <c r="A2611" s="57" t="s">
        <v>3178</v>
      </c>
      <c r="B2611" s="58" t="n">
        <v>45980</v>
      </c>
      <c r="C2611" s="57" t="n">
        <f aca="false">YEAR(B2611)</f>
        <v>2025</v>
      </c>
      <c r="D2611" s="57" t="n">
        <f aca="false">MONTH(B2611)</f>
        <v>11</v>
      </c>
      <c r="E2611" s="57" t="s">
        <v>594</v>
      </c>
      <c r="F2611" s="57" t="s">
        <v>81</v>
      </c>
      <c r="G2611" s="57" t="s">
        <v>35</v>
      </c>
      <c r="H2611" s="57" t="s">
        <v>36</v>
      </c>
      <c r="I2611" s="59" t="n">
        <v>2</v>
      </c>
      <c r="J2611" s="60" t="n">
        <v>179</v>
      </c>
      <c r="K2611" s="60" t="n">
        <v>92</v>
      </c>
      <c r="L2611" s="61" t="n">
        <f aca="false">I2611*J2611</f>
        <v>358</v>
      </c>
      <c r="M2611" s="61" t="n">
        <f aca="false">L2611-I2611*K2611</f>
        <v>174</v>
      </c>
      <c r="N2611" s="57" t="n">
        <f aca="false">IF(COUNTIFS(E$2:E2611,E2611,C$2:C2611,C2611)=1,1,0)</f>
        <v>0</v>
      </c>
      <c r="O2611" s="57" t="n">
        <f aca="false">IF(COUNTIFS(E$2:E2611,E2611,C$2:C2611,C2611,D$2:D2611,D2611)=1,1,0)</f>
        <v>1</v>
      </c>
      <c r="P2611" s="57" t="n">
        <f aca="false">IF(AND(C2611=Calc!$C$3,OR(Calc!$C$4=0,D2611=Calc!$C$4)),ROW(),0)</f>
        <v>2611</v>
      </c>
    </row>
    <row r="2612" customFormat="false" ht="15" hidden="false" customHeight="false" outlineLevel="0" collapsed="false">
      <c r="A2612" s="57" t="s">
        <v>3179</v>
      </c>
      <c r="B2612" s="58" t="n">
        <v>45980</v>
      </c>
      <c r="C2612" s="57" t="n">
        <f aca="false">YEAR(B2612)</f>
        <v>2025</v>
      </c>
      <c r="D2612" s="57" t="n">
        <f aca="false">MONTH(B2612)</f>
        <v>11</v>
      </c>
      <c r="E2612" s="57" t="s">
        <v>309</v>
      </c>
      <c r="F2612" s="57" t="s">
        <v>81</v>
      </c>
      <c r="G2612" s="57" t="s">
        <v>35</v>
      </c>
      <c r="H2612" s="57" t="s">
        <v>34</v>
      </c>
      <c r="I2612" s="59" t="n">
        <v>2</v>
      </c>
      <c r="J2612" s="60" t="n">
        <v>89</v>
      </c>
      <c r="K2612" s="60" t="n">
        <v>41</v>
      </c>
      <c r="L2612" s="61" t="n">
        <f aca="false">I2612*J2612</f>
        <v>178</v>
      </c>
      <c r="M2612" s="61" t="n">
        <f aca="false">L2612-I2612*K2612</f>
        <v>96</v>
      </c>
      <c r="N2612" s="57" t="n">
        <f aca="false">IF(COUNTIFS(E$2:E2612,E2612,C$2:C2612,C2612)=1,1,0)</f>
        <v>0</v>
      </c>
      <c r="O2612" s="57" t="n">
        <f aca="false">IF(COUNTIFS(E$2:E2612,E2612,C$2:C2612,C2612,D$2:D2612,D2612)=1,1,0)</f>
        <v>1</v>
      </c>
      <c r="P2612" s="57" t="n">
        <f aca="false">IF(AND(C2612=Calc!$C$3,OR(Calc!$C$4=0,D2612=Calc!$C$4)),ROW(),0)</f>
        <v>2612</v>
      </c>
    </row>
    <row r="2613" customFormat="false" ht="15" hidden="false" customHeight="false" outlineLevel="0" collapsed="false">
      <c r="A2613" s="57" t="s">
        <v>3180</v>
      </c>
      <c r="B2613" s="58" t="n">
        <v>45980</v>
      </c>
      <c r="C2613" s="57" t="n">
        <f aca="false">YEAR(B2613)</f>
        <v>2025</v>
      </c>
      <c r="D2613" s="57" t="n">
        <f aca="false">MONTH(B2613)</f>
        <v>11</v>
      </c>
      <c r="E2613" s="57" t="s">
        <v>2003</v>
      </c>
      <c r="F2613" s="57" t="s">
        <v>78</v>
      </c>
      <c r="G2613" s="57" t="s">
        <v>40</v>
      </c>
      <c r="H2613" s="57" t="s">
        <v>41</v>
      </c>
      <c r="I2613" s="59" t="n">
        <v>1</v>
      </c>
      <c r="J2613" s="60" t="n">
        <v>46</v>
      </c>
      <c r="K2613" s="60" t="n">
        <v>16</v>
      </c>
      <c r="L2613" s="61" t="n">
        <f aca="false">I2613*J2613</f>
        <v>46</v>
      </c>
      <c r="M2613" s="61" t="n">
        <f aca="false">L2613-I2613*K2613</f>
        <v>30</v>
      </c>
      <c r="N2613" s="57" t="n">
        <f aca="false">IF(COUNTIFS(E$2:E2613,E2613,C$2:C2613,C2613)=1,1,0)</f>
        <v>0</v>
      </c>
      <c r="O2613" s="57" t="n">
        <f aca="false">IF(COUNTIFS(E$2:E2613,E2613,C$2:C2613,C2613,D$2:D2613,D2613)=1,1,0)</f>
        <v>1</v>
      </c>
      <c r="P2613" s="57" t="n">
        <f aca="false">IF(AND(C2613=Calc!$C$3,OR(Calc!$C$4=0,D2613=Calc!$C$4)),ROW(),0)</f>
        <v>2613</v>
      </c>
    </row>
    <row r="2614" customFormat="false" ht="15" hidden="false" customHeight="false" outlineLevel="0" collapsed="false">
      <c r="A2614" s="57" t="s">
        <v>3181</v>
      </c>
      <c r="B2614" s="58" t="n">
        <v>45980</v>
      </c>
      <c r="C2614" s="57" t="n">
        <f aca="false">YEAR(B2614)</f>
        <v>2025</v>
      </c>
      <c r="D2614" s="57" t="n">
        <f aca="false">MONTH(B2614)</f>
        <v>11</v>
      </c>
      <c r="E2614" s="57" t="s">
        <v>372</v>
      </c>
      <c r="F2614" s="57" t="s">
        <v>81</v>
      </c>
      <c r="G2614" s="57" t="s">
        <v>35</v>
      </c>
      <c r="H2614" s="57" t="s">
        <v>36</v>
      </c>
      <c r="I2614" s="59" t="n">
        <v>1</v>
      </c>
      <c r="J2614" s="60" t="n">
        <v>179</v>
      </c>
      <c r="K2614" s="60" t="n">
        <v>92</v>
      </c>
      <c r="L2614" s="61" t="n">
        <f aca="false">I2614*J2614</f>
        <v>179</v>
      </c>
      <c r="M2614" s="61" t="n">
        <f aca="false">L2614-I2614*K2614</f>
        <v>87</v>
      </c>
      <c r="N2614" s="57" t="n">
        <f aca="false">IF(COUNTIFS(E$2:E2614,E2614,C$2:C2614,C2614)=1,1,0)</f>
        <v>0</v>
      </c>
      <c r="O2614" s="57" t="n">
        <f aca="false">IF(COUNTIFS(E$2:E2614,E2614,C$2:C2614,C2614,D$2:D2614,D2614)=1,1,0)</f>
        <v>0</v>
      </c>
      <c r="P2614" s="57" t="n">
        <f aca="false">IF(AND(C2614=Calc!$C$3,OR(Calc!$C$4=0,D2614=Calc!$C$4)),ROW(),0)</f>
        <v>2614</v>
      </c>
    </row>
    <row r="2615" customFormat="false" ht="15" hidden="false" customHeight="false" outlineLevel="0" collapsed="false">
      <c r="A2615" s="57" t="s">
        <v>3182</v>
      </c>
      <c r="B2615" s="58" t="n">
        <v>45981</v>
      </c>
      <c r="C2615" s="57" t="n">
        <f aca="false">YEAR(B2615)</f>
        <v>2025</v>
      </c>
      <c r="D2615" s="57" t="n">
        <f aca="false">MONTH(B2615)</f>
        <v>11</v>
      </c>
      <c r="E2615" s="57" t="s">
        <v>285</v>
      </c>
      <c r="F2615" s="57" t="s">
        <v>75</v>
      </c>
      <c r="G2615" s="57" t="s">
        <v>35</v>
      </c>
      <c r="H2615" s="57" t="s">
        <v>38</v>
      </c>
      <c r="I2615" s="59" t="n">
        <v>1</v>
      </c>
      <c r="J2615" s="60" t="n">
        <v>49</v>
      </c>
      <c r="K2615" s="60" t="n">
        <v>22</v>
      </c>
      <c r="L2615" s="61" t="n">
        <f aca="false">I2615*J2615</f>
        <v>49</v>
      </c>
      <c r="M2615" s="61" t="n">
        <f aca="false">L2615-I2615*K2615</f>
        <v>27</v>
      </c>
      <c r="N2615" s="57" t="n">
        <f aca="false">IF(COUNTIFS(E$2:E2615,E2615,C$2:C2615,C2615)=1,1,0)</f>
        <v>0</v>
      </c>
      <c r="O2615" s="57" t="n">
        <f aca="false">IF(COUNTIFS(E$2:E2615,E2615,C$2:C2615,C2615,D$2:D2615,D2615)=1,1,0)</f>
        <v>1</v>
      </c>
      <c r="P2615" s="57" t="n">
        <f aca="false">IF(AND(C2615=Calc!$C$3,OR(Calc!$C$4=0,D2615=Calc!$C$4)),ROW(),0)</f>
        <v>2615</v>
      </c>
    </row>
    <row r="2616" customFormat="false" ht="15" hidden="false" customHeight="false" outlineLevel="0" collapsed="false">
      <c r="A2616" s="57" t="s">
        <v>3183</v>
      </c>
      <c r="B2616" s="58" t="n">
        <v>45981</v>
      </c>
      <c r="C2616" s="57" t="n">
        <f aca="false">YEAR(B2616)</f>
        <v>2025</v>
      </c>
      <c r="D2616" s="57" t="n">
        <f aca="false">MONTH(B2616)</f>
        <v>11</v>
      </c>
      <c r="E2616" s="57" t="s">
        <v>80</v>
      </c>
      <c r="F2616" s="57" t="s">
        <v>81</v>
      </c>
      <c r="G2616" s="57" t="s">
        <v>35</v>
      </c>
      <c r="H2616" s="57" t="s">
        <v>38</v>
      </c>
      <c r="I2616" s="59" t="n">
        <v>1</v>
      </c>
      <c r="J2616" s="60" t="n">
        <v>49</v>
      </c>
      <c r="K2616" s="60" t="n">
        <v>22</v>
      </c>
      <c r="L2616" s="61" t="n">
        <f aca="false">I2616*J2616</f>
        <v>49</v>
      </c>
      <c r="M2616" s="61" t="n">
        <f aca="false">L2616-I2616*K2616</f>
        <v>27</v>
      </c>
      <c r="N2616" s="57" t="n">
        <f aca="false">IF(COUNTIFS(E$2:E2616,E2616,C$2:C2616,C2616)=1,1,0)</f>
        <v>0</v>
      </c>
      <c r="O2616" s="57" t="n">
        <f aca="false">IF(COUNTIFS(E$2:E2616,E2616,C$2:C2616,C2616,D$2:D2616,D2616)=1,1,0)</f>
        <v>1</v>
      </c>
      <c r="P2616" s="57" t="n">
        <f aca="false">IF(AND(C2616=Calc!$C$3,OR(Calc!$C$4=0,D2616=Calc!$C$4)),ROW(),0)</f>
        <v>2616</v>
      </c>
    </row>
    <row r="2617" customFormat="false" ht="15" hidden="false" customHeight="false" outlineLevel="0" collapsed="false">
      <c r="A2617" s="57" t="s">
        <v>3184</v>
      </c>
      <c r="B2617" s="58" t="n">
        <v>45981</v>
      </c>
      <c r="C2617" s="57" t="n">
        <f aca="false">YEAR(B2617)</f>
        <v>2025</v>
      </c>
      <c r="D2617" s="57" t="n">
        <f aca="false">MONTH(B2617)</f>
        <v>11</v>
      </c>
      <c r="E2617" s="57" t="s">
        <v>973</v>
      </c>
      <c r="F2617" s="57" t="s">
        <v>78</v>
      </c>
      <c r="G2617" s="57" t="s">
        <v>54</v>
      </c>
      <c r="H2617" s="57" t="s">
        <v>53</v>
      </c>
      <c r="I2617" s="59" t="n">
        <v>1</v>
      </c>
      <c r="J2617" s="60" t="n">
        <v>39</v>
      </c>
      <c r="K2617" s="60" t="n">
        <v>13</v>
      </c>
      <c r="L2617" s="61" t="n">
        <f aca="false">I2617*J2617</f>
        <v>39</v>
      </c>
      <c r="M2617" s="61" t="n">
        <f aca="false">L2617-I2617*K2617</f>
        <v>26</v>
      </c>
      <c r="N2617" s="57" t="n">
        <f aca="false">IF(COUNTIFS(E$2:E2617,E2617,C$2:C2617,C2617)=1,1,0)</f>
        <v>0</v>
      </c>
      <c r="O2617" s="57" t="n">
        <f aca="false">IF(COUNTIFS(E$2:E2617,E2617,C$2:C2617,C2617,D$2:D2617,D2617)=1,1,0)</f>
        <v>1</v>
      </c>
      <c r="P2617" s="57" t="n">
        <f aca="false">IF(AND(C2617=Calc!$C$3,OR(Calc!$C$4=0,D2617=Calc!$C$4)),ROW(),0)</f>
        <v>2617</v>
      </c>
    </row>
    <row r="2618" customFormat="false" ht="15" hidden="false" customHeight="false" outlineLevel="0" collapsed="false">
      <c r="A2618" s="57" t="s">
        <v>3185</v>
      </c>
      <c r="B2618" s="58" t="n">
        <v>45981</v>
      </c>
      <c r="C2618" s="57" t="n">
        <f aca="false">YEAR(B2618)</f>
        <v>2025</v>
      </c>
      <c r="D2618" s="57" t="n">
        <f aca="false">MONTH(B2618)</f>
        <v>11</v>
      </c>
      <c r="E2618" s="57" t="s">
        <v>106</v>
      </c>
      <c r="F2618" s="57" t="s">
        <v>72</v>
      </c>
      <c r="G2618" s="57" t="s">
        <v>40</v>
      </c>
      <c r="H2618" s="57" t="s">
        <v>42</v>
      </c>
      <c r="I2618" s="59" t="n">
        <v>1</v>
      </c>
      <c r="J2618" s="60" t="n">
        <v>79</v>
      </c>
      <c r="K2618" s="60" t="n">
        <v>31</v>
      </c>
      <c r="L2618" s="61" t="n">
        <f aca="false">I2618*J2618</f>
        <v>79</v>
      </c>
      <c r="M2618" s="61" t="n">
        <f aca="false">L2618-I2618*K2618</f>
        <v>48</v>
      </c>
      <c r="N2618" s="57" t="n">
        <f aca="false">IF(COUNTIFS(E$2:E2618,E2618,C$2:C2618,C2618)=1,1,0)</f>
        <v>1</v>
      </c>
      <c r="O2618" s="57" t="n">
        <f aca="false">IF(COUNTIFS(E$2:E2618,E2618,C$2:C2618,C2618,D$2:D2618,D2618)=1,1,0)</f>
        <v>1</v>
      </c>
      <c r="P2618" s="57" t="n">
        <f aca="false">IF(AND(C2618=Calc!$C$3,OR(Calc!$C$4=0,D2618=Calc!$C$4)),ROW(),0)</f>
        <v>2618</v>
      </c>
    </row>
    <row r="2619" customFormat="false" ht="15" hidden="false" customHeight="false" outlineLevel="0" collapsed="false">
      <c r="A2619" s="57" t="s">
        <v>3186</v>
      </c>
      <c r="B2619" s="58" t="n">
        <v>45981</v>
      </c>
      <c r="C2619" s="57" t="n">
        <f aca="false">YEAR(B2619)</f>
        <v>2025</v>
      </c>
      <c r="D2619" s="57" t="n">
        <f aca="false">MONTH(B2619)</f>
        <v>11</v>
      </c>
      <c r="E2619" s="57" t="s">
        <v>177</v>
      </c>
      <c r="F2619" s="57" t="s">
        <v>75</v>
      </c>
      <c r="G2619" s="57" t="s">
        <v>35</v>
      </c>
      <c r="H2619" s="57" t="s">
        <v>38</v>
      </c>
      <c r="I2619" s="59" t="n">
        <v>1</v>
      </c>
      <c r="J2619" s="60" t="n">
        <v>49</v>
      </c>
      <c r="K2619" s="60" t="n">
        <v>22</v>
      </c>
      <c r="L2619" s="61" t="n">
        <f aca="false">I2619*J2619</f>
        <v>49</v>
      </c>
      <c r="M2619" s="61" t="n">
        <f aca="false">L2619-I2619*K2619</f>
        <v>27</v>
      </c>
      <c r="N2619" s="57" t="n">
        <f aca="false">IF(COUNTIFS(E$2:E2619,E2619,C$2:C2619,C2619)=1,1,0)</f>
        <v>0</v>
      </c>
      <c r="O2619" s="57" t="n">
        <f aca="false">IF(COUNTIFS(E$2:E2619,E2619,C$2:C2619,C2619,D$2:D2619,D2619)=1,1,0)</f>
        <v>0</v>
      </c>
      <c r="P2619" s="57" t="n">
        <f aca="false">IF(AND(C2619=Calc!$C$3,OR(Calc!$C$4=0,D2619=Calc!$C$4)),ROW(),0)</f>
        <v>2619</v>
      </c>
    </row>
    <row r="2620" customFormat="false" ht="15" hidden="false" customHeight="false" outlineLevel="0" collapsed="false">
      <c r="A2620" s="57" t="s">
        <v>3187</v>
      </c>
      <c r="B2620" s="58" t="n">
        <v>45981</v>
      </c>
      <c r="C2620" s="57" t="n">
        <f aca="false">YEAR(B2620)</f>
        <v>2025</v>
      </c>
      <c r="D2620" s="57" t="n">
        <f aca="false">MONTH(B2620)</f>
        <v>11</v>
      </c>
      <c r="E2620" s="57" t="s">
        <v>1584</v>
      </c>
      <c r="F2620" s="57" t="s">
        <v>75</v>
      </c>
      <c r="G2620" s="57" t="s">
        <v>54</v>
      </c>
      <c r="H2620" s="57" t="s">
        <v>55</v>
      </c>
      <c r="I2620" s="59" t="n">
        <v>2</v>
      </c>
      <c r="J2620" s="60" t="n">
        <v>64</v>
      </c>
      <c r="K2620" s="60" t="n">
        <v>25</v>
      </c>
      <c r="L2620" s="61" t="n">
        <f aca="false">I2620*J2620</f>
        <v>128</v>
      </c>
      <c r="M2620" s="61" t="n">
        <f aca="false">L2620-I2620*K2620</f>
        <v>78</v>
      </c>
      <c r="N2620" s="57" t="n">
        <f aca="false">IF(COUNTIFS(E$2:E2620,E2620,C$2:C2620,C2620)=1,1,0)</f>
        <v>1</v>
      </c>
      <c r="O2620" s="57" t="n">
        <f aca="false">IF(COUNTIFS(E$2:E2620,E2620,C$2:C2620,C2620,D$2:D2620,D2620)=1,1,0)</f>
        <v>1</v>
      </c>
      <c r="P2620" s="57" t="n">
        <f aca="false">IF(AND(C2620=Calc!$C$3,OR(Calc!$C$4=0,D2620=Calc!$C$4)),ROW(),0)</f>
        <v>2620</v>
      </c>
    </row>
    <row r="2621" customFormat="false" ht="15" hidden="false" customHeight="false" outlineLevel="0" collapsed="false">
      <c r="A2621" s="57" t="s">
        <v>3188</v>
      </c>
      <c r="B2621" s="58" t="n">
        <v>45982</v>
      </c>
      <c r="C2621" s="57" t="n">
        <f aca="false">YEAR(B2621)</f>
        <v>2025</v>
      </c>
      <c r="D2621" s="57" t="n">
        <f aca="false">MONTH(B2621)</f>
        <v>11</v>
      </c>
      <c r="E2621" s="57" t="s">
        <v>580</v>
      </c>
      <c r="F2621" s="57" t="s">
        <v>75</v>
      </c>
      <c r="G2621" s="57" t="s">
        <v>40</v>
      </c>
      <c r="H2621" s="57" t="s">
        <v>39</v>
      </c>
      <c r="I2621" s="59" t="n">
        <v>1</v>
      </c>
      <c r="J2621" s="60" t="n">
        <v>54</v>
      </c>
      <c r="K2621" s="60" t="n">
        <v>19</v>
      </c>
      <c r="L2621" s="61" t="n">
        <f aca="false">I2621*J2621</f>
        <v>54</v>
      </c>
      <c r="M2621" s="61" t="n">
        <f aca="false">L2621-I2621*K2621</f>
        <v>35</v>
      </c>
      <c r="N2621" s="57" t="n">
        <f aca="false">IF(COUNTIFS(E$2:E2621,E2621,C$2:C2621,C2621)=1,1,0)</f>
        <v>0</v>
      </c>
      <c r="O2621" s="57" t="n">
        <f aca="false">IF(COUNTIFS(E$2:E2621,E2621,C$2:C2621,C2621,D$2:D2621,D2621)=1,1,0)</f>
        <v>1</v>
      </c>
      <c r="P2621" s="57" t="n">
        <f aca="false">IF(AND(C2621=Calc!$C$3,OR(Calc!$C$4=0,D2621=Calc!$C$4)),ROW(),0)</f>
        <v>2621</v>
      </c>
    </row>
    <row r="2622" customFormat="false" ht="15" hidden="false" customHeight="false" outlineLevel="0" collapsed="false">
      <c r="A2622" s="57" t="s">
        <v>3189</v>
      </c>
      <c r="B2622" s="58" t="n">
        <v>45982</v>
      </c>
      <c r="C2622" s="57" t="n">
        <f aca="false">YEAR(B2622)</f>
        <v>2025</v>
      </c>
      <c r="D2622" s="57" t="n">
        <f aca="false">MONTH(B2622)</f>
        <v>11</v>
      </c>
      <c r="E2622" s="57" t="s">
        <v>1216</v>
      </c>
      <c r="F2622" s="57" t="s">
        <v>75</v>
      </c>
      <c r="G2622" s="57" t="s">
        <v>45</v>
      </c>
      <c r="H2622" s="57" t="s">
        <v>46</v>
      </c>
      <c r="I2622" s="59" t="n">
        <v>1</v>
      </c>
      <c r="J2622" s="60" t="n">
        <v>149</v>
      </c>
      <c r="K2622" s="60" t="n">
        <v>71</v>
      </c>
      <c r="L2622" s="61" t="n">
        <f aca="false">I2622*J2622</f>
        <v>149</v>
      </c>
      <c r="M2622" s="61" t="n">
        <f aca="false">L2622-I2622*K2622</f>
        <v>78</v>
      </c>
      <c r="N2622" s="57" t="n">
        <f aca="false">IF(COUNTIFS(E$2:E2622,E2622,C$2:C2622,C2622)=1,1,0)</f>
        <v>1</v>
      </c>
      <c r="O2622" s="57" t="n">
        <f aca="false">IF(COUNTIFS(E$2:E2622,E2622,C$2:C2622,C2622,D$2:D2622,D2622)=1,1,0)</f>
        <v>1</v>
      </c>
      <c r="P2622" s="57" t="n">
        <f aca="false">IF(AND(C2622=Calc!$C$3,OR(Calc!$C$4=0,D2622=Calc!$C$4)),ROW(),0)</f>
        <v>2622</v>
      </c>
    </row>
    <row r="2623" customFormat="false" ht="15" hidden="false" customHeight="false" outlineLevel="0" collapsed="false">
      <c r="A2623" s="57" t="s">
        <v>3190</v>
      </c>
      <c r="B2623" s="58" t="n">
        <v>45982</v>
      </c>
      <c r="C2623" s="57" t="n">
        <f aca="false">YEAR(B2623)</f>
        <v>2025</v>
      </c>
      <c r="D2623" s="57" t="n">
        <f aca="false">MONTH(B2623)</f>
        <v>11</v>
      </c>
      <c r="E2623" s="57" t="s">
        <v>95</v>
      </c>
      <c r="F2623" s="57" t="s">
        <v>75</v>
      </c>
      <c r="G2623" s="57" t="s">
        <v>40</v>
      </c>
      <c r="H2623" s="57" t="s">
        <v>39</v>
      </c>
      <c r="I2623" s="59" t="n">
        <v>1</v>
      </c>
      <c r="J2623" s="60" t="n">
        <v>54</v>
      </c>
      <c r="K2623" s="60" t="n">
        <v>19</v>
      </c>
      <c r="L2623" s="61" t="n">
        <f aca="false">I2623*J2623</f>
        <v>54</v>
      </c>
      <c r="M2623" s="61" t="n">
        <f aca="false">L2623-I2623*K2623</f>
        <v>35</v>
      </c>
      <c r="N2623" s="57" t="n">
        <f aca="false">IF(COUNTIFS(E$2:E2623,E2623,C$2:C2623,C2623)=1,1,0)</f>
        <v>0</v>
      </c>
      <c r="O2623" s="57" t="n">
        <f aca="false">IF(COUNTIFS(E$2:E2623,E2623,C$2:C2623,C2623,D$2:D2623,D2623)=1,1,0)</f>
        <v>0</v>
      </c>
      <c r="P2623" s="57" t="n">
        <f aca="false">IF(AND(C2623=Calc!$C$3,OR(Calc!$C$4=0,D2623=Calc!$C$4)),ROW(),0)</f>
        <v>2623</v>
      </c>
    </row>
    <row r="2624" customFormat="false" ht="15" hidden="false" customHeight="false" outlineLevel="0" collapsed="false">
      <c r="A2624" s="57" t="s">
        <v>3191</v>
      </c>
      <c r="B2624" s="58" t="n">
        <v>45982</v>
      </c>
      <c r="C2624" s="57" t="n">
        <f aca="false">YEAR(B2624)</f>
        <v>2025</v>
      </c>
      <c r="D2624" s="57" t="n">
        <f aca="false">MONTH(B2624)</f>
        <v>11</v>
      </c>
      <c r="E2624" s="57" t="s">
        <v>156</v>
      </c>
      <c r="F2624" s="57" t="s">
        <v>75</v>
      </c>
      <c r="G2624" s="57" t="s">
        <v>35</v>
      </c>
      <c r="H2624" s="57" t="s">
        <v>37</v>
      </c>
      <c r="I2624" s="59" t="n">
        <v>1</v>
      </c>
      <c r="J2624" s="60" t="n">
        <v>59</v>
      </c>
      <c r="K2624" s="60" t="n">
        <v>27</v>
      </c>
      <c r="L2624" s="61" t="n">
        <f aca="false">I2624*J2624</f>
        <v>59</v>
      </c>
      <c r="M2624" s="61" t="n">
        <f aca="false">L2624-I2624*K2624</f>
        <v>32</v>
      </c>
      <c r="N2624" s="57" t="n">
        <f aca="false">IF(COUNTIFS(E$2:E2624,E2624,C$2:C2624,C2624)=1,1,0)</f>
        <v>0</v>
      </c>
      <c r="O2624" s="57" t="n">
        <f aca="false">IF(COUNTIFS(E$2:E2624,E2624,C$2:C2624,C2624,D$2:D2624,D2624)=1,1,0)</f>
        <v>1</v>
      </c>
      <c r="P2624" s="57" t="n">
        <f aca="false">IF(AND(C2624=Calc!$C$3,OR(Calc!$C$4=0,D2624=Calc!$C$4)),ROW(),0)</f>
        <v>2624</v>
      </c>
    </row>
    <row r="2625" customFormat="false" ht="15" hidden="false" customHeight="false" outlineLevel="0" collapsed="false">
      <c r="A2625" s="57" t="s">
        <v>3192</v>
      </c>
      <c r="B2625" s="58" t="n">
        <v>45982</v>
      </c>
      <c r="C2625" s="57" t="n">
        <f aca="false">YEAR(B2625)</f>
        <v>2025</v>
      </c>
      <c r="D2625" s="57" t="n">
        <f aca="false">MONTH(B2625)</f>
        <v>11</v>
      </c>
      <c r="E2625" s="57" t="s">
        <v>294</v>
      </c>
      <c r="F2625" s="57" t="s">
        <v>69</v>
      </c>
      <c r="G2625" s="57" t="s">
        <v>40</v>
      </c>
      <c r="H2625" s="57" t="s">
        <v>39</v>
      </c>
      <c r="I2625" s="59" t="n">
        <v>2</v>
      </c>
      <c r="J2625" s="60" t="n">
        <v>54</v>
      </c>
      <c r="K2625" s="60" t="n">
        <v>19</v>
      </c>
      <c r="L2625" s="61" t="n">
        <f aca="false">I2625*J2625</f>
        <v>108</v>
      </c>
      <c r="M2625" s="61" t="n">
        <f aca="false">L2625-I2625*K2625</f>
        <v>70</v>
      </c>
      <c r="N2625" s="57" t="n">
        <f aca="false">IF(COUNTIFS(E$2:E2625,E2625,C$2:C2625,C2625)=1,1,0)</f>
        <v>0</v>
      </c>
      <c r="O2625" s="57" t="n">
        <f aca="false">IF(COUNTIFS(E$2:E2625,E2625,C$2:C2625,C2625,D$2:D2625,D2625)=1,1,0)</f>
        <v>1</v>
      </c>
      <c r="P2625" s="57" t="n">
        <f aca="false">IF(AND(C2625=Calc!$C$3,OR(Calc!$C$4=0,D2625=Calc!$C$4)),ROW(),0)</f>
        <v>2625</v>
      </c>
    </row>
    <row r="2626" customFormat="false" ht="15" hidden="false" customHeight="false" outlineLevel="0" collapsed="false">
      <c r="A2626" s="57" t="s">
        <v>3193</v>
      </c>
      <c r="B2626" s="58" t="n">
        <v>45983</v>
      </c>
      <c r="C2626" s="57" t="n">
        <f aca="false">YEAR(B2626)</f>
        <v>2025</v>
      </c>
      <c r="D2626" s="57" t="n">
        <f aca="false">MONTH(B2626)</f>
        <v>11</v>
      </c>
      <c r="E2626" s="57" t="s">
        <v>85</v>
      </c>
      <c r="F2626" s="57" t="s">
        <v>69</v>
      </c>
      <c r="G2626" s="57" t="s">
        <v>40</v>
      </c>
      <c r="H2626" s="57" t="s">
        <v>41</v>
      </c>
      <c r="I2626" s="59" t="n">
        <v>1</v>
      </c>
      <c r="J2626" s="60" t="n">
        <v>46</v>
      </c>
      <c r="K2626" s="60" t="n">
        <v>16</v>
      </c>
      <c r="L2626" s="61" t="n">
        <f aca="false">I2626*J2626</f>
        <v>46</v>
      </c>
      <c r="M2626" s="61" t="n">
        <f aca="false">L2626-I2626*K2626</f>
        <v>30</v>
      </c>
      <c r="N2626" s="57" t="n">
        <f aca="false">IF(COUNTIFS(E$2:E2626,E2626,C$2:C2626,C2626)=1,1,0)</f>
        <v>0</v>
      </c>
      <c r="O2626" s="57" t="n">
        <f aca="false">IF(COUNTIFS(E$2:E2626,E2626,C$2:C2626,C2626,D$2:D2626,D2626)=1,1,0)</f>
        <v>0</v>
      </c>
      <c r="P2626" s="57" t="n">
        <f aca="false">IF(AND(C2626=Calc!$C$3,OR(Calc!$C$4=0,D2626=Calc!$C$4)),ROW(),0)</f>
        <v>2626</v>
      </c>
    </row>
    <row r="2627" customFormat="false" ht="15" hidden="false" customHeight="false" outlineLevel="0" collapsed="false">
      <c r="A2627" s="57" t="s">
        <v>3194</v>
      </c>
      <c r="B2627" s="58" t="n">
        <v>45983</v>
      </c>
      <c r="C2627" s="57" t="n">
        <f aca="false">YEAR(B2627)</f>
        <v>2025</v>
      </c>
      <c r="D2627" s="57" t="n">
        <f aca="false">MONTH(B2627)</f>
        <v>11</v>
      </c>
      <c r="E2627" s="57" t="s">
        <v>1077</v>
      </c>
      <c r="F2627" s="57" t="s">
        <v>81</v>
      </c>
      <c r="G2627" s="57" t="s">
        <v>54</v>
      </c>
      <c r="H2627" s="57" t="s">
        <v>53</v>
      </c>
      <c r="I2627" s="59" t="n">
        <v>1</v>
      </c>
      <c r="J2627" s="60" t="n">
        <v>39</v>
      </c>
      <c r="K2627" s="60" t="n">
        <v>13</v>
      </c>
      <c r="L2627" s="61" t="n">
        <f aca="false">I2627*J2627</f>
        <v>39</v>
      </c>
      <c r="M2627" s="61" t="n">
        <f aca="false">L2627-I2627*K2627</f>
        <v>26</v>
      </c>
      <c r="N2627" s="57" t="n">
        <f aca="false">IF(COUNTIFS(E$2:E2627,E2627,C$2:C2627,C2627)=1,1,0)</f>
        <v>0</v>
      </c>
      <c r="O2627" s="57" t="n">
        <f aca="false">IF(COUNTIFS(E$2:E2627,E2627,C$2:C2627,C2627,D$2:D2627,D2627)=1,1,0)</f>
        <v>0</v>
      </c>
      <c r="P2627" s="57" t="n">
        <f aca="false">IF(AND(C2627=Calc!$C$3,OR(Calc!$C$4=0,D2627=Calc!$C$4)),ROW(),0)</f>
        <v>2627</v>
      </c>
    </row>
    <row r="2628" customFormat="false" ht="15" hidden="false" customHeight="false" outlineLevel="0" collapsed="false">
      <c r="A2628" s="57" t="s">
        <v>3195</v>
      </c>
      <c r="B2628" s="58" t="n">
        <v>45983</v>
      </c>
      <c r="C2628" s="57" t="n">
        <f aca="false">YEAR(B2628)</f>
        <v>2025</v>
      </c>
      <c r="D2628" s="57" t="n">
        <f aca="false">MONTH(B2628)</f>
        <v>11</v>
      </c>
      <c r="E2628" s="57" t="s">
        <v>294</v>
      </c>
      <c r="F2628" s="57" t="s">
        <v>69</v>
      </c>
      <c r="G2628" s="57" t="s">
        <v>50</v>
      </c>
      <c r="H2628" s="57" t="s">
        <v>52</v>
      </c>
      <c r="I2628" s="59" t="n">
        <v>1</v>
      </c>
      <c r="J2628" s="60" t="n">
        <v>45</v>
      </c>
      <c r="K2628" s="60" t="n">
        <v>14</v>
      </c>
      <c r="L2628" s="61" t="n">
        <f aca="false">I2628*J2628</f>
        <v>45</v>
      </c>
      <c r="M2628" s="61" t="n">
        <f aca="false">L2628-I2628*K2628</f>
        <v>31</v>
      </c>
      <c r="N2628" s="57" t="n">
        <f aca="false">IF(COUNTIFS(E$2:E2628,E2628,C$2:C2628,C2628)=1,1,0)</f>
        <v>0</v>
      </c>
      <c r="O2628" s="57" t="n">
        <f aca="false">IF(COUNTIFS(E$2:E2628,E2628,C$2:C2628,C2628,D$2:D2628,D2628)=1,1,0)</f>
        <v>0</v>
      </c>
      <c r="P2628" s="57" t="n">
        <f aca="false">IF(AND(C2628=Calc!$C$3,OR(Calc!$C$4=0,D2628=Calc!$C$4)),ROW(),0)</f>
        <v>2628</v>
      </c>
    </row>
    <row r="2629" customFormat="false" ht="15" hidden="false" customHeight="false" outlineLevel="0" collapsed="false">
      <c r="A2629" s="57" t="s">
        <v>3196</v>
      </c>
      <c r="B2629" s="58" t="n">
        <v>45983</v>
      </c>
      <c r="C2629" s="57" t="n">
        <f aca="false">YEAR(B2629)</f>
        <v>2025</v>
      </c>
      <c r="D2629" s="57" t="n">
        <f aca="false">MONTH(B2629)</f>
        <v>11</v>
      </c>
      <c r="E2629" s="57" t="s">
        <v>3197</v>
      </c>
      <c r="F2629" s="57" t="s">
        <v>78</v>
      </c>
      <c r="G2629" s="57" t="s">
        <v>50</v>
      </c>
      <c r="H2629" s="57" t="s">
        <v>49</v>
      </c>
      <c r="I2629" s="59" t="n">
        <v>2</v>
      </c>
      <c r="J2629" s="60" t="n">
        <v>32</v>
      </c>
      <c r="K2629" s="60" t="n">
        <v>7</v>
      </c>
      <c r="L2629" s="61" t="n">
        <f aca="false">I2629*J2629</f>
        <v>64</v>
      </c>
      <c r="M2629" s="61" t="n">
        <f aca="false">L2629-I2629*K2629</f>
        <v>50</v>
      </c>
      <c r="N2629" s="57" t="n">
        <f aca="false">IF(COUNTIFS(E$2:E2629,E2629,C$2:C2629,C2629)=1,1,0)</f>
        <v>1</v>
      </c>
      <c r="O2629" s="57" t="n">
        <f aca="false">IF(COUNTIFS(E$2:E2629,E2629,C$2:C2629,C2629,D$2:D2629,D2629)=1,1,0)</f>
        <v>1</v>
      </c>
      <c r="P2629" s="57" t="n">
        <f aca="false">IF(AND(C2629=Calc!$C$3,OR(Calc!$C$4=0,D2629=Calc!$C$4)),ROW(),0)</f>
        <v>2629</v>
      </c>
    </row>
    <row r="2630" customFormat="false" ht="15" hidden="false" customHeight="false" outlineLevel="0" collapsed="false">
      <c r="A2630" s="57" t="s">
        <v>3198</v>
      </c>
      <c r="B2630" s="58" t="n">
        <v>45984</v>
      </c>
      <c r="C2630" s="57" t="n">
        <f aca="false">YEAR(B2630)</f>
        <v>2025</v>
      </c>
      <c r="D2630" s="57" t="n">
        <f aca="false">MONTH(B2630)</f>
        <v>11</v>
      </c>
      <c r="E2630" s="57" t="s">
        <v>743</v>
      </c>
      <c r="F2630" s="57" t="s">
        <v>69</v>
      </c>
      <c r="G2630" s="57" t="s">
        <v>35</v>
      </c>
      <c r="H2630" s="57" t="s">
        <v>34</v>
      </c>
      <c r="I2630" s="59" t="n">
        <v>2</v>
      </c>
      <c r="J2630" s="60" t="n">
        <v>89</v>
      </c>
      <c r="K2630" s="60" t="n">
        <v>41</v>
      </c>
      <c r="L2630" s="61" t="n">
        <f aca="false">I2630*J2630</f>
        <v>178</v>
      </c>
      <c r="M2630" s="61" t="n">
        <f aca="false">L2630-I2630*K2630</f>
        <v>96</v>
      </c>
      <c r="N2630" s="57" t="n">
        <f aca="false">IF(COUNTIFS(E$2:E2630,E2630,C$2:C2630,C2630)=1,1,0)</f>
        <v>0</v>
      </c>
      <c r="O2630" s="57" t="n">
        <f aca="false">IF(COUNTIFS(E$2:E2630,E2630,C$2:C2630,C2630,D$2:D2630,D2630)=1,1,0)</f>
        <v>0</v>
      </c>
      <c r="P2630" s="57" t="n">
        <f aca="false">IF(AND(C2630=Calc!$C$3,OR(Calc!$C$4=0,D2630=Calc!$C$4)),ROW(),0)</f>
        <v>2630</v>
      </c>
    </row>
    <row r="2631" customFormat="false" ht="15" hidden="false" customHeight="false" outlineLevel="0" collapsed="false">
      <c r="A2631" s="57" t="s">
        <v>3199</v>
      </c>
      <c r="B2631" s="58" t="n">
        <v>45984</v>
      </c>
      <c r="C2631" s="57" t="n">
        <f aca="false">YEAR(B2631)</f>
        <v>2025</v>
      </c>
      <c r="D2631" s="57" t="n">
        <f aca="false">MONTH(B2631)</f>
        <v>11</v>
      </c>
      <c r="E2631" s="57" t="s">
        <v>430</v>
      </c>
      <c r="F2631" s="57" t="s">
        <v>72</v>
      </c>
      <c r="G2631" s="57" t="s">
        <v>50</v>
      </c>
      <c r="H2631" s="57" t="s">
        <v>49</v>
      </c>
      <c r="I2631" s="59" t="n">
        <v>1</v>
      </c>
      <c r="J2631" s="60" t="n">
        <v>32</v>
      </c>
      <c r="K2631" s="60" t="n">
        <v>7</v>
      </c>
      <c r="L2631" s="61" t="n">
        <f aca="false">I2631*J2631</f>
        <v>32</v>
      </c>
      <c r="M2631" s="61" t="n">
        <f aca="false">L2631-I2631*K2631</f>
        <v>25</v>
      </c>
      <c r="N2631" s="57" t="n">
        <f aca="false">IF(COUNTIFS(E$2:E2631,E2631,C$2:C2631,C2631)=1,1,0)</f>
        <v>0</v>
      </c>
      <c r="O2631" s="57" t="n">
        <f aca="false">IF(COUNTIFS(E$2:E2631,E2631,C$2:C2631,C2631,D$2:D2631,D2631)=1,1,0)</f>
        <v>1</v>
      </c>
      <c r="P2631" s="57" t="n">
        <f aca="false">IF(AND(C2631=Calc!$C$3,OR(Calc!$C$4=0,D2631=Calc!$C$4)),ROW(),0)</f>
        <v>2631</v>
      </c>
    </row>
    <row r="2632" customFormat="false" ht="15" hidden="false" customHeight="false" outlineLevel="0" collapsed="false">
      <c r="A2632" s="57" t="s">
        <v>3200</v>
      </c>
      <c r="B2632" s="58" t="n">
        <v>45984</v>
      </c>
      <c r="C2632" s="57" t="n">
        <f aca="false">YEAR(B2632)</f>
        <v>2025</v>
      </c>
      <c r="D2632" s="57" t="n">
        <f aca="false">MONTH(B2632)</f>
        <v>11</v>
      </c>
      <c r="E2632" s="57" t="s">
        <v>843</v>
      </c>
      <c r="F2632" s="57" t="s">
        <v>75</v>
      </c>
      <c r="G2632" s="57" t="s">
        <v>40</v>
      </c>
      <c r="H2632" s="57" t="s">
        <v>43</v>
      </c>
      <c r="I2632" s="59" t="n">
        <v>2</v>
      </c>
      <c r="J2632" s="60" t="n">
        <v>29</v>
      </c>
      <c r="K2632" s="60" t="n">
        <v>9</v>
      </c>
      <c r="L2632" s="61" t="n">
        <f aca="false">I2632*J2632</f>
        <v>58</v>
      </c>
      <c r="M2632" s="61" t="n">
        <f aca="false">L2632-I2632*K2632</f>
        <v>40</v>
      </c>
      <c r="N2632" s="57" t="n">
        <f aca="false">IF(COUNTIFS(E$2:E2632,E2632,C$2:C2632,C2632)=1,1,0)</f>
        <v>0</v>
      </c>
      <c r="O2632" s="57" t="n">
        <f aca="false">IF(COUNTIFS(E$2:E2632,E2632,C$2:C2632,C2632,D$2:D2632,D2632)=1,1,0)</f>
        <v>1</v>
      </c>
      <c r="P2632" s="57" t="n">
        <f aca="false">IF(AND(C2632=Calc!$C$3,OR(Calc!$C$4=0,D2632=Calc!$C$4)),ROW(),0)</f>
        <v>2632</v>
      </c>
    </row>
    <row r="2633" customFormat="false" ht="15" hidden="false" customHeight="false" outlineLevel="0" collapsed="false">
      <c r="A2633" s="57" t="s">
        <v>3201</v>
      </c>
      <c r="B2633" s="58" t="n">
        <v>45984</v>
      </c>
      <c r="C2633" s="57" t="n">
        <f aca="false">YEAR(B2633)</f>
        <v>2025</v>
      </c>
      <c r="D2633" s="57" t="n">
        <f aca="false">MONTH(B2633)</f>
        <v>11</v>
      </c>
      <c r="E2633" s="57" t="s">
        <v>2592</v>
      </c>
      <c r="F2633" s="57" t="s">
        <v>78</v>
      </c>
      <c r="G2633" s="57" t="s">
        <v>35</v>
      </c>
      <c r="H2633" s="57" t="s">
        <v>38</v>
      </c>
      <c r="I2633" s="59" t="n">
        <v>1</v>
      </c>
      <c r="J2633" s="60" t="n">
        <v>49</v>
      </c>
      <c r="K2633" s="60" t="n">
        <v>22</v>
      </c>
      <c r="L2633" s="61" t="n">
        <f aca="false">I2633*J2633</f>
        <v>49</v>
      </c>
      <c r="M2633" s="61" t="n">
        <f aca="false">L2633-I2633*K2633</f>
        <v>27</v>
      </c>
      <c r="N2633" s="57" t="n">
        <f aca="false">IF(COUNTIFS(E$2:E2633,E2633,C$2:C2633,C2633)=1,1,0)</f>
        <v>0</v>
      </c>
      <c r="O2633" s="57" t="n">
        <f aca="false">IF(COUNTIFS(E$2:E2633,E2633,C$2:C2633,C2633,D$2:D2633,D2633)=1,1,0)</f>
        <v>1</v>
      </c>
      <c r="P2633" s="57" t="n">
        <f aca="false">IF(AND(C2633=Calc!$C$3,OR(Calc!$C$4=0,D2633=Calc!$C$4)),ROW(),0)</f>
        <v>2633</v>
      </c>
    </row>
    <row r="2634" customFormat="false" ht="15" hidden="false" customHeight="false" outlineLevel="0" collapsed="false">
      <c r="A2634" s="57" t="s">
        <v>3202</v>
      </c>
      <c r="B2634" s="58" t="n">
        <v>45984</v>
      </c>
      <c r="C2634" s="57" t="n">
        <f aca="false">YEAR(B2634)</f>
        <v>2025</v>
      </c>
      <c r="D2634" s="57" t="n">
        <f aca="false">MONTH(B2634)</f>
        <v>11</v>
      </c>
      <c r="E2634" s="57" t="s">
        <v>506</v>
      </c>
      <c r="F2634" s="57" t="s">
        <v>78</v>
      </c>
      <c r="G2634" s="57" t="s">
        <v>50</v>
      </c>
      <c r="H2634" s="57" t="s">
        <v>51</v>
      </c>
      <c r="I2634" s="59" t="n">
        <v>1</v>
      </c>
      <c r="J2634" s="60" t="n">
        <v>69</v>
      </c>
      <c r="K2634" s="60" t="n">
        <v>29</v>
      </c>
      <c r="L2634" s="61" t="n">
        <f aca="false">I2634*J2634</f>
        <v>69</v>
      </c>
      <c r="M2634" s="61" t="n">
        <f aca="false">L2634-I2634*K2634</f>
        <v>40</v>
      </c>
      <c r="N2634" s="57" t="n">
        <f aca="false">IF(COUNTIFS(E$2:E2634,E2634,C$2:C2634,C2634)=1,1,0)</f>
        <v>0</v>
      </c>
      <c r="O2634" s="57" t="n">
        <f aca="false">IF(COUNTIFS(E$2:E2634,E2634,C$2:C2634,C2634,D$2:D2634,D2634)=1,1,0)</f>
        <v>0</v>
      </c>
      <c r="P2634" s="57" t="n">
        <f aca="false">IF(AND(C2634=Calc!$C$3,OR(Calc!$C$4=0,D2634=Calc!$C$4)),ROW(),0)</f>
        <v>2634</v>
      </c>
    </row>
    <row r="2635" customFormat="false" ht="15" hidden="false" customHeight="false" outlineLevel="0" collapsed="false">
      <c r="A2635" s="57" t="s">
        <v>3203</v>
      </c>
      <c r="B2635" s="58" t="n">
        <v>45984</v>
      </c>
      <c r="C2635" s="57" t="n">
        <f aca="false">YEAR(B2635)</f>
        <v>2025</v>
      </c>
      <c r="D2635" s="57" t="n">
        <f aca="false">MONTH(B2635)</f>
        <v>11</v>
      </c>
      <c r="E2635" s="57" t="s">
        <v>1101</v>
      </c>
      <c r="F2635" s="57" t="s">
        <v>75</v>
      </c>
      <c r="G2635" s="57" t="s">
        <v>35</v>
      </c>
      <c r="H2635" s="57" t="s">
        <v>38</v>
      </c>
      <c r="I2635" s="59" t="n">
        <v>1</v>
      </c>
      <c r="J2635" s="60" t="n">
        <v>49</v>
      </c>
      <c r="K2635" s="60" t="n">
        <v>22</v>
      </c>
      <c r="L2635" s="61" t="n">
        <f aca="false">I2635*J2635</f>
        <v>49</v>
      </c>
      <c r="M2635" s="61" t="n">
        <f aca="false">L2635-I2635*K2635</f>
        <v>27</v>
      </c>
      <c r="N2635" s="57" t="n">
        <f aca="false">IF(COUNTIFS(E$2:E2635,E2635,C$2:C2635,C2635)=1,1,0)</f>
        <v>0</v>
      </c>
      <c r="O2635" s="57" t="n">
        <f aca="false">IF(COUNTIFS(E$2:E2635,E2635,C$2:C2635,C2635,D$2:D2635,D2635)=1,1,0)</f>
        <v>0</v>
      </c>
      <c r="P2635" s="57" t="n">
        <f aca="false">IF(AND(C2635=Calc!$C$3,OR(Calc!$C$4=0,D2635=Calc!$C$4)),ROW(),0)</f>
        <v>2635</v>
      </c>
    </row>
    <row r="2636" customFormat="false" ht="15" hidden="false" customHeight="false" outlineLevel="0" collapsed="false">
      <c r="A2636" s="57" t="s">
        <v>3204</v>
      </c>
      <c r="B2636" s="58" t="n">
        <v>45985</v>
      </c>
      <c r="C2636" s="57" t="n">
        <f aca="false">YEAR(B2636)</f>
        <v>2025</v>
      </c>
      <c r="D2636" s="57" t="n">
        <f aca="false">MONTH(B2636)</f>
        <v>11</v>
      </c>
      <c r="E2636" s="57" t="s">
        <v>254</v>
      </c>
      <c r="F2636" s="57" t="s">
        <v>75</v>
      </c>
      <c r="G2636" s="57" t="s">
        <v>35</v>
      </c>
      <c r="H2636" s="57" t="s">
        <v>38</v>
      </c>
      <c r="I2636" s="59" t="n">
        <v>1</v>
      </c>
      <c r="J2636" s="60" t="n">
        <v>49</v>
      </c>
      <c r="K2636" s="60" t="n">
        <v>22</v>
      </c>
      <c r="L2636" s="61" t="n">
        <f aca="false">I2636*J2636</f>
        <v>49</v>
      </c>
      <c r="M2636" s="61" t="n">
        <f aca="false">L2636-I2636*K2636</f>
        <v>27</v>
      </c>
      <c r="N2636" s="57" t="n">
        <f aca="false">IF(COUNTIFS(E$2:E2636,E2636,C$2:C2636,C2636)=1,1,0)</f>
        <v>0</v>
      </c>
      <c r="O2636" s="57" t="n">
        <f aca="false">IF(COUNTIFS(E$2:E2636,E2636,C$2:C2636,C2636,D$2:D2636,D2636)=1,1,0)</f>
        <v>1</v>
      </c>
      <c r="P2636" s="57" t="n">
        <f aca="false">IF(AND(C2636=Calc!$C$3,OR(Calc!$C$4=0,D2636=Calc!$C$4)),ROW(),0)</f>
        <v>2636</v>
      </c>
    </row>
    <row r="2637" customFormat="false" ht="15" hidden="false" customHeight="false" outlineLevel="0" collapsed="false">
      <c r="A2637" s="57" t="s">
        <v>3205</v>
      </c>
      <c r="B2637" s="58" t="n">
        <v>45985</v>
      </c>
      <c r="C2637" s="57" t="n">
        <f aca="false">YEAR(B2637)</f>
        <v>2025</v>
      </c>
      <c r="D2637" s="57" t="n">
        <f aca="false">MONTH(B2637)</f>
        <v>11</v>
      </c>
      <c r="E2637" s="57" t="s">
        <v>672</v>
      </c>
      <c r="F2637" s="57" t="s">
        <v>72</v>
      </c>
      <c r="G2637" s="57" t="s">
        <v>45</v>
      </c>
      <c r="H2637" s="57" t="s">
        <v>47</v>
      </c>
      <c r="I2637" s="59" t="n">
        <v>1</v>
      </c>
      <c r="J2637" s="60" t="n">
        <v>34</v>
      </c>
      <c r="K2637" s="60" t="n">
        <v>12</v>
      </c>
      <c r="L2637" s="61" t="n">
        <f aca="false">I2637*J2637</f>
        <v>34</v>
      </c>
      <c r="M2637" s="61" t="n">
        <f aca="false">L2637-I2637*K2637</f>
        <v>22</v>
      </c>
      <c r="N2637" s="57" t="n">
        <f aca="false">IF(COUNTIFS(E$2:E2637,E2637,C$2:C2637,C2637)=1,1,0)</f>
        <v>0</v>
      </c>
      <c r="O2637" s="57" t="n">
        <f aca="false">IF(COUNTIFS(E$2:E2637,E2637,C$2:C2637,C2637,D$2:D2637,D2637)=1,1,0)</f>
        <v>1</v>
      </c>
      <c r="P2637" s="57" t="n">
        <f aca="false">IF(AND(C2637=Calc!$C$3,OR(Calc!$C$4=0,D2637=Calc!$C$4)),ROW(),0)</f>
        <v>2637</v>
      </c>
    </row>
    <row r="2638" customFormat="false" ht="15" hidden="false" customHeight="false" outlineLevel="0" collapsed="false">
      <c r="A2638" s="57" t="s">
        <v>3206</v>
      </c>
      <c r="B2638" s="58" t="n">
        <v>45985</v>
      </c>
      <c r="C2638" s="57" t="n">
        <f aca="false">YEAR(B2638)</f>
        <v>2025</v>
      </c>
      <c r="D2638" s="57" t="n">
        <f aca="false">MONTH(B2638)</f>
        <v>11</v>
      </c>
      <c r="E2638" s="57" t="s">
        <v>488</v>
      </c>
      <c r="F2638" s="57" t="s">
        <v>69</v>
      </c>
      <c r="G2638" s="57" t="s">
        <v>35</v>
      </c>
      <c r="H2638" s="57" t="s">
        <v>37</v>
      </c>
      <c r="I2638" s="59" t="n">
        <v>1</v>
      </c>
      <c r="J2638" s="60" t="n">
        <v>59</v>
      </c>
      <c r="K2638" s="60" t="n">
        <v>27</v>
      </c>
      <c r="L2638" s="61" t="n">
        <f aca="false">I2638*J2638</f>
        <v>59</v>
      </c>
      <c r="M2638" s="61" t="n">
        <f aca="false">L2638-I2638*K2638</f>
        <v>32</v>
      </c>
      <c r="N2638" s="57" t="n">
        <f aca="false">IF(COUNTIFS(E$2:E2638,E2638,C$2:C2638,C2638)=1,1,0)</f>
        <v>0</v>
      </c>
      <c r="O2638" s="57" t="n">
        <f aca="false">IF(COUNTIFS(E$2:E2638,E2638,C$2:C2638,C2638,D$2:D2638,D2638)=1,1,0)</f>
        <v>0</v>
      </c>
      <c r="P2638" s="57" t="n">
        <f aca="false">IF(AND(C2638=Calc!$C$3,OR(Calc!$C$4=0,D2638=Calc!$C$4)),ROW(),0)</f>
        <v>2638</v>
      </c>
    </row>
    <row r="2639" customFormat="false" ht="15" hidden="false" customHeight="false" outlineLevel="0" collapsed="false">
      <c r="A2639" s="57" t="s">
        <v>3207</v>
      </c>
      <c r="B2639" s="58" t="n">
        <v>45985</v>
      </c>
      <c r="C2639" s="57" t="n">
        <f aca="false">YEAR(B2639)</f>
        <v>2025</v>
      </c>
      <c r="D2639" s="57" t="n">
        <f aca="false">MONTH(B2639)</f>
        <v>11</v>
      </c>
      <c r="E2639" s="57" t="s">
        <v>510</v>
      </c>
      <c r="F2639" s="57" t="s">
        <v>78</v>
      </c>
      <c r="G2639" s="57" t="s">
        <v>35</v>
      </c>
      <c r="H2639" s="57" t="s">
        <v>38</v>
      </c>
      <c r="I2639" s="59" t="n">
        <v>2</v>
      </c>
      <c r="J2639" s="60" t="n">
        <v>49</v>
      </c>
      <c r="K2639" s="60" t="n">
        <v>22</v>
      </c>
      <c r="L2639" s="61" t="n">
        <f aca="false">I2639*J2639</f>
        <v>98</v>
      </c>
      <c r="M2639" s="61" t="n">
        <f aca="false">L2639-I2639*K2639</f>
        <v>54</v>
      </c>
      <c r="N2639" s="57" t="n">
        <f aca="false">IF(COUNTIFS(E$2:E2639,E2639,C$2:C2639,C2639)=1,1,0)</f>
        <v>0</v>
      </c>
      <c r="O2639" s="57" t="n">
        <f aca="false">IF(COUNTIFS(E$2:E2639,E2639,C$2:C2639,C2639,D$2:D2639,D2639)=1,1,0)</f>
        <v>1</v>
      </c>
      <c r="P2639" s="57" t="n">
        <f aca="false">IF(AND(C2639=Calc!$C$3,OR(Calc!$C$4=0,D2639=Calc!$C$4)),ROW(),0)</f>
        <v>2639</v>
      </c>
    </row>
    <row r="2640" customFormat="false" ht="15" hidden="false" customHeight="false" outlineLevel="0" collapsed="false">
      <c r="A2640" s="57" t="s">
        <v>3208</v>
      </c>
      <c r="B2640" s="58" t="n">
        <v>45986</v>
      </c>
      <c r="C2640" s="57" t="n">
        <f aca="false">YEAR(B2640)</f>
        <v>2025</v>
      </c>
      <c r="D2640" s="57" t="n">
        <f aca="false">MONTH(B2640)</f>
        <v>11</v>
      </c>
      <c r="E2640" s="57" t="s">
        <v>203</v>
      </c>
      <c r="F2640" s="57" t="s">
        <v>78</v>
      </c>
      <c r="G2640" s="57" t="s">
        <v>50</v>
      </c>
      <c r="H2640" s="57" t="s">
        <v>49</v>
      </c>
      <c r="I2640" s="59" t="n">
        <v>1</v>
      </c>
      <c r="J2640" s="60" t="n">
        <v>32</v>
      </c>
      <c r="K2640" s="60" t="n">
        <v>7</v>
      </c>
      <c r="L2640" s="61" t="n">
        <f aca="false">I2640*J2640</f>
        <v>32</v>
      </c>
      <c r="M2640" s="61" t="n">
        <f aca="false">L2640-I2640*K2640</f>
        <v>25</v>
      </c>
      <c r="N2640" s="57" t="n">
        <f aca="false">IF(COUNTIFS(E$2:E2640,E2640,C$2:C2640,C2640)=1,1,0)</f>
        <v>0</v>
      </c>
      <c r="O2640" s="57" t="n">
        <f aca="false">IF(COUNTIFS(E$2:E2640,E2640,C$2:C2640,C2640,D$2:D2640,D2640)=1,1,0)</f>
        <v>1</v>
      </c>
      <c r="P2640" s="57" t="n">
        <f aca="false">IF(AND(C2640=Calc!$C$3,OR(Calc!$C$4=0,D2640=Calc!$C$4)),ROW(),0)</f>
        <v>2640</v>
      </c>
    </row>
    <row r="2641" customFormat="false" ht="15" hidden="false" customHeight="false" outlineLevel="0" collapsed="false">
      <c r="A2641" s="57" t="s">
        <v>3209</v>
      </c>
      <c r="B2641" s="58" t="n">
        <v>45986</v>
      </c>
      <c r="C2641" s="57" t="n">
        <f aca="false">YEAR(B2641)</f>
        <v>2025</v>
      </c>
      <c r="D2641" s="57" t="n">
        <f aca="false">MONTH(B2641)</f>
        <v>11</v>
      </c>
      <c r="E2641" s="57" t="s">
        <v>313</v>
      </c>
      <c r="F2641" s="57" t="s">
        <v>75</v>
      </c>
      <c r="G2641" s="57" t="s">
        <v>45</v>
      </c>
      <c r="H2641" s="57" t="s">
        <v>44</v>
      </c>
      <c r="I2641" s="59" t="n">
        <v>1</v>
      </c>
      <c r="J2641" s="60" t="n">
        <v>119</v>
      </c>
      <c r="K2641" s="60" t="n">
        <v>63</v>
      </c>
      <c r="L2641" s="61" t="n">
        <f aca="false">I2641*J2641</f>
        <v>119</v>
      </c>
      <c r="M2641" s="61" t="n">
        <f aca="false">L2641-I2641*K2641</f>
        <v>56</v>
      </c>
      <c r="N2641" s="57" t="n">
        <f aca="false">IF(COUNTIFS(E$2:E2641,E2641,C$2:C2641,C2641)=1,1,0)</f>
        <v>0</v>
      </c>
      <c r="O2641" s="57" t="n">
        <f aca="false">IF(COUNTIFS(E$2:E2641,E2641,C$2:C2641,C2641,D$2:D2641,D2641)=1,1,0)</f>
        <v>0</v>
      </c>
      <c r="P2641" s="57" t="n">
        <f aca="false">IF(AND(C2641=Calc!$C$3,OR(Calc!$C$4=0,D2641=Calc!$C$4)),ROW(),0)</f>
        <v>2641</v>
      </c>
    </row>
    <row r="2642" customFormat="false" ht="15" hidden="false" customHeight="false" outlineLevel="0" collapsed="false">
      <c r="A2642" s="57" t="s">
        <v>3210</v>
      </c>
      <c r="B2642" s="58" t="n">
        <v>45986</v>
      </c>
      <c r="C2642" s="57" t="n">
        <f aca="false">YEAR(B2642)</f>
        <v>2025</v>
      </c>
      <c r="D2642" s="57" t="n">
        <f aca="false">MONTH(B2642)</f>
        <v>11</v>
      </c>
      <c r="E2642" s="57" t="s">
        <v>1114</v>
      </c>
      <c r="F2642" s="57" t="s">
        <v>75</v>
      </c>
      <c r="G2642" s="57" t="s">
        <v>35</v>
      </c>
      <c r="H2642" s="57" t="s">
        <v>34</v>
      </c>
      <c r="I2642" s="59" t="n">
        <v>1</v>
      </c>
      <c r="J2642" s="60" t="n">
        <v>89</v>
      </c>
      <c r="K2642" s="60" t="n">
        <v>41</v>
      </c>
      <c r="L2642" s="61" t="n">
        <f aca="false">I2642*J2642</f>
        <v>89</v>
      </c>
      <c r="M2642" s="61" t="n">
        <f aca="false">L2642-I2642*K2642</f>
        <v>48</v>
      </c>
      <c r="N2642" s="57" t="n">
        <f aca="false">IF(COUNTIFS(E$2:E2642,E2642,C$2:C2642,C2642)=1,1,0)</f>
        <v>0</v>
      </c>
      <c r="O2642" s="57" t="n">
        <f aca="false">IF(COUNTIFS(E$2:E2642,E2642,C$2:C2642,C2642,D$2:D2642,D2642)=1,1,0)</f>
        <v>1</v>
      </c>
      <c r="P2642" s="57" t="n">
        <f aca="false">IF(AND(C2642=Calc!$C$3,OR(Calc!$C$4=0,D2642=Calc!$C$4)),ROW(),0)</f>
        <v>2642</v>
      </c>
    </row>
    <row r="2643" customFormat="false" ht="15" hidden="false" customHeight="false" outlineLevel="0" collapsed="false">
      <c r="A2643" s="57" t="s">
        <v>3211</v>
      </c>
      <c r="B2643" s="58" t="n">
        <v>45986</v>
      </c>
      <c r="C2643" s="57" t="n">
        <f aca="false">YEAR(B2643)</f>
        <v>2025</v>
      </c>
      <c r="D2643" s="57" t="n">
        <f aca="false">MONTH(B2643)</f>
        <v>11</v>
      </c>
      <c r="E2643" s="57" t="s">
        <v>466</v>
      </c>
      <c r="F2643" s="57" t="s">
        <v>72</v>
      </c>
      <c r="G2643" s="57" t="s">
        <v>45</v>
      </c>
      <c r="H2643" s="57" t="s">
        <v>48</v>
      </c>
      <c r="I2643" s="59" t="n">
        <v>1</v>
      </c>
      <c r="J2643" s="60" t="n">
        <v>99</v>
      </c>
      <c r="K2643" s="60" t="n">
        <v>38</v>
      </c>
      <c r="L2643" s="61" t="n">
        <f aca="false">I2643*J2643</f>
        <v>99</v>
      </c>
      <c r="M2643" s="61" t="n">
        <f aca="false">L2643-I2643*K2643</f>
        <v>61</v>
      </c>
      <c r="N2643" s="57" t="n">
        <f aca="false">IF(COUNTIFS(E$2:E2643,E2643,C$2:C2643,C2643)=1,1,0)</f>
        <v>0</v>
      </c>
      <c r="O2643" s="57" t="n">
        <f aca="false">IF(COUNTIFS(E$2:E2643,E2643,C$2:C2643,C2643,D$2:D2643,D2643)=1,1,0)</f>
        <v>1</v>
      </c>
      <c r="P2643" s="57" t="n">
        <f aca="false">IF(AND(C2643=Calc!$C$3,OR(Calc!$C$4=0,D2643=Calc!$C$4)),ROW(),0)</f>
        <v>2643</v>
      </c>
    </row>
    <row r="2644" customFormat="false" ht="15" hidden="false" customHeight="false" outlineLevel="0" collapsed="false">
      <c r="A2644" s="57" t="s">
        <v>3212</v>
      </c>
      <c r="B2644" s="58" t="n">
        <v>45986</v>
      </c>
      <c r="C2644" s="57" t="n">
        <f aca="false">YEAR(B2644)</f>
        <v>2025</v>
      </c>
      <c r="D2644" s="57" t="n">
        <f aca="false">MONTH(B2644)</f>
        <v>11</v>
      </c>
      <c r="E2644" s="57" t="s">
        <v>185</v>
      </c>
      <c r="F2644" s="57" t="s">
        <v>81</v>
      </c>
      <c r="G2644" s="57" t="s">
        <v>40</v>
      </c>
      <c r="H2644" s="57" t="s">
        <v>43</v>
      </c>
      <c r="I2644" s="59" t="n">
        <v>1</v>
      </c>
      <c r="J2644" s="60" t="n">
        <v>29</v>
      </c>
      <c r="K2644" s="60" t="n">
        <v>9</v>
      </c>
      <c r="L2644" s="61" t="n">
        <f aca="false">I2644*J2644</f>
        <v>29</v>
      </c>
      <c r="M2644" s="61" t="n">
        <f aca="false">L2644-I2644*K2644</f>
        <v>20</v>
      </c>
      <c r="N2644" s="57" t="n">
        <f aca="false">IF(COUNTIFS(E$2:E2644,E2644,C$2:C2644,C2644)=1,1,0)</f>
        <v>0</v>
      </c>
      <c r="O2644" s="57" t="n">
        <f aca="false">IF(COUNTIFS(E$2:E2644,E2644,C$2:C2644,C2644,D$2:D2644,D2644)=1,1,0)</f>
        <v>0</v>
      </c>
      <c r="P2644" s="57" t="n">
        <f aca="false">IF(AND(C2644=Calc!$C$3,OR(Calc!$C$4=0,D2644=Calc!$C$4)),ROW(),0)</f>
        <v>2644</v>
      </c>
    </row>
    <row r="2645" customFormat="false" ht="15" hidden="false" customHeight="false" outlineLevel="0" collapsed="false">
      <c r="A2645" s="57" t="s">
        <v>3213</v>
      </c>
      <c r="B2645" s="58" t="n">
        <v>45986</v>
      </c>
      <c r="C2645" s="57" t="n">
        <f aca="false">YEAR(B2645)</f>
        <v>2025</v>
      </c>
      <c r="D2645" s="57" t="n">
        <f aca="false">MONTH(B2645)</f>
        <v>11</v>
      </c>
      <c r="E2645" s="57" t="s">
        <v>281</v>
      </c>
      <c r="F2645" s="57" t="s">
        <v>81</v>
      </c>
      <c r="G2645" s="57" t="s">
        <v>40</v>
      </c>
      <c r="H2645" s="57" t="s">
        <v>39</v>
      </c>
      <c r="I2645" s="59" t="n">
        <v>1</v>
      </c>
      <c r="J2645" s="60" t="n">
        <v>54</v>
      </c>
      <c r="K2645" s="60" t="n">
        <v>19</v>
      </c>
      <c r="L2645" s="61" t="n">
        <f aca="false">I2645*J2645</f>
        <v>54</v>
      </c>
      <c r="M2645" s="61" t="n">
        <f aca="false">L2645-I2645*K2645</f>
        <v>35</v>
      </c>
      <c r="N2645" s="57" t="n">
        <f aca="false">IF(COUNTIFS(E$2:E2645,E2645,C$2:C2645,C2645)=1,1,0)</f>
        <v>0</v>
      </c>
      <c r="O2645" s="57" t="n">
        <f aca="false">IF(COUNTIFS(E$2:E2645,E2645,C$2:C2645,C2645,D$2:D2645,D2645)=1,1,0)</f>
        <v>1</v>
      </c>
      <c r="P2645" s="57" t="n">
        <f aca="false">IF(AND(C2645=Calc!$C$3,OR(Calc!$C$4=0,D2645=Calc!$C$4)),ROW(),0)</f>
        <v>2645</v>
      </c>
    </row>
    <row r="2646" customFormat="false" ht="15" hidden="false" customHeight="false" outlineLevel="0" collapsed="false">
      <c r="A2646" s="57" t="s">
        <v>3214</v>
      </c>
      <c r="B2646" s="58" t="n">
        <v>45986</v>
      </c>
      <c r="C2646" s="57" t="n">
        <f aca="false">YEAR(B2646)</f>
        <v>2025</v>
      </c>
      <c r="D2646" s="57" t="n">
        <f aca="false">MONTH(B2646)</f>
        <v>11</v>
      </c>
      <c r="E2646" s="57" t="s">
        <v>317</v>
      </c>
      <c r="F2646" s="57" t="s">
        <v>72</v>
      </c>
      <c r="G2646" s="57" t="s">
        <v>45</v>
      </c>
      <c r="H2646" s="57" t="s">
        <v>44</v>
      </c>
      <c r="I2646" s="59" t="n">
        <v>1</v>
      </c>
      <c r="J2646" s="60" t="n">
        <v>119</v>
      </c>
      <c r="K2646" s="60" t="n">
        <v>63</v>
      </c>
      <c r="L2646" s="61" t="n">
        <f aca="false">I2646*J2646</f>
        <v>119</v>
      </c>
      <c r="M2646" s="61" t="n">
        <f aca="false">L2646-I2646*K2646</f>
        <v>56</v>
      </c>
      <c r="N2646" s="57" t="n">
        <f aca="false">IF(COUNTIFS(E$2:E2646,E2646,C$2:C2646,C2646)=1,1,0)</f>
        <v>0</v>
      </c>
      <c r="O2646" s="57" t="n">
        <f aca="false">IF(COUNTIFS(E$2:E2646,E2646,C$2:C2646,C2646,D$2:D2646,D2646)=1,1,0)</f>
        <v>1</v>
      </c>
      <c r="P2646" s="57" t="n">
        <f aca="false">IF(AND(C2646=Calc!$C$3,OR(Calc!$C$4=0,D2646=Calc!$C$4)),ROW(),0)</f>
        <v>2646</v>
      </c>
    </row>
    <row r="2647" customFormat="false" ht="15" hidden="false" customHeight="false" outlineLevel="0" collapsed="false">
      <c r="A2647" s="57" t="s">
        <v>3215</v>
      </c>
      <c r="B2647" s="58" t="n">
        <v>45987</v>
      </c>
      <c r="C2647" s="57" t="n">
        <f aca="false">YEAR(B2647)</f>
        <v>2025</v>
      </c>
      <c r="D2647" s="57" t="n">
        <f aca="false">MONTH(B2647)</f>
        <v>11</v>
      </c>
      <c r="E2647" s="57" t="s">
        <v>376</v>
      </c>
      <c r="F2647" s="57" t="s">
        <v>78</v>
      </c>
      <c r="G2647" s="57" t="s">
        <v>45</v>
      </c>
      <c r="H2647" s="57" t="s">
        <v>46</v>
      </c>
      <c r="I2647" s="59" t="n">
        <v>3</v>
      </c>
      <c r="J2647" s="60" t="n">
        <v>149</v>
      </c>
      <c r="K2647" s="60" t="n">
        <v>71</v>
      </c>
      <c r="L2647" s="61" t="n">
        <f aca="false">I2647*J2647</f>
        <v>447</v>
      </c>
      <c r="M2647" s="61" t="n">
        <f aca="false">L2647-I2647*K2647</f>
        <v>234</v>
      </c>
      <c r="N2647" s="57" t="n">
        <f aca="false">IF(COUNTIFS(E$2:E2647,E2647,C$2:C2647,C2647)=1,1,0)</f>
        <v>0</v>
      </c>
      <c r="O2647" s="57" t="n">
        <f aca="false">IF(COUNTIFS(E$2:E2647,E2647,C$2:C2647,C2647,D$2:D2647,D2647)=1,1,0)</f>
        <v>1</v>
      </c>
      <c r="P2647" s="57" t="n">
        <f aca="false">IF(AND(C2647=Calc!$C$3,OR(Calc!$C$4=0,D2647=Calc!$C$4)),ROW(),0)</f>
        <v>2647</v>
      </c>
    </row>
    <row r="2648" customFormat="false" ht="15" hidden="false" customHeight="false" outlineLevel="0" collapsed="false">
      <c r="A2648" s="57" t="s">
        <v>3216</v>
      </c>
      <c r="B2648" s="58" t="n">
        <v>45987</v>
      </c>
      <c r="C2648" s="57" t="n">
        <f aca="false">YEAR(B2648)</f>
        <v>2025</v>
      </c>
      <c r="D2648" s="57" t="n">
        <f aca="false">MONTH(B2648)</f>
        <v>11</v>
      </c>
      <c r="E2648" s="57" t="s">
        <v>1493</v>
      </c>
      <c r="F2648" s="57" t="s">
        <v>69</v>
      </c>
      <c r="G2648" s="57" t="s">
        <v>45</v>
      </c>
      <c r="H2648" s="57" t="s">
        <v>47</v>
      </c>
      <c r="I2648" s="59" t="n">
        <v>1</v>
      </c>
      <c r="J2648" s="60" t="n">
        <v>34</v>
      </c>
      <c r="K2648" s="60" t="n">
        <v>12</v>
      </c>
      <c r="L2648" s="61" t="n">
        <f aca="false">I2648*J2648</f>
        <v>34</v>
      </c>
      <c r="M2648" s="61" t="n">
        <f aca="false">L2648-I2648*K2648</f>
        <v>22</v>
      </c>
      <c r="N2648" s="57" t="n">
        <f aca="false">IF(COUNTIFS(E$2:E2648,E2648,C$2:C2648,C2648)=1,1,0)</f>
        <v>0</v>
      </c>
      <c r="O2648" s="57" t="n">
        <f aca="false">IF(COUNTIFS(E$2:E2648,E2648,C$2:C2648,C2648,D$2:D2648,D2648)=1,1,0)</f>
        <v>1</v>
      </c>
      <c r="P2648" s="57" t="n">
        <f aca="false">IF(AND(C2648=Calc!$C$3,OR(Calc!$C$4=0,D2648=Calc!$C$4)),ROW(),0)</f>
        <v>2648</v>
      </c>
    </row>
    <row r="2649" customFormat="false" ht="15" hidden="false" customHeight="false" outlineLevel="0" collapsed="false">
      <c r="A2649" s="57" t="s">
        <v>3217</v>
      </c>
      <c r="B2649" s="58" t="n">
        <v>45987</v>
      </c>
      <c r="C2649" s="57" t="n">
        <f aca="false">YEAR(B2649)</f>
        <v>2025</v>
      </c>
      <c r="D2649" s="57" t="n">
        <f aca="false">MONTH(B2649)</f>
        <v>11</v>
      </c>
      <c r="E2649" s="57" t="s">
        <v>558</v>
      </c>
      <c r="F2649" s="57" t="s">
        <v>81</v>
      </c>
      <c r="G2649" s="57" t="s">
        <v>40</v>
      </c>
      <c r="H2649" s="57" t="s">
        <v>39</v>
      </c>
      <c r="I2649" s="59" t="n">
        <v>1</v>
      </c>
      <c r="J2649" s="60" t="n">
        <v>54</v>
      </c>
      <c r="K2649" s="60" t="n">
        <v>19</v>
      </c>
      <c r="L2649" s="61" t="n">
        <f aca="false">I2649*J2649</f>
        <v>54</v>
      </c>
      <c r="M2649" s="61" t="n">
        <f aca="false">L2649-I2649*K2649</f>
        <v>35</v>
      </c>
      <c r="N2649" s="57" t="n">
        <f aca="false">IF(COUNTIFS(E$2:E2649,E2649,C$2:C2649,C2649)=1,1,0)</f>
        <v>0</v>
      </c>
      <c r="O2649" s="57" t="n">
        <f aca="false">IF(COUNTIFS(E$2:E2649,E2649,C$2:C2649,C2649,D$2:D2649,D2649)=1,1,0)</f>
        <v>1</v>
      </c>
      <c r="P2649" s="57" t="n">
        <f aca="false">IF(AND(C2649=Calc!$C$3,OR(Calc!$C$4=0,D2649=Calc!$C$4)),ROW(),0)</f>
        <v>2649</v>
      </c>
    </row>
    <row r="2650" customFormat="false" ht="15" hidden="false" customHeight="false" outlineLevel="0" collapsed="false">
      <c r="A2650" s="57" t="s">
        <v>3218</v>
      </c>
      <c r="B2650" s="58" t="n">
        <v>45987</v>
      </c>
      <c r="C2650" s="57" t="n">
        <f aca="false">YEAR(B2650)</f>
        <v>2025</v>
      </c>
      <c r="D2650" s="57" t="n">
        <f aca="false">MONTH(B2650)</f>
        <v>11</v>
      </c>
      <c r="E2650" s="57" t="s">
        <v>406</v>
      </c>
      <c r="F2650" s="57" t="s">
        <v>69</v>
      </c>
      <c r="G2650" s="57" t="s">
        <v>45</v>
      </c>
      <c r="H2650" s="57" t="s">
        <v>44</v>
      </c>
      <c r="I2650" s="59" t="n">
        <v>1</v>
      </c>
      <c r="J2650" s="60" t="n">
        <v>119</v>
      </c>
      <c r="K2650" s="60" t="n">
        <v>63</v>
      </c>
      <c r="L2650" s="61" t="n">
        <f aca="false">I2650*J2650</f>
        <v>119</v>
      </c>
      <c r="M2650" s="61" t="n">
        <f aca="false">L2650-I2650*K2650</f>
        <v>56</v>
      </c>
      <c r="N2650" s="57" t="n">
        <f aca="false">IF(COUNTIFS(E$2:E2650,E2650,C$2:C2650,C2650)=1,1,0)</f>
        <v>0</v>
      </c>
      <c r="O2650" s="57" t="n">
        <f aca="false">IF(COUNTIFS(E$2:E2650,E2650,C$2:C2650,C2650,D$2:D2650,D2650)=1,1,0)</f>
        <v>1</v>
      </c>
      <c r="P2650" s="57" t="n">
        <f aca="false">IF(AND(C2650=Calc!$C$3,OR(Calc!$C$4=0,D2650=Calc!$C$4)),ROW(),0)</f>
        <v>2650</v>
      </c>
    </row>
    <row r="2651" customFormat="false" ht="15" hidden="false" customHeight="false" outlineLevel="0" collapsed="false">
      <c r="A2651" s="57" t="s">
        <v>3219</v>
      </c>
      <c r="B2651" s="58" t="n">
        <v>45987</v>
      </c>
      <c r="C2651" s="57" t="n">
        <f aca="false">YEAR(B2651)</f>
        <v>2025</v>
      </c>
      <c r="D2651" s="57" t="n">
        <f aca="false">MONTH(B2651)</f>
        <v>11</v>
      </c>
      <c r="E2651" s="57" t="s">
        <v>525</v>
      </c>
      <c r="F2651" s="57" t="s">
        <v>78</v>
      </c>
      <c r="G2651" s="57" t="s">
        <v>35</v>
      </c>
      <c r="H2651" s="57" t="s">
        <v>38</v>
      </c>
      <c r="I2651" s="59" t="n">
        <v>3</v>
      </c>
      <c r="J2651" s="60" t="n">
        <v>49</v>
      </c>
      <c r="K2651" s="60" t="n">
        <v>22</v>
      </c>
      <c r="L2651" s="61" t="n">
        <f aca="false">I2651*J2651</f>
        <v>147</v>
      </c>
      <c r="M2651" s="61" t="n">
        <f aca="false">L2651-I2651*K2651</f>
        <v>81</v>
      </c>
      <c r="N2651" s="57" t="n">
        <f aca="false">IF(COUNTIFS(E$2:E2651,E2651,C$2:C2651,C2651)=1,1,0)</f>
        <v>0</v>
      </c>
      <c r="O2651" s="57" t="n">
        <f aca="false">IF(COUNTIFS(E$2:E2651,E2651,C$2:C2651,C2651,D$2:D2651,D2651)=1,1,0)</f>
        <v>1</v>
      </c>
      <c r="P2651" s="57" t="n">
        <f aca="false">IF(AND(C2651=Calc!$C$3,OR(Calc!$C$4=0,D2651=Calc!$C$4)),ROW(),0)</f>
        <v>2651</v>
      </c>
    </row>
    <row r="2652" customFormat="false" ht="15" hidden="false" customHeight="false" outlineLevel="0" collapsed="false">
      <c r="A2652" s="57" t="s">
        <v>3220</v>
      </c>
      <c r="B2652" s="58" t="n">
        <v>45988</v>
      </c>
      <c r="C2652" s="57" t="n">
        <f aca="false">YEAR(B2652)</f>
        <v>2025</v>
      </c>
      <c r="D2652" s="57" t="n">
        <f aca="false">MONTH(B2652)</f>
        <v>11</v>
      </c>
      <c r="E2652" s="57" t="s">
        <v>488</v>
      </c>
      <c r="F2652" s="57" t="s">
        <v>69</v>
      </c>
      <c r="G2652" s="57" t="s">
        <v>50</v>
      </c>
      <c r="H2652" s="57" t="s">
        <v>49</v>
      </c>
      <c r="I2652" s="59" t="n">
        <v>1</v>
      </c>
      <c r="J2652" s="60" t="n">
        <v>32</v>
      </c>
      <c r="K2652" s="60" t="n">
        <v>7</v>
      </c>
      <c r="L2652" s="61" t="n">
        <f aca="false">I2652*J2652</f>
        <v>32</v>
      </c>
      <c r="M2652" s="61" t="n">
        <f aca="false">L2652-I2652*K2652</f>
        <v>25</v>
      </c>
      <c r="N2652" s="57" t="n">
        <f aca="false">IF(COUNTIFS(E$2:E2652,E2652,C$2:C2652,C2652)=1,1,0)</f>
        <v>0</v>
      </c>
      <c r="O2652" s="57" t="n">
        <f aca="false">IF(COUNTIFS(E$2:E2652,E2652,C$2:C2652,C2652,D$2:D2652,D2652)=1,1,0)</f>
        <v>0</v>
      </c>
      <c r="P2652" s="57" t="n">
        <f aca="false">IF(AND(C2652=Calc!$C$3,OR(Calc!$C$4=0,D2652=Calc!$C$4)),ROW(),0)</f>
        <v>2652</v>
      </c>
    </row>
    <row r="2653" customFormat="false" ht="15" hidden="false" customHeight="false" outlineLevel="0" collapsed="false">
      <c r="A2653" s="57" t="s">
        <v>3221</v>
      </c>
      <c r="B2653" s="58" t="n">
        <v>45988</v>
      </c>
      <c r="C2653" s="57" t="n">
        <f aca="false">YEAR(B2653)</f>
        <v>2025</v>
      </c>
      <c r="D2653" s="57" t="n">
        <f aca="false">MONTH(B2653)</f>
        <v>11</v>
      </c>
      <c r="E2653" s="57" t="s">
        <v>170</v>
      </c>
      <c r="F2653" s="57" t="s">
        <v>69</v>
      </c>
      <c r="G2653" s="57" t="s">
        <v>40</v>
      </c>
      <c r="H2653" s="57" t="s">
        <v>42</v>
      </c>
      <c r="I2653" s="59" t="n">
        <v>2</v>
      </c>
      <c r="J2653" s="60" t="n">
        <v>79</v>
      </c>
      <c r="K2653" s="60" t="n">
        <v>31</v>
      </c>
      <c r="L2653" s="61" t="n">
        <f aca="false">I2653*J2653</f>
        <v>158</v>
      </c>
      <c r="M2653" s="61" t="n">
        <f aca="false">L2653-I2653*K2653</f>
        <v>96</v>
      </c>
      <c r="N2653" s="57" t="n">
        <f aca="false">IF(COUNTIFS(E$2:E2653,E2653,C$2:C2653,C2653)=1,1,0)</f>
        <v>0</v>
      </c>
      <c r="O2653" s="57" t="n">
        <f aca="false">IF(COUNTIFS(E$2:E2653,E2653,C$2:C2653,C2653,D$2:D2653,D2653)=1,1,0)</f>
        <v>1</v>
      </c>
      <c r="P2653" s="57" t="n">
        <f aca="false">IF(AND(C2653=Calc!$C$3,OR(Calc!$C$4=0,D2653=Calc!$C$4)),ROW(),0)</f>
        <v>2653</v>
      </c>
    </row>
    <row r="2654" customFormat="false" ht="15" hidden="false" customHeight="false" outlineLevel="0" collapsed="false">
      <c r="A2654" s="57" t="s">
        <v>3222</v>
      </c>
      <c r="B2654" s="58" t="n">
        <v>45988</v>
      </c>
      <c r="C2654" s="57" t="n">
        <f aca="false">YEAR(B2654)</f>
        <v>2025</v>
      </c>
      <c r="D2654" s="57" t="n">
        <f aca="false">MONTH(B2654)</f>
        <v>11</v>
      </c>
      <c r="E2654" s="57" t="s">
        <v>160</v>
      </c>
      <c r="F2654" s="57" t="s">
        <v>75</v>
      </c>
      <c r="G2654" s="57" t="s">
        <v>35</v>
      </c>
      <c r="H2654" s="57" t="s">
        <v>37</v>
      </c>
      <c r="I2654" s="59" t="n">
        <v>1</v>
      </c>
      <c r="J2654" s="60" t="n">
        <v>59</v>
      </c>
      <c r="K2654" s="60" t="n">
        <v>27</v>
      </c>
      <c r="L2654" s="61" t="n">
        <f aca="false">I2654*J2654</f>
        <v>59</v>
      </c>
      <c r="M2654" s="61" t="n">
        <f aca="false">L2654-I2654*K2654</f>
        <v>32</v>
      </c>
      <c r="N2654" s="57" t="n">
        <f aca="false">IF(COUNTIFS(E$2:E2654,E2654,C$2:C2654,C2654)=1,1,0)</f>
        <v>0</v>
      </c>
      <c r="O2654" s="57" t="n">
        <f aca="false">IF(COUNTIFS(E$2:E2654,E2654,C$2:C2654,C2654,D$2:D2654,D2654)=1,1,0)</f>
        <v>1</v>
      </c>
      <c r="P2654" s="57" t="n">
        <f aca="false">IF(AND(C2654=Calc!$C$3,OR(Calc!$C$4=0,D2654=Calc!$C$4)),ROW(),0)</f>
        <v>2654</v>
      </c>
    </row>
    <row r="2655" customFormat="false" ht="15" hidden="false" customHeight="false" outlineLevel="0" collapsed="false">
      <c r="A2655" s="57" t="s">
        <v>3223</v>
      </c>
      <c r="B2655" s="58" t="n">
        <v>45988</v>
      </c>
      <c r="C2655" s="57" t="n">
        <f aca="false">YEAR(B2655)</f>
        <v>2025</v>
      </c>
      <c r="D2655" s="57" t="n">
        <f aca="false">MONTH(B2655)</f>
        <v>11</v>
      </c>
      <c r="E2655" s="57" t="s">
        <v>91</v>
      </c>
      <c r="F2655" s="57" t="s">
        <v>69</v>
      </c>
      <c r="G2655" s="57" t="s">
        <v>45</v>
      </c>
      <c r="H2655" s="57" t="s">
        <v>46</v>
      </c>
      <c r="I2655" s="59" t="n">
        <v>3</v>
      </c>
      <c r="J2655" s="60" t="n">
        <v>149</v>
      </c>
      <c r="K2655" s="60" t="n">
        <v>71</v>
      </c>
      <c r="L2655" s="61" t="n">
        <f aca="false">I2655*J2655</f>
        <v>447</v>
      </c>
      <c r="M2655" s="61" t="n">
        <f aca="false">L2655-I2655*K2655</f>
        <v>234</v>
      </c>
      <c r="N2655" s="57" t="n">
        <f aca="false">IF(COUNTIFS(E$2:E2655,E2655,C$2:C2655,C2655)=1,1,0)</f>
        <v>0</v>
      </c>
      <c r="O2655" s="57" t="n">
        <f aca="false">IF(COUNTIFS(E$2:E2655,E2655,C$2:C2655,C2655,D$2:D2655,D2655)=1,1,0)</f>
        <v>1</v>
      </c>
      <c r="P2655" s="57" t="n">
        <f aca="false">IF(AND(C2655=Calc!$C$3,OR(Calc!$C$4=0,D2655=Calc!$C$4)),ROW(),0)</f>
        <v>2655</v>
      </c>
    </row>
    <row r="2656" customFormat="false" ht="15" hidden="false" customHeight="false" outlineLevel="0" collapsed="false">
      <c r="A2656" s="57" t="s">
        <v>3224</v>
      </c>
      <c r="B2656" s="58" t="n">
        <v>45988</v>
      </c>
      <c r="C2656" s="57" t="n">
        <f aca="false">YEAR(B2656)</f>
        <v>2025</v>
      </c>
      <c r="D2656" s="57" t="n">
        <f aca="false">MONTH(B2656)</f>
        <v>11</v>
      </c>
      <c r="E2656" s="57" t="s">
        <v>112</v>
      </c>
      <c r="F2656" s="57" t="s">
        <v>81</v>
      </c>
      <c r="G2656" s="57" t="s">
        <v>35</v>
      </c>
      <c r="H2656" s="57" t="s">
        <v>36</v>
      </c>
      <c r="I2656" s="59" t="n">
        <v>1</v>
      </c>
      <c r="J2656" s="60" t="n">
        <v>179</v>
      </c>
      <c r="K2656" s="60" t="n">
        <v>92</v>
      </c>
      <c r="L2656" s="61" t="n">
        <f aca="false">I2656*J2656</f>
        <v>179</v>
      </c>
      <c r="M2656" s="61" t="n">
        <f aca="false">L2656-I2656*K2656</f>
        <v>87</v>
      </c>
      <c r="N2656" s="57" t="n">
        <f aca="false">IF(COUNTIFS(E$2:E2656,E2656,C$2:C2656,C2656)=1,1,0)</f>
        <v>0</v>
      </c>
      <c r="O2656" s="57" t="n">
        <f aca="false">IF(COUNTIFS(E$2:E2656,E2656,C$2:C2656,C2656,D$2:D2656,D2656)=1,1,0)</f>
        <v>1</v>
      </c>
      <c r="P2656" s="57" t="n">
        <f aca="false">IF(AND(C2656=Calc!$C$3,OR(Calc!$C$4=0,D2656=Calc!$C$4)),ROW(),0)</f>
        <v>2656</v>
      </c>
    </row>
    <row r="2657" customFormat="false" ht="15" hidden="false" customHeight="false" outlineLevel="0" collapsed="false">
      <c r="A2657" s="57" t="s">
        <v>3225</v>
      </c>
      <c r="B2657" s="58" t="n">
        <v>45989</v>
      </c>
      <c r="C2657" s="57" t="n">
        <f aca="false">YEAR(B2657)</f>
        <v>2025</v>
      </c>
      <c r="D2657" s="57" t="n">
        <f aca="false">MONTH(B2657)</f>
        <v>11</v>
      </c>
      <c r="E2657" s="57" t="s">
        <v>1977</v>
      </c>
      <c r="F2657" s="57" t="s">
        <v>69</v>
      </c>
      <c r="G2657" s="57" t="s">
        <v>40</v>
      </c>
      <c r="H2657" s="57" t="s">
        <v>42</v>
      </c>
      <c r="I2657" s="59" t="n">
        <v>1</v>
      </c>
      <c r="J2657" s="60" t="n">
        <v>79</v>
      </c>
      <c r="K2657" s="60" t="n">
        <v>31</v>
      </c>
      <c r="L2657" s="61" t="n">
        <f aca="false">I2657*J2657</f>
        <v>79</v>
      </c>
      <c r="M2657" s="61" t="n">
        <f aca="false">L2657-I2657*K2657</f>
        <v>48</v>
      </c>
      <c r="N2657" s="57" t="n">
        <f aca="false">IF(COUNTIFS(E$2:E2657,E2657,C$2:C2657,C2657)=1,1,0)</f>
        <v>0</v>
      </c>
      <c r="O2657" s="57" t="n">
        <f aca="false">IF(COUNTIFS(E$2:E2657,E2657,C$2:C2657,C2657,D$2:D2657,D2657)=1,1,0)</f>
        <v>1</v>
      </c>
      <c r="P2657" s="57" t="n">
        <f aca="false">IF(AND(C2657=Calc!$C$3,OR(Calc!$C$4=0,D2657=Calc!$C$4)),ROW(),0)</f>
        <v>2657</v>
      </c>
    </row>
    <row r="2658" customFormat="false" ht="15" hidden="false" customHeight="false" outlineLevel="0" collapsed="false">
      <c r="A2658" s="57" t="s">
        <v>3226</v>
      </c>
      <c r="B2658" s="58" t="n">
        <v>45989</v>
      </c>
      <c r="C2658" s="57" t="n">
        <f aca="false">YEAR(B2658)</f>
        <v>2025</v>
      </c>
      <c r="D2658" s="57" t="n">
        <f aca="false">MONTH(B2658)</f>
        <v>11</v>
      </c>
      <c r="E2658" s="57" t="s">
        <v>847</v>
      </c>
      <c r="F2658" s="57" t="s">
        <v>75</v>
      </c>
      <c r="G2658" s="57" t="s">
        <v>50</v>
      </c>
      <c r="H2658" s="57" t="s">
        <v>52</v>
      </c>
      <c r="I2658" s="59" t="n">
        <v>1</v>
      </c>
      <c r="J2658" s="60" t="n">
        <v>45</v>
      </c>
      <c r="K2658" s="60" t="n">
        <v>14</v>
      </c>
      <c r="L2658" s="61" t="n">
        <f aca="false">I2658*J2658</f>
        <v>45</v>
      </c>
      <c r="M2658" s="61" t="n">
        <f aca="false">L2658-I2658*K2658</f>
        <v>31</v>
      </c>
      <c r="N2658" s="57" t="n">
        <f aca="false">IF(COUNTIFS(E$2:E2658,E2658,C$2:C2658,C2658)=1,1,0)</f>
        <v>1</v>
      </c>
      <c r="O2658" s="57" t="n">
        <f aca="false">IF(COUNTIFS(E$2:E2658,E2658,C$2:C2658,C2658,D$2:D2658,D2658)=1,1,0)</f>
        <v>1</v>
      </c>
      <c r="P2658" s="57" t="n">
        <f aca="false">IF(AND(C2658=Calc!$C$3,OR(Calc!$C$4=0,D2658=Calc!$C$4)),ROW(),0)</f>
        <v>2658</v>
      </c>
    </row>
    <row r="2659" customFormat="false" ht="15" hidden="false" customHeight="false" outlineLevel="0" collapsed="false">
      <c r="A2659" s="57" t="s">
        <v>3227</v>
      </c>
      <c r="B2659" s="58" t="n">
        <v>45989</v>
      </c>
      <c r="C2659" s="57" t="n">
        <f aca="false">YEAR(B2659)</f>
        <v>2025</v>
      </c>
      <c r="D2659" s="57" t="n">
        <f aca="false">MONTH(B2659)</f>
        <v>11</v>
      </c>
      <c r="E2659" s="57" t="s">
        <v>201</v>
      </c>
      <c r="F2659" s="57" t="s">
        <v>75</v>
      </c>
      <c r="G2659" s="57" t="s">
        <v>50</v>
      </c>
      <c r="H2659" s="57" t="s">
        <v>52</v>
      </c>
      <c r="I2659" s="59" t="n">
        <v>1</v>
      </c>
      <c r="J2659" s="60" t="n">
        <v>45</v>
      </c>
      <c r="K2659" s="60" t="n">
        <v>14</v>
      </c>
      <c r="L2659" s="61" t="n">
        <f aca="false">I2659*J2659</f>
        <v>45</v>
      </c>
      <c r="M2659" s="61" t="n">
        <f aca="false">L2659-I2659*K2659</f>
        <v>31</v>
      </c>
      <c r="N2659" s="57" t="n">
        <f aca="false">IF(COUNTIFS(E$2:E2659,E2659,C$2:C2659,C2659)=1,1,0)</f>
        <v>0</v>
      </c>
      <c r="O2659" s="57" t="n">
        <f aca="false">IF(COUNTIFS(E$2:E2659,E2659,C$2:C2659,C2659,D$2:D2659,D2659)=1,1,0)</f>
        <v>1</v>
      </c>
      <c r="P2659" s="57" t="n">
        <f aca="false">IF(AND(C2659=Calc!$C$3,OR(Calc!$C$4=0,D2659=Calc!$C$4)),ROW(),0)</f>
        <v>2659</v>
      </c>
    </row>
    <row r="2660" customFormat="false" ht="15" hidden="false" customHeight="false" outlineLevel="0" collapsed="false">
      <c r="A2660" s="57" t="s">
        <v>3228</v>
      </c>
      <c r="B2660" s="58" t="n">
        <v>45989</v>
      </c>
      <c r="C2660" s="57" t="n">
        <f aca="false">YEAR(B2660)</f>
        <v>2025</v>
      </c>
      <c r="D2660" s="57" t="n">
        <f aca="false">MONTH(B2660)</f>
        <v>11</v>
      </c>
      <c r="E2660" s="57" t="s">
        <v>477</v>
      </c>
      <c r="F2660" s="57" t="s">
        <v>78</v>
      </c>
      <c r="G2660" s="57" t="s">
        <v>40</v>
      </c>
      <c r="H2660" s="57" t="s">
        <v>43</v>
      </c>
      <c r="I2660" s="59" t="n">
        <v>3</v>
      </c>
      <c r="J2660" s="60" t="n">
        <v>29</v>
      </c>
      <c r="K2660" s="60" t="n">
        <v>9</v>
      </c>
      <c r="L2660" s="61" t="n">
        <f aca="false">I2660*J2660</f>
        <v>87</v>
      </c>
      <c r="M2660" s="61" t="n">
        <f aca="false">L2660-I2660*K2660</f>
        <v>60</v>
      </c>
      <c r="N2660" s="57" t="n">
        <f aca="false">IF(COUNTIFS(E$2:E2660,E2660,C$2:C2660,C2660)=1,1,0)</f>
        <v>0</v>
      </c>
      <c r="O2660" s="57" t="n">
        <f aca="false">IF(COUNTIFS(E$2:E2660,E2660,C$2:C2660,C2660,D$2:D2660,D2660)=1,1,0)</f>
        <v>0</v>
      </c>
      <c r="P2660" s="57" t="n">
        <f aca="false">IF(AND(C2660=Calc!$C$3,OR(Calc!$C$4=0,D2660=Calc!$C$4)),ROW(),0)</f>
        <v>2660</v>
      </c>
    </row>
    <row r="2661" customFormat="false" ht="15" hidden="false" customHeight="false" outlineLevel="0" collapsed="false">
      <c r="A2661" s="57" t="s">
        <v>3229</v>
      </c>
      <c r="B2661" s="58" t="n">
        <v>45989</v>
      </c>
      <c r="C2661" s="57" t="n">
        <f aca="false">YEAR(B2661)</f>
        <v>2025</v>
      </c>
      <c r="D2661" s="57" t="n">
        <f aca="false">MONTH(B2661)</f>
        <v>11</v>
      </c>
      <c r="E2661" s="57" t="s">
        <v>2501</v>
      </c>
      <c r="F2661" s="57" t="s">
        <v>75</v>
      </c>
      <c r="G2661" s="57" t="s">
        <v>35</v>
      </c>
      <c r="H2661" s="57" t="s">
        <v>36</v>
      </c>
      <c r="I2661" s="59" t="n">
        <v>1</v>
      </c>
      <c r="J2661" s="60" t="n">
        <v>179</v>
      </c>
      <c r="K2661" s="60" t="n">
        <v>92</v>
      </c>
      <c r="L2661" s="61" t="n">
        <f aca="false">I2661*J2661</f>
        <v>179</v>
      </c>
      <c r="M2661" s="61" t="n">
        <f aca="false">L2661-I2661*K2661</f>
        <v>87</v>
      </c>
      <c r="N2661" s="57" t="n">
        <f aca="false">IF(COUNTIFS(E$2:E2661,E2661,C$2:C2661,C2661)=1,1,0)</f>
        <v>0</v>
      </c>
      <c r="O2661" s="57" t="n">
        <f aca="false">IF(COUNTIFS(E$2:E2661,E2661,C$2:C2661,C2661,D$2:D2661,D2661)=1,1,0)</f>
        <v>1</v>
      </c>
      <c r="P2661" s="57" t="n">
        <f aca="false">IF(AND(C2661=Calc!$C$3,OR(Calc!$C$4=0,D2661=Calc!$C$4)),ROW(),0)</f>
        <v>2661</v>
      </c>
    </row>
    <row r="2662" customFormat="false" ht="15" hidden="false" customHeight="false" outlineLevel="0" collapsed="false">
      <c r="A2662" s="57" t="s">
        <v>3230</v>
      </c>
      <c r="B2662" s="58" t="n">
        <v>45989</v>
      </c>
      <c r="C2662" s="57" t="n">
        <f aca="false">YEAR(B2662)</f>
        <v>2025</v>
      </c>
      <c r="D2662" s="57" t="n">
        <f aca="false">MONTH(B2662)</f>
        <v>11</v>
      </c>
      <c r="E2662" s="57" t="s">
        <v>2398</v>
      </c>
      <c r="F2662" s="57" t="s">
        <v>81</v>
      </c>
      <c r="G2662" s="57" t="s">
        <v>45</v>
      </c>
      <c r="H2662" s="57" t="s">
        <v>44</v>
      </c>
      <c r="I2662" s="59" t="n">
        <v>2</v>
      </c>
      <c r="J2662" s="60" t="n">
        <v>119</v>
      </c>
      <c r="K2662" s="60" t="n">
        <v>63</v>
      </c>
      <c r="L2662" s="61" t="n">
        <f aca="false">I2662*J2662</f>
        <v>238</v>
      </c>
      <c r="M2662" s="61" t="n">
        <f aca="false">L2662-I2662*K2662</f>
        <v>112</v>
      </c>
      <c r="N2662" s="57" t="n">
        <f aca="false">IF(COUNTIFS(E$2:E2662,E2662,C$2:C2662,C2662)=1,1,0)</f>
        <v>0</v>
      </c>
      <c r="O2662" s="57" t="n">
        <f aca="false">IF(COUNTIFS(E$2:E2662,E2662,C$2:C2662,C2662,D$2:D2662,D2662)=1,1,0)</f>
        <v>1</v>
      </c>
      <c r="P2662" s="57" t="n">
        <f aca="false">IF(AND(C2662=Calc!$C$3,OR(Calc!$C$4=0,D2662=Calc!$C$4)),ROW(),0)</f>
        <v>2662</v>
      </c>
    </row>
    <row r="2663" customFormat="false" ht="15" hidden="false" customHeight="false" outlineLevel="0" collapsed="false">
      <c r="A2663" s="57" t="s">
        <v>3231</v>
      </c>
      <c r="B2663" s="58" t="n">
        <v>45990</v>
      </c>
      <c r="C2663" s="57" t="n">
        <f aca="false">YEAR(B2663)</f>
        <v>2025</v>
      </c>
      <c r="D2663" s="57" t="n">
        <f aca="false">MONTH(B2663)</f>
        <v>11</v>
      </c>
      <c r="E2663" s="57" t="s">
        <v>125</v>
      </c>
      <c r="F2663" s="57" t="s">
        <v>69</v>
      </c>
      <c r="G2663" s="57" t="s">
        <v>35</v>
      </c>
      <c r="H2663" s="57" t="s">
        <v>37</v>
      </c>
      <c r="I2663" s="59" t="n">
        <v>1</v>
      </c>
      <c r="J2663" s="60" t="n">
        <v>59</v>
      </c>
      <c r="K2663" s="60" t="n">
        <v>27</v>
      </c>
      <c r="L2663" s="61" t="n">
        <f aca="false">I2663*J2663</f>
        <v>59</v>
      </c>
      <c r="M2663" s="61" t="n">
        <f aca="false">L2663-I2663*K2663</f>
        <v>32</v>
      </c>
      <c r="N2663" s="57" t="n">
        <f aca="false">IF(COUNTIFS(E$2:E2663,E2663,C$2:C2663,C2663)=1,1,0)</f>
        <v>0</v>
      </c>
      <c r="O2663" s="57" t="n">
        <f aca="false">IF(COUNTIFS(E$2:E2663,E2663,C$2:C2663,C2663,D$2:D2663,D2663)=1,1,0)</f>
        <v>0</v>
      </c>
      <c r="P2663" s="57" t="n">
        <f aca="false">IF(AND(C2663=Calc!$C$3,OR(Calc!$C$4=0,D2663=Calc!$C$4)),ROW(),0)</f>
        <v>2663</v>
      </c>
    </row>
    <row r="2664" customFormat="false" ht="15" hidden="false" customHeight="false" outlineLevel="0" collapsed="false">
      <c r="A2664" s="57" t="s">
        <v>3232</v>
      </c>
      <c r="B2664" s="58" t="n">
        <v>45990</v>
      </c>
      <c r="C2664" s="57" t="n">
        <f aca="false">YEAR(B2664)</f>
        <v>2025</v>
      </c>
      <c r="D2664" s="57" t="n">
        <f aca="false">MONTH(B2664)</f>
        <v>11</v>
      </c>
      <c r="E2664" s="57" t="s">
        <v>193</v>
      </c>
      <c r="F2664" s="57" t="s">
        <v>78</v>
      </c>
      <c r="G2664" s="57" t="s">
        <v>45</v>
      </c>
      <c r="H2664" s="57" t="s">
        <v>47</v>
      </c>
      <c r="I2664" s="59" t="n">
        <v>1</v>
      </c>
      <c r="J2664" s="60" t="n">
        <v>34</v>
      </c>
      <c r="K2664" s="60" t="n">
        <v>12</v>
      </c>
      <c r="L2664" s="61" t="n">
        <f aca="false">I2664*J2664</f>
        <v>34</v>
      </c>
      <c r="M2664" s="61" t="n">
        <f aca="false">L2664-I2664*K2664</f>
        <v>22</v>
      </c>
      <c r="N2664" s="57" t="n">
        <f aca="false">IF(COUNTIFS(E$2:E2664,E2664,C$2:C2664,C2664)=1,1,0)</f>
        <v>0</v>
      </c>
      <c r="O2664" s="57" t="n">
        <f aca="false">IF(COUNTIFS(E$2:E2664,E2664,C$2:C2664,C2664,D$2:D2664,D2664)=1,1,0)</f>
        <v>1</v>
      </c>
      <c r="P2664" s="57" t="n">
        <f aca="false">IF(AND(C2664=Calc!$C$3,OR(Calc!$C$4=0,D2664=Calc!$C$4)),ROW(),0)</f>
        <v>2664</v>
      </c>
    </row>
    <row r="2665" customFormat="false" ht="15" hidden="false" customHeight="false" outlineLevel="0" collapsed="false">
      <c r="A2665" s="57" t="s">
        <v>3233</v>
      </c>
      <c r="B2665" s="58" t="n">
        <v>45990</v>
      </c>
      <c r="C2665" s="57" t="n">
        <f aca="false">YEAR(B2665)</f>
        <v>2025</v>
      </c>
      <c r="D2665" s="57" t="n">
        <f aca="false">MONTH(B2665)</f>
        <v>11</v>
      </c>
      <c r="E2665" s="57" t="s">
        <v>231</v>
      </c>
      <c r="F2665" s="57" t="s">
        <v>72</v>
      </c>
      <c r="G2665" s="57" t="s">
        <v>40</v>
      </c>
      <c r="H2665" s="57" t="s">
        <v>41</v>
      </c>
      <c r="I2665" s="59" t="n">
        <v>1</v>
      </c>
      <c r="J2665" s="60" t="n">
        <v>46</v>
      </c>
      <c r="K2665" s="60" t="n">
        <v>16</v>
      </c>
      <c r="L2665" s="61" t="n">
        <f aca="false">I2665*J2665</f>
        <v>46</v>
      </c>
      <c r="M2665" s="61" t="n">
        <f aca="false">L2665-I2665*K2665</f>
        <v>30</v>
      </c>
      <c r="N2665" s="57" t="n">
        <f aca="false">IF(COUNTIFS(E$2:E2665,E2665,C$2:C2665,C2665)=1,1,0)</f>
        <v>0</v>
      </c>
      <c r="O2665" s="57" t="n">
        <f aca="false">IF(COUNTIFS(E$2:E2665,E2665,C$2:C2665,C2665,D$2:D2665,D2665)=1,1,0)</f>
        <v>1</v>
      </c>
      <c r="P2665" s="57" t="n">
        <f aca="false">IF(AND(C2665=Calc!$C$3,OR(Calc!$C$4=0,D2665=Calc!$C$4)),ROW(),0)</f>
        <v>2665</v>
      </c>
    </row>
    <row r="2666" customFormat="false" ht="15" hidden="false" customHeight="false" outlineLevel="0" collapsed="false">
      <c r="A2666" s="57" t="s">
        <v>3234</v>
      </c>
      <c r="B2666" s="58" t="n">
        <v>45990</v>
      </c>
      <c r="C2666" s="57" t="n">
        <f aca="false">YEAR(B2666)</f>
        <v>2025</v>
      </c>
      <c r="D2666" s="57" t="n">
        <f aca="false">MONTH(B2666)</f>
        <v>11</v>
      </c>
      <c r="E2666" s="57" t="s">
        <v>510</v>
      </c>
      <c r="F2666" s="57" t="s">
        <v>78</v>
      </c>
      <c r="G2666" s="57" t="s">
        <v>40</v>
      </c>
      <c r="H2666" s="57" t="s">
        <v>43</v>
      </c>
      <c r="I2666" s="59" t="n">
        <v>2</v>
      </c>
      <c r="J2666" s="60" t="n">
        <v>29</v>
      </c>
      <c r="K2666" s="60" t="n">
        <v>9</v>
      </c>
      <c r="L2666" s="61" t="n">
        <f aca="false">I2666*J2666</f>
        <v>58</v>
      </c>
      <c r="M2666" s="61" t="n">
        <f aca="false">L2666-I2666*K2666</f>
        <v>40</v>
      </c>
      <c r="N2666" s="57" t="n">
        <f aca="false">IF(COUNTIFS(E$2:E2666,E2666,C$2:C2666,C2666)=1,1,0)</f>
        <v>0</v>
      </c>
      <c r="O2666" s="57" t="n">
        <f aca="false">IF(COUNTIFS(E$2:E2666,E2666,C$2:C2666,C2666,D$2:D2666,D2666)=1,1,0)</f>
        <v>0</v>
      </c>
      <c r="P2666" s="57" t="n">
        <f aca="false">IF(AND(C2666=Calc!$C$3,OR(Calc!$C$4=0,D2666=Calc!$C$4)),ROW(),0)</f>
        <v>2666</v>
      </c>
    </row>
    <row r="2667" customFormat="false" ht="15" hidden="false" customHeight="false" outlineLevel="0" collapsed="false">
      <c r="A2667" s="57" t="s">
        <v>3235</v>
      </c>
      <c r="B2667" s="58" t="n">
        <v>45990</v>
      </c>
      <c r="C2667" s="57" t="n">
        <f aca="false">YEAR(B2667)</f>
        <v>2025</v>
      </c>
      <c r="D2667" s="57" t="n">
        <f aca="false">MONTH(B2667)</f>
        <v>11</v>
      </c>
      <c r="E2667" s="57" t="s">
        <v>374</v>
      </c>
      <c r="F2667" s="57" t="s">
        <v>69</v>
      </c>
      <c r="G2667" s="57" t="s">
        <v>35</v>
      </c>
      <c r="H2667" s="57" t="s">
        <v>34</v>
      </c>
      <c r="I2667" s="59" t="n">
        <v>1</v>
      </c>
      <c r="J2667" s="60" t="n">
        <v>89</v>
      </c>
      <c r="K2667" s="60" t="n">
        <v>41</v>
      </c>
      <c r="L2667" s="61" t="n">
        <f aca="false">I2667*J2667</f>
        <v>89</v>
      </c>
      <c r="M2667" s="61" t="n">
        <f aca="false">L2667-I2667*K2667</f>
        <v>48</v>
      </c>
      <c r="N2667" s="57" t="n">
        <f aca="false">IF(COUNTIFS(E$2:E2667,E2667,C$2:C2667,C2667)=1,1,0)</f>
        <v>0</v>
      </c>
      <c r="O2667" s="57" t="n">
        <f aca="false">IF(COUNTIFS(E$2:E2667,E2667,C$2:C2667,C2667,D$2:D2667,D2667)=1,1,0)</f>
        <v>0</v>
      </c>
      <c r="P2667" s="57" t="n">
        <f aca="false">IF(AND(C2667=Calc!$C$3,OR(Calc!$C$4=0,D2667=Calc!$C$4)),ROW(),0)</f>
        <v>2667</v>
      </c>
    </row>
    <row r="2668" customFormat="false" ht="15" hidden="false" customHeight="false" outlineLevel="0" collapsed="false">
      <c r="A2668" s="57" t="s">
        <v>3236</v>
      </c>
      <c r="B2668" s="58" t="n">
        <v>45991</v>
      </c>
      <c r="C2668" s="57" t="n">
        <f aca="false">YEAR(B2668)</f>
        <v>2025</v>
      </c>
      <c r="D2668" s="57" t="n">
        <f aca="false">MONTH(B2668)</f>
        <v>11</v>
      </c>
      <c r="E2668" s="57" t="s">
        <v>1092</v>
      </c>
      <c r="F2668" s="57" t="s">
        <v>75</v>
      </c>
      <c r="G2668" s="57" t="s">
        <v>45</v>
      </c>
      <c r="H2668" s="57" t="s">
        <v>46</v>
      </c>
      <c r="I2668" s="59" t="n">
        <v>1</v>
      </c>
      <c r="J2668" s="60" t="n">
        <v>149</v>
      </c>
      <c r="K2668" s="60" t="n">
        <v>71</v>
      </c>
      <c r="L2668" s="61" t="n">
        <f aca="false">I2668*J2668</f>
        <v>149</v>
      </c>
      <c r="M2668" s="61" t="n">
        <f aca="false">L2668-I2668*K2668</f>
        <v>78</v>
      </c>
      <c r="N2668" s="57" t="n">
        <f aca="false">IF(COUNTIFS(E$2:E2668,E2668,C$2:C2668,C2668)=1,1,0)</f>
        <v>0</v>
      </c>
      <c r="O2668" s="57" t="n">
        <f aca="false">IF(COUNTIFS(E$2:E2668,E2668,C$2:C2668,C2668,D$2:D2668,D2668)=1,1,0)</f>
        <v>0</v>
      </c>
      <c r="P2668" s="57" t="n">
        <f aca="false">IF(AND(C2668=Calc!$C$3,OR(Calc!$C$4=0,D2668=Calc!$C$4)),ROW(),0)</f>
        <v>2668</v>
      </c>
    </row>
    <row r="2669" customFormat="false" ht="15" hidden="false" customHeight="false" outlineLevel="0" collapsed="false">
      <c r="A2669" s="57" t="s">
        <v>3237</v>
      </c>
      <c r="B2669" s="58" t="n">
        <v>45991</v>
      </c>
      <c r="C2669" s="57" t="n">
        <f aca="false">YEAR(B2669)</f>
        <v>2025</v>
      </c>
      <c r="D2669" s="57" t="n">
        <f aca="false">MONTH(B2669)</f>
        <v>11</v>
      </c>
      <c r="E2669" s="57" t="s">
        <v>395</v>
      </c>
      <c r="F2669" s="57" t="s">
        <v>69</v>
      </c>
      <c r="G2669" s="57" t="s">
        <v>35</v>
      </c>
      <c r="H2669" s="57" t="s">
        <v>38</v>
      </c>
      <c r="I2669" s="59" t="n">
        <v>1</v>
      </c>
      <c r="J2669" s="60" t="n">
        <v>49</v>
      </c>
      <c r="K2669" s="60" t="n">
        <v>22</v>
      </c>
      <c r="L2669" s="61" t="n">
        <f aca="false">I2669*J2669</f>
        <v>49</v>
      </c>
      <c r="M2669" s="61" t="n">
        <f aca="false">L2669-I2669*K2669</f>
        <v>27</v>
      </c>
      <c r="N2669" s="57" t="n">
        <f aca="false">IF(COUNTIFS(E$2:E2669,E2669,C$2:C2669,C2669)=1,1,0)</f>
        <v>0</v>
      </c>
      <c r="O2669" s="57" t="n">
        <f aca="false">IF(COUNTIFS(E$2:E2669,E2669,C$2:C2669,C2669,D$2:D2669,D2669)=1,1,0)</f>
        <v>0</v>
      </c>
      <c r="P2669" s="57" t="n">
        <f aca="false">IF(AND(C2669=Calc!$C$3,OR(Calc!$C$4=0,D2669=Calc!$C$4)),ROW(),0)</f>
        <v>2669</v>
      </c>
    </row>
    <row r="2670" customFormat="false" ht="15" hidden="false" customHeight="false" outlineLevel="0" collapsed="false">
      <c r="A2670" s="57" t="s">
        <v>3238</v>
      </c>
      <c r="B2670" s="58" t="n">
        <v>45991</v>
      </c>
      <c r="C2670" s="57" t="n">
        <f aca="false">YEAR(B2670)</f>
        <v>2025</v>
      </c>
      <c r="D2670" s="57" t="n">
        <f aca="false">MONTH(B2670)</f>
        <v>11</v>
      </c>
      <c r="E2670" s="57" t="s">
        <v>2499</v>
      </c>
      <c r="F2670" s="57" t="s">
        <v>78</v>
      </c>
      <c r="G2670" s="57" t="s">
        <v>35</v>
      </c>
      <c r="H2670" s="57" t="s">
        <v>37</v>
      </c>
      <c r="I2670" s="59" t="n">
        <v>1</v>
      </c>
      <c r="J2670" s="60" t="n">
        <v>59</v>
      </c>
      <c r="K2670" s="60" t="n">
        <v>27</v>
      </c>
      <c r="L2670" s="61" t="n">
        <f aca="false">I2670*J2670</f>
        <v>59</v>
      </c>
      <c r="M2670" s="61" t="n">
        <f aca="false">L2670-I2670*K2670</f>
        <v>32</v>
      </c>
      <c r="N2670" s="57" t="n">
        <f aca="false">IF(COUNTIFS(E$2:E2670,E2670,C$2:C2670,C2670)=1,1,0)</f>
        <v>0</v>
      </c>
      <c r="O2670" s="57" t="n">
        <f aca="false">IF(COUNTIFS(E$2:E2670,E2670,C$2:C2670,C2670,D$2:D2670,D2670)=1,1,0)</f>
        <v>1</v>
      </c>
      <c r="P2670" s="57" t="n">
        <f aca="false">IF(AND(C2670=Calc!$C$3,OR(Calc!$C$4=0,D2670=Calc!$C$4)),ROW(),0)</f>
        <v>2670</v>
      </c>
    </row>
    <row r="2671" customFormat="false" ht="15" hidden="false" customHeight="false" outlineLevel="0" collapsed="false">
      <c r="A2671" s="57" t="s">
        <v>3239</v>
      </c>
      <c r="B2671" s="58" t="n">
        <v>45991</v>
      </c>
      <c r="C2671" s="57" t="n">
        <f aca="false">YEAR(B2671)</f>
        <v>2025</v>
      </c>
      <c r="D2671" s="57" t="n">
        <f aca="false">MONTH(B2671)</f>
        <v>11</v>
      </c>
      <c r="E2671" s="57" t="s">
        <v>477</v>
      </c>
      <c r="F2671" s="57" t="s">
        <v>78</v>
      </c>
      <c r="G2671" s="57" t="s">
        <v>35</v>
      </c>
      <c r="H2671" s="57" t="s">
        <v>34</v>
      </c>
      <c r="I2671" s="59" t="n">
        <v>1</v>
      </c>
      <c r="J2671" s="60" t="n">
        <v>89</v>
      </c>
      <c r="K2671" s="60" t="n">
        <v>41</v>
      </c>
      <c r="L2671" s="61" t="n">
        <f aca="false">I2671*J2671</f>
        <v>89</v>
      </c>
      <c r="M2671" s="61" t="n">
        <f aca="false">L2671-I2671*K2671</f>
        <v>48</v>
      </c>
      <c r="N2671" s="57" t="n">
        <f aca="false">IF(COUNTIFS(E$2:E2671,E2671,C$2:C2671,C2671)=1,1,0)</f>
        <v>0</v>
      </c>
      <c r="O2671" s="57" t="n">
        <f aca="false">IF(COUNTIFS(E$2:E2671,E2671,C$2:C2671,C2671,D$2:D2671,D2671)=1,1,0)</f>
        <v>0</v>
      </c>
      <c r="P2671" s="57" t="n">
        <f aca="false">IF(AND(C2671=Calc!$C$3,OR(Calc!$C$4=0,D2671=Calc!$C$4)),ROW(),0)</f>
        <v>2671</v>
      </c>
    </row>
    <row r="2672" customFormat="false" ht="15" hidden="false" customHeight="false" outlineLevel="0" collapsed="false">
      <c r="A2672" s="57" t="s">
        <v>3240</v>
      </c>
      <c r="B2672" s="58" t="n">
        <v>45991</v>
      </c>
      <c r="C2672" s="57" t="n">
        <f aca="false">YEAR(B2672)</f>
        <v>2025</v>
      </c>
      <c r="D2672" s="57" t="n">
        <f aca="false">MONTH(B2672)</f>
        <v>11</v>
      </c>
      <c r="E2672" s="57" t="s">
        <v>490</v>
      </c>
      <c r="F2672" s="57" t="s">
        <v>72</v>
      </c>
      <c r="G2672" s="57" t="s">
        <v>45</v>
      </c>
      <c r="H2672" s="57" t="s">
        <v>46</v>
      </c>
      <c r="I2672" s="59" t="n">
        <v>1</v>
      </c>
      <c r="J2672" s="60" t="n">
        <v>149</v>
      </c>
      <c r="K2672" s="60" t="n">
        <v>71</v>
      </c>
      <c r="L2672" s="61" t="n">
        <f aca="false">I2672*J2672</f>
        <v>149</v>
      </c>
      <c r="M2672" s="61" t="n">
        <f aca="false">L2672-I2672*K2672</f>
        <v>78</v>
      </c>
      <c r="N2672" s="57" t="n">
        <f aca="false">IF(COUNTIFS(E$2:E2672,E2672,C$2:C2672,C2672)=1,1,0)</f>
        <v>0</v>
      </c>
      <c r="O2672" s="57" t="n">
        <f aca="false">IF(COUNTIFS(E$2:E2672,E2672,C$2:C2672,C2672,D$2:D2672,D2672)=1,1,0)</f>
        <v>1</v>
      </c>
      <c r="P2672" s="57" t="n">
        <f aca="false">IF(AND(C2672=Calc!$C$3,OR(Calc!$C$4=0,D2672=Calc!$C$4)),ROW(),0)</f>
        <v>2672</v>
      </c>
    </row>
    <row r="2673" customFormat="false" ht="15" hidden="false" customHeight="false" outlineLevel="0" collapsed="false">
      <c r="A2673" s="57" t="s">
        <v>3241</v>
      </c>
      <c r="B2673" s="58" t="n">
        <v>45991</v>
      </c>
      <c r="C2673" s="57" t="n">
        <f aca="false">YEAR(B2673)</f>
        <v>2025</v>
      </c>
      <c r="D2673" s="57" t="n">
        <f aca="false">MONTH(B2673)</f>
        <v>11</v>
      </c>
      <c r="E2673" s="57" t="s">
        <v>721</v>
      </c>
      <c r="F2673" s="57" t="s">
        <v>69</v>
      </c>
      <c r="G2673" s="57" t="s">
        <v>45</v>
      </c>
      <c r="H2673" s="57" t="s">
        <v>47</v>
      </c>
      <c r="I2673" s="59" t="n">
        <v>2</v>
      </c>
      <c r="J2673" s="60" t="n">
        <v>34</v>
      </c>
      <c r="K2673" s="60" t="n">
        <v>12</v>
      </c>
      <c r="L2673" s="61" t="n">
        <f aca="false">I2673*J2673</f>
        <v>68</v>
      </c>
      <c r="M2673" s="61" t="n">
        <f aca="false">L2673-I2673*K2673</f>
        <v>44</v>
      </c>
      <c r="N2673" s="57" t="n">
        <f aca="false">IF(COUNTIFS(E$2:E2673,E2673,C$2:C2673,C2673)=1,1,0)</f>
        <v>0</v>
      </c>
      <c r="O2673" s="57" t="n">
        <f aca="false">IF(COUNTIFS(E$2:E2673,E2673,C$2:C2673,C2673,D$2:D2673,D2673)=1,1,0)</f>
        <v>0</v>
      </c>
      <c r="P2673" s="57" t="n">
        <f aca="false">IF(AND(C2673=Calc!$C$3,OR(Calc!$C$4=0,D2673=Calc!$C$4)),ROW(),0)</f>
        <v>2673</v>
      </c>
    </row>
    <row r="2674" customFormat="false" ht="15" hidden="false" customHeight="false" outlineLevel="0" collapsed="false">
      <c r="A2674" s="57" t="s">
        <v>3242</v>
      </c>
      <c r="B2674" s="58" t="n">
        <v>45992</v>
      </c>
      <c r="C2674" s="57" t="n">
        <f aca="false">YEAR(B2674)</f>
        <v>2025</v>
      </c>
      <c r="D2674" s="57" t="n">
        <f aca="false">MONTH(B2674)</f>
        <v>12</v>
      </c>
      <c r="E2674" s="57" t="s">
        <v>219</v>
      </c>
      <c r="F2674" s="57" t="s">
        <v>78</v>
      </c>
      <c r="G2674" s="57" t="s">
        <v>50</v>
      </c>
      <c r="H2674" s="57" t="s">
        <v>52</v>
      </c>
      <c r="I2674" s="59" t="n">
        <v>1</v>
      </c>
      <c r="J2674" s="60" t="n">
        <v>45</v>
      </c>
      <c r="K2674" s="60" t="n">
        <v>14</v>
      </c>
      <c r="L2674" s="61" t="n">
        <f aca="false">I2674*J2674</f>
        <v>45</v>
      </c>
      <c r="M2674" s="61" t="n">
        <f aca="false">L2674-I2674*K2674</f>
        <v>31</v>
      </c>
      <c r="N2674" s="57" t="n">
        <f aca="false">IF(COUNTIFS(E$2:E2674,E2674,C$2:C2674,C2674)=1,1,0)</f>
        <v>0</v>
      </c>
      <c r="O2674" s="57" t="n">
        <f aca="false">IF(COUNTIFS(E$2:E2674,E2674,C$2:C2674,C2674,D$2:D2674,D2674)=1,1,0)</f>
        <v>1</v>
      </c>
      <c r="P2674" s="57" t="n">
        <f aca="false">IF(AND(C2674=Calc!$C$3,OR(Calc!$C$4=0,D2674=Calc!$C$4)),ROW(),0)</f>
        <v>2674</v>
      </c>
    </row>
    <row r="2675" customFormat="false" ht="15" hidden="false" customHeight="false" outlineLevel="0" collapsed="false">
      <c r="A2675" s="57" t="s">
        <v>3243</v>
      </c>
      <c r="B2675" s="58" t="n">
        <v>45992</v>
      </c>
      <c r="C2675" s="57" t="n">
        <f aca="false">YEAR(B2675)</f>
        <v>2025</v>
      </c>
      <c r="D2675" s="57" t="n">
        <f aca="false">MONTH(B2675)</f>
        <v>12</v>
      </c>
      <c r="E2675" s="57" t="s">
        <v>440</v>
      </c>
      <c r="F2675" s="57" t="s">
        <v>78</v>
      </c>
      <c r="G2675" s="57" t="s">
        <v>40</v>
      </c>
      <c r="H2675" s="57" t="s">
        <v>41</v>
      </c>
      <c r="I2675" s="59" t="n">
        <v>1</v>
      </c>
      <c r="J2675" s="60" t="n">
        <v>46</v>
      </c>
      <c r="K2675" s="60" t="n">
        <v>16</v>
      </c>
      <c r="L2675" s="61" t="n">
        <f aca="false">I2675*J2675</f>
        <v>46</v>
      </c>
      <c r="M2675" s="61" t="n">
        <f aca="false">L2675-I2675*K2675</f>
        <v>30</v>
      </c>
      <c r="N2675" s="57" t="n">
        <f aca="false">IF(COUNTIFS(E$2:E2675,E2675,C$2:C2675,C2675)=1,1,0)</f>
        <v>0</v>
      </c>
      <c r="O2675" s="57" t="n">
        <f aca="false">IF(COUNTIFS(E$2:E2675,E2675,C$2:C2675,C2675,D$2:D2675,D2675)=1,1,0)</f>
        <v>1</v>
      </c>
      <c r="P2675" s="57" t="n">
        <f aca="false">IF(AND(C2675=Calc!$C$3,OR(Calc!$C$4=0,D2675=Calc!$C$4)),ROW(),0)</f>
        <v>2675</v>
      </c>
    </row>
    <row r="2676" customFormat="false" ht="15" hidden="false" customHeight="false" outlineLevel="0" collapsed="false">
      <c r="A2676" s="57" t="s">
        <v>3244</v>
      </c>
      <c r="B2676" s="58" t="n">
        <v>45992</v>
      </c>
      <c r="C2676" s="57" t="n">
        <f aca="false">YEAR(B2676)</f>
        <v>2025</v>
      </c>
      <c r="D2676" s="57" t="n">
        <f aca="false">MONTH(B2676)</f>
        <v>12</v>
      </c>
      <c r="E2676" s="57" t="s">
        <v>273</v>
      </c>
      <c r="F2676" s="57" t="s">
        <v>69</v>
      </c>
      <c r="G2676" s="57" t="s">
        <v>35</v>
      </c>
      <c r="H2676" s="57" t="s">
        <v>36</v>
      </c>
      <c r="I2676" s="59" t="n">
        <v>1</v>
      </c>
      <c r="J2676" s="60" t="n">
        <v>179</v>
      </c>
      <c r="K2676" s="60" t="n">
        <v>92</v>
      </c>
      <c r="L2676" s="61" t="n">
        <f aca="false">I2676*J2676</f>
        <v>179</v>
      </c>
      <c r="M2676" s="61" t="n">
        <f aca="false">L2676-I2676*K2676</f>
        <v>87</v>
      </c>
      <c r="N2676" s="57" t="n">
        <f aca="false">IF(COUNTIFS(E$2:E2676,E2676,C$2:C2676,C2676)=1,1,0)</f>
        <v>1</v>
      </c>
      <c r="O2676" s="57" t="n">
        <f aca="false">IF(COUNTIFS(E$2:E2676,E2676,C$2:C2676,C2676,D$2:D2676,D2676)=1,1,0)</f>
        <v>1</v>
      </c>
      <c r="P2676" s="57" t="n">
        <f aca="false">IF(AND(C2676=Calc!$C$3,OR(Calc!$C$4=0,D2676=Calc!$C$4)),ROW(),0)</f>
        <v>2676</v>
      </c>
    </row>
    <row r="2677" customFormat="false" ht="15" hidden="false" customHeight="false" outlineLevel="0" collapsed="false">
      <c r="A2677" s="57" t="s">
        <v>3245</v>
      </c>
      <c r="B2677" s="58" t="n">
        <v>45992</v>
      </c>
      <c r="C2677" s="57" t="n">
        <f aca="false">YEAR(B2677)</f>
        <v>2025</v>
      </c>
      <c r="D2677" s="57" t="n">
        <f aca="false">MONTH(B2677)</f>
        <v>12</v>
      </c>
      <c r="E2677" s="57" t="s">
        <v>125</v>
      </c>
      <c r="F2677" s="57" t="s">
        <v>69</v>
      </c>
      <c r="G2677" s="57" t="s">
        <v>40</v>
      </c>
      <c r="H2677" s="57" t="s">
        <v>41</v>
      </c>
      <c r="I2677" s="59" t="n">
        <v>1</v>
      </c>
      <c r="J2677" s="60" t="n">
        <v>46</v>
      </c>
      <c r="K2677" s="60" t="n">
        <v>16</v>
      </c>
      <c r="L2677" s="61" t="n">
        <f aca="false">I2677*J2677</f>
        <v>46</v>
      </c>
      <c r="M2677" s="61" t="n">
        <f aca="false">L2677-I2677*K2677</f>
        <v>30</v>
      </c>
      <c r="N2677" s="57" t="n">
        <f aca="false">IF(COUNTIFS(E$2:E2677,E2677,C$2:C2677,C2677)=1,1,0)</f>
        <v>0</v>
      </c>
      <c r="O2677" s="57" t="n">
        <f aca="false">IF(COUNTIFS(E$2:E2677,E2677,C$2:C2677,C2677,D$2:D2677,D2677)=1,1,0)</f>
        <v>1</v>
      </c>
      <c r="P2677" s="57" t="n">
        <f aca="false">IF(AND(C2677=Calc!$C$3,OR(Calc!$C$4=0,D2677=Calc!$C$4)),ROW(),0)</f>
        <v>2677</v>
      </c>
    </row>
    <row r="2678" customFormat="false" ht="15" hidden="false" customHeight="false" outlineLevel="0" collapsed="false">
      <c r="A2678" s="57" t="s">
        <v>3246</v>
      </c>
      <c r="B2678" s="58" t="n">
        <v>45992</v>
      </c>
      <c r="C2678" s="57" t="n">
        <f aca="false">YEAR(B2678)</f>
        <v>2025</v>
      </c>
      <c r="D2678" s="57" t="n">
        <f aca="false">MONTH(B2678)</f>
        <v>12</v>
      </c>
      <c r="E2678" s="57" t="s">
        <v>1290</v>
      </c>
      <c r="F2678" s="57" t="s">
        <v>75</v>
      </c>
      <c r="G2678" s="57" t="s">
        <v>50</v>
      </c>
      <c r="H2678" s="57" t="s">
        <v>52</v>
      </c>
      <c r="I2678" s="59" t="n">
        <v>1</v>
      </c>
      <c r="J2678" s="60" t="n">
        <v>45</v>
      </c>
      <c r="K2678" s="60" t="n">
        <v>14</v>
      </c>
      <c r="L2678" s="61" t="n">
        <f aca="false">I2678*J2678</f>
        <v>45</v>
      </c>
      <c r="M2678" s="61" t="n">
        <f aca="false">L2678-I2678*K2678</f>
        <v>31</v>
      </c>
      <c r="N2678" s="57" t="n">
        <f aca="false">IF(COUNTIFS(E$2:E2678,E2678,C$2:C2678,C2678)=1,1,0)</f>
        <v>0</v>
      </c>
      <c r="O2678" s="57" t="n">
        <f aca="false">IF(COUNTIFS(E$2:E2678,E2678,C$2:C2678,C2678,D$2:D2678,D2678)=1,1,0)</f>
        <v>1</v>
      </c>
      <c r="P2678" s="57" t="n">
        <f aca="false">IF(AND(C2678=Calc!$C$3,OR(Calc!$C$4=0,D2678=Calc!$C$4)),ROW(),0)</f>
        <v>2678</v>
      </c>
    </row>
    <row r="2679" customFormat="false" ht="15" hidden="false" customHeight="false" outlineLevel="0" collapsed="false">
      <c r="A2679" s="57" t="s">
        <v>3247</v>
      </c>
      <c r="B2679" s="58" t="n">
        <v>45992</v>
      </c>
      <c r="C2679" s="57" t="n">
        <f aca="false">YEAR(B2679)</f>
        <v>2025</v>
      </c>
      <c r="D2679" s="57" t="n">
        <f aca="false">MONTH(B2679)</f>
        <v>12</v>
      </c>
      <c r="E2679" s="57" t="s">
        <v>265</v>
      </c>
      <c r="F2679" s="57" t="s">
        <v>78</v>
      </c>
      <c r="G2679" s="57" t="s">
        <v>40</v>
      </c>
      <c r="H2679" s="57" t="s">
        <v>41</v>
      </c>
      <c r="I2679" s="59" t="n">
        <v>1</v>
      </c>
      <c r="J2679" s="60" t="n">
        <v>46</v>
      </c>
      <c r="K2679" s="60" t="n">
        <v>16</v>
      </c>
      <c r="L2679" s="61" t="n">
        <f aca="false">I2679*J2679</f>
        <v>46</v>
      </c>
      <c r="M2679" s="61" t="n">
        <f aca="false">L2679-I2679*K2679</f>
        <v>30</v>
      </c>
      <c r="N2679" s="57" t="n">
        <f aca="false">IF(COUNTIFS(E$2:E2679,E2679,C$2:C2679,C2679)=1,1,0)</f>
        <v>0</v>
      </c>
      <c r="O2679" s="57" t="n">
        <f aca="false">IF(COUNTIFS(E$2:E2679,E2679,C$2:C2679,C2679,D$2:D2679,D2679)=1,1,0)</f>
        <v>1</v>
      </c>
      <c r="P2679" s="57" t="n">
        <f aca="false">IF(AND(C2679=Calc!$C$3,OR(Calc!$C$4=0,D2679=Calc!$C$4)),ROW(),0)</f>
        <v>2679</v>
      </c>
    </row>
    <row r="2680" customFormat="false" ht="15" hidden="false" customHeight="false" outlineLevel="0" collapsed="false">
      <c r="A2680" s="57" t="s">
        <v>3248</v>
      </c>
      <c r="B2680" s="58" t="n">
        <v>45993</v>
      </c>
      <c r="C2680" s="57" t="n">
        <f aca="false">YEAR(B2680)</f>
        <v>2025</v>
      </c>
      <c r="D2680" s="57" t="n">
        <f aca="false">MONTH(B2680)</f>
        <v>12</v>
      </c>
      <c r="E2680" s="57" t="s">
        <v>83</v>
      </c>
      <c r="F2680" s="57" t="s">
        <v>75</v>
      </c>
      <c r="G2680" s="57" t="s">
        <v>35</v>
      </c>
      <c r="H2680" s="57" t="s">
        <v>34</v>
      </c>
      <c r="I2680" s="59" t="n">
        <v>1</v>
      </c>
      <c r="J2680" s="60" t="n">
        <v>89</v>
      </c>
      <c r="K2680" s="60" t="n">
        <v>41</v>
      </c>
      <c r="L2680" s="61" t="n">
        <f aca="false">I2680*J2680</f>
        <v>89</v>
      </c>
      <c r="M2680" s="61" t="n">
        <f aca="false">L2680-I2680*K2680</f>
        <v>48</v>
      </c>
      <c r="N2680" s="57" t="n">
        <f aca="false">IF(COUNTIFS(E$2:E2680,E2680,C$2:C2680,C2680)=1,1,0)</f>
        <v>0</v>
      </c>
      <c r="O2680" s="57" t="n">
        <f aca="false">IF(COUNTIFS(E$2:E2680,E2680,C$2:C2680,C2680,D$2:D2680,D2680)=1,1,0)</f>
        <v>1</v>
      </c>
      <c r="P2680" s="57" t="n">
        <f aca="false">IF(AND(C2680=Calc!$C$3,OR(Calc!$C$4=0,D2680=Calc!$C$4)),ROW(),0)</f>
        <v>2680</v>
      </c>
    </row>
    <row r="2681" customFormat="false" ht="15" hidden="false" customHeight="false" outlineLevel="0" collapsed="false">
      <c r="A2681" s="57" t="s">
        <v>3249</v>
      </c>
      <c r="B2681" s="58" t="n">
        <v>45993</v>
      </c>
      <c r="C2681" s="57" t="n">
        <f aca="false">YEAR(B2681)</f>
        <v>2025</v>
      </c>
      <c r="D2681" s="57" t="n">
        <f aca="false">MONTH(B2681)</f>
        <v>12</v>
      </c>
      <c r="E2681" s="57" t="s">
        <v>235</v>
      </c>
      <c r="F2681" s="57" t="s">
        <v>69</v>
      </c>
      <c r="G2681" s="57" t="s">
        <v>54</v>
      </c>
      <c r="H2681" s="57" t="s">
        <v>56</v>
      </c>
      <c r="I2681" s="59" t="n">
        <v>1</v>
      </c>
      <c r="J2681" s="60" t="n">
        <v>42</v>
      </c>
      <c r="K2681" s="60" t="n">
        <v>17</v>
      </c>
      <c r="L2681" s="61" t="n">
        <f aca="false">I2681*J2681</f>
        <v>42</v>
      </c>
      <c r="M2681" s="61" t="n">
        <f aca="false">L2681-I2681*K2681</f>
        <v>25</v>
      </c>
      <c r="N2681" s="57" t="n">
        <f aca="false">IF(COUNTIFS(E$2:E2681,E2681,C$2:C2681,C2681)=1,1,0)</f>
        <v>0</v>
      </c>
      <c r="O2681" s="57" t="n">
        <f aca="false">IF(COUNTIFS(E$2:E2681,E2681,C$2:C2681,C2681,D$2:D2681,D2681)=1,1,0)</f>
        <v>1</v>
      </c>
      <c r="P2681" s="57" t="n">
        <f aca="false">IF(AND(C2681=Calc!$C$3,OR(Calc!$C$4=0,D2681=Calc!$C$4)),ROW(),0)</f>
        <v>2681</v>
      </c>
    </row>
    <row r="2682" customFormat="false" ht="15" hidden="false" customHeight="false" outlineLevel="0" collapsed="false">
      <c r="A2682" s="57" t="s">
        <v>3250</v>
      </c>
      <c r="B2682" s="58" t="n">
        <v>45993</v>
      </c>
      <c r="C2682" s="57" t="n">
        <f aca="false">YEAR(B2682)</f>
        <v>2025</v>
      </c>
      <c r="D2682" s="57" t="n">
        <f aca="false">MONTH(B2682)</f>
        <v>12</v>
      </c>
      <c r="E2682" s="57" t="s">
        <v>836</v>
      </c>
      <c r="F2682" s="57" t="s">
        <v>69</v>
      </c>
      <c r="G2682" s="57" t="s">
        <v>35</v>
      </c>
      <c r="H2682" s="57" t="s">
        <v>36</v>
      </c>
      <c r="I2682" s="59" t="n">
        <v>1</v>
      </c>
      <c r="J2682" s="60" t="n">
        <v>179</v>
      </c>
      <c r="K2682" s="60" t="n">
        <v>92</v>
      </c>
      <c r="L2682" s="61" t="n">
        <f aca="false">I2682*J2682</f>
        <v>179</v>
      </c>
      <c r="M2682" s="61" t="n">
        <f aca="false">L2682-I2682*K2682</f>
        <v>87</v>
      </c>
      <c r="N2682" s="57" t="n">
        <f aca="false">IF(COUNTIFS(E$2:E2682,E2682,C$2:C2682,C2682)=1,1,0)</f>
        <v>0</v>
      </c>
      <c r="O2682" s="57" t="n">
        <f aca="false">IF(COUNTIFS(E$2:E2682,E2682,C$2:C2682,C2682,D$2:D2682,D2682)=1,1,0)</f>
        <v>1</v>
      </c>
      <c r="P2682" s="57" t="n">
        <f aca="false">IF(AND(C2682=Calc!$C$3,OR(Calc!$C$4=0,D2682=Calc!$C$4)),ROW(),0)</f>
        <v>2682</v>
      </c>
    </row>
    <row r="2683" customFormat="false" ht="15" hidden="false" customHeight="false" outlineLevel="0" collapsed="false">
      <c r="A2683" s="57" t="s">
        <v>3251</v>
      </c>
      <c r="B2683" s="58" t="n">
        <v>45993</v>
      </c>
      <c r="C2683" s="57" t="n">
        <f aca="false">YEAR(B2683)</f>
        <v>2025</v>
      </c>
      <c r="D2683" s="57" t="n">
        <f aca="false">MONTH(B2683)</f>
        <v>12</v>
      </c>
      <c r="E2683" s="57" t="s">
        <v>660</v>
      </c>
      <c r="F2683" s="57" t="s">
        <v>78</v>
      </c>
      <c r="G2683" s="57" t="s">
        <v>40</v>
      </c>
      <c r="H2683" s="57" t="s">
        <v>39</v>
      </c>
      <c r="I2683" s="59" t="n">
        <v>1</v>
      </c>
      <c r="J2683" s="60" t="n">
        <v>54</v>
      </c>
      <c r="K2683" s="60" t="n">
        <v>19</v>
      </c>
      <c r="L2683" s="61" t="n">
        <f aca="false">I2683*J2683</f>
        <v>54</v>
      </c>
      <c r="M2683" s="61" t="n">
        <f aca="false">L2683-I2683*K2683</f>
        <v>35</v>
      </c>
      <c r="N2683" s="57" t="n">
        <f aca="false">IF(COUNTIFS(E$2:E2683,E2683,C$2:C2683,C2683)=1,1,0)</f>
        <v>0</v>
      </c>
      <c r="O2683" s="57" t="n">
        <f aca="false">IF(COUNTIFS(E$2:E2683,E2683,C$2:C2683,C2683,D$2:D2683,D2683)=1,1,0)</f>
        <v>1</v>
      </c>
      <c r="P2683" s="57" t="n">
        <f aca="false">IF(AND(C2683=Calc!$C$3,OR(Calc!$C$4=0,D2683=Calc!$C$4)),ROW(),0)</f>
        <v>2683</v>
      </c>
    </row>
    <row r="2684" customFormat="false" ht="15" hidden="false" customHeight="false" outlineLevel="0" collapsed="false">
      <c r="A2684" s="57" t="s">
        <v>3252</v>
      </c>
      <c r="B2684" s="58" t="n">
        <v>45993</v>
      </c>
      <c r="C2684" s="57" t="n">
        <f aca="false">YEAR(B2684)</f>
        <v>2025</v>
      </c>
      <c r="D2684" s="57" t="n">
        <f aca="false">MONTH(B2684)</f>
        <v>12</v>
      </c>
      <c r="E2684" s="57" t="s">
        <v>1475</v>
      </c>
      <c r="F2684" s="57" t="s">
        <v>78</v>
      </c>
      <c r="G2684" s="57" t="s">
        <v>35</v>
      </c>
      <c r="H2684" s="57" t="s">
        <v>37</v>
      </c>
      <c r="I2684" s="59" t="n">
        <v>1</v>
      </c>
      <c r="J2684" s="60" t="n">
        <v>59</v>
      </c>
      <c r="K2684" s="60" t="n">
        <v>27</v>
      </c>
      <c r="L2684" s="61" t="n">
        <f aca="false">I2684*J2684</f>
        <v>59</v>
      </c>
      <c r="M2684" s="61" t="n">
        <f aca="false">L2684-I2684*K2684</f>
        <v>32</v>
      </c>
      <c r="N2684" s="57" t="n">
        <f aca="false">IF(COUNTIFS(E$2:E2684,E2684,C$2:C2684,C2684)=1,1,0)</f>
        <v>0</v>
      </c>
      <c r="O2684" s="57" t="n">
        <f aca="false">IF(COUNTIFS(E$2:E2684,E2684,C$2:C2684,C2684,D$2:D2684,D2684)=1,1,0)</f>
        <v>1</v>
      </c>
      <c r="P2684" s="57" t="n">
        <f aca="false">IF(AND(C2684=Calc!$C$3,OR(Calc!$C$4=0,D2684=Calc!$C$4)),ROW(),0)</f>
        <v>2684</v>
      </c>
    </row>
    <row r="2685" customFormat="false" ht="15" hidden="false" customHeight="false" outlineLevel="0" collapsed="false">
      <c r="A2685" s="57" t="s">
        <v>3253</v>
      </c>
      <c r="B2685" s="58" t="n">
        <v>45994</v>
      </c>
      <c r="C2685" s="57" t="n">
        <f aca="false">YEAR(B2685)</f>
        <v>2025</v>
      </c>
      <c r="D2685" s="57" t="n">
        <f aca="false">MONTH(B2685)</f>
        <v>12</v>
      </c>
      <c r="E2685" s="57" t="s">
        <v>1728</v>
      </c>
      <c r="F2685" s="57" t="s">
        <v>75</v>
      </c>
      <c r="G2685" s="57" t="s">
        <v>40</v>
      </c>
      <c r="H2685" s="57" t="s">
        <v>41</v>
      </c>
      <c r="I2685" s="59" t="n">
        <v>1</v>
      </c>
      <c r="J2685" s="60" t="n">
        <v>46</v>
      </c>
      <c r="K2685" s="60" t="n">
        <v>16</v>
      </c>
      <c r="L2685" s="61" t="n">
        <f aca="false">I2685*J2685</f>
        <v>46</v>
      </c>
      <c r="M2685" s="61" t="n">
        <f aca="false">L2685-I2685*K2685</f>
        <v>30</v>
      </c>
      <c r="N2685" s="57" t="n">
        <f aca="false">IF(COUNTIFS(E$2:E2685,E2685,C$2:C2685,C2685)=1,1,0)</f>
        <v>0</v>
      </c>
      <c r="O2685" s="57" t="n">
        <f aca="false">IF(COUNTIFS(E$2:E2685,E2685,C$2:C2685,C2685,D$2:D2685,D2685)=1,1,0)</f>
        <v>1</v>
      </c>
      <c r="P2685" s="57" t="n">
        <f aca="false">IF(AND(C2685=Calc!$C$3,OR(Calc!$C$4=0,D2685=Calc!$C$4)),ROW(),0)</f>
        <v>2685</v>
      </c>
    </row>
    <row r="2686" customFormat="false" ht="15" hidden="false" customHeight="false" outlineLevel="0" collapsed="false">
      <c r="A2686" s="57" t="s">
        <v>3254</v>
      </c>
      <c r="B2686" s="58" t="n">
        <v>45994</v>
      </c>
      <c r="C2686" s="57" t="n">
        <f aca="false">YEAR(B2686)</f>
        <v>2025</v>
      </c>
      <c r="D2686" s="57" t="n">
        <f aca="false">MONTH(B2686)</f>
        <v>12</v>
      </c>
      <c r="E2686" s="57" t="s">
        <v>1825</v>
      </c>
      <c r="F2686" s="57" t="s">
        <v>78</v>
      </c>
      <c r="G2686" s="57" t="s">
        <v>35</v>
      </c>
      <c r="H2686" s="57" t="s">
        <v>34</v>
      </c>
      <c r="I2686" s="59" t="n">
        <v>1</v>
      </c>
      <c r="J2686" s="60" t="n">
        <v>89</v>
      </c>
      <c r="K2686" s="60" t="n">
        <v>41</v>
      </c>
      <c r="L2686" s="61" t="n">
        <f aca="false">I2686*J2686</f>
        <v>89</v>
      </c>
      <c r="M2686" s="61" t="n">
        <f aca="false">L2686-I2686*K2686</f>
        <v>48</v>
      </c>
      <c r="N2686" s="57" t="n">
        <f aca="false">IF(COUNTIFS(E$2:E2686,E2686,C$2:C2686,C2686)=1,1,0)</f>
        <v>0</v>
      </c>
      <c r="O2686" s="57" t="n">
        <f aca="false">IF(COUNTIFS(E$2:E2686,E2686,C$2:C2686,C2686,D$2:D2686,D2686)=1,1,0)</f>
        <v>1</v>
      </c>
      <c r="P2686" s="57" t="n">
        <f aca="false">IF(AND(C2686=Calc!$C$3,OR(Calc!$C$4=0,D2686=Calc!$C$4)),ROW(),0)</f>
        <v>2686</v>
      </c>
    </row>
    <row r="2687" customFormat="false" ht="15" hidden="false" customHeight="false" outlineLevel="0" collapsed="false">
      <c r="A2687" s="57" t="s">
        <v>3255</v>
      </c>
      <c r="B2687" s="58" t="n">
        <v>45994</v>
      </c>
      <c r="C2687" s="57" t="n">
        <f aca="false">YEAR(B2687)</f>
        <v>2025</v>
      </c>
      <c r="D2687" s="57" t="n">
        <f aca="false">MONTH(B2687)</f>
        <v>12</v>
      </c>
      <c r="E2687" s="57" t="s">
        <v>506</v>
      </c>
      <c r="F2687" s="57" t="s">
        <v>78</v>
      </c>
      <c r="G2687" s="57" t="s">
        <v>45</v>
      </c>
      <c r="H2687" s="57" t="s">
        <v>48</v>
      </c>
      <c r="I2687" s="59" t="n">
        <v>1</v>
      </c>
      <c r="J2687" s="60" t="n">
        <v>99</v>
      </c>
      <c r="K2687" s="60" t="n">
        <v>38</v>
      </c>
      <c r="L2687" s="61" t="n">
        <f aca="false">I2687*J2687</f>
        <v>99</v>
      </c>
      <c r="M2687" s="61" t="n">
        <f aca="false">L2687-I2687*K2687</f>
        <v>61</v>
      </c>
      <c r="N2687" s="57" t="n">
        <f aca="false">IF(COUNTIFS(E$2:E2687,E2687,C$2:C2687,C2687)=1,1,0)</f>
        <v>0</v>
      </c>
      <c r="O2687" s="57" t="n">
        <f aca="false">IF(COUNTIFS(E$2:E2687,E2687,C$2:C2687,C2687,D$2:D2687,D2687)=1,1,0)</f>
        <v>1</v>
      </c>
      <c r="P2687" s="57" t="n">
        <f aca="false">IF(AND(C2687=Calc!$C$3,OR(Calc!$C$4=0,D2687=Calc!$C$4)),ROW(),0)</f>
        <v>2687</v>
      </c>
    </row>
    <row r="2688" customFormat="false" ht="15" hidden="false" customHeight="false" outlineLevel="0" collapsed="false">
      <c r="A2688" s="57" t="s">
        <v>3256</v>
      </c>
      <c r="B2688" s="58" t="n">
        <v>45994</v>
      </c>
      <c r="C2688" s="57" t="n">
        <f aca="false">YEAR(B2688)</f>
        <v>2025</v>
      </c>
      <c r="D2688" s="57" t="n">
        <f aca="false">MONTH(B2688)</f>
        <v>12</v>
      </c>
      <c r="E2688" s="57" t="s">
        <v>256</v>
      </c>
      <c r="F2688" s="57" t="s">
        <v>69</v>
      </c>
      <c r="G2688" s="57" t="s">
        <v>35</v>
      </c>
      <c r="H2688" s="57" t="s">
        <v>34</v>
      </c>
      <c r="I2688" s="59" t="n">
        <v>1</v>
      </c>
      <c r="J2688" s="60" t="n">
        <v>89</v>
      </c>
      <c r="K2688" s="60" t="n">
        <v>41</v>
      </c>
      <c r="L2688" s="61" t="n">
        <f aca="false">I2688*J2688</f>
        <v>89</v>
      </c>
      <c r="M2688" s="61" t="n">
        <f aca="false">L2688-I2688*K2688</f>
        <v>48</v>
      </c>
      <c r="N2688" s="57" t="n">
        <f aca="false">IF(COUNTIFS(E$2:E2688,E2688,C$2:C2688,C2688)=1,1,0)</f>
        <v>0</v>
      </c>
      <c r="O2688" s="57" t="n">
        <f aca="false">IF(COUNTIFS(E$2:E2688,E2688,C$2:C2688,C2688,D$2:D2688,D2688)=1,1,0)</f>
        <v>1</v>
      </c>
      <c r="P2688" s="57" t="n">
        <f aca="false">IF(AND(C2688=Calc!$C$3,OR(Calc!$C$4=0,D2688=Calc!$C$4)),ROW(),0)</f>
        <v>2688</v>
      </c>
    </row>
    <row r="2689" customFormat="false" ht="15" hidden="false" customHeight="false" outlineLevel="0" collapsed="false">
      <c r="A2689" s="57" t="s">
        <v>3257</v>
      </c>
      <c r="B2689" s="58" t="n">
        <v>45994</v>
      </c>
      <c r="C2689" s="57" t="n">
        <f aca="false">YEAR(B2689)</f>
        <v>2025</v>
      </c>
      <c r="D2689" s="57" t="n">
        <f aca="false">MONTH(B2689)</f>
        <v>12</v>
      </c>
      <c r="E2689" s="57" t="s">
        <v>479</v>
      </c>
      <c r="F2689" s="57" t="s">
        <v>72</v>
      </c>
      <c r="G2689" s="57" t="s">
        <v>35</v>
      </c>
      <c r="H2689" s="57" t="s">
        <v>36</v>
      </c>
      <c r="I2689" s="59" t="n">
        <v>1</v>
      </c>
      <c r="J2689" s="60" t="n">
        <v>179</v>
      </c>
      <c r="K2689" s="60" t="n">
        <v>92</v>
      </c>
      <c r="L2689" s="61" t="n">
        <f aca="false">I2689*J2689</f>
        <v>179</v>
      </c>
      <c r="M2689" s="61" t="n">
        <f aca="false">L2689-I2689*K2689</f>
        <v>87</v>
      </c>
      <c r="N2689" s="57" t="n">
        <f aca="false">IF(COUNTIFS(E$2:E2689,E2689,C$2:C2689,C2689)=1,1,0)</f>
        <v>0</v>
      </c>
      <c r="O2689" s="57" t="n">
        <f aca="false">IF(COUNTIFS(E$2:E2689,E2689,C$2:C2689,C2689,D$2:D2689,D2689)=1,1,0)</f>
        <v>1</v>
      </c>
      <c r="P2689" s="57" t="n">
        <f aca="false">IF(AND(C2689=Calc!$C$3,OR(Calc!$C$4=0,D2689=Calc!$C$4)),ROW(),0)</f>
        <v>2689</v>
      </c>
    </row>
    <row r="2690" customFormat="false" ht="15" hidden="false" customHeight="false" outlineLevel="0" collapsed="false">
      <c r="A2690" s="57" t="s">
        <v>3258</v>
      </c>
      <c r="B2690" s="58" t="n">
        <v>45994</v>
      </c>
      <c r="C2690" s="57" t="n">
        <f aca="false">YEAR(B2690)</f>
        <v>2025</v>
      </c>
      <c r="D2690" s="57" t="n">
        <f aca="false">MONTH(B2690)</f>
        <v>12</v>
      </c>
      <c r="E2690" s="57" t="s">
        <v>298</v>
      </c>
      <c r="F2690" s="57" t="s">
        <v>75</v>
      </c>
      <c r="G2690" s="57" t="s">
        <v>40</v>
      </c>
      <c r="H2690" s="57" t="s">
        <v>42</v>
      </c>
      <c r="I2690" s="59" t="n">
        <v>1</v>
      </c>
      <c r="J2690" s="60" t="n">
        <v>79</v>
      </c>
      <c r="K2690" s="60" t="n">
        <v>31</v>
      </c>
      <c r="L2690" s="61" t="n">
        <f aca="false">I2690*J2690</f>
        <v>79</v>
      </c>
      <c r="M2690" s="61" t="n">
        <f aca="false">L2690-I2690*K2690</f>
        <v>48</v>
      </c>
      <c r="N2690" s="57" t="n">
        <f aca="false">IF(COUNTIFS(E$2:E2690,E2690,C$2:C2690,C2690)=1,1,0)</f>
        <v>0</v>
      </c>
      <c r="O2690" s="57" t="n">
        <f aca="false">IF(COUNTIFS(E$2:E2690,E2690,C$2:C2690,C2690,D$2:D2690,D2690)=1,1,0)</f>
        <v>1</v>
      </c>
      <c r="P2690" s="57" t="n">
        <f aca="false">IF(AND(C2690=Calc!$C$3,OR(Calc!$C$4=0,D2690=Calc!$C$4)),ROW(),0)</f>
        <v>2690</v>
      </c>
    </row>
    <row r="2691" customFormat="false" ht="15" hidden="false" customHeight="false" outlineLevel="0" collapsed="false">
      <c r="A2691" s="57" t="s">
        <v>3259</v>
      </c>
      <c r="B2691" s="58" t="n">
        <v>45995</v>
      </c>
      <c r="C2691" s="57" t="n">
        <f aca="false">YEAR(B2691)</f>
        <v>2025</v>
      </c>
      <c r="D2691" s="57" t="n">
        <f aca="false">MONTH(B2691)</f>
        <v>12</v>
      </c>
      <c r="E2691" s="57" t="s">
        <v>850</v>
      </c>
      <c r="F2691" s="57" t="s">
        <v>78</v>
      </c>
      <c r="G2691" s="57" t="s">
        <v>40</v>
      </c>
      <c r="H2691" s="57" t="s">
        <v>39</v>
      </c>
      <c r="I2691" s="59" t="n">
        <v>2</v>
      </c>
      <c r="J2691" s="60" t="n">
        <v>54</v>
      </c>
      <c r="K2691" s="60" t="n">
        <v>19</v>
      </c>
      <c r="L2691" s="61" t="n">
        <f aca="false">I2691*J2691</f>
        <v>108</v>
      </c>
      <c r="M2691" s="61" t="n">
        <f aca="false">L2691-I2691*K2691</f>
        <v>70</v>
      </c>
      <c r="N2691" s="57" t="n">
        <f aca="false">IF(COUNTIFS(E$2:E2691,E2691,C$2:C2691,C2691)=1,1,0)</f>
        <v>0</v>
      </c>
      <c r="O2691" s="57" t="n">
        <f aca="false">IF(COUNTIFS(E$2:E2691,E2691,C$2:C2691,C2691,D$2:D2691,D2691)=1,1,0)</f>
        <v>1</v>
      </c>
      <c r="P2691" s="57" t="n">
        <f aca="false">IF(AND(C2691=Calc!$C$3,OR(Calc!$C$4=0,D2691=Calc!$C$4)),ROW(),0)</f>
        <v>2691</v>
      </c>
    </row>
    <row r="2692" customFormat="false" ht="15" hidden="false" customHeight="false" outlineLevel="0" collapsed="false">
      <c r="A2692" s="57" t="s">
        <v>3260</v>
      </c>
      <c r="B2692" s="58" t="n">
        <v>45995</v>
      </c>
      <c r="C2692" s="57" t="n">
        <f aca="false">YEAR(B2692)</f>
        <v>2025</v>
      </c>
      <c r="D2692" s="57" t="n">
        <f aca="false">MONTH(B2692)</f>
        <v>12</v>
      </c>
      <c r="E2692" s="57" t="s">
        <v>154</v>
      </c>
      <c r="F2692" s="57" t="s">
        <v>69</v>
      </c>
      <c r="G2692" s="57" t="s">
        <v>35</v>
      </c>
      <c r="H2692" s="57" t="s">
        <v>37</v>
      </c>
      <c r="I2692" s="59" t="n">
        <v>2</v>
      </c>
      <c r="J2692" s="60" t="n">
        <v>59</v>
      </c>
      <c r="K2692" s="60" t="n">
        <v>27</v>
      </c>
      <c r="L2692" s="61" t="n">
        <f aca="false">I2692*J2692</f>
        <v>118</v>
      </c>
      <c r="M2692" s="61" t="n">
        <f aca="false">L2692-I2692*K2692</f>
        <v>64</v>
      </c>
      <c r="N2692" s="57" t="n">
        <f aca="false">IF(COUNTIFS(E$2:E2692,E2692,C$2:C2692,C2692)=1,1,0)</f>
        <v>1</v>
      </c>
      <c r="O2692" s="57" t="n">
        <f aca="false">IF(COUNTIFS(E$2:E2692,E2692,C$2:C2692,C2692,D$2:D2692,D2692)=1,1,0)</f>
        <v>1</v>
      </c>
      <c r="P2692" s="57" t="n">
        <f aca="false">IF(AND(C2692=Calc!$C$3,OR(Calc!$C$4=0,D2692=Calc!$C$4)),ROW(),0)</f>
        <v>2692</v>
      </c>
    </row>
    <row r="2693" customFormat="false" ht="15" hidden="false" customHeight="false" outlineLevel="0" collapsed="false">
      <c r="A2693" s="57" t="s">
        <v>3261</v>
      </c>
      <c r="B2693" s="58" t="n">
        <v>45995</v>
      </c>
      <c r="C2693" s="57" t="n">
        <f aca="false">YEAR(B2693)</f>
        <v>2025</v>
      </c>
      <c r="D2693" s="57" t="n">
        <f aca="false">MONTH(B2693)</f>
        <v>12</v>
      </c>
      <c r="E2693" s="57" t="s">
        <v>152</v>
      </c>
      <c r="F2693" s="57" t="s">
        <v>72</v>
      </c>
      <c r="G2693" s="57" t="s">
        <v>45</v>
      </c>
      <c r="H2693" s="57" t="s">
        <v>47</v>
      </c>
      <c r="I2693" s="59" t="n">
        <v>1</v>
      </c>
      <c r="J2693" s="60" t="n">
        <v>34</v>
      </c>
      <c r="K2693" s="60" t="n">
        <v>12</v>
      </c>
      <c r="L2693" s="61" t="n">
        <f aca="false">I2693*J2693</f>
        <v>34</v>
      </c>
      <c r="M2693" s="61" t="n">
        <f aca="false">L2693-I2693*K2693</f>
        <v>22</v>
      </c>
      <c r="N2693" s="57" t="n">
        <f aca="false">IF(COUNTIFS(E$2:E2693,E2693,C$2:C2693,C2693)=1,1,0)</f>
        <v>0</v>
      </c>
      <c r="O2693" s="57" t="n">
        <f aca="false">IF(COUNTIFS(E$2:E2693,E2693,C$2:C2693,C2693,D$2:D2693,D2693)=1,1,0)</f>
        <v>1</v>
      </c>
      <c r="P2693" s="57" t="n">
        <f aca="false">IF(AND(C2693=Calc!$C$3,OR(Calc!$C$4=0,D2693=Calc!$C$4)),ROW(),0)</f>
        <v>2693</v>
      </c>
    </row>
    <row r="2694" customFormat="false" ht="15" hidden="false" customHeight="false" outlineLevel="0" collapsed="false">
      <c r="A2694" s="57" t="s">
        <v>3262</v>
      </c>
      <c r="B2694" s="58" t="n">
        <v>45995</v>
      </c>
      <c r="C2694" s="57" t="n">
        <f aca="false">YEAR(B2694)</f>
        <v>2025</v>
      </c>
      <c r="D2694" s="57" t="n">
        <f aca="false">MONTH(B2694)</f>
        <v>12</v>
      </c>
      <c r="E2694" s="57" t="s">
        <v>338</v>
      </c>
      <c r="F2694" s="57" t="s">
        <v>78</v>
      </c>
      <c r="G2694" s="57" t="s">
        <v>35</v>
      </c>
      <c r="H2694" s="57" t="s">
        <v>37</v>
      </c>
      <c r="I2694" s="59" t="n">
        <v>1</v>
      </c>
      <c r="J2694" s="60" t="n">
        <v>59</v>
      </c>
      <c r="K2694" s="60" t="n">
        <v>27</v>
      </c>
      <c r="L2694" s="61" t="n">
        <f aca="false">I2694*J2694</f>
        <v>59</v>
      </c>
      <c r="M2694" s="61" t="n">
        <f aca="false">L2694-I2694*K2694</f>
        <v>32</v>
      </c>
      <c r="N2694" s="57" t="n">
        <f aca="false">IF(COUNTIFS(E$2:E2694,E2694,C$2:C2694,C2694)=1,1,0)</f>
        <v>0</v>
      </c>
      <c r="O2694" s="57" t="n">
        <f aca="false">IF(COUNTIFS(E$2:E2694,E2694,C$2:C2694,C2694,D$2:D2694,D2694)=1,1,0)</f>
        <v>1</v>
      </c>
      <c r="P2694" s="57" t="n">
        <f aca="false">IF(AND(C2694=Calc!$C$3,OR(Calc!$C$4=0,D2694=Calc!$C$4)),ROW(),0)</f>
        <v>2694</v>
      </c>
    </row>
    <row r="2695" customFormat="false" ht="15" hidden="false" customHeight="false" outlineLevel="0" collapsed="false">
      <c r="A2695" s="57" t="s">
        <v>3263</v>
      </c>
      <c r="B2695" s="58" t="n">
        <v>45995</v>
      </c>
      <c r="C2695" s="57" t="n">
        <f aca="false">YEAR(B2695)</f>
        <v>2025</v>
      </c>
      <c r="D2695" s="57" t="n">
        <f aca="false">MONTH(B2695)</f>
        <v>12</v>
      </c>
      <c r="E2695" s="57" t="s">
        <v>1257</v>
      </c>
      <c r="F2695" s="57" t="s">
        <v>69</v>
      </c>
      <c r="G2695" s="57" t="s">
        <v>40</v>
      </c>
      <c r="H2695" s="57" t="s">
        <v>41</v>
      </c>
      <c r="I2695" s="59" t="n">
        <v>1</v>
      </c>
      <c r="J2695" s="60" t="n">
        <v>46</v>
      </c>
      <c r="K2695" s="60" t="n">
        <v>16</v>
      </c>
      <c r="L2695" s="61" t="n">
        <f aca="false">I2695*J2695</f>
        <v>46</v>
      </c>
      <c r="M2695" s="61" t="n">
        <f aca="false">L2695-I2695*K2695</f>
        <v>30</v>
      </c>
      <c r="N2695" s="57" t="n">
        <f aca="false">IF(COUNTIFS(E$2:E2695,E2695,C$2:C2695,C2695)=1,1,0)</f>
        <v>0</v>
      </c>
      <c r="O2695" s="57" t="n">
        <f aca="false">IF(COUNTIFS(E$2:E2695,E2695,C$2:C2695,C2695,D$2:D2695,D2695)=1,1,0)</f>
        <v>1</v>
      </c>
      <c r="P2695" s="57" t="n">
        <f aca="false">IF(AND(C2695=Calc!$C$3,OR(Calc!$C$4=0,D2695=Calc!$C$4)),ROW(),0)</f>
        <v>2695</v>
      </c>
    </row>
    <row r="2696" customFormat="false" ht="15" hidden="false" customHeight="false" outlineLevel="0" collapsed="false">
      <c r="A2696" s="57" t="s">
        <v>3264</v>
      </c>
      <c r="B2696" s="58" t="n">
        <v>45995</v>
      </c>
      <c r="C2696" s="57" t="n">
        <f aca="false">YEAR(B2696)</f>
        <v>2025</v>
      </c>
      <c r="D2696" s="57" t="n">
        <f aca="false">MONTH(B2696)</f>
        <v>12</v>
      </c>
      <c r="E2696" s="57" t="s">
        <v>223</v>
      </c>
      <c r="F2696" s="57" t="s">
        <v>69</v>
      </c>
      <c r="G2696" s="57" t="s">
        <v>40</v>
      </c>
      <c r="H2696" s="57" t="s">
        <v>43</v>
      </c>
      <c r="I2696" s="59" t="n">
        <v>1</v>
      </c>
      <c r="J2696" s="60" t="n">
        <v>29</v>
      </c>
      <c r="K2696" s="60" t="n">
        <v>9</v>
      </c>
      <c r="L2696" s="61" t="n">
        <f aca="false">I2696*J2696</f>
        <v>29</v>
      </c>
      <c r="M2696" s="61" t="n">
        <f aca="false">L2696-I2696*K2696</f>
        <v>20</v>
      </c>
      <c r="N2696" s="57" t="n">
        <f aca="false">IF(COUNTIFS(E$2:E2696,E2696,C$2:C2696,C2696)=1,1,0)</f>
        <v>0</v>
      </c>
      <c r="O2696" s="57" t="n">
        <f aca="false">IF(COUNTIFS(E$2:E2696,E2696,C$2:C2696,C2696,D$2:D2696,D2696)=1,1,0)</f>
        <v>1</v>
      </c>
      <c r="P2696" s="57" t="n">
        <f aca="false">IF(AND(C2696=Calc!$C$3,OR(Calc!$C$4=0,D2696=Calc!$C$4)),ROW(),0)</f>
        <v>2696</v>
      </c>
    </row>
    <row r="2697" customFormat="false" ht="15" hidden="false" customHeight="false" outlineLevel="0" collapsed="false">
      <c r="A2697" s="57" t="s">
        <v>3265</v>
      </c>
      <c r="B2697" s="58" t="n">
        <v>45996</v>
      </c>
      <c r="C2697" s="57" t="n">
        <f aca="false">YEAR(B2697)</f>
        <v>2025</v>
      </c>
      <c r="D2697" s="57" t="n">
        <f aca="false">MONTH(B2697)</f>
        <v>12</v>
      </c>
      <c r="E2697" s="57" t="s">
        <v>1304</v>
      </c>
      <c r="F2697" s="57" t="s">
        <v>78</v>
      </c>
      <c r="G2697" s="57" t="s">
        <v>45</v>
      </c>
      <c r="H2697" s="57" t="s">
        <v>47</v>
      </c>
      <c r="I2697" s="59" t="n">
        <v>2</v>
      </c>
      <c r="J2697" s="60" t="n">
        <v>34</v>
      </c>
      <c r="K2697" s="60" t="n">
        <v>12</v>
      </c>
      <c r="L2697" s="61" t="n">
        <f aca="false">I2697*J2697</f>
        <v>68</v>
      </c>
      <c r="M2697" s="61" t="n">
        <f aca="false">L2697-I2697*K2697</f>
        <v>44</v>
      </c>
      <c r="N2697" s="57" t="n">
        <f aca="false">IF(COUNTIFS(E$2:E2697,E2697,C$2:C2697,C2697)=1,1,0)</f>
        <v>0</v>
      </c>
      <c r="O2697" s="57" t="n">
        <f aca="false">IF(COUNTIFS(E$2:E2697,E2697,C$2:C2697,C2697,D$2:D2697,D2697)=1,1,0)</f>
        <v>1</v>
      </c>
      <c r="P2697" s="57" t="n">
        <f aca="false">IF(AND(C2697=Calc!$C$3,OR(Calc!$C$4=0,D2697=Calc!$C$4)),ROW(),0)</f>
        <v>2697</v>
      </c>
    </row>
    <row r="2698" customFormat="false" ht="15" hidden="false" customHeight="false" outlineLevel="0" collapsed="false">
      <c r="A2698" s="57" t="s">
        <v>3266</v>
      </c>
      <c r="B2698" s="58" t="n">
        <v>45996</v>
      </c>
      <c r="C2698" s="57" t="n">
        <f aca="false">YEAR(B2698)</f>
        <v>2025</v>
      </c>
      <c r="D2698" s="57" t="n">
        <f aca="false">MONTH(B2698)</f>
        <v>12</v>
      </c>
      <c r="E2698" s="57" t="s">
        <v>265</v>
      </c>
      <c r="F2698" s="57" t="s">
        <v>78</v>
      </c>
      <c r="G2698" s="57" t="s">
        <v>35</v>
      </c>
      <c r="H2698" s="57" t="s">
        <v>34</v>
      </c>
      <c r="I2698" s="59" t="n">
        <v>3</v>
      </c>
      <c r="J2698" s="60" t="n">
        <v>89</v>
      </c>
      <c r="K2698" s="60" t="n">
        <v>41</v>
      </c>
      <c r="L2698" s="61" t="n">
        <f aca="false">I2698*J2698</f>
        <v>267</v>
      </c>
      <c r="M2698" s="61" t="n">
        <f aca="false">L2698-I2698*K2698</f>
        <v>144</v>
      </c>
      <c r="N2698" s="57" t="n">
        <f aca="false">IF(COUNTIFS(E$2:E2698,E2698,C$2:C2698,C2698)=1,1,0)</f>
        <v>0</v>
      </c>
      <c r="O2698" s="57" t="n">
        <f aca="false">IF(COUNTIFS(E$2:E2698,E2698,C$2:C2698,C2698,D$2:D2698,D2698)=1,1,0)</f>
        <v>0</v>
      </c>
      <c r="P2698" s="57" t="n">
        <f aca="false">IF(AND(C2698=Calc!$C$3,OR(Calc!$C$4=0,D2698=Calc!$C$4)),ROW(),0)</f>
        <v>2698</v>
      </c>
    </row>
    <row r="2699" customFormat="false" ht="15" hidden="false" customHeight="false" outlineLevel="0" collapsed="false">
      <c r="A2699" s="57" t="s">
        <v>3267</v>
      </c>
      <c r="B2699" s="58" t="n">
        <v>45996</v>
      </c>
      <c r="C2699" s="57" t="n">
        <f aca="false">YEAR(B2699)</f>
        <v>2025</v>
      </c>
      <c r="D2699" s="57" t="n">
        <f aca="false">MONTH(B2699)</f>
        <v>12</v>
      </c>
      <c r="E2699" s="57" t="s">
        <v>1398</v>
      </c>
      <c r="F2699" s="57" t="s">
        <v>69</v>
      </c>
      <c r="G2699" s="57" t="s">
        <v>40</v>
      </c>
      <c r="H2699" s="57" t="s">
        <v>43</v>
      </c>
      <c r="I2699" s="59" t="n">
        <v>1</v>
      </c>
      <c r="J2699" s="60" t="n">
        <v>29</v>
      </c>
      <c r="K2699" s="60" t="n">
        <v>9</v>
      </c>
      <c r="L2699" s="61" t="n">
        <f aca="false">I2699*J2699</f>
        <v>29</v>
      </c>
      <c r="M2699" s="61" t="n">
        <f aca="false">L2699-I2699*K2699</f>
        <v>20</v>
      </c>
      <c r="N2699" s="57" t="n">
        <f aca="false">IF(COUNTIFS(E$2:E2699,E2699,C$2:C2699,C2699)=1,1,0)</f>
        <v>0</v>
      </c>
      <c r="O2699" s="57" t="n">
        <f aca="false">IF(COUNTIFS(E$2:E2699,E2699,C$2:C2699,C2699,D$2:D2699,D2699)=1,1,0)</f>
        <v>1</v>
      </c>
      <c r="P2699" s="57" t="n">
        <f aca="false">IF(AND(C2699=Calc!$C$3,OR(Calc!$C$4=0,D2699=Calc!$C$4)),ROW(),0)</f>
        <v>2699</v>
      </c>
    </row>
    <row r="2700" customFormat="false" ht="15" hidden="false" customHeight="false" outlineLevel="0" collapsed="false">
      <c r="A2700" s="57" t="s">
        <v>3268</v>
      </c>
      <c r="B2700" s="58" t="n">
        <v>45996</v>
      </c>
      <c r="C2700" s="57" t="n">
        <f aca="false">YEAR(B2700)</f>
        <v>2025</v>
      </c>
      <c r="D2700" s="57" t="n">
        <f aca="false">MONTH(B2700)</f>
        <v>12</v>
      </c>
      <c r="E2700" s="57" t="s">
        <v>1681</v>
      </c>
      <c r="F2700" s="57" t="s">
        <v>75</v>
      </c>
      <c r="G2700" s="57" t="s">
        <v>50</v>
      </c>
      <c r="H2700" s="57" t="s">
        <v>52</v>
      </c>
      <c r="I2700" s="59" t="n">
        <v>1</v>
      </c>
      <c r="J2700" s="60" t="n">
        <v>45</v>
      </c>
      <c r="K2700" s="60" t="n">
        <v>14</v>
      </c>
      <c r="L2700" s="61" t="n">
        <f aca="false">I2700*J2700</f>
        <v>45</v>
      </c>
      <c r="M2700" s="61" t="n">
        <f aca="false">L2700-I2700*K2700</f>
        <v>31</v>
      </c>
      <c r="N2700" s="57" t="n">
        <f aca="false">IF(COUNTIFS(E$2:E2700,E2700,C$2:C2700,C2700)=1,1,0)</f>
        <v>1</v>
      </c>
      <c r="O2700" s="57" t="n">
        <f aca="false">IF(COUNTIFS(E$2:E2700,E2700,C$2:C2700,C2700,D$2:D2700,D2700)=1,1,0)</f>
        <v>1</v>
      </c>
      <c r="P2700" s="57" t="n">
        <f aca="false">IF(AND(C2700=Calc!$C$3,OR(Calc!$C$4=0,D2700=Calc!$C$4)),ROW(),0)</f>
        <v>2700</v>
      </c>
    </row>
    <row r="2701" customFormat="false" ht="15" hidden="false" customHeight="false" outlineLevel="0" collapsed="false">
      <c r="A2701" s="57" t="s">
        <v>3269</v>
      </c>
      <c r="B2701" s="58" t="n">
        <v>45996</v>
      </c>
      <c r="C2701" s="57" t="n">
        <f aca="false">YEAR(B2701)</f>
        <v>2025</v>
      </c>
      <c r="D2701" s="57" t="n">
        <f aca="false">MONTH(B2701)</f>
        <v>12</v>
      </c>
      <c r="E2701" s="57" t="s">
        <v>114</v>
      </c>
      <c r="F2701" s="57" t="s">
        <v>69</v>
      </c>
      <c r="G2701" s="57" t="s">
        <v>40</v>
      </c>
      <c r="H2701" s="57" t="s">
        <v>43</v>
      </c>
      <c r="I2701" s="59" t="n">
        <v>1</v>
      </c>
      <c r="J2701" s="60" t="n">
        <v>29</v>
      </c>
      <c r="K2701" s="60" t="n">
        <v>9</v>
      </c>
      <c r="L2701" s="61" t="n">
        <f aca="false">I2701*J2701</f>
        <v>29</v>
      </c>
      <c r="M2701" s="61" t="n">
        <f aca="false">L2701-I2701*K2701</f>
        <v>20</v>
      </c>
      <c r="N2701" s="57" t="n">
        <f aca="false">IF(COUNTIFS(E$2:E2701,E2701,C$2:C2701,C2701)=1,1,0)</f>
        <v>0</v>
      </c>
      <c r="O2701" s="57" t="n">
        <f aca="false">IF(COUNTIFS(E$2:E2701,E2701,C$2:C2701,C2701,D$2:D2701,D2701)=1,1,0)</f>
        <v>1</v>
      </c>
      <c r="P2701" s="57" t="n">
        <f aca="false">IF(AND(C2701=Calc!$C$3,OR(Calc!$C$4=0,D2701=Calc!$C$4)),ROW(),0)</f>
        <v>2701</v>
      </c>
    </row>
    <row r="2702" customFormat="false" ht="15" hidden="false" customHeight="false" outlineLevel="0" collapsed="false">
      <c r="A2702" s="57" t="s">
        <v>3270</v>
      </c>
      <c r="B2702" s="58" t="n">
        <v>45996</v>
      </c>
      <c r="C2702" s="57" t="n">
        <f aca="false">YEAR(B2702)</f>
        <v>2025</v>
      </c>
      <c r="D2702" s="57" t="n">
        <f aca="false">MONTH(B2702)</f>
        <v>12</v>
      </c>
      <c r="E2702" s="57" t="s">
        <v>3271</v>
      </c>
      <c r="F2702" s="57" t="s">
        <v>72</v>
      </c>
      <c r="G2702" s="57" t="s">
        <v>40</v>
      </c>
      <c r="H2702" s="57" t="s">
        <v>39</v>
      </c>
      <c r="I2702" s="59" t="n">
        <v>2</v>
      </c>
      <c r="J2702" s="60" t="n">
        <v>54</v>
      </c>
      <c r="K2702" s="60" t="n">
        <v>19</v>
      </c>
      <c r="L2702" s="61" t="n">
        <f aca="false">I2702*J2702</f>
        <v>108</v>
      </c>
      <c r="M2702" s="61" t="n">
        <f aca="false">L2702-I2702*K2702</f>
        <v>70</v>
      </c>
      <c r="N2702" s="57" t="n">
        <f aca="false">IF(COUNTIFS(E$2:E2702,E2702,C$2:C2702,C2702)=1,1,0)</f>
        <v>1</v>
      </c>
      <c r="O2702" s="57" t="n">
        <f aca="false">IF(COUNTIFS(E$2:E2702,E2702,C$2:C2702,C2702,D$2:D2702,D2702)=1,1,0)</f>
        <v>1</v>
      </c>
      <c r="P2702" s="57" t="n">
        <f aca="false">IF(AND(C2702=Calc!$C$3,OR(Calc!$C$4=0,D2702=Calc!$C$4)),ROW(),0)</f>
        <v>2702</v>
      </c>
    </row>
    <row r="2703" customFormat="false" ht="15" hidden="false" customHeight="false" outlineLevel="0" collapsed="false">
      <c r="A2703" s="57" t="s">
        <v>3272</v>
      </c>
      <c r="B2703" s="58" t="n">
        <v>45996</v>
      </c>
      <c r="C2703" s="57" t="n">
        <f aca="false">YEAR(B2703)</f>
        <v>2025</v>
      </c>
      <c r="D2703" s="57" t="n">
        <f aca="false">MONTH(B2703)</f>
        <v>12</v>
      </c>
      <c r="E2703" s="57" t="s">
        <v>1358</v>
      </c>
      <c r="F2703" s="57" t="s">
        <v>72</v>
      </c>
      <c r="G2703" s="57" t="s">
        <v>40</v>
      </c>
      <c r="H2703" s="57" t="s">
        <v>43</v>
      </c>
      <c r="I2703" s="59" t="n">
        <v>1</v>
      </c>
      <c r="J2703" s="60" t="n">
        <v>29</v>
      </c>
      <c r="K2703" s="60" t="n">
        <v>9</v>
      </c>
      <c r="L2703" s="61" t="n">
        <f aca="false">I2703*J2703</f>
        <v>29</v>
      </c>
      <c r="M2703" s="61" t="n">
        <f aca="false">L2703-I2703*K2703</f>
        <v>20</v>
      </c>
      <c r="N2703" s="57" t="n">
        <f aca="false">IF(COUNTIFS(E$2:E2703,E2703,C$2:C2703,C2703)=1,1,0)</f>
        <v>0</v>
      </c>
      <c r="O2703" s="57" t="n">
        <f aca="false">IF(COUNTIFS(E$2:E2703,E2703,C$2:C2703,C2703,D$2:D2703,D2703)=1,1,0)</f>
        <v>1</v>
      </c>
      <c r="P2703" s="57" t="n">
        <f aca="false">IF(AND(C2703=Calc!$C$3,OR(Calc!$C$4=0,D2703=Calc!$C$4)),ROW(),0)</f>
        <v>2703</v>
      </c>
    </row>
    <row r="2704" customFormat="false" ht="15" hidden="false" customHeight="false" outlineLevel="0" collapsed="false">
      <c r="A2704" s="57" t="s">
        <v>3273</v>
      </c>
      <c r="B2704" s="58" t="n">
        <v>45997</v>
      </c>
      <c r="C2704" s="57" t="n">
        <f aca="false">YEAR(B2704)</f>
        <v>2025</v>
      </c>
      <c r="D2704" s="57" t="n">
        <f aca="false">MONTH(B2704)</f>
        <v>12</v>
      </c>
      <c r="E2704" s="57" t="s">
        <v>404</v>
      </c>
      <c r="F2704" s="57" t="s">
        <v>75</v>
      </c>
      <c r="G2704" s="57" t="s">
        <v>50</v>
      </c>
      <c r="H2704" s="57" t="s">
        <v>51</v>
      </c>
      <c r="I2704" s="59" t="n">
        <v>1</v>
      </c>
      <c r="J2704" s="60" t="n">
        <v>69</v>
      </c>
      <c r="K2704" s="60" t="n">
        <v>29</v>
      </c>
      <c r="L2704" s="61" t="n">
        <f aca="false">I2704*J2704</f>
        <v>69</v>
      </c>
      <c r="M2704" s="61" t="n">
        <f aca="false">L2704-I2704*K2704</f>
        <v>40</v>
      </c>
      <c r="N2704" s="57" t="n">
        <f aca="false">IF(COUNTIFS(E$2:E2704,E2704,C$2:C2704,C2704)=1,1,0)</f>
        <v>0</v>
      </c>
      <c r="O2704" s="57" t="n">
        <f aca="false">IF(COUNTIFS(E$2:E2704,E2704,C$2:C2704,C2704,D$2:D2704,D2704)=1,1,0)</f>
        <v>1</v>
      </c>
      <c r="P2704" s="57" t="n">
        <f aca="false">IF(AND(C2704=Calc!$C$3,OR(Calc!$C$4=0,D2704=Calc!$C$4)),ROW(),0)</f>
        <v>2704</v>
      </c>
    </row>
    <row r="2705" customFormat="false" ht="15" hidden="false" customHeight="false" outlineLevel="0" collapsed="false">
      <c r="A2705" s="57" t="s">
        <v>3274</v>
      </c>
      <c r="B2705" s="58" t="n">
        <v>45997</v>
      </c>
      <c r="C2705" s="57" t="n">
        <f aca="false">YEAR(B2705)</f>
        <v>2025</v>
      </c>
      <c r="D2705" s="57" t="n">
        <f aca="false">MONTH(B2705)</f>
        <v>12</v>
      </c>
      <c r="E2705" s="57" t="s">
        <v>1435</v>
      </c>
      <c r="F2705" s="57" t="s">
        <v>69</v>
      </c>
      <c r="G2705" s="57" t="s">
        <v>50</v>
      </c>
      <c r="H2705" s="57" t="s">
        <v>49</v>
      </c>
      <c r="I2705" s="59" t="n">
        <v>1</v>
      </c>
      <c r="J2705" s="60" t="n">
        <v>32</v>
      </c>
      <c r="K2705" s="60" t="n">
        <v>7</v>
      </c>
      <c r="L2705" s="61" t="n">
        <f aca="false">I2705*J2705</f>
        <v>32</v>
      </c>
      <c r="M2705" s="61" t="n">
        <f aca="false">L2705-I2705*K2705</f>
        <v>25</v>
      </c>
      <c r="N2705" s="57" t="n">
        <f aca="false">IF(COUNTIFS(E$2:E2705,E2705,C$2:C2705,C2705)=1,1,0)</f>
        <v>0</v>
      </c>
      <c r="O2705" s="57" t="n">
        <f aca="false">IF(COUNTIFS(E$2:E2705,E2705,C$2:C2705,C2705,D$2:D2705,D2705)=1,1,0)</f>
        <v>1</v>
      </c>
      <c r="P2705" s="57" t="n">
        <f aca="false">IF(AND(C2705=Calc!$C$3,OR(Calc!$C$4=0,D2705=Calc!$C$4)),ROW(),0)</f>
        <v>2705</v>
      </c>
    </row>
    <row r="2706" customFormat="false" ht="15" hidden="false" customHeight="false" outlineLevel="0" collapsed="false">
      <c r="A2706" s="57" t="s">
        <v>3275</v>
      </c>
      <c r="B2706" s="58" t="n">
        <v>45997</v>
      </c>
      <c r="C2706" s="57" t="n">
        <f aca="false">YEAR(B2706)</f>
        <v>2025</v>
      </c>
      <c r="D2706" s="57" t="n">
        <f aca="false">MONTH(B2706)</f>
        <v>12</v>
      </c>
      <c r="E2706" s="57" t="s">
        <v>168</v>
      </c>
      <c r="F2706" s="57" t="s">
        <v>81</v>
      </c>
      <c r="G2706" s="57" t="s">
        <v>35</v>
      </c>
      <c r="H2706" s="57" t="s">
        <v>37</v>
      </c>
      <c r="I2706" s="59" t="n">
        <v>1</v>
      </c>
      <c r="J2706" s="60" t="n">
        <v>59</v>
      </c>
      <c r="K2706" s="60" t="n">
        <v>27</v>
      </c>
      <c r="L2706" s="61" t="n">
        <f aca="false">I2706*J2706</f>
        <v>59</v>
      </c>
      <c r="M2706" s="61" t="n">
        <f aca="false">L2706-I2706*K2706</f>
        <v>32</v>
      </c>
      <c r="N2706" s="57" t="n">
        <f aca="false">IF(COUNTIFS(E$2:E2706,E2706,C$2:C2706,C2706)=1,1,0)</f>
        <v>0</v>
      </c>
      <c r="O2706" s="57" t="n">
        <f aca="false">IF(COUNTIFS(E$2:E2706,E2706,C$2:C2706,C2706,D$2:D2706,D2706)=1,1,0)</f>
        <v>1</v>
      </c>
      <c r="P2706" s="57" t="n">
        <f aca="false">IF(AND(C2706=Calc!$C$3,OR(Calc!$C$4=0,D2706=Calc!$C$4)),ROW(),0)</f>
        <v>2706</v>
      </c>
    </row>
    <row r="2707" customFormat="false" ht="15" hidden="false" customHeight="false" outlineLevel="0" collapsed="false">
      <c r="A2707" s="57" t="s">
        <v>3276</v>
      </c>
      <c r="B2707" s="58" t="n">
        <v>45997</v>
      </c>
      <c r="C2707" s="57" t="n">
        <f aca="false">YEAR(B2707)</f>
        <v>2025</v>
      </c>
      <c r="D2707" s="57" t="n">
        <f aca="false">MONTH(B2707)</f>
        <v>12</v>
      </c>
      <c r="E2707" s="57" t="s">
        <v>196</v>
      </c>
      <c r="F2707" s="57" t="s">
        <v>69</v>
      </c>
      <c r="G2707" s="57" t="s">
        <v>40</v>
      </c>
      <c r="H2707" s="57" t="s">
        <v>43</v>
      </c>
      <c r="I2707" s="59" t="n">
        <v>2</v>
      </c>
      <c r="J2707" s="60" t="n">
        <v>29</v>
      </c>
      <c r="K2707" s="60" t="n">
        <v>9</v>
      </c>
      <c r="L2707" s="61" t="n">
        <f aca="false">I2707*J2707</f>
        <v>58</v>
      </c>
      <c r="M2707" s="61" t="n">
        <f aca="false">L2707-I2707*K2707</f>
        <v>40</v>
      </c>
      <c r="N2707" s="57" t="n">
        <f aca="false">IF(COUNTIFS(E$2:E2707,E2707,C$2:C2707,C2707)=1,1,0)</f>
        <v>0</v>
      </c>
      <c r="O2707" s="57" t="n">
        <f aca="false">IF(COUNTIFS(E$2:E2707,E2707,C$2:C2707,C2707,D$2:D2707,D2707)=1,1,0)</f>
        <v>1</v>
      </c>
      <c r="P2707" s="57" t="n">
        <f aca="false">IF(AND(C2707=Calc!$C$3,OR(Calc!$C$4=0,D2707=Calc!$C$4)),ROW(),0)</f>
        <v>2707</v>
      </c>
    </row>
    <row r="2708" customFormat="false" ht="15" hidden="false" customHeight="false" outlineLevel="0" collapsed="false">
      <c r="A2708" s="57" t="s">
        <v>3277</v>
      </c>
      <c r="B2708" s="58" t="n">
        <v>45997</v>
      </c>
      <c r="C2708" s="57" t="n">
        <f aca="false">YEAR(B2708)</f>
        <v>2025</v>
      </c>
      <c r="D2708" s="57" t="n">
        <f aca="false">MONTH(B2708)</f>
        <v>12</v>
      </c>
      <c r="E2708" s="57" t="s">
        <v>71</v>
      </c>
      <c r="F2708" s="57" t="s">
        <v>72</v>
      </c>
      <c r="G2708" s="57" t="s">
        <v>35</v>
      </c>
      <c r="H2708" s="57" t="s">
        <v>38</v>
      </c>
      <c r="I2708" s="59" t="n">
        <v>1</v>
      </c>
      <c r="J2708" s="60" t="n">
        <v>49</v>
      </c>
      <c r="K2708" s="60" t="n">
        <v>22</v>
      </c>
      <c r="L2708" s="61" t="n">
        <f aca="false">I2708*J2708</f>
        <v>49</v>
      </c>
      <c r="M2708" s="61" t="n">
        <f aca="false">L2708-I2708*K2708</f>
        <v>27</v>
      </c>
      <c r="N2708" s="57" t="n">
        <f aca="false">IF(COUNTIFS(E$2:E2708,E2708,C$2:C2708,C2708)=1,1,0)</f>
        <v>0</v>
      </c>
      <c r="O2708" s="57" t="n">
        <f aca="false">IF(COUNTIFS(E$2:E2708,E2708,C$2:C2708,C2708,D$2:D2708,D2708)=1,1,0)</f>
        <v>1</v>
      </c>
      <c r="P2708" s="57" t="n">
        <f aca="false">IF(AND(C2708=Calc!$C$3,OR(Calc!$C$4=0,D2708=Calc!$C$4)),ROW(),0)</f>
        <v>2708</v>
      </c>
    </row>
    <row r="2709" customFormat="false" ht="15" hidden="false" customHeight="false" outlineLevel="0" collapsed="false">
      <c r="A2709" s="57" t="s">
        <v>3278</v>
      </c>
      <c r="B2709" s="58" t="n">
        <v>45997</v>
      </c>
      <c r="C2709" s="57" t="n">
        <f aca="false">YEAR(B2709)</f>
        <v>2025</v>
      </c>
      <c r="D2709" s="57" t="n">
        <f aca="false">MONTH(B2709)</f>
        <v>12</v>
      </c>
      <c r="E2709" s="57" t="s">
        <v>3279</v>
      </c>
      <c r="F2709" s="57" t="s">
        <v>78</v>
      </c>
      <c r="G2709" s="57" t="s">
        <v>40</v>
      </c>
      <c r="H2709" s="57" t="s">
        <v>42</v>
      </c>
      <c r="I2709" s="59" t="n">
        <v>1</v>
      </c>
      <c r="J2709" s="60" t="n">
        <v>79</v>
      </c>
      <c r="K2709" s="60" t="n">
        <v>31</v>
      </c>
      <c r="L2709" s="61" t="n">
        <f aca="false">I2709*J2709</f>
        <v>79</v>
      </c>
      <c r="M2709" s="61" t="n">
        <f aca="false">L2709-I2709*K2709</f>
        <v>48</v>
      </c>
      <c r="N2709" s="57" t="n">
        <f aca="false">IF(COUNTIFS(E$2:E2709,E2709,C$2:C2709,C2709)=1,1,0)</f>
        <v>1</v>
      </c>
      <c r="O2709" s="57" t="n">
        <f aca="false">IF(COUNTIFS(E$2:E2709,E2709,C$2:C2709,C2709,D$2:D2709,D2709)=1,1,0)</f>
        <v>1</v>
      </c>
      <c r="P2709" s="57" t="n">
        <f aca="false">IF(AND(C2709=Calc!$C$3,OR(Calc!$C$4=0,D2709=Calc!$C$4)),ROW(),0)</f>
        <v>2709</v>
      </c>
    </row>
    <row r="2710" customFormat="false" ht="15" hidden="false" customHeight="false" outlineLevel="0" collapsed="false">
      <c r="A2710" s="57" t="s">
        <v>3280</v>
      </c>
      <c r="B2710" s="58" t="n">
        <v>45997</v>
      </c>
      <c r="C2710" s="57" t="n">
        <f aca="false">YEAR(B2710)</f>
        <v>2025</v>
      </c>
      <c r="D2710" s="57" t="n">
        <f aca="false">MONTH(B2710)</f>
        <v>12</v>
      </c>
      <c r="E2710" s="57" t="s">
        <v>361</v>
      </c>
      <c r="F2710" s="57" t="s">
        <v>69</v>
      </c>
      <c r="G2710" s="57" t="s">
        <v>35</v>
      </c>
      <c r="H2710" s="57" t="s">
        <v>34</v>
      </c>
      <c r="I2710" s="59" t="n">
        <v>2</v>
      </c>
      <c r="J2710" s="60" t="n">
        <v>89</v>
      </c>
      <c r="K2710" s="60" t="n">
        <v>41</v>
      </c>
      <c r="L2710" s="61" t="n">
        <f aca="false">I2710*J2710</f>
        <v>178</v>
      </c>
      <c r="M2710" s="61" t="n">
        <f aca="false">L2710-I2710*K2710</f>
        <v>96</v>
      </c>
      <c r="N2710" s="57" t="n">
        <f aca="false">IF(COUNTIFS(E$2:E2710,E2710,C$2:C2710,C2710)=1,1,0)</f>
        <v>0</v>
      </c>
      <c r="O2710" s="57" t="n">
        <f aca="false">IF(COUNTIFS(E$2:E2710,E2710,C$2:C2710,C2710,D$2:D2710,D2710)=1,1,0)</f>
        <v>1</v>
      </c>
      <c r="P2710" s="57" t="n">
        <f aca="false">IF(AND(C2710=Calc!$C$3,OR(Calc!$C$4=0,D2710=Calc!$C$4)),ROW(),0)</f>
        <v>2710</v>
      </c>
    </row>
    <row r="2711" customFormat="false" ht="15" hidden="false" customHeight="false" outlineLevel="0" collapsed="false">
      <c r="A2711" s="57" t="s">
        <v>3281</v>
      </c>
      <c r="B2711" s="58" t="n">
        <v>45998</v>
      </c>
      <c r="C2711" s="57" t="n">
        <f aca="false">YEAR(B2711)</f>
        <v>2025</v>
      </c>
      <c r="D2711" s="57" t="n">
        <f aca="false">MONTH(B2711)</f>
        <v>12</v>
      </c>
      <c r="E2711" s="57" t="s">
        <v>1304</v>
      </c>
      <c r="F2711" s="57" t="s">
        <v>78</v>
      </c>
      <c r="G2711" s="57" t="s">
        <v>35</v>
      </c>
      <c r="H2711" s="57" t="s">
        <v>37</v>
      </c>
      <c r="I2711" s="59" t="n">
        <v>1</v>
      </c>
      <c r="J2711" s="60" t="n">
        <v>59</v>
      </c>
      <c r="K2711" s="60" t="n">
        <v>27</v>
      </c>
      <c r="L2711" s="61" t="n">
        <f aca="false">I2711*J2711</f>
        <v>59</v>
      </c>
      <c r="M2711" s="61" t="n">
        <f aca="false">L2711-I2711*K2711</f>
        <v>32</v>
      </c>
      <c r="N2711" s="57" t="n">
        <f aca="false">IF(COUNTIFS(E$2:E2711,E2711,C$2:C2711,C2711)=1,1,0)</f>
        <v>0</v>
      </c>
      <c r="O2711" s="57" t="n">
        <f aca="false">IF(COUNTIFS(E$2:E2711,E2711,C$2:C2711,C2711,D$2:D2711,D2711)=1,1,0)</f>
        <v>0</v>
      </c>
      <c r="P2711" s="57" t="n">
        <f aca="false">IF(AND(C2711=Calc!$C$3,OR(Calc!$C$4=0,D2711=Calc!$C$4)),ROW(),0)</f>
        <v>2711</v>
      </c>
    </row>
    <row r="2712" customFormat="false" ht="15" hidden="false" customHeight="false" outlineLevel="0" collapsed="false">
      <c r="A2712" s="57" t="s">
        <v>3282</v>
      </c>
      <c r="B2712" s="58" t="n">
        <v>45998</v>
      </c>
      <c r="C2712" s="57" t="n">
        <f aca="false">YEAR(B2712)</f>
        <v>2025</v>
      </c>
      <c r="D2712" s="57" t="n">
        <f aca="false">MONTH(B2712)</f>
        <v>12</v>
      </c>
      <c r="E2712" s="57" t="s">
        <v>838</v>
      </c>
      <c r="F2712" s="57" t="s">
        <v>69</v>
      </c>
      <c r="G2712" s="57" t="s">
        <v>45</v>
      </c>
      <c r="H2712" s="57" t="s">
        <v>47</v>
      </c>
      <c r="I2712" s="59" t="n">
        <v>3</v>
      </c>
      <c r="J2712" s="60" t="n">
        <v>34</v>
      </c>
      <c r="K2712" s="60" t="n">
        <v>12</v>
      </c>
      <c r="L2712" s="61" t="n">
        <f aca="false">I2712*J2712</f>
        <v>102</v>
      </c>
      <c r="M2712" s="61" t="n">
        <f aca="false">L2712-I2712*K2712</f>
        <v>66</v>
      </c>
      <c r="N2712" s="57" t="n">
        <f aca="false">IF(COUNTIFS(E$2:E2712,E2712,C$2:C2712,C2712)=1,1,0)</f>
        <v>0</v>
      </c>
      <c r="O2712" s="57" t="n">
        <f aca="false">IF(COUNTIFS(E$2:E2712,E2712,C$2:C2712,C2712,D$2:D2712,D2712)=1,1,0)</f>
        <v>1</v>
      </c>
      <c r="P2712" s="57" t="n">
        <f aca="false">IF(AND(C2712=Calc!$C$3,OR(Calc!$C$4=0,D2712=Calc!$C$4)),ROW(),0)</f>
        <v>2712</v>
      </c>
    </row>
    <row r="2713" customFormat="false" ht="15" hidden="false" customHeight="false" outlineLevel="0" collapsed="false">
      <c r="A2713" s="57" t="s">
        <v>3283</v>
      </c>
      <c r="B2713" s="58" t="n">
        <v>45998</v>
      </c>
      <c r="C2713" s="57" t="n">
        <f aca="false">YEAR(B2713)</f>
        <v>2025</v>
      </c>
      <c r="D2713" s="57" t="n">
        <f aca="false">MONTH(B2713)</f>
        <v>12</v>
      </c>
      <c r="E2713" s="57" t="s">
        <v>292</v>
      </c>
      <c r="F2713" s="57" t="s">
        <v>72</v>
      </c>
      <c r="G2713" s="57" t="s">
        <v>35</v>
      </c>
      <c r="H2713" s="57" t="s">
        <v>38</v>
      </c>
      <c r="I2713" s="59" t="n">
        <v>1</v>
      </c>
      <c r="J2713" s="60" t="n">
        <v>49</v>
      </c>
      <c r="K2713" s="60" t="n">
        <v>22</v>
      </c>
      <c r="L2713" s="61" t="n">
        <f aca="false">I2713*J2713</f>
        <v>49</v>
      </c>
      <c r="M2713" s="61" t="n">
        <f aca="false">L2713-I2713*K2713</f>
        <v>27</v>
      </c>
      <c r="N2713" s="57" t="n">
        <f aca="false">IF(COUNTIFS(E$2:E2713,E2713,C$2:C2713,C2713)=1,1,0)</f>
        <v>0</v>
      </c>
      <c r="O2713" s="57" t="n">
        <f aca="false">IF(COUNTIFS(E$2:E2713,E2713,C$2:C2713,C2713,D$2:D2713,D2713)=1,1,0)</f>
        <v>1</v>
      </c>
      <c r="P2713" s="57" t="n">
        <f aca="false">IF(AND(C2713=Calc!$C$3,OR(Calc!$C$4=0,D2713=Calc!$C$4)),ROW(),0)</f>
        <v>2713</v>
      </c>
    </row>
    <row r="2714" customFormat="false" ht="15" hidden="false" customHeight="false" outlineLevel="0" collapsed="false">
      <c r="A2714" s="57" t="s">
        <v>3284</v>
      </c>
      <c r="B2714" s="58" t="n">
        <v>45998</v>
      </c>
      <c r="C2714" s="57" t="n">
        <f aca="false">YEAR(B2714)</f>
        <v>2025</v>
      </c>
      <c r="D2714" s="57" t="n">
        <f aca="false">MONTH(B2714)</f>
        <v>12</v>
      </c>
      <c r="E2714" s="57" t="s">
        <v>446</v>
      </c>
      <c r="F2714" s="57" t="s">
        <v>75</v>
      </c>
      <c r="G2714" s="57" t="s">
        <v>50</v>
      </c>
      <c r="H2714" s="57" t="s">
        <v>49</v>
      </c>
      <c r="I2714" s="59" t="n">
        <v>1</v>
      </c>
      <c r="J2714" s="60" t="n">
        <v>32</v>
      </c>
      <c r="K2714" s="60" t="n">
        <v>7</v>
      </c>
      <c r="L2714" s="61" t="n">
        <f aca="false">I2714*J2714</f>
        <v>32</v>
      </c>
      <c r="M2714" s="61" t="n">
        <f aca="false">L2714-I2714*K2714</f>
        <v>25</v>
      </c>
      <c r="N2714" s="57" t="n">
        <f aca="false">IF(COUNTIFS(E$2:E2714,E2714,C$2:C2714,C2714)=1,1,0)</f>
        <v>0</v>
      </c>
      <c r="O2714" s="57" t="n">
        <f aca="false">IF(COUNTIFS(E$2:E2714,E2714,C$2:C2714,C2714,D$2:D2714,D2714)=1,1,0)</f>
        <v>1</v>
      </c>
      <c r="P2714" s="57" t="n">
        <f aca="false">IF(AND(C2714=Calc!$C$3,OR(Calc!$C$4=0,D2714=Calc!$C$4)),ROW(),0)</f>
        <v>2714</v>
      </c>
    </row>
    <row r="2715" customFormat="false" ht="15" hidden="false" customHeight="false" outlineLevel="0" collapsed="false">
      <c r="A2715" s="57" t="s">
        <v>3285</v>
      </c>
      <c r="B2715" s="58" t="n">
        <v>45998</v>
      </c>
      <c r="C2715" s="57" t="n">
        <f aca="false">YEAR(B2715)</f>
        <v>2025</v>
      </c>
      <c r="D2715" s="57" t="n">
        <f aca="false">MONTH(B2715)</f>
        <v>12</v>
      </c>
      <c r="E2715" s="57" t="s">
        <v>748</v>
      </c>
      <c r="F2715" s="57" t="s">
        <v>72</v>
      </c>
      <c r="G2715" s="57" t="s">
        <v>35</v>
      </c>
      <c r="H2715" s="57" t="s">
        <v>37</v>
      </c>
      <c r="I2715" s="59" t="n">
        <v>1</v>
      </c>
      <c r="J2715" s="60" t="n">
        <v>59</v>
      </c>
      <c r="K2715" s="60" t="n">
        <v>27</v>
      </c>
      <c r="L2715" s="61" t="n">
        <f aca="false">I2715*J2715</f>
        <v>59</v>
      </c>
      <c r="M2715" s="61" t="n">
        <f aca="false">L2715-I2715*K2715</f>
        <v>32</v>
      </c>
      <c r="N2715" s="57" t="n">
        <f aca="false">IF(COUNTIFS(E$2:E2715,E2715,C$2:C2715,C2715)=1,1,0)</f>
        <v>0</v>
      </c>
      <c r="O2715" s="57" t="n">
        <f aca="false">IF(COUNTIFS(E$2:E2715,E2715,C$2:C2715,C2715,D$2:D2715,D2715)=1,1,0)</f>
        <v>1</v>
      </c>
      <c r="P2715" s="57" t="n">
        <f aca="false">IF(AND(C2715=Calc!$C$3,OR(Calc!$C$4=0,D2715=Calc!$C$4)),ROW(),0)</f>
        <v>2715</v>
      </c>
    </row>
    <row r="2716" customFormat="false" ht="15" hidden="false" customHeight="false" outlineLevel="0" collapsed="false">
      <c r="A2716" s="57" t="s">
        <v>3286</v>
      </c>
      <c r="B2716" s="58" t="n">
        <v>45999</v>
      </c>
      <c r="C2716" s="57" t="n">
        <f aca="false">YEAR(B2716)</f>
        <v>2025</v>
      </c>
      <c r="D2716" s="57" t="n">
        <f aca="false">MONTH(B2716)</f>
        <v>12</v>
      </c>
      <c r="E2716" s="57" t="s">
        <v>116</v>
      </c>
      <c r="F2716" s="57" t="s">
        <v>75</v>
      </c>
      <c r="G2716" s="57" t="s">
        <v>45</v>
      </c>
      <c r="H2716" s="57" t="s">
        <v>44</v>
      </c>
      <c r="I2716" s="59" t="n">
        <v>1</v>
      </c>
      <c r="J2716" s="60" t="n">
        <v>119</v>
      </c>
      <c r="K2716" s="60" t="n">
        <v>63</v>
      </c>
      <c r="L2716" s="61" t="n">
        <f aca="false">I2716*J2716</f>
        <v>119</v>
      </c>
      <c r="M2716" s="61" t="n">
        <f aca="false">L2716-I2716*K2716</f>
        <v>56</v>
      </c>
      <c r="N2716" s="57" t="n">
        <f aca="false">IF(COUNTIFS(E$2:E2716,E2716,C$2:C2716,C2716)=1,1,0)</f>
        <v>0</v>
      </c>
      <c r="O2716" s="57" t="n">
        <f aca="false">IF(COUNTIFS(E$2:E2716,E2716,C$2:C2716,C2716,D$2:D2716,D2716)=1,1,0)</f>
        <v>1</v>
      </c>
      <c r="P2716" s="57" t="n">
        <f aca="false">IF(AND(C2716=Calc!$C$3,OR(Calc!$C$4=0,D2716=Calc!$C$4)),ROW(),0)</f>
        <v>2716</v>
      </c>
    </row>
    <row r="2717" customFormat="false" ht="15" hidden="false" customHeight="false" outlineLevel="0" collapsed="false">
      <c r="A2717" s="57" t="s">
        <v>3287</v>
      </c>
      <c r="B2717" s="58" t="n">
        <v>45999</v>
      </c>
      <c r="C2717" s="57" t="n">
        <f aca="false">YEAR(B2717)</f>
        <v>2025</v>
      </c>
      <c r="D2717" s="57" t="n">
        <f aca="false">MONTH(B2717)</f>
        <v>12</v>
      </c>
      <c r="E2717" s="57" t="s">
        <v>307</v>
      </c>
      <c r="F2717" s="57" t="s">
        <v>69</v>
      </c>
      <c r="G2717" s="57" t="s">
        <v>45</v>
      </c>
      <c r="H2717" s="57" t="s">
        <v>46</v>
      </c>
      <c r="I2717" s="59" t="n">
        <v>1</v>
      </c>
      <c r="J2717" s="60" t="n">
        <v>149</v>
      </c>
      <c r="K2717" s="60" t="n">
        <v>71</v>
      </c>
      <c r="L2717" s="61" t="n">
        <f aca="false">I2717*J2717</f>
        <v>149</v>
      </c>
      <c r="M2717" s="61" t="n">
        <f aca="false">L2717-I2717*K2717</f>
        <v>78</v>
      </c>
      <c r="N2717" s="57" t="n">
        <f aca="false">IF(COUNTIFS(E$2:E2717,E2717,C$2:C2717,C2717)=1,1,0)</f>
        <v>0</v>
      </c>
      <c r="O2717" s="57" t="n">
        <f aca="false">IF(COUNTIFS(E$2:E2717,E2717,C$2:C2717,C2717,D$2:D2717,D2717)=1,1,0)</f>
        <v>1</v>
      </c>
      <c r="P2717" s="57" t="n">
        <f aca="false">IF(AND(C2717=Calc!$C$3,OR(Calc!$C$4=0,D2717=Calc!$C$4)),ROW(),0)</f>
        <v>2717</v>
      </c>
    </row>
    <row r="2718" customFormat="false" ht="15" hidden="false" customHeight="false" outlineLevel="0" collapsed="false">
      <c r="A2718" s="57" t="s">
        <v>3288</v>
      </c>
      <c r="B2718" s="58" t="n">
        <v>45999</v>
      </c>
      <c r="C2718" s="57" t="n">
        <f aca="false">YEAR(B2718)</f>
        <v>2025</v>
      </c>
      <c r="D2718" s="57" t="n">
        <f aca="false">MONTH(B2718)</f>
        <v>12</v>
      </c>
      <c r="E2718" s="57" t="s">
        <v>104</v>
      </c>
      <c r="F2718" s="57" t="s">
        <v>78</v>
      </c>
      <c r="G2718" s="57" t="s">
        <v>45</v>
      </c>
      <c r="H2718" s="57" t="s">
        <v>44</v>
      </c>
      <c r="I2718" s="59" t="n">
        <v>1</v>
      </c>
      <c r="J2718" s="60" t="n">
        <v>119</v>
      </c>
      <c r="K2718" s="60" t="n">
        <v>63</v>
      </c>
      <c r="L2718" s="61" t="n">
        <f aca="false">I2718*J2718</f>
        <v>119</v>
      </c>
      <c r="M2718" s="61" t="n">
        <f aca="false">L2718-I2718*K2718</f>
        <v>56</v>
      </c>
      <c r="N2718" s="57" t="n">
        <f aca="false">IF(COUNTIFS(E$2:E2718,E2718,C$2:C2718,C2718)=1,1,0)</f>
        <v>0</v>
      </c>
      <c r="O2718" s="57" t="n">
        <f aca="false">IF(COUNTIFS(E$2:E2718,E2718,C$2:C2718,C2718,D$2:D2718,D2718)=1,1,0)</f>
        <v>1</v>
      </c>
      <c r="P2718" s="57" t="n">
        <f aca="false">IF(AND(C2718=Calc!$C$3,OR(Calc!$C$4=0,D2718=Calc!$C$4)),ROW(),0)</f>
        <v>2718</v>
      </c>
    </row>
    <row r="2719" customFormat="false" ht="15" hidden="false" customHeight="false" outlineLevel="0" collapsed="false">
      <c r="A2719" s="57" t="s">
        <v>3289</v>
      </c>
      <c r="B2719" s="58" t="n">
        <v>45999</v>
      </c>
      <c r="C2719" s="57" t="n">
        <f aca="false">YEAR(B2719)</f>
        <v>2025</v>
      </c>
      <c r="D2719" s="57" t="n">
        <f aca="false">MONTH(B2719)</f>
        <v>12</v>
      </c>
      <c r="E2719" s="57" t="s">
        <v>196</v>
      </c>
      <c r="F2719" s="57" t="s">
        <v>69</v>
      </c>
      <c r="G2719" s="57" t="s">
        <v>40</v>
      </c>
      <c r="H2719" s="57" t="s">
        <v>42</v>
      </c>
      <c r="I2719" s="59" t="n">
        <v>2</v>
      </c>
      <c r="J2719" s="60" t="n">
        <v>79</v>
      </c>
      <c r="K2719" s="60" t="n">
        <v>31</v>
      </c>
      <c r="L2719" s="61" t="n">
        <f aca="false">I2719*J2719</f>
        <v>158</v>
      </c>
      <c r="M2719" s="61" t="n">
        <f aca="false">L2719-I2719*K2719</f>
        <v>96</v>
      </c>
      <c r="N2719" s="57" t="n">
        <f aca="false">IF(COUNTIFS(E$2:E2719,E2719,C$2:C2719,C2719)=1,1,0)</f>
        <v>0</v>
      </c>
      <c r="O2719" s="57" t="n">
        <f aca="false">IF(COUNTIFS(E$2:E2719,E2719,C$2:C2719,C2719,D$2:D2719,D2719)=1,1,0)</f>
        <v>0</v>
      </c>
      <c r="P2719" s="57" t="n">
        <f aca="false">IF(AND(C2719=Calc!$C$3,OR(Calc!$C$4=0,D2719=Calc!$C$4)),ROW(),0)</f>
        <v>2719</v>
      </c>
    </row>
    <row r="2720" customFormat="false" ht="15" hidden="false" customHeight="false" outlineLevel="0" collapsed="false">
      <c r="A2720" s="57" t="s">
        <v>3290</v>
      </c>
      <c r="B2720" s="58" t="n">
        <v>45999</v>
      </c>
      <c r="C2720" s="57" t="n">
        <f aca="false">YEAR(B2720)</f>
        <v>2025</v>
      </c>
      <c r="D2720" s="57" t="n">
        <f aca="false">MONTH(B2720)</f>
        <v>12</v>
      </c>
      <c r="E2720" s="57" t="s">
        <v>265</v>
      </c>
      <c r="F2720" s="57" t="s">
        <v>78</v>
      </c>
      <c r="G2720" s="57" t="s">
        <v>35</v>
      </c>
      <c r="H2720" s="57" t="s">
        <v>36</v>
      </c>
      <c r="I2720" s="59" t="n">
        <v>2</v>
      </c>
      <c r="J2720" s="60" t="n">
        <v>179</v>
      </c>
      <c r="K2720" s="60" t="n">
        <v>92</v>
      </c>
      <c r="L2720" s="61" t="n">
        <f aca="false">I2720*J2720</f>
        <v>358</v>
      </c>
      <c r="M2720" s="61" t="n">
        <f aca="false">L2720-I2720*K2720</f>
        <v>174</v>
      </c>
      <c r="N2720" s="57" t="n">
        <f aca="false">IF(COUNTIFS(E$2:E2720,E2720,C$2:C2720,C2720)=1,1,0)</f>
        <v>0</v>
      </c>
      <c r="O2720" s="57" t="n">
        <f aca="false">IF(COUNTIFS(E$2:E2720,E2720,C$2:C2720,C2720,D$2:D2720,D2720)=1,1,0)</f>
        <v>0</v>
      </c>
      <c r="P2720" s="57" t="n">
        <f aca="false">IF(AND(C2720=Calc!$C$3,OR(Calc!$C$4=0,D2720=Calc!$C$4)),ROW(),0)</f>
        <v>2720</v>
      </c>
    </row>
    <row r="2721" customFormat="false" ht="15" hidden="false" customHeight="false" outlineLevel="0" collapsed="false">
      <c r="A2721" s="57" t="s">
        <v>3291</v>
      </c>
      <c r="B2721" s="58" t="n">
        <v>45999</v>
      </c>
      <c r="C2721" s="57" t="n">
        <f aca="false">YEAR(B2721)</f>
        <v>2025</v>
      </c>
      <c r="D2721" s="57" t="n">
        <f aca="false">MONTH(B2721)</f>
        <v>12</v>
      </c>
      <c r="E2721" s="57" t="s">
        <v>203</v>
      </c>
      <c r="F2721" s="57" t="s">
        <v>78</v>
      </c>
      <c r="G2721" s="57" t="s">
        <v>35</v>
      </c>
      <c r="H2721" s="57" t="s">
        <v>38</v>
      </c>
      <c r="I2721" s="59" t="n">
        <v>1</v>
      </c>
      <c r="J2721" s="60" t="n">
        <v>49</v>
      </c>
      <c r="K2721" s="60" t="n">
        <v>22</v>
      </c>
      <c r="L2721" s="61" t="n">
        <f aca="false">I2721*J2721</f>
        <v>49</v>
      </c>
      <c r="M2721" s="61" t="n">
        <f aca="false">L2721-I2721*K2721</f>
        <v>27</v>
      </c>
      <c r="N2721" s="57" t="n">
        <f aca="false">IF(COUNTIFS(E$2:E2721,E2721,C$2:C2721,C2721)=1,1,0)</f>
        <v>0</v>
      </c>
      <c r="O2721" s="57" t="n">
        <f aca="false">IF(COUNTIFS(E$2:E2721,E2721,C$2:C2721,C2721,D$2:D2721,D2721)=1,1,0)</f>
        <v>1</v>
      </c>
      <c r="P2721" s="57" t="n">
        <f aca="false">IF(AND(C2721=Calc!$C$3,OR(Calc!$C$4=0,D2721=Calc!$C$4)),ROW(),0)</f>
        <v>2721</v>
      </c>
    </row>
    <row r="2722" customFormat="false" ht="15" hidden="false" customHeight="false" outlineLevel="0" collapsed="false">
      <c r="A2722" s="57" t="s">
        <v>3292</v>
      </c>
      <c r="B2722" s="58" t="n">
        <v>45999</v>
      </c>
      <c r="C2722" s="57" t="n">
        <f aca="false">YEAR(B2722)</f>
        <v>2025</v>
      </c>
      <c r="D2722" s="57" t="n">
        <f aca="false">MONTH(B2722)</f>
        <v>12</v>
      </c>
      <c r="E2722" s="57" t="s">
        <v>3293</v>
      </c>
      <c r="F2722" s="57" t="s">
        <v>81</v>
      </c>
      <c r="G2722" s="57" t="s">
        <v>35</v>
      </c>
      <c r="H2722" s="57" t="s">
        <v>36</v>
      </c>
      <c r="I2722" s="59" t="n">
        <v>1</v>
      </c>
      <c r="J2722" s="60" t="n">
        <v>179</v>
      </c>
      <c r="K2722" s="60" t="n">
        <v>92</v>
      </c>
      <c r="L2722" s="61" t="n">
        <f aca="false">I2722*J2722</f>
        <v>179</v>
      </c>
      <c r="M2722" s="61" t="n">
        <f aca="false">L2722-I2722*K2722</f>
        <v>87</v>
      </c>
      <c r="N2722" s="57" t="n">
        <f aca="false">IF(COUNTIFS(E$2:E2722,E2722,C$2:C2722,C2722)=1,1,0)</f>
        <v>1</v>
      </c>
      <c r="O2722" s="57" t="n">
        <f aca="false">IF(COUNTIFS(E$2:E2722,E2722,C$2:C2722,C2722,D$2:D2722,D2722)=1,1,0)</f>
        <v>1</v>
      </c>
      <c r="P2722" s="57" t="n">
        <f aca="false">IF(AND(C2722=Calc!$C$3,OR(Calc!$C$4=0,D2722=Calc!$C$4)),ROW(),0)</f>
        <v>2722</v>
      </c>
    </row>
    <row r="2723" customFormat="false" ht="15" hidden="false" customHeight="false" outlineLevel="0" collapsed="false">
      <c r="A2723" s="57" t="s">
        <v>3294</v>
      </c>
      <c r="B2723" s="58" t="n">
        <v>46000</v>
      </c>
      <c r="C2723" s="57" t="n">
        <f aca="false">YEAR(B2723)</f>
        <v>2025</v>
      </c>
      <c r="D2723" s="57" t="n">
        <f aca="false">MONTH(B2723)</f>
        <v>12</v>
      </c>
      <c r="E2723" s="57" t="s">
        <v>1495</v>
      </c>
      <c r="F2723" s="57" t="s">
        <v>72</v>
      </c>
      <c r="G2723" s="57" t="s">
        <v>40</v>
      </c>
      <c r="H2723" s="57" t="s">
        <v>43</v>
      </c>
      <c r="I2723" s="59" t="n">
        <v>3</v>
      </c>
      <c r="J2723" s="60" t="n">
        <v>29</v>
      </c>
      <c r="K2723" s="60" t="n">
        <v>9</v>
      </c>
      <c r="L2723" s="61" t="n">
        <f aca="false">I2723*J2723</f>
        <v>87</v>
      </c>
      <c r="M2723" s="61" t="n">
        <f aca="false">L2723-I2723*K2723</f>
        <v>60</v>
      </c>
      <c r="N2723" s="57" t="n">
        <f aca="false">IF(COUNTIFS(E$2:E2723,E2723,C$2:C2723,C2723)=1,1,0)</f>
        <v>0</v>
      </c>
      <c r="O2723" s="57" t="n">
        <f aca="false">IF(COUNTIFS(E$2:E2723,E2723,C$2:C2723,C2723,D$2:D2723,D2723)=1,1,0)</f>
        <v>1</v>
      </c>
      <c r="P2723" s="57" t="n">
        <f aca="false">IF(AND(C2723=Calc!$C$3,OR(Calc!$C$4=0,D2723=Calc!$C$4)),ROW(),0)</f>
        <v>2723</v>
      </c>
    </row>
    <row r="2724" customFormat="false" ht="15" hidden="false" customHeight="false" outlineLevel="0" collapsed="false">
      <c r="A2724" s="57" t="s">
        <v>3295</v>
      </c>
      <c r="B2724" s="58" t="n">
        <v>46000</v>
      </c>
      <c r="C2724" s="57" t="n">
        <f aca="false">YEAR(B2724)</f>
        <v>2025</v>
      </c>
      <c r="D2724" s="57" t="n">
        <f aca="false">MONTH(B2724)</f>
        <v>12</v>
      </c>
      <c r="E2724" s="57" t="s">
        <v>152</v>
      </c>
      <c r="F2724" s="57" t="s">
        <v>72</v>
      </c>
      <c r="G2724" s="57" t="s">
        <v>35</v>
      </c>
      <c r="H2724" s="57" t="s">
        <v>37</v>
      </c>
      <c r="I2724" s="59" t="n">
        <v>1</v>
      </c>
      <c r="J2724" s="60" t="n">
        <v>59</v>
      </c>
      <c r="K2724" s="60" t="n">
        <v>27</v>
      </c>
      <c r="L2724" s="61" t="n">
        <f aca="false">I2724*J2724</f>
        <v>59</v>
      </c>
      <c r="M2724" s="61" t="n">
        <f aca="false">L2724-I2724*K2724</f>
        <v>32</v>
      </c>
      <c r="N2724" s="57" t="n">
        <f aca="false">IF(COUNTIFS(E$2:E2724,E2724,C$2:C2724,C2724)=1,1,0)</f>
        <v>0</v>
      </c>
      <c r="O2724" s="57" t="n">
        <f aca="false">IF(COUNTIFS(E$2:E2724,E2724,C$2:C2724,C2724,D$2:D2724,D2724)=1,1,0)</f>
        <v>0</v>
      </c>
      <c r="P2724" s="57" t="n">
        <f aca="false">IF(AND(C2724=Calc!$C$3,OR(Calc!$C$4=0,D2724=Calc!$C$4)),ROW(),0)</f>
        <v>2724</v>
      </c>
    </row>
    <row r="2725" customFormat="false" ht="15" hidden="false" customHeight="false" outlineLevel="0" collapsed="false">
      <c r="A2725" s="57" t="s">
        <v>3296</v>
      </c>
      <c r="B2725" s="58" t="n">
        <v>46000</v>
      </c>
      <c r="C2725" s="57" t="n">
        <f aca="false">YEAR(B2725)</f>
        <v>2025</v>
      </c>
      <c r="D2725" s="57" t="n">
        <f aca="false">MONTH(B2725)</f>
        <v>12</v>
      </c>
      <c r="E2725" s="57" t="s">
        <v>311</v>
      </c>
      <c r="F2725" s="57" t="s">
        <v>69</v>
      </c>
      <c r="G2725" s="57" t="s">
        <v>35</v>
      </c>
      <c r="H2725" s="57" t="s">
        <v>38</v>
      </c>
      <c r="I2725" s="59" t="n">
        <v>1</v>
      </c>
      <c r="J2725" s="60" t="n">
        <v>49</v>
      </c>
      <c r="K2725" s="60" t="n">
        <v>22</v>
      </c>
      <c r="L2725" s="61" t="n">
        <f aca="false">I2725*J2725</f>
        <v>49</v>
      </c>
      <c r="M2725" s="61" t="n">
        <f aca="false">L2725-I2725*K2725</f>
        <v>27</v>
      </c>
      <c r="N2725" s="57" t="n">
        <f aca="false">IF(COUNTIFS(E$2:E2725,E2725,C$2:C2725,C2725)=1,1,0)</f>
        <v>0</v>
      </c>
      <c r="O2725" s="57" t="n">
        <f aca="false">IF(COUNTIFS(E$2:E2725,E2725,C$2:C2725,C2725,D$2:D2725,D2725)=1,1,0)</f>
        <v>1</v>
      </c>
      <c r="P2725" s="57" t="n">
        <f aca="false">IF(AND(C2725=Calc!$C$3,OR(Calc!$C$4=0,D2725=Calc!$C$4)),ROW(),0)</f>
        <v>2725</v>
      </c>
    </row>
    <row r="2726" customFormat="false" ht="15" hidden="false" customHeight="false" outlineLevel="0" collapsed="false">
      <c r="A2726" s="57" t="s">
        <v>3297</v>
      </c>
      <c r="B2726" s="58" t="n">
        <v>46000</v>
      </c>
      <c r="C2726" s="57" t="n">
        <f aca="false">YEAR(B2726)</f>
        <v>2025</v>
      </c>
      <c r="D2726" s="57" t="n">
        <f aca="false">MONTH(B2726)</f>
        <v>12</v>
      </c>
      <c r="E2726" s="57" t="s">
        <v>342</v>
      </c>
      <c r="F2726" s="57" t="s">
        <v>78</v>
      </c>
      <c r="G2726" s="57" t="s">
        <v>35</v>
      </c>
      <c r="H2726" s="57" t="s">
        <v>38</v>
      </c>
      <c r="I2726" s="59" t="n">
        <v>2</v>
      </c>
      <c r="J2726" s="60" t="n">
        <v>49</v>
      </c>
      <c r="K2726" s="60" t="n">
        <v>22</v>
      </c>
      <c r="L2726" s="61" t="n">
        <f aca="false">I2726*J2726</f>
        <v>98</v>
      </c>
      <c r="M2726" s="61" t="n">
        <f aca="false">L2726-I2726*K2726</f>
        <v>54</v>
      </c>
      <c r="N2726" s="57" t="n">
        <f aca="false">IF(COUNTIFS(E$2:E2726,E2726,C$2:C2726,C2726)=1,1,0)</f>
        <v>0</v>
      </c>
      <c r="O2726" s="57" t="n">
        <f aca="false">IF(COUNTIFS(E$2:E2726,E2726,C$2:C2726,C2726,D$2:D2726,D2726)=1,1,0)</f>
        <v>1</v>
      </c>
      <c r="P2726" s="57" t="n">
        <f aca="false">IF(AND(C2726=Calc!$C$3,OR(Calc!$C$4=0,D2726=Calc!$C$4)),ROW(),0)</f>
        <v>2726</v>
      </c>
    </row>
    <row r="2727" customFormat="false" ht="15" hidden="false" customHeight="false" outlineLevel="0" collapsed="false">
      <c r="A2727" s="57" t="s">
        <v>3298</v>
      </c>
      <c r="B2727" s="58" t="n">
        <v>46000</v>
      </c>
      <c r="C2727" s="57" t="n">
        <f aca="false">YEAR(B2727)</f>
        <v>2025</v>
      </c>
      <c r="D2727" s="57" t="n">
        <f aca="false">MONTH(B2727)</f>
        <v>12</v>
      </c>
      <c r="E2727" s="57" t="s">
        <v>1157</v>
      </c>
      <c r="F2727" s="57" t="s">
        <v>75</v>
      </c>
      <c r="G2727" s="57" t="s">
        <v>50</v>
      </c>
      <c r="H2727" s="57" t="s">
        <v>51</v>
      </c>
      <c r="I2727" s="59" t="n">
        <v>2</v>
      </c>
      <c r="J2727" s="60" t="n">
        <v>69</v>
      </c>
      <c r="K2727" s="60" t="n">
        <v>29</v>
      </c>
      <c r="L2727" s="61" t="n">
        <f aca="false">I2727*J2727</f>
        <v>138</v>
      </c>
      <c r="M2727" s="61" t="n">
        <f aca="false">L2727-I2727*K2727</f>
        <v>80</v>
      </c>
      <c r="N2727" s="57" t="n">
        <f aca="false">IF(COUNTIFS(E$2:E2727,E2727,C$2:C2727,C2727)=1,1,0)</f>
        <v>1</v>
      </c>
      <c r="O2727" s="57" t="n">
        <f aca="false">IF(COUNTIFS(E$2:E2727,E2727,C$2:C2727,C2727,D$2:D2727,D2727)=1,1,0)</f>
        <v>1</v>
      </c>
      <c r="P2727" s="57" t="n">
        <f aca="false">IF(AND(C2727=Calc!$C$3,OR(Calc!$C$4=0,D2727=Calc!$C$4)),ROW(),0)</f>
        <v>2727</v>
      </c>
    </row>
    <row r="2728" customFormat="false" ht="15" hidden="false" customHeight="false" outlineLevel="0" collapsed="false">
      <c r="A2728" s="57" t="s">
        <v>3299</v>
      </c>
      <c r="B2728" s="58" t="n">
        <v>46000</v>
      </c>
      <c r="C2728" s="57" t="n">
        <f aca="false">YEAR(B2728)</f>
        <v>2025</v>
      </c>
      <c r="D2728" s="57" t="n">
        <f aca="false">MONTH(B2728)</f>
        <v>12</v>
      </c>
      <c r="E2728" s="57" t="s">
        <v>1430</v>
      </c>
      <c r="F2728" s="57" t="s">
        <v>75</v>
      </c>
      <c r="G2728" s="57" t="s">
        <v>35</v>
      </c>
      <c r="H2728" s="57" t="s">
        <v>37</v>
      </c>
      <c r="I2728" s="59" t="n">
        <v>1</v>
      </c>
      <c r="J2728" s="60" t="n">
        <v>59</v>
      </c>
      <c r="K2728" s="60" t="n">
        <v>27</v>
      </c>
      <c r="L2728" s="61" t="n">
        <f aca="false">I2728*J2728</f>
        <v>59</v>
      </c>
      <c r="M2728" s="61" t="n">
        <f aca="false">L2728-I2728*K2728</f>
        <v>32</v>
      </c>
      <c r="N2728" s="57" t="n">
        <f aca="false">IF(COUNTIFS(E$2:E2728,E2728,C$2:C2728,C2728)=1,1,0)</f>
        <v>0</v>
      </c>
      <c r="O2728" s="57" t="n">
        <f aca="false">IF(COUNTIFS(E$2:E2728,E2728,C$2:C2728,C2728,D$2:D2728,D2728)=1,1,0)</f>
        <v>1</v>
      </c>
      <c r="P2728" s="57" t="n">
        <f aca="false">IF(AND(C2728=Calc!$C$3,OR(Calc!$C$4=0,D2728=Calc!$C$4)),ROW(),0)</f>
        <v>2728</v>
      </c>
    </row>
    <row r="2729" customFormat="false" ht="15" hidden="false" customHeight="false" outlineLevel="0" collapsed="false">
      <c r="A2729" s="57" t="s">
        <v>3300</v>
      </c>
      <c r="B2729" s="58" t="n">
        <v>46001</v>
      </c>
      <c r="C2729" s="57" t="n">
        <f aca="false">YEAR(B2729)</f>
        <v>2025</v>
      </c>
      <c r="D2729" s="57" t="n">
        <f aca="false">MONTH(B2729)</f>
        <v>12</v>
      </c>
      <c r="E2729" s="57" t="s">
        <v>488</v>
      </c>
      <c r="F2729" s="57" t="s">
        <v>69</v>
      </c>
      <c r="G2729" s="57" t="s">
        <v>40</v>
      </c>
      <c r="H2729" s="57" t="s">
        <v>41</v>
      </c>
      <c r="I2729" s="59" t="n">
        <v>2</v>
      </c>
      <c r="J2729" s="60" t="n">
        <v>46</v>
      </c>
      <c r="K2729" s="60" t="n">
        <v>16</v>
      </c>
      <c r="L2729" s="61" t="n">
        <f aca="false">I2729*J2729</f>
        <v>92</v>
      </c>
      <c r="M2729" s="61" t="n">
        <f aca="false">L2729-I2729*K2729</f>
        <v>60</v>
      </c>
      <c r="N2729" s="57" t="n">
        <f aca="false">IF(COUNTIFS(E$2:E2729,E2729,C$2:C2729,C2729)=1,1,0)</f>
        <v>0</v>
      </c>
      <c r="O2729" s="57" t="n">
        <f aca="false">IF(COUNTIFS(E$2:E2729,E2729,C$2:C2729,C2729,D$2:D2729,D2729)=1,1,0)</f>
        <v>1</v>
      </c>
      <c r="P2729" s="57" t="n">
        <f aca="false">IF(AND(C2729=Calc!$C$3,OR(Calc!$C$4=0,D2729=Calc!$C$4)),ROW(),0)</f>
        <v>2729</v>
      </c>
    </row>
    <row r="2730" customFormat="false" ht="15" hidden="false" customHeight="false" outlineLevel="0" collapsed="false">
      <c r="A2730" s="57" t="s">
        <v>3301</v>
      </c>
      <c r="B2730" s="58" t="n">
        <v>46001</v>
      </c>
      <c r="C2730" s="57" t="n">
        <f aca="false">YEAR(B2730)</f>
        <v>2025</v>
      </c>
      <c r="D2730" s="57" t="n">
        <f aca="false">MONTH(B2730)</f>
        <v>12</v>
      </c>
      <c r="E2730" s="57" t="s">
        <v>424</v>
      </c>
      <c r="F2730" s="57" t="s">
        <v>78</v>
      </c>
      <c r="G2730" s="57" t="s">
        <v>40</v>
      </c>
      <c r="H2730" s="57" t="s">
        <v>41</v>
      </c>
      <c r="I2730" s="59" t="n">
        <v>1</v>
      </c>
      <c r="J2730" s="60" t="n">
        <v>46</v>
      </c>
      <c r="K2730" s="60" t="n">
        <v>16</v>
      </c>
      <c r="L2730" s="61" t="n">
        <f aca="false">I2730*J2730</f>
        <v>46</v>
      </c>
      <c r="M2730" s="61" t="n">
        <f aca="false">L2730-I2730*K2730</f>
        <v>30</v>
      </c>
      <c r="N2730" s="57" t="n">
        <f aca="false">IF(COUNTIFS(E$2:E2730,E2730,C$2:C2730,C2730)=1,1,0)</f>
        <v>0</v>
      </c>
      <c r="O2730" s="57" t="n">
        <f aca="false">IF(COUNTIFS(E$2:E2730,E2730,C$2:C2730,C2730,D$2:D2730,D2730)=1,1,0)</f>
        <v>1</v>
      </c>
      <c r="P2730" s="57" t="n">
        <f aca="false">IF(AND(C2730=Calc!$C$3,OR(Calc!$C$4=0,D2730=Calc!$C$4)),ROW(),0)</f>
        <v>2730</v>
      </c>
    </row>
    <row r="2731" customFormat="false" ht="15" hidden="false" customHeight="false" outlineLevel="0" collapsed="false">
      <c r="A2731" s="57" t="s">
        <v>3302</v>
      </c>
      <c r="B2731" s="58" t="n">
        <v>46001</v>
      </c>
      <c r="C2731" s="57" t="n">
        <f aca="false">YEAR(B2731)</f>
        <v>2025</v>
      </c>
      <c r="D2731" s="57" t="n">
        <f aca="false">MONTH(B2731)</f>
        <v>12</v>
      </c>
      <c r="E2731" s="57" t="s">
        <v>440</v>
      </c>
      <c r="F2731" s="57" t="s">
        <v>78</v>
      </c>
      <c r="G2731" s="57" t="s">
        <v>35</v>
      </c>
      <c r="H2731" s="57" t="s">
        <v>34</v>
      </c>
      <c r="I2731" s="59" t="n">
        <v>1</v>
      </c>
      <c r="J2731" s="60" t="n">
        <v>89</v>
      </c>
      <c r="K2731" s="60" t="n">
        <v>41</v>
      </c>
      <c r="L2731" s="61" t="n">
        <f aca="false">I2731*J2731</f>
        <v>89</v>
      </c>
      <c r="M2731" s="61" t="n">
        <f aca="false">L2731-I2731*K2731</f>
        <v>48</v>
      </c>
      <c r="N2731" s="57" t="n">
        <f aca="false">IF(COUNTIFS(E$2:E2731,E2731,C$2:C2731,C2731)=1,1,0)</f>
        <v>0</v>
      </c>
      <c r="O2731" s="57" t="n">
        <f aca="false">IF(COUNTIFS(E$2:E2731,E2731,C$2:C2731,C2731,D$2:D2731,D2731)=1,1,0)</f>
        <v>0</v>
      </c>
      <c r="P2731" s="57" t="n">
        <f aca="false">IF(AND(C2731=Calc!$C$3,OR(Calc!$C$4=0,D2731=Calc!$C$4)),ROW(),0)</f>
        <v>2731</v>
      </c>
    </row>
    <row r="2732" customFormat="false" ht="15" hidden="false" customHeight="false" outlineLevel="0" collapsed="false">
      <c r="A2732" s="57" t="s">
        <v>3303</v>
      </c>
      <c r="B2732" s="58" t="n">
        <v>46001</v>
      </c>
      <c r="C2732" s="57" t="n">
        <f aca="false">YEAR(B2732)</f>
        <v>2025</v>
      </c>
      <c r="D2732" s="57" t="n">
        <f aca="false">MONTH(B2732)</f>
        <v>12</v>
      </c>
      <c r="E2732" s="57" t="s">
        <v>2529</v>
      </c>
      <c r="F2732" s="57" t="s">
        <v>69</v>
      </c>
      <c r="G2732" s="57" t="s">
        <v>35</v>
      </c>
      <c r="H2732" s="57" t="s">
        <v>38</v>
      </c>
      <c r="I2732" s="59" t="n">
        <v>1</v>
      </c>
      <c r="J2732" s="60" t="n">
        <v>49</v>
      </c>
      <c r="K2732" s="60" t="n">
        <v>22</v>
      </c>
      <c r="L2732" s="61" t="n">
        <f aca="false">I2732*J2732</f>
        <v>49</v>
      </c>
      <c r="M2732" s="61" t="n">
        <f aca="false">L2732-I2732*K2732</f>
        <v>27</v>
      </c>
      <c r="N2732" s="57" t="n">
        <f aca="false">IF(COUNTIFS(E$2:E2732,E2732,C$2:C2732,C2732)=1,1,0)</f>
        <v>0</v>
      </c>
      <c r="O2732" s="57" t="n">
        <f aca="false">IF(COUNTIFS(E$2:E2732,E2732,C$2:C2732,C2732,D$2:D2732,D2732)=1,1,0)</f>
        <v>1</v>
      </c>
      <c r="P2732" s="57" t="n">
        <f aca="false">IF(AND(C2732=Calc!$C$3,OR(Calc!$C$4=0,D2732=Calc!$C$4)),ROW(),0)</f>
        <v>2732</v>
      </c>
    </row>
    <row r="2733" customFormat="false" ht="15" hidden="false" customHeight="false" outlineLevel="0" collapsed="false">
      <c r="A2733" s="57" t="s">
        <v>3304</v>
      </c>
      <c r="B2733" s="58" t="n">
        <v>46001</v>
      </c>
      <c r="C2733" s="57" t="n">
        <f aca="false">YEAR(B2733)</f>
        <v>2025</v>
      </c>
      <c r="D2733" s="57" t="n">
        <f aca="false">MONTH(B2733)</f>
        <v>12</v>
      </c>
      <c r="E2733" s="57" t="s">
        <v>2407</v>
      </c>
      <c r="F2733" s="57" t="s">
        <v>72</v>
      </c>
      <c r="G2733" s="57" t="s">
        <v>35</v>
      </c>
      <c r="H2733" s="57" t="s">
        <v>37</v>
      </c>
      <c r="I2733" s="59" t="n">
        <v>2</v>
      </c>
      <c r="J2733" s="60" t="n">
        <v>59</v>
      </c>
      <c r="K2733" s="60" t="n">
        <v>27</v>
      </c>
      <c r="L2733" s="61" t="n">
        <f aca="false">I2733*J2733</f>
        <v>118</v>
      </c>
      <c r="M2733" s="61" t="n">
        <f aca="false">L2733-I2733*K2733</f>
        <v>64</v>
      </c>
      <c r="N2733" s="57" t="n">
        <f aca="false">IF(COUNTIFS(E$2:E2733,E2733,C$2:C2733,C2733)=1,1,0)</f>
        <v>0</v>
      </c>
      <c r="O2733" s="57" t="n">
        <f aca="false">IF(COUNTIFS(E$2:E2733,E2733,C$2:C2733,C2733,D$2:D2733,D2733)=1,1,0)</f>
        <v>1</v>
      </c>
      <c r="P2733" s="57" t="n">
        <f aca="false">IF(AND(C2733=Calc!$C$3,OR(Calc!$C$4=0,D2733=Calc!$C$4)),ROW(),0)</f>
        <v>2733</v>
      </c>
    </row>
    <row r="2734" customFormat="false" ht="15" hidden="false" customHeight="false" outlineLevel="0" collapsed="false">
      <c r="A2734" s="57" t="s">
        <v>3305</v>
      </c>
      <c r="B2734" s="58" t="n">
        <v>46001</v>
      </c>
      <c r="C2734" s="57" t="n">
        <f aca="false">YEAR(B2734)</f>
        <v>2025</v>
      </c>
      <c r="D2734" s="57" t="n">
        <f aca="false">MONTH(B2734)</f>
        <v>12</v>
      </c>
      <c r="E2734" s="57" t="s">
        <v>761</v>
      </c>
      <c r="F2734" s="57" t="s">
        <v>75</v>
      </c>
      <c r="G2734" s="57" t="s">
        <v>40</v>
      </c>
      <c r="H2734" s="57" t="s">
        <v>43</v>
      </c>
      <c r="I2734" s="59" t="n">
        <v>1</v>
      </c>
      <c r="J2734" s="60" t="n">
        <v>29</v>
      </c>
      <c r="K2734" s="60" t="n">
        <v>9</v>
      </c>
      <c r="L2734" s="61" t="n">
        <f aca="false">I2734*J2734</f>
        <v>29</v>
      </c>
      <c r="M2734" s="61" t="n">
        <f aca="false">L2734-I2734*K2734</f>
        <v>20</v>
      </c>
      <c r="N2734" s="57" t="n">
        <f aca="false">IF(COUNTIFS(E$2:E2734,E2734,C$2:C2734,C2734)=1,1,0)</f>
        <v>0</v>
      </c>
      <c r="O2734" s="57" t="n">
        <f aca="false">IF(COUNTIFS(E$2:E2734,E2734,C$2:C2734,C2734,D$2:D2734,D2734)=1,1,0)</f>
        <v>1</v>
      </c>
      <c r="P2734" s="57" t="n">
        <f aca="false">IF(AND(C2734=Calc!$C$3,OR(Calc!$C$4=0,D2734=Calc!$C$4)),ROW(),0)</f>
        <v>2734</v>
      </c>
    </row>
    <row r="2735" customFormat="false" ht="15" hidden="false" customHeight="false" outlineLevel="0" collapsed="false">
      <c r="A2735" s="57" t="s">
        <v>3306</v>
      </c>
      <c r="B2735" s="58" t="n">
        <v>46001</v>
      </c>
      <c r="C2735" s="57" t="n">
        <f aca="false">YEAR(B2735)</f>
        <v>2025</v>
      </c>
      <c r="D2735" s="57" t="n">
        <f aca="false">MONTH(B2735)</f>
        <v>12</v>
      </c>
      <c r="E2735" s="57" t="s">
        <v>1602</v>
      </c>
      <c r="F2735" s="57" t="s">
        <v>81</v>
      </c>
      <c r="G2735" s="57" t="s">
        <v>35</v>
      </c>
      <c r="H2735" s="57" t="s">
        <v>37</v>
      </c>
      <c r="I2735" s="59" t="n">
        <v>1</v>
      </c>
      <c r="J2735" s="60" t="n">
        <v>59</v>
      </c>
      <c r="K2735" s="60" t="n">
        <v>27</v>
      </c>
      <c r="L2735" s="61" t="n">
        <f aca="false">I2735*J2735</f>
        <v>59</v>
      </c>
      <c r="M2735" s="61" t="n">
        <f aca="false">L2735-I2735*K2735</f>
        <v>32</v>
      </c>
      <c r="N2735" s="57" t="n">
        <f aca="false">IF(COUNTIFS(E$2:E2735,E2735,C$2:C2735,C2735)=1,1,0)</f>
        <v>0</v>
      </c>
      <c r="O2735" s="57" t="n">
        <f aca="false">IF(COUNTIFS(E$2:E2735,E2735,C$2:C2735,C2735,D$2:D2735,D2735)=1,1,0)</f>
        <v>1</v>
      </c>
      <c r="P2735" s="57" t="n">
        <f aca="false">IF(AND(C2735=Calc!$C$3,OR(Calc!$C$4=0,D2735=Calc!$C$4)),ROW(),0)</f>
        <v>2735</v>
      </c>
    </row>
    <row r="2736" customFormat="false" ht="15" hidden="false" customHeight="false" outlineLevel="0" collapsed="false">
      <c r="A2736" s="57" t="s">
        <v>3307</v>
      </c>
      <c r="B2736" s="58" t="n">
        <v>46002</v>
      </c>
      <c r="C2736" s="57" t="n">
        <f aca="false">YEAR(B2736)</f>
        <v>2025</v>
      </c>
      <c r="D2736" s="57" t="n">
        <f aca="false">MONTH(B2736)</f>
        <v>12</v>
      </c>
      <c r="E2736" s="57" t="s">
        <v>468</v>
      </c>
      <c r="F2736" s="57" t="s">
        <v>69</v>
      </c>
      <c r="G2736" s="57" t="s">
        <v>35</v>
      </c>
      <c r="H2736" s="57" t="s">
        <v>36</v>
      </c>
      <c r="I2736" s="59" t="n">
        <v>1</v>
      </c>
      <c r="J2736" s="60" t="n">
        <v>179</v>
      </c>
      <c r="K2736" s="60" t="n">
        <v>92</v>
      </c>
      <c r="L2736" s="61" t="n">
        <f aca="false">I2736*J2736</f>
        <v>179</v>
      </c>
      <c r="M2736" s="61" t="n">
        <f aca="false">L2736-I2736*K2736</f>
        <v>87</v>
      </c>
      <c r="N2736" s="57" t="n">
        <f aca="false">IF(COUNTIFS(E$2:E2736,E2736,C$2:C2736,C2736)=1,1,0)</f>
        <v>1</v>
      </c>
      <c r="O2736" s="57" t="n">
        <f aca="false">IF(COUNTIFS(E$2:E2736,E2736,C$2:C2736,C2736,D$2:D2736,D2736)=1,1,0)</f>
        <v>1</v>
      </c>
      <c r="P2736" s="57" t="n">
        <f aca="false">IF(AND(C2736=Calc!$C$3,OR(Calc!$C$4=0,D2736=Calc!$C$4)),ROW(),0)</f>
        <v>2736</v>
      </c>
    </row>
    <row r="2737" customFormat="false" ht="15" hidden="false" customHeight="false" outlineLevel="0" collapsed="false">
      <c r="A2737" s="57" t="s">
        <v>3308</v>
      </c>
      <c r="B2737" s="58" t="n">
        <v>46002</v>
      </c>
      <c r="C2737" s="57" t="n">
        <f aca="false">YEAR(B2737)</f>
        <v>2025</v>
      </c>
      <c r="D2737" s="57" t="n">
        <f aca="false">MONTH(B2737)</f>
        <v>12</v>
      </c>
      <c r="E2737" s="57" t="s">
        <v>265</v>
      </c>
      <c r="F2737" s="57" t="s">
        <v>78</v>
      </c>
      <c r="G2737" s="57" t="s">
        <v>45</v>
      </c>
      <c r="H2737" s="57" t="s">
        <v>48</v>
      </c>
      <c r="I2737" s="59" t="n">
        <v>1</v>
      </c>
      <c r="J2737" s="60" t="n">
        <v>99</v>
      </c>
      <c r="K2737" s="60" t="n">
        <v>38</v>
      </c>
      <c r="L2737" s="61" t="n">
        <f aca="false">I2737*J2737</f>
        <v>99</v>
      </c>
      <c r="M2737" s="61" t="n">
        <f aca="false">L2737-I2737*K2737</f>
        <v>61</v>
      </c>
      <c r="N2737" s="57" t="n">
        <f aca="false">IF(COUNTIFS(E$2:E2737,E2737,C$2:C2737,C2737)=1,1,0)</f>
        <v>0</v>
      </c>
      <c r="O2737" s="57" t="n">
        <f aca="false">IF(COUNTIFS(E$2:E2737,E2737,C$2:C2737,C2737,D$2:D2737,D2737)=1,1,0)</f>
        <v>0</v>
      </c>
      <c r="P2737" s="57" t="n">
        <f aca="false">IF(AND(C2737=Calc!$C$3,OR(Calc!$C$4=0,D2737=Calc!$C$4)),ROW(),0)</f>
        <v>2737</v>
      </c>
    </row>
    <row r="2738" customFormat="false" ht="15" hidden="false" customHeight="false" outlineLevel="0" collapsed="false">
      <c r="A2738" s="57" t="s">
        <v>3309</v>
      </c>
      <c r="B2738" s="58" t="n">
        <v>46002</v>
      </c>
      <c r="C2738" s="57" t="n">
        <f aca="false">YEAR(B2738)</f>
        <v>2025</v>
      </c>
      <c r="D2738" s="57" t="n">
        <f aca="false">MONTH(B2738)</f>
        <v>12</v>
      </c>
      <c r="E2738" s="57" t="s">
        <v>1493</v>
      </c>
      <c r="F2738" s="57" t="s">
        <v>69</v>
      </c>
      <c r="G2738" s="57" t="s">
        <v>54</v>
      </c>
      <c r="H2738" s="57" t="s">
        <v>56</v>
      </c>
      <c r="I2738" s="59" t="n">
        <v>1</v>
      </c>
      <c r="J2738" s="60" t="n">
        <v>42</v>
      </c>
      <c r="K2738" s="60" t="n">
        <v>17</v>
      </c>
      <c r="L2738" s="61" t="n">
        <f aca="false">I2738*J2738</f>
        <v>42</v>
      </c>
      <c r="M2738" s="61" t="n">
        <f aca="false">L2738-I2738*K2738</f>
        <v>25</v>
      </c>
      <c r="N2738" s="57" t="n">
        <f aca="false">IF(COUNTIFS(E$2:E2738,E2738,C$2:C2738,C2738)=1,1,0)</f>
        <v>0</v>
      </c>
      <c r="O2738" s="57" t="n">
        <f aca="false">IF(COUNTIFS(E$2:E2738,E2738,C$2:C2738,C2738,D$2:D2738,D2738)=1,1,0)</f>
        <v>1</v>
      </c>
      <c r="P2738" s="57" t="n">
        <f aca="false">IF(AND(C2738=Calc!$C$3,OR(Calc!$C$4=0,D2738=Calc!$C$4)),ROW(),0)</f>
        <v>2738</v>
      </c>
    </row>
    <row r="2739" customFormat="false" ht="15" hidden="false" customHeight="false" outlineLevel="0" collapsed="false">
      <c r="A2739" s="57" t="s">
        <v>3310</v>
      </c>
      <c r="B2739" s="58" t="n">
        <v>46002</v>
      </c>
      <c r="C2739" s="57" t="n">
        <f aca="false">YEAR(B2739)</f>
        <v>2025</v>
      </c>
      <c r="D2739" s="57" t="n">
        <f aca="false">MONTH(B2739)</f>
        <v>12</v>
      </c>
      <c r="E2739" s="57" t="s">
        <v>1523</v>
      </c>
      <c r="F2739" s="57" t="s">
        <v>69</v>
      </c>
      <c r="G2739" s="57" t="s">
        <v>50</v>
      </c>
      <c r="H2739" s="57" t="s">
        <v>51</v>
      </c>
      <c r="I2739" s="59" t="n">
        <v>1</v>
      </c>
      <c r="J2739" s="60" t="n">
        <v>69</v>
      </c>
      <c r="K2739" s="60" t="n">
        <v>29</v>
      </c>
      <c r="L2739" s="61" t="n">
        <f aca="false">I2739*J2739</f>
        <v>69</v>
      </c>
      <c r="M2739" s="61" t="n">
        <f aca="false">L2739-I2739*K2739</f>
        <v>40</v>
      </c>
      <c r="N2739" s="57" t="n">
        <f aca="false">IF(COUNTIFS(E$2:E2739,E2739,C$2:C2739,C2739)=1,1,0)</f>
        <v>0</v>
      </c>
      <c r="O2739" s="57" t="n">
        <f aca="false">IF(COUNTIFS(E$2:E2739,E2739,C$2:C2739,C2739,D$2:D2739,D2739)=1,1,0)</f>
        <v>1</v>
      </c>
      <c r="P2739" s="57" t="n">
        <f aca="false">IF(AND(C2739=Calc!$C$3,OR(Calc!$C$4=0,D2739=Calc!$C$4)),ROW(),0)</f>
        <v>2739</v>
      </c>
    </row>
    <row r="2740" customFormat="false" ht="15" hidden="false" customHeight="false" outlineLevel="0" collapsed="false">
      <c r="A2740" s="57" t="s">
        <v>3311</v>
      </c>
      <c r="B2740" s="58" t="n">
        <v>46002</v>
      </c>
      <c r="C2740" s="57" t="n">
        <f aca="false">YEAR(B2740)</f>
        <v>2025</v>
      </c>
      <c r="D2740" s="57" t="n">
        <f aca="false">MONTH(B2740)</f>
        <v>12</v>
      </c>
      <c r="E2740" s="57" t="s">
        <v>2597</v>
      </c>
      <c r="F2740" s="57" t="s">
        <v>81</v>
      </c>
      <c r="G2740" s="57" t="s">
        <v>45</v>
      </c>
      <c r="H2740" s="57" t="s">
        <v>46</v>
      </c>
      <c r="I2740" s="59" t="n">
        <v>1</v>
      </c>
      <c r="J2740" s="60" t="n">
        <v>149</v>
      </c>
      <c r="K2740" s="60" t="n">
        <v>71</v>
      </c>
      <c r="L2740" s="61" t="n">
        <f aca="false">I2740*J2740</f>
        <v>149</v>
      </c>
      <c r="M2740" s="61" t="n">
        <f aca="false">L2740-I2740*K2740</f>
        <v>78</v>
      </c>
      <c r="N2740" s="57" t="n">
        <f aca="false">IF(COUNTIFS(E$2:E2740,E2740,C$2:C2740,C2740)=1,1,0)</f>
        <v>0</v>
      </c>
      <c r="O2740" s="57" t="n">
        <f aca="false">IF(COUNTIFS(E$2:E2740,E2740,C$2:C2740,C2740,D$2:D2740,D2740)=1,1,0)</f>
        <v>1</v>
      </c>
      <c r="P2740" s="57" t="n">
        <f aca="false">IF(AND(C2740=Calc!$C$3,OR(Calc!$C$4=0,D2740=Calc!$C$4)),ROW(),0)</f>
        <v>2740</v>
      </c>
    </row>
    <row r="2741" customFormat="false" ht="15" hidden="false" customHeight="false" outlineLevel="0" collapsed="false">
      <c r="A2741" s="57" t="s">
        <v>3312</v>
      </c>
      <c r="B2741" s="58" t="n">
        <v>46002</v>
      </c>
      <c r="C2741" s="57" t="n">
        <f aca="false">YEAR(B2741)</f>
        <v>2025</v>
      </c>
      <c r="D2741" s="57" t="n">
        <f aca="false">MONTH(B2741)</f>
        <v>12</v>
      </c>
      <c r="E2741" s="57" t="s">
        <v>269</v>
      </c>
      <c r="F2741" s="57" t="s">
        <v>81</v>
      </c>
      <c r="G2741" s="57" t="s">
        <v>35</v>
      </c>
      <c r="H2741" s="57" t="s">
        <v>34</v>
      </c>
      <c r="I2741" s="59" t="n">
        <v>1</v>
      </c>
      <c r="J2741" s="60" t="n">
        <v>89</v>
      </c>
      <c r="K2741" s="60" t="n">
        <v>41</v>
      </c>
      <c r="L2741" s="61" t="n">
        <f aca="false">I2741*J2741</f>
        <v>89</v>
      </c>
      <c r="M2741" s="61" t="n">
        <f aca="false">L2741-I2741*K2741</f>
        <v>48</v>
      </c>
      <c r="N2741" s="57" t="n">
        <f aca="false">IF(COUNTIFS(E$2:E2741,E2741,C$2:C2741,C2741)=1,1,0)</f>
        <v>0</v>
      </c>
      <c r="O2741" s="57" t="n">
        <f aca="false">IF(COUNTIFS(E$2:E2741,E2741,C$2:C2741,C2741,D$2:D2741,D2741)=1,1,0)</f>
        <v>1</v>
      </c>
      <c r="P2741" s="57" t="n">
        <f aca="false">IF(AND(C2741=Calc!$C$3,OR(Calc!$C$4=0,D2741=Calc!$C$4)),ROW(),0)</f>
        <v>2741</v>
      </c>
    </row>
    <row r="2742" customFormat="false" ht="15" hidden="false" customHeight="false" outlineLevel="0" collapsed="false">
      <c r="A2742" s="57" t="s">
        <v>3313</v>
      </c>
      <c r="B2742" s="58" t="n">
        <v>46002</v>
      </c>
      <c r="C2742" s="57" t="n">
        <f aca="false">YEAR(B2742)</f>
        <v>2025</v>
      </c>
      <c r="D2742" s="57" t="n">
        <f aca="false">MONTH(B2742)</f>
        <v>12</v>
      </c>
      <c r="E2742" s="57" t="s">
        <v>235</v>
      </c>
      <c r="F2742" s="57" t="s">
        <v>69</v>
      </c>
      <c r="G2742" s="57" t="s">
        <v>45</v>
      </c>
      <c r="H2742" s="57" t="s">
        <v>44</v>
      </c>
      <c r="I2742" s="59" t="n">
        <v>1</v>
      </c>
      <c r="J2742" s="60" t="n">
        <v>119</v>
      </c>
      <c r="K2742" s="60" t="n">
        <v>63</v>
      </c>
      <c r="L2742" s="61" t="n">
        <f aca="false">I2742*J2742</f>
        <v>119</v>
      </c>
      <c r="M2742" s="61" t="n">
        <f aca="false">L2742-I2742*K2742</f>
        <v>56</v>
      </c>
      <c r="N2742" s="57" t="n">
        <f aca="false">IF(COUNTIFS(E$2:E2742,E2742,C$2:C2742,C2742)=1,1,0)</f>
        <v>0</v>
      </c>
      <c r="O2742" s="57" t="n">
        <f aca="false">IF(COUNTIFS(E$2:E2742,E2742,C$2:C2742,C2742,D$2:D2742,D2742)=1,1,0)</f>
        <v>0</v>
      </c>
      <c r="P2742" s="57" t="n">
        <f aca="false">IF(AND(C2742=Calc!$C$3,OR(Calc!$C$4=0,D2742=Calc!$C$4)),ROW(),0)</f>
        <v>2742</v>
      </c>
    </row>
    <row r="2743" customFormat="false" ht="15" hidden="false" customHeight="false" outlineLevel="0" collapsed="false">
      <c r="A2743" s="57" t="s">
        <v>3314</v>
      </c>
      <c r="B2743" s="58" t="n">
        <v>46003</v>
      </c>
      <c r="C2743" s="57" t="n">
        <f aca="false">YEAR(B2743)</f>
        <v>2025</v>
      </c>
      <c r="D2743" s="57" t="n">
        <f aca="false">MONTH(B2743)</f>
        <v>12</v>
      </c>
      <c r="E2743" s="57" t="s">
        <v>376</v>
      </c>
      <c r="F2743" s="57" t="s">
        <v>78</v>
      </c>
      <c r="G2743" s="57" t="s">
        <v>45</v>
      </c>
      <c r="H2743" s="57" t="s">
        <v>44</v>
      </c>
      <c r="I2743" s="59" t="n">
        <v>1</v>
      </c>
      <c r="J2743" s="60" t="n">
        <v>119</v>
      </c>
      <c r="K2743" s="60" t="n">
        <v>63</v>
      </c>
      <c r="L2743" s="61" t="n">
        <f aca="false">I2743*J2743</f>
        <v>119</v>
      </c>
      <c r="M2743" s="61" t="n">
        <f aca="false">L2743-I2743*K2743</f>
        <v>56</v>
      </c>
      <c r="N2743" s="57" t="n">
        <f aca="false">IF(COUNTIFS(E$2:E2743,E2743,C$2:C2743,C2743)=1,1,0)</f>
        <v>0</v>
      </c>
      <c r="O2743" s="57" t="n">
        <f aca="false">IF(COUNTIFS(E$2:E2743,E2743,C$2:C2743,C2743,D$2:D2743,D2743)=1,1,0)</f>
        <v>1</v>
      </c>
      <c r="P2743" s="57" t="n">
        <f aca="false">IF(AND(C2743=Calc!$C$3,OR(Calc!$C$4=0,D2743=Calc!$C$4)),ROW(),0)</f>
        <v>2743</v>
      </c>
    </row>
    <row r="2744" customFormat="false" ht="15" hidden="false" customHeight="false" outlineLevel="0" collapsed="false">
      <c r="A2744" s="57" t="s">
        <v>3315</v>
      </c>
      <c r="B2744" s="58" t="n">
        <v>46003</v>
      </c>
      <c r="C2744" s="57" t="n">
        <f aca="false">YEAR(B2744)</f>
        <v>2025</v>
      </c>
      <c r="D2744" s="57" t="n">
        <f aca="false">MONTH(B2744)</f>
        <v>12</v>
      </c>
      <c r="E2744" s="57" t="s">
        <v>523</v>
      </c>
      <c r="F2744" s="57" t="s">
        <v>69</v>
      </c>
      <c r="G2744" s="57" t="s">
        <v>35</v>
      </c>
      <c r="H2744" s="57" t="s">
        <v>38</v>
      </c>
      <c r="I2744" s="59" t="n">
        <v>1</v>
      </c>
      <c r="J2744" s="60" t="n">
        <v>49</v>
      </c>
      <c r="K2744" s="60" t="n">
        <v>22</v>
      </c>
      <c r="L2744" s="61" t="n">
        <f aca="false">I2744*J2744</f>
        <v>49</v>
      </c>
      <c r="M2744" s="61" t="n">
        <f aca="false">L2744-I2744*K2744</f>
        <v>27</v>
      </c>
      <c r="N2744" s="57" t="n">
        <f aca="false">IF(COUNTIFS(E$2:E2744,E2744,C$2:C2744,C2744)=1,1,0)</f>
        <v>0</v>
      </c>
      <c r="O2744" s="57" t="n">
        <f aca="false">IF(COUNTIFS(E$2:E2744,E2744,C$2:C2744,C2744,D$2:D2744,D2744)=1,1,0)</f>
        <v>1</v>
      </c>
      <c r="P2744" s="57" t="n">
        <f aca="false">IF(AND(C2744=Calc!$C$3,OR(Calc!$C$4=0,D2744=Calc!$C$4)),ROW(),0)</f>
        <v>2744</v>
      </c>
    </row>
    <row r="2745" customFormat="false" ht="15" hidden="false" customHeight="false" outlineLevel="0" collapsed="false">
      <c r="A2745" s="57" t="s">
        <v>3316</v>
      </c>
      <c r="B2745" s="58" t="n">
        <v>46003</v>
      </c>
      <c r="C2745" s="57" t="n">
        <f aca="false">YEAR(B2745)</f>
        <v>2025</v>
      </c>
      <c r="D2745" s="57" t="n">
        <f aca="false">MONTH(B2745)</f>
        <v>12</v>
      </c>
      <c r="E2745" s="57" t="s">
        <v>68</v>
      </c>
      <c r="F2745" s="57" t="s">
        <v>69</v>
      </c>
      <c r="G2745" s="57" t="s">
        <v>35</v>
      </c>
      <c r="H2745" s="57" t="s">
        <v>37</v>
      </c>
      <c r="I2745" s="59" t="n">
        <v>1</v>
      </c>
      <c r="J2745" s="60" t="n">
        <v>59</v>
      </c>
      <c r="K2745" s="60" t="n">
        <v>27</v>
      </c>
      <c r="L2745" s="61" t="n">
        <f aca="false">I2745*J2745</f>
        <v>59</v>
      </c>
      <c r="M2745" s="61" t="n">
        <f aca="false">L2745-I2745*K2745</f>
        <v>32</v>
      </c>
      <c r="N2745" s="57" t="n">
        <f aca="false">IF(COUNTIFS(E$2:E2745,E2745,C$2:C2745,C2745)=1,1,0)</f>
        <v>0</v>
      </c>
      <c r="O2745" s="57" t="n">
        <f aca="false">IF(COUNTIFS(E$2:E2745,E2745,C$2:C2745,C2745,D$2:D2745,D2745)=1,1,0)</f>
        <v>1</v>
      </c>
      <c r="P2745" s="57" t="n">
        <f aca="false">IF(AND(C2745=Calc!$C$3,OR(Calc!$C$4=0,D2745=Calc!$C$4)),ROW(),0)</f>
        <v>2745</v>
      </c>
    </row>
    <row r="2746" customFormat="false" ht="15" hidden="false" customHeight="false" outlineLevel="0" collapsed="false">
      <c r="A2746" s="57" t="s">
        <v>3317</v>
      </c>
      <c r="B2746" s="58" t="n">
        <v>46003</v>
      </c>
      <c r="C2746" s="57" t="n">
        <f aca="false">YEAR(B2746)</f>
        <v>2025</v>
      </c>
      <c r="D2746" s="57" t="n">
        <f aca="false">MONTH(B2746)</f>
        <v>12</v>
      </c>
      <c r="E2746" s="57" t="s">
        <v>125</v>
      </c>
      <c r="F2746" s="57" t="s">
        <v>69</v>
      </c>
      <c r="G2746" s="57" t="s">
        <v>45</v>
      </c>
      <c r="H2746" s="57" t="s">
        <v>47</v>
      </c>
      <c r="I2746" s="59" t="n">
        <v>3</v>
      </c>
      <c r="J2746" s="60" t="n">
        <v>34</v>
      </c>
      <c r="K2746" s="60" t="n">
        <v>12</v>
      </c>
      <c r="L2746" s="61" t="n">
        <f aca="false">I2746*J2746</f>
        <v>102</v>
      </c>
      <c r="M2746" s="61" t="n">
        <f aca="false">L2746-I2746*K2746</f>
        <v>66</v>
      </c>
      <c r="N2746" s="57" t="n">
        <f aca="false">IF(COUNTIFS(E$2:E2746,E2746,C$2:C2746,C2746)=1,1,0)</f>
        <v>0</v>
      </c>
      <c r="O2746" s="57" t="n">
        <f aca="false">IF(COUNTIFS(E$2:E2746,E2746,C$2:C2746,C2746,D$2:D2746,D2746)=1,1,0)</f>
        <v>0</v>
      </c>
      <c r="P2746" s="57" t="n">
        <f aca="false">IF(AND(C2746=Calc!$C$3,OR(Calc!$C$4=0,D2746=Calc!$C$4)),ROW(),0)</f>
        <v>2746</v>
      </c>
    </row>
    <row r="2747" customFormat="false" ht="15" hidden="false" customHeight="false" outlineLevel="0" collapsed="false">
      <c r="A2747" s="57" t="s">
        <v>3318</v>
      </c>
      <c r="B2747" s="58" t="n">
        <v>46003</v>
      </c>
      <c r="C2747" s="57" t="n">
        <f aca="false">YEAR(B2747)</f>
        <v>2025</v>
      </c>
      <c r="D2747" s="57" t="n">
        <f aca="false">MONTH(B2747)</f>
        <v>12</v>
      </c>
      <c r="E2747" s="57" t="s">
        <v>395</v>
      </c>
      <c r="F2747" s="57" t="s">
        <v>69</v>
      </c>
      <c r="G2747" s="57" t="s">
        <v>40</v>
      </c>
      <c r="H2747" s="57" t="s">
        <v>41</v>
      </c>
      <c r="I2747" s="59" t="n">
        <v>1</v>
      </c>
      <c r="J2747" s="60" t="n">
        <v>46</v>
      </c>
      <c r="K2747" s="60" t="n">
        <v>16</v>
      </c>
      <c r="L2747" s="61" t="n">
        <f aca="false">I2747*J2747</f>
        <v>46</v>
      </c>
      <c r="M2747" s="61" t="n">
        <f aca="false">L2747-I2747*K2747</f>
        <v>30</v>
      </c>
      <c r="N2747" s="57" t="n">
        <f aca="false">IF(COUNTIFS(E$2:E2747,E2747,C$2:C2747,C2747)=1,1,0)</f>
        <v>0</v>
      </c>
      <c r="O2747" s="57" t="n">
        <f aca="false">IF(COUNTIFS(E$2:E2747,E2747,C$2:C2747,C2747,D$2:D2747,D2747)=1,1,0)</f>
        <v>1</v>
      </c>
      <c r="P2747" s="57" t="n">
        <f aca="false">IF(AND(C2747=Calc!$C$3,OR(Calc!$C$4=0,D2747=Calc!$C$4)),ROW(),0)</f>
        <v>2747</v>
      </c>
    </row>
    <row r="2748" customFormat="false" ht="15" hidden="false" customHeight="false" outlineLevel="0" collapsed="false">
      <c r="A2748" s="57" t="s">
        <v>3319</v>
      </c>
      <c r="B2748" s="58" t="n">
        <v>46003</v>
      </c>
      <c r="C2748" s="57" t="n">
        <f aca="false">YEAR(B2748)</f>
        <v>2025</v>
      </c>
      <c r="D2748" s="57" t="n">
        <f aca="false">MONTH(B2748)</f>
        <v>12</v>
      </c>
      <c r="E2748" s="57" t="s">
        <v>611</v>
      </c>
      <c r="F2748" s="57" t="s">
        <v>78</v>
      </c>
      <c r="G2748" s="57" t="s">
        <v>35</v>
      </c>
      <c r="H2748" s="57" t="s">
        <v>37</v>
      </c>
      <c r="I2748" s="59" t="n">
        <v>3</v>
      </c>
      <c r="J2748" s="60" t="n">
        <v>59</v>
      </c>
      <c r="K2748" s="60" t="n">
        <v>27</v>
      </c>
      <c r="L2748" s="61" t="n">
        <f aca="false">I2748*J2748</f>
        <v>177</v>
      </c>
      <c r="M2748" s="61" t="n">
        <f aca="false">L2748-I2748*K2748</f>
        <v>96</v>
      </c>
      <c r="N2748" s="57" t="n">
        <f aca="false">IF(COUNTIFS(E$2:E2748,E2748,C$2:C2748,C2748)=1,1,0)</f>
        <v>0</v>
      </c>
      <c r="O2748" s="57" t="n">
        <f aca="false">IF(COUNTIFS(E$2:E2748,E2748,C$2:C2748,C2748,D$2:D2748,D2748)=1,1,0)</f>
        <v>1</v>
      </c>
      <c r="P2748" s="57" t="n">
        <f aca="false">IF(AND(C2748=Calc!$C$3,OR(Calc!$C$4=0,D2748=Calc!$C$4)),ROW(),0)</f>
        <v>2748</v>
      </c>
    </row>
    <row r="2749" customFormat="false" ht="15" hidden="false" customHeight="false" outlineLevel="0" collapsed="false">
      <c r="A2749" s="57" t="s">
        <v>3320</v>
      </c>
      <c r="B2749" s="58" t="n">
        <v>46003</v>
      </c>
      <c r="C2749" s="57" t="n">
        <f aca="false">YEAR(B2749)</f>
        <v>2025</v>
      </c>
      <c r="D2749" s="57" t="n">
        <f aca="false">MONTH(B2749)</f>
        <v>12</v>
      </c>
      <c r="E2749" s="57" t="s">
        <v>691</v>
      </c>
      <c r="F2749" s="57" t="s">
        <v>69</v>
      </c>
      <c r="G2749" s="57" t="s">
        <v>35</v>
      </c>
      <c r="H2749" s="57" t="s">
        <v>37</v>
      </c>
      <c r="I2749" s="59" t="n">
        <v>2</v>
      </c>
      <c r="J2749" s="60" t="n">
        <v>59</v>
      </c>
      <c r="K2749" s="60" t="n">
        <v>27</v>
      </c>
      <c r="L2749" s="61" t="n">
        <f aca="false">I2749*J2749</f>
        <v>118</v>
      </c>
      <c r="M2749" s="61" t="n">
        <f aca="false">L2749-I2749*K2749</f>
        <v>64</v>
      </c>
      <c r="N2749" s="57" t="n">
        <f aca="false">IF(COUNTIFS(E$2:E2749,E2749,C$2:C2749,C2749)=1,1,0)</f>
        <v>0</v>
      </c>
      <c r="O2749" s="57" t="n">
        <f aca="false">IF(COUNTIFS(E$2:E2749,E2749,C$2:C2749,C2749,D$2:D2749,D2749)=1,1,0)</f>
        <v>1</v>
      </c>
      <c r="P2749" s="57" t="n">
        <f aca="false">IF(AND(C2749=Calc!$C$3,OR(Calc!$C$4=0,D2749=Calc!$C$4)),ROW(),0)</f>
        <v>2749</v>
      </c>
    </row>
    <row r="2750" customFormat="false" ht="15" hidden="false" customHeight="false" outlineLevel="0" collapsed="false">
      <c r="A2750" s="57" t="s">
        <v>3321</v>
      </c>
      <c r="B2750" s="58" t="n">
        <v>46004</v>
      </c>
      <c r="C2750" s="57" t="n">
        <f aca="false">YEAR(B2750)</f>
        <v>2025</v>
      </c>
      <c r="D2750" s="57" t="n">
        <f aca="false">MONTH(B2750)</f>
        <v>12</v>
      </c>
      <c r="E2750" s="57" t="s">
        <v>2102</v>
      </c>
      <c r="F2750" s="57" t="s">
        <v>78</v>
      </c>
      <c r="G2750" s="57" t="s">
        <v>35</v>
      </c>
      <c r="H2750" s="57" t="s">
        <v>36</v>
      </c>
      <c r="I2750" s="59" t="n">
        <v>1</v>
      </c>
      <c r="J2750" s="60" t="n">
        <v>179</v>
      </c>
      <c r="K2750" s="60" t="n">
        <v>92</v>
      </c>
      <c r="L2750" s="61" t="n">
        <f aca="false">I2750*J2750</f>
        <v>179</v>
      </c>
      <c r="M2750" s="61" t="n">
        <f aca="false">L2750-I2750*K2750</f>
        <v>87</v>
      </c>
      <c r="N2750" s="57" t="n">
        <f aca="false">IF(COUNTIFS(E$2:E2750,E2750,C$2:C2750,C2750)=1,1,0)</f>
        <v>0</v>
      </c>
      <c r="O2750" s="57" t="n">
        <f aca="false">IF(COUNTIFS(E$2:E2750,E2750,C$2:C2750,C2750,D$2:D2750,D2750)=1,1,0)</f>
        <v>1</v>
      </c>
      <c r="P2750" s="57" t="n">
        <f aca="false">IF(AND(C2750=Calc!$C$3,OR(Calc!$C$4=0,D2750=Calc!$C$4)),ROW(),0)</f>
        <v>2750</v>
      </c>
    </row>
    <row r="2751" customFormat="false" ht="15" hidden="false" customHeight="false" outlineLevel="0" collapsed="false">
      <c r="A2751" s="57" t="s">
        <v>3322</v>
      </c>
      <c r="B2751" s="58" t="n">
        <v>46004</v>
      </c>
      <c r="C2751" s="57" t="n">
        <f aca="false">YEAR(B2751)</f>
        <v>2025</v>
      </c>
      <c r="D2751" s="57" t="n">
        <f aca="false">MONTH(B2751)</f>
        <v>12</v>
      </c>
      <c r="E2751" s="57" t="s">
        <v>564</v>
      </c>
      <c r="F2751" s="57" t="s">
        <v>78</v>
      </c>
      <c r="G2751" s="57" t="s">
        <v>40</v>
      </c>
      <c r="H2751" s="57" t="s">
        <v>43</v>
      </c>
      <c r="I2751" s="59" t="n">
        <v>2</v>
      </c>
      <c r="J2751" s="60" t="n">
        <v>29</v>
      </c>
      <c r="K2751" s="60" t="n">
        <v>9</v>
      </c>
      <c r="L2751" s="61" t="n">
        <f aca="false">I2751*J2751</f>
        <v>58</v>
      </c>
      <c r="M2751" s="61" t="n">
        <f aca="false">L2751-I2751*K2751</f>
        <v>40</v>
      </c>
      <c r="N2751" s="57" t="n">
        <f aca="false">IF(COUNTIFS(E$2:E2751,E2751,C$2:C2751,C2751)=1,1,0)</f>
        <v>1</v>
      </c>
      <c r="O2751" s="57" t="n">
        <f aca="false">IF(COUNTIFS(E$2:E2751,E2751,C$2:C2751,C2751,D$2:D2751,D2751)=1,1,0)</f>
        <v>1</v>
      </c>
      <c r="P2751" s="57" t="n">
        <f aca="false">IF(AND(C2751=Calc!$C$3,OR(Calc!$C$4=0,D2751=Calc!$C$4)),ROW(),0)</f>
        <v>2751</v>
      </c>
    </row>
    <row r="2752" customFormat="false" ht="15" hidden="false" customHeight="false" outlineLevel="0" collapsed="false">
      <c r="A2752" s="57" t="s">
        <v>3323</v>
      </c>
      <c r="B2752" s="58" t="n">
        <v>46004</v>
      </c>
      <c r="C2752" s="57" t="n">
        <f aca="false">YEAR(B2752)</f>
        <v>2025</v>
      </c>
      <c r="D2752" s="57" t="n">
        <f aca="false">MONTH(B2752)</f>
        <v>12</v>
      </c>
      <c r="E2752" s="57" t="s">
        <v>85</v>
      </c>
      <c r="F2752" s="57" t="s">
        <v>69</v>
      </c>
      <c r="G2752" s="57" t="s">
        <v>50</v>
      </c>
      <c r="H2752" s="57" t="s">
        <v>52</v>
      </c>
      <c r="I2752" s="59" t="n">
        <v>2</v>
      </c>
      <c r="J2752" s="60" t="n">
        <v>45</v>
      </c>
      <c r="K2752" s="60" t="n">
        <v>14</v>
      </c>
      <c r="L2752" s="61" t="n">
        <f aca="false">I2752*J2752</f>
        <v>90</v>
      </c>
      <c r="M2752" s="61" t="n">
        <f aca="false">L2752-I2752*K2752</f>
        <v>62</v>
      </c>
      <c r="N2752" s="57" t="n">
        <f aca="false">IF(COUNTIFS(E$2:E2752,E2752,C$2:C2752,C2752)=1,1,0)</f>
        <v>0</v>
      </c>
      <c r="O2752" s="57" t="n">
        <f aca="false">IF(COUNTIFS(E$2:E2752,E2752,C$2:C2752,C2752,D$2:D2752,D2752)=1,1,0)</f>
        <v>1</v>
      </c>
      <c r="P2752" s="57" t="n">
        <f aca="false">IF(AND(C2752=Calc!$C$3,OR(Calc!$C$4=0,D2752=Calc!$C$4)),ROW(),0)</f>
        <v>2752</v>
      </c>
    </row>
    <row r="2753" customFormat="false" ht="15" hidden="false" customHeight="false" outlineLevel="0" collapsed="false">
      <c r="A2753" s="57" t="s">
        <v>3324</v>
      </c>
      <c r="B2753" s="58" t="n">
        <v>46004</v>
      </c>
      <c r="C2753" s="57" t="n">
        <f aca="false">YEAR(B2753)</f>
        <v>2025</v>
      </c>
      <c r="D2753" s="57" t="n">
        <f aca="false">MONTH(B2753)</f>
        <v>12</v>
      </c>
      <c r="E2753" s="57" t="s">
        <v>1872</v>
      </c>
      <c r="F2753" s="57" t="s">
        <v>69</v>
      </c>
      <c r="G2753" s="57" t="s">
        <v>35</v>
      </c>
      <c r="H2753" s="57" t="s">
        <v>37</v>
      </c>
      <c r="I2753" s="59" t="n">
        <v>1</v>
      </c>
      <c r="J2753" s="60" t="n">
        <v>59</v>
      </c>
      <c r="K2753" s="60" t="n">
        <v>27</v>
      </c>
      <c r="L2753" s="61" t="n">
        <f aca="false">I2753*J2753</f>
        <v>59</v>
      </c>
      <c r="M2753" s="61" t="n">
        <f aca="false">L2753-I2753*K2753</f>
        <v>32</v>
      </c>
      <c r="N2753" s="57" t="n">
        <f aca="false">IF(COUNTIFS(E$2:E2753,E2753,C$2:C2753,C2753)=1,1,0)</f>
        <v>0</v>
      </c>
      <c r="O2753" s="57" t="n">
        <f aca="false">IF(COUNTIFS(E$2:E2753,E2753,C$2:C2753,C2753,D$2:D2753,D2753)=1,1,0)</f>
        <v>1</v>
      </c>
      <c r="P2753" s="57" t="n">
        <f aca="false">IF(AND(C2753=Calc!$C$3,OR(Calc!$C$4=0,D2753=Calc!$C$4)),ROW(),0)</f>
        <v>2753</v>
      </c>
    </row>
    <row r="2754" customFormat="false" ht="15" hidden="false" customHeight="false" outlineLevel="0" collapsed="false">
      <c r="A2754" s="57" t="s">
        <v>3325</v>
      </c>
      <c r="B2754" s="58" t="n">
        <v>46004</v>
      </c>
      <c r="C2754" s="57" t="n">
        <f aca="false">YEAR(B2754)</f>
        <v>2025</v>
      </c>
      <c r="D2754" s="57" t="n">
        <f aca="false">MONTH(B2754)</f>
        <v>12</v>
      </c>
      <c r="E2754" s="57" t="s">
        <v>2570</v>
      </c>
      <c r="F2754" s="57" t="s">
        <v>78</v>
      </c>
      <c r="G2754" s="57" t="s">
        <v>50</v>
      </c>
      <c r="H2754" s="57" t="s">
        <v>51</v>
      </c>
      <c r="I2754" s="59" t="n">
        <v>1</v>
      </c>
      <c r="J2754" s="60" t="n">
        <v>69</v>
      </c>
      <c r="K2754" s="60" t="n">
        <v>29</v>
      </c>
      <c r="L2754" s="61" t="n">
        <f aca="false">I2754*J2754</f>
        <v>69</v>
      </c>
      <c r="M2754" s="61" t="n">
        <f aca="false">L2754-I2754*K2754</f>
        <v>40</v>
      </c>
      <c r="N2754" s="57" t="n">
        <f aca="false">IF(COUNTIFS(E$2:E2754,E2754,C$2:C2754,C2754)=1,1,0)</f>
        <v>0</v>
      </c>
      <c r="O2754" s="57" t="n">
        <f aca="false">IF(COUNTIFS(E$2:E2754,E2754,C$2:C2754,C2754,D$2:D2754,D2754)=1,1,0)</f>
        <v>1</v>
      </c>
      <c r="P2754" s="57" t="n">
        <f aca="false">IF(AND(C2754=Calc!$C$3,OR(Calc!$C$4=0,D2754=Calc!$C$4)),ROW(),0)</f>
        <v>2754</v>
      </c>
    </row>
    <row r="2755" customFormat="false" ht="15" hidden="false" customHeight="false" outlineLevel="0" collapsed="false">
      <c r="A2755" s="57" t="s">
        <v>3326</v>
      </c>
      <c r="B2755" s="58" t="n">
        <v>46004</v>
      </c>
      <c r="C2755" s="57" t="n">
        <f aca="false">YEAR(B2755)</f>
        <v>2025</v>
      </c>
      <c r="D2755" s="57" t="n">
        <f aca="false">MONTH(B2755)</f>
        <v>12</v>
      </c>
      <c r="E2755" s="57" t="s">
        <v>2003</v>
      </c>
      <c r="F2755" s="57" t="s">
        <v>78</v>
      </c>
      <c r="G2755" s="57" t="s">
        <v>40</v>
      </c>
      <c r="H2755" s="57" t="s">
        <v>43</v>
      </c>
      <c r="I2755" s="59" t="n">
        <v>2</v>
      </c>
      <c r="J2755" s="60" t="n">
        <v>29</v>
      </c>
      <c r="K2755" s="60" t="n">
        <v>9</v>
      </c>
      <c r="L2755" s="61" t="n">
        <f aca="false">I2755*J2755</f>
        <v>58</v>
      </c>
      <c r="M2755" s="61" t="n">
        <f aca="false">L2755-I2755*K2755</f>
        <v>40</v>
      </c>
      <c r="N2755" s="57" t="n">
        <f aca="false">IF(COUNTIFS(E$2:E2755,E2755,C$2:C2755,C2755)=1,1,0)</f>
        <v>0</v>
      </c>
      <c r="O2755" s="57" t="n">
        <f aca="false">IF(COUNTIFS(E$2:E2755,E2755,C$2:C2755,C2755,D$2:D2755,D2755)=1,1,0)</f>
        <v>1</v>
      </c>
      <c r="P2755" s="57" t="n">
        <f aca="false">IF(AND(C2755=Calc!$C$3,OR(Calc!$C$4=0,D2755=Calc!$C$4)),ROW(),0)</f>
        <v>2755</v>
      </c>
    </row>
    <row r="2756" customFormat="false" ht="15" hidden="false" customHeight="false" outlineLevel="0" collapsed="false">
      <c r="A2756" s="57" t="s">
        <v>3327</v>
      </c>
      <c r="B2756" s="58" t="n">
        <v>46005</v>
      </c>
      <c r="C2756" s="57" t="n">
        <f aca="false">YEAR(B2756)</f>
        <v>2025</v>
      </c>
      <c r="D2756" s="57" t="n">
        <f aca="false">MONTH(B2756)</f>
        <v>12</v>
      </c>
      <c r="E2756" s="57" t="s">
        <v>235</v>
      </c>
      <c r="F2756" s="57" t="s">
        <v>69</v>
      </c>
      <c r="G2756" s="57" t="s">
        <v>40</v>
      </c>
      <c r="H2756" s="57" t="s">
        <v>41</v>
      </c>
      <c r="I2756" s="59" t="n">
        <v>1</v>
      </c>
      <c r="J2756" s="60" t="n">
        <v>46</v>
      </c>
      <c r="K2756" s="60" t="n">
        <v>16</v>
      </c>
      <c r="L2756" s="61" t="n">
        <f aca="false">I2756*J2756</f>
        <v>46</v>
      </c>
      <c r="M2756" s="61" t="n">
        <f aca="false">L2756-I2756*K2756</f>
        <v>30</v>
      </c>
      <c r="N2756" s="57" t="n">
        <f aca="false">IF(COUNTIFS(E$2:E2756,E2756,C$2:C2756,C2756)=1,1,0)</f>
        <v>0</v>
      </c>
      <c r="O2756" s="57" t="n">
        <f aca="false">IF(COUNTIFS(E$2:E2756,E2756,C$2:C2756,C2756,D$2:D2756,D2756)=1,1,0)</f>
        <v>0</v>
      </c>
      <c r="P2756" s="57" t="n">
        <f aca="false">IF(AND(C2756=Calc!$C$3,OR(Calc!$C$4=0,D2756=Calc!$C$4)),ROW(),0)</f>
        <v>2756</v>
      </c>
    </row>
    <row r="2757" customFormat="false" ht="15" hidden="false" customHeight="false" outlineLevel="0" collapsed="false">
      <c r="A2757" s="57" t="s">
        <v>3328</v>
      </c>
      <c r="B2757" s="58" t="n">
        <v>46005</v>
      </c>
      <c r="C2757" s="57" t="n">
        <f aca="false">YEAR(B2757)</f>
        <v>2025</v>
      </c>
      <c r="D2757" s="57" t="n">
        <f aca="false">MONTH(B2757)</f>
        <v>12</v>
      </c>
      <c r="E2757" s="57" t="s">
        <v>213</v>
      </c>
      <c r="F2757" s="57" t="s">
        <v>78</v>
      </c>
      <c r="G2757" s="57" t="s">
        <v>35</v>
      </c>
      <c r="H2757" s="57" t="s">
        <v>38</v>
      </c>
      <c r="I2757" s="59" t="n">
        <v>1</v>
      </c>
      <c r="J2757" s="60" t="n">
        <v>49</v>
      </c>
      <c r="K2757" s="60" t="n">
        <v>22</v>
      </c>
      <c r="L2757" s="61" t="n">
        <f aca="false">I2757*J2757</f>
        <v>49</v>
      </c>
      <c r="M2757" s="61" t="n">
        <f aca="false">L2757-I2757*K2757</f>
        <v>27</v>
      </c>
      <c r="N2757" s="57" t="n">
        <f aca="false">IF(COUNTIFS(E$2:E2757,E2757,C$2:C2757,C2757)=1,1,0)</f>
        <v>0</v>
      </c>
      <c r="O2757" s="57" t="n">
        <f aca="false">IF(COUNTIFS(E$2:E2757,E2757,C$2:C2757,C2757,D$2:D2757,D2757)=1,1,0)</f>
        <v>1</v>
      </c>
      <c r="P2757" s="57" t="n">
        <f aca="false">IF(AND(C2757=Calc!$C$3,OR(Calc!$C$4=0,D2757=Calc!$C$4)),ROW(),0)</f>
        <v>2757</v>
      </c>
    </row>
    <row r="2758" customFormat="false" ht="15" hidden="false" customHeight="false" outlineLevel="0" collapsed="false">
      <c r="A2758" s="57" t="s">
        <v>3329</v>
      </c>
      <c r="B2758" s="58" t="n">
        <v>46005</v>
      </c>
      <c r="C2758" s="57" t="n">
        <f aca="false">YEAR(B2758)</f>
        <v>2025</v>
      </c>
      <c r="D2758" s="57" t="n">
        <f aca="false">MONTH(B2758)</f>
        <v>12</v>
      </c>
      <c r="E2758" s="57" t="s">
        <v>852</v>
      </c>
      <c r="F2758" s="57" t="s">
        <v>81</v>
      </c>
      <c r="G2758" s="57" t="s">
        <v>35</v>
      </c>
      <c r="H2758" s="57" t="s">
        <v>38</v>
      </c>
      <c r="I2758" s="59" t="n">
        <v>1</v>
      </c>
      <c r="J2758" s="60" t="n">
        <v>49</v>
      </c>
      <c r="K2758" s="60" t="n">
        <v>22</v>
      </c>
      <c r="L2758" s="61" t="n">
        <f aca="false">I2758*J2758</f>
        <v>49</v>
      </c>
      <c r="M2758" s="61" t="n">
        <f aca="false">L2758-I2758*K2758</f>
        <v>27</v>
      </c>
      <c r="N2758" s="57" t="n">
        <f aca="false">IF(COUNTIFS(E$2:E2758,E2758,C$2:C2758,C2758)=1,1,0)</f>
        <v>1</v>
      </c>
      <c r="O2758" s="57" t="n">
        <f aca="false">IF(COUNTIFS(E$2:E2758,E2758,C$2:C2758,C2758,D$2:D2758,D2758)=1,1,0)</f>
        <v>1</v>
      </c>
      <c r="P2758" s="57" t="n">
        <f aca="false">IF(AND(C2758=Calc!$C$3,OR(Calc!$C$4=0,D2758=Calc!$C$4)),ROW(),0)</f>
        <v>2758</v>
      </c>
    </row>
    <row r="2759" customFormat="false" ht="15" hidden="false" customHeight="false" outlineLevel="0" collapsed="false">
      <c r="A2759" s="57" t="s">
        <v>3330</v>
      </c>
      <c r="B2759" s="58" t="n">
        <v>46005</v>
      </c>
      <c r="C2759" s="57" t="n">
        <f aca="false">YEAR(B2759)</f>
        <v>2025</v>
      </c>
      <c r="D2759" s="57" t="n">
        <f aca="false">MONTH(B2759)</f>
        <v>12</v>
      </c>
      <c r="E2759" s="57" t="s">
        <v>191</v>
      </c>
      <c r="F2759" s="57" t="s">
        <v>78</v>
      </c>
      <c r="G2759" s="57" t="s">
        <v>45</v>
      </c>
      <c r="H2759" s="57" t="s">
        <v>44</v>
      </c>
      <c r="I2759" s="59" t="n">
        <v>1</v>
      </c>
      <c r="J2759" s="60" t="n">
        <v>119</v>
      </c>
      <c r="K2759" s="60" t="n">
        <v>63</v>
      </c>
      <c r="L2759" s="61" t="n">
        <f aca="false">I2759*J2759</f>
        <v>119</v>
      </c>
      <c r="M2759" s="61" t="n">
        <f aca="false">L2759-I2759*K2759</f>
        <v>56</v>
      </c>
      <c r="N2759" s="57" t="n">
        <f aca="false">IF(COUNTIFS(E$2:E2759,E2759,C$2:C2759,C2759)=1,1,0)</f>
        <v>0</v>
      </c>
      <c r="O2759" s="57" t="n">
        <f aca="false">IF(COUNTIFS(E$2:E2759,E2759,C$2:C2759,C2759,D$2:D2759,D2759)=1,1,0)</f>
        <v>1</v>
      </c>
      <c r="P2759" s="57" t="n">
        <f aca="false">IF(AND(C2759=Calc!$C$3,OR(Calc!$C$4=0,D2759=Calc!$C$4)),ROW(),0)</f>
        <v>2759</v>
      </c>
    </row>
    <row r="2760" customFormat="false" ht="15" hidden="false" customHeight="false" outlineLevel="0" collapsed="false">
      <c r="A2760" s="57" t="s">
        <v>3331</v>
      </c>
      <c r="B2760" s="58" t="n">
        <v>46005</v>
      </c>
      <c r="C2760" s="57" t="n">
        <f aca="false">YEAR(B2760)</f>
        <v>2025</v>
      </c>
      <c r="D2760" s="57" t="n">
        <f aca="false">MONTH(B2760)</f>
        <v>12</v>
      </c>
      <c r="E2760" s="57" t="s">
        <v>77</v>
      </c>
      <c r="F2760" s="57" t="s">
        <v>78</v>
      </c>
      <c r="G2760" s="57" t="s">
        <v>40</v>
      </c>
      <c r="H2760" s="57" t="s">
        <v>42</v>
      </c>
      <c r="I2760" s="59" t="n">
        <v>1</v>
      </c>
      <c r="J2760" s="60" t="n">
        <v>79</v>
      </c>
      <c r="K2760" s="60" t="n">
        <v>31</v>
      </c>
      <c r="L2760" s="61" t="n">
        <f aca="false">I2760*J2760</f>
        <v>79</v>
      </c>
      <c r="M2760" s="61" t="n">
        <f aca="false">L2760-I2760*K2760</f>
        <v>48</v>
      </c>
      <c r="N2760" s="57" t="n">
        <f aca="false">IF(COUNTIFS(E$2:E2760,E2760,C$2:C2760,C2760)=1,1,0)</f>
        <v>0</v>
      </c>
      <c r="O2760" s="57" t="n">
        <f aca="false">IF(COUNTIFS(E$2:E2760,E2760,C$2:C2760,C2760,D$2:D2760,D2760)=1,1,0)</f>
        <v>1</v>
      </c>
      <c r="P2760" s="57" t="n">
        <f aca="false">IF(AND(C2760=Calc!$C$3,OR(Calc!$C$4=0,D2760=Calc!$C$4)),ROW(),0)</f>
        <v>2760</v>
      </c>
    </row>
    <row r="2761" customFormat="false" ht="15" hidden="false" customHeight="false" outlineLevel="0" collapsed="false">
      <c r="A2761" s="57" t="s">
        <v>3332</v>
      </c>
      <c r="B2761" s="58" t="n">
        <v>46006</v>
      </c>
      <c r="C2761" s="57" t="n">
        <f aca="false">YEAR(B2761)</f>
        <v>2025</v>
      </c>
      <c r="D2761" s="57" t="n">
        <f aca="false">MONTH(B2761)</f>
        <v>12</v>
      </c>
      <c r="E2761" s="57" t="s">
        <v>448</v>
      </c>
      <c r="F2761" s="57" t="s">
        <v>69</v>
      </c>
      <c r="G2761" s="57" t="s">
        <v>45</v>
      </c>
      <c r="H2761" s="57" t="s">
        <v>44</v>
      </c>
      <c r="I2761" s="59" t="n">
        <v>3</v>
      </c>
      <c r="J2761" s="60" t="n">
        <v>119</v>
      </c>
      <c r="K2761" s="60" t="n">
        <v>63</v>
      </c>
      <c r="L2761" s="61" t="n">
        <f aca="false">I2761*J2761</f>
        <v>357</v>
      </c>
      <c r="M2761" s="61" t="n">
        <f aca="false">L2761-I2761*K2761</f>
        <v>168</v>
      </c>
      <c r="N2761" s="57" t="n">
        <f aca="false">IF(COUNTIFS(E$2:E2761,E2761,C$2:C2761,C2761)=1,1,0)</f>
        <v>0</v>
      </c>
      <c r="O2761" s="57" t="n">
        <f aca="false">IF(COUNTIFS(E$2:E2761,E2761,C$2:C2761,C2761,D$2:D2761,D2761)=1,1,0)</f>
        <v>1</v>
      </c>
      <c r="P2761" s="57" t="n">
        <f aca="false">IF(AND(C2761=Calc!$C$3,OR(Calc!$C$4=0,D2761=Calc!$C$4)),ROW(),0)</f>
        <v>2761</v>
      </c>
    </row>
    <row r="2762" customFormat="false" ht="15" hidden="false" customHeight="false" outlineLevel="0" collapsed="false">
      <c r="A2762" s="57" t="s">
        <v>3333</v>
      </c>
      <c r="B2762" s="58" t="n">
        <v>46006</v>
      </c>
      <c r="C2762" s="57" t="n">
        <f aca="false">YEAR(B2762)</f>
        <v>2025</v>
      </c>
      <c r="D2762" s="57" t="n">
        <f aca="false">MONTH(B2762)</f>
        <v>12</v>
      </c>
      <c r="E2762" s="57" t="s">
        <v>601</v>
      </c>
      <c r="F2762" s="57" t="s">
        <v>78</v>
      </c>
      <c r="G2762" s="57" t="s">
        <v>45</v>
      </c>
      <c r="H2762" s="57" t="s">
        <v>47</v>
      </c>
      <c r="I2762" s="59" t="n">
        <v>1</v>
      </c>
      <c r="J2762" s="60" t="n">
        <v>34</v>
      </c>
      <c r="K2762" s="60" t="n">
        <v>12</v>
      </c>
      <c r="L2762" s="61" t="n">
        <f aca="false">I2762*J2762</f>
        <v>34</v>
      </c>
      <c r="M2762" s="61" t="n">
        <f aca="false">L2762-I2762*K2762</f>
        <v>22</v>
      </c>
      <c r="N2762" s="57" t="n">
        <f aca="false">IF(COUNTIFS(E$2:E2762,E2762,C$2:C2762,C2762)=1,1,0)</f>
        <v>0</v>
      </c>
      <c r="O2762" s="57" t="n">
        <f aca="false">IF(COUNTIFS(E$2:E2762,E2762,C$2:C2762,C2762,D$2:D2762,D2762)=1,1,0)</f>
        <v>1</v>
      </c>
      <c r="P2762" s="57" t="n">
        <f aca="false">IF(AND(C2762=Calc!$C$3,OR(Calc!$C$4=0,D2762=Calc!$C$4)),ROW(),0)</f>
        <v>2762</v>
      </c>
    </row>
    <row r="2763" customFormat="false" ht="15" hidden="false" customHeight="false" outlineLevel="0" collapsed="false">
      <c r="A2763" s="57" t="s">
        <v>3334</v>
      </c>
      <c r="B2763" s="58" t="n">
        <v>46006</v>
      </c>
      <c r="C2763" s="57" t="n">
        <f aca="false">YEAR(B2763)</f>
        <v>2025</v>
      </c>
      <c r="D2763" s="57" t="n">
        <f aca="false">MONTH(B2763)</f>
        <v>12</v>
      </c>
      <c r="E2763" s="57" t="s">
        <v>89</v>
      </c>
      <c r="F2763" s="57" t="s">
        <v>81</v>
      </c>
      <c r="G2763" s="57" t="s">
        <v>45</v>
      </c>
      <c r="H2763" s="57" t="s">
        <v>48</v>
      </c>
      <c r="I2763" s="59" t="n">
        <v>1</v>
      </c>
      <c r="J2763" s="60" t="n">
        <v>99</v>
      </c>
      <c r="K2763" s="60" t="n">
        <v>38</v>
      </c>
      <c r="L2763" s="61" t="n">
        <f aca="false">I2763*J2763</f>
        <v>99</v>
      </c>
      <c r="M2763" s="61" t="n">
        <f aca="false">L2763-I2763*K2763</f>
        <v>61</v>
      </c>
      <c r="N2763" s="57" t="n">
        <f aca="false">IF(COUNTIFS(E$2:E2763,E2763,C$2:C2763,C2763)=1,1,0)</f>
        <v>0</v>
      </c>
      <c r="O2763" s="57" t="n">
        <f aca="false">IF(COUNTIFS(E$2:E2763,E2763,C$2:C2763,C2763,D$2:D2763,D2763)=1,1,0)</f>
        <v>1</v>
      </c>
      <c r="P2763" s="57" t="n">
        <f aca="false">IF(AND(C2763=Calc!$C$3,OR(Calc!$C$4=0,D2763=Calc!$C$4)),ROW(),0)</f>
        <v>2763</v>
      </c>
    </row>
    <row r="2764" customFormat="false" ht="15" hidden="false" customHeight="false" outlineLevel="0" collapsed="false">
      <c r="A2764" s="57" t="s">
        <v>3335</v>
      </c>
      <c r="B2764" s="58" t="n">
        <v>46006</v>
      </c>
      <c r="C2764" s="57" t="n">
        <f aca="false">YEAR(B2764)</f>
        <v>2025</v>
      </c>
      <c r="D2764" s="57" t="n">
        <f aca="false">MONTH(B2764)</f>
        <v>12</v>
      </c>
      <c r="E2764" s="57" t="s">
        <v>2163</v>
      </c>
      <c r="F2764" s="57" t="s">
        <v>75</v>
      </c>
      <c r="G2764" s="57" t="s">
        <v>35</v>
      </c>
      <c r="H2764" s="57" t="s">
        <v>36</v>
      </c>
      <c r="I2764" s="59" t="n">
        <v>1</v>
      </c>
      <c r="J2764" s="60" t="n">
        <v>179</v>
      </c>
      <c r="K2764" s="60" t="n">
        <v>92</v>
      </c>
      <c r="L2764" s="61" t="n">
        <f aca="false">I2764*J2764</f>
        <v>179</v>
      </c>
      <c r="M2764" s="61" t="n">
        <f aca="false">L2764-I2764*K2764</f>
        <v>87</v>
      </c>
      <c r="N2764" s="57" t="n">
        <f aca="false">IF(COUNTIFS(E$2:E2764,E2764,C$2:C2764,C2764)=1,1,0)</f>
        <v>0</v>
      </c>
      <c r="O2764" s="57" t="n">
        <f aca="false">IF(COUNTIFS(E$2:E2764,E2764,C$2:C2764,C2764,D$2:D2764,D2764)=1,1,0)</f>
        <v>1</v>
      </c>
      <c r="P2764" s="57" t="n">
        <f aca="false">IF(AND(C2764=Calc!$C$3,OR(Calc!$C$4=0,D2764=Calc!$C$4)),ROW(),0)</f>
        <v>2764</v>
      </c>
    </row>
    <row r="2765" customFormat="false" ht="15" hidden="false" customHeight="false" outlineLevel="0" collapsed="false">
      <c r="A2765" s="57" t="s">
        <v>3336</v>
      </c>
      <c r="B2765" s="58" t="n">
        <v>46006</v>
      </c>
      <c r="C2765" s="57" t="n">
        <f aca="false">YEAR(B2765)</f>
        <v>2025</v>
      </c>
      <c r="D2765" s="57" t="n">
        <f aca="false">MONTH(B2765)</f>
        <v>12</v>
      </c>
      <c r="E2765" s="57" t="s">
        <v>461</v>
      </c>
      <c r="F2765" s="57" t="s">
        <v>78</v>
      </c>
      <c r="G2765" s="57" t="s">
        <v>45</v>
      </c>
      <c r="H2765" s="57" t="s">
        <v>48</v>
      </c>
      <c r="I2765" s="59" t="n">
        <v>2</v>
      </c>
      <c r="J2765" s="60" t="n">
        <v>99</v>
      </c>
      <c r="K2765" s="60" t="n">
        <v>38</v>
      </c>
      <c r="L2765" s="61" t="n">
        <f aca="false">I2765*J2765</f>
        <v>198</v>
      </c>
      <c r="M2765" s="61" t="n">
        <f aca="false">L2765-I2765*K2765</f>
        <v>122</v>
      </c>
      <c r="N2765" s="57" t="n">
        <f aca="false">IF(COUNTIFS(E$2:E2765,E2765,C$2:C2765,C2765)=1,1,0)</f>
        <v>0</v>
      </c>
      <c r="O2765" s="57" t="n">
        <f aca="false">IF(COUNTIFS(E$2:E2765,E2765,C$2:C2765,C2765,D$2:D2765,D2765)=1,1,0)</f>
        <v>1</v>
      </c>
      <c r="P2765" s="57" t="n">
        <f aca="false">IF(AND(C2765=Calc!$C$3,OR(Calc!$C$4=0,D2765=Calc!$C$4)),ROW(),0)</f>
        <v>2765</v>
      </c>
    </row>
    <row r="2766" customFormat="false" ht="15" hidden="false" customHeight="false" outlineLevel="0" collapsed="false">
      <c r="A2766" s="57" t="s">
        <v>3337</v>
      </c>
      <c r="B2766" s="58" t="n">
        <v>46006</v>
      </c>
      <c r="C2766" s="57" t="n">
        <f aca="false">YEAR(B2766)</f>
        <v>2025</v>
      </c>
      <c r="D2766" s="57" t="n">
        <f aca="false">MONTH(B2766)</f>
        <v>12</v>
      </c>
      <c r="E2766" s="57" t="s">
        <v>2252</v>
      </c>
      <c r="F2766" s="57" t="s">
        <v>72</v>
      </c>
      <c r="G2766" s="57" t="s">
        <v>45</v>
      </c>
      <c r="H2766" s="57" t="s">
        <v>47</v>
      </c>
      <c r="I2766" s="59" t="n">
        <v>1</v>
      </c>
      <c r="J2766" s="60" t="n">
        <v>34</v>
      </c>
      <c r="K2766" s="60" t="n">
        <v>12</v>
      </c>
      <c r="L2766" s="61" t="n">
        <f aca="false">I2766*J2766</f>
        <v>34</v>
      </c>
      <c r="M2766" s="61" t="n">
        <f aca="false">L2766-I2766*K2766</f>
        <v>22</v>
      </c>
      <c r="N2766" s="57" t="n">
        <f aca="false">IF(COUNTIFS(E$2:E2766,E2766,C$2:C2766,C2766)=1,1,0)</f>
        <v>0</v>
      </c>
      <c r="O2766" s="57" t="n">
        <f aca="false">IF(COUNTIFS(E$2:E2766,E2766,C$2:C2766,C2766,D$2:D2766,D2766)=1,1,0)</f>
        <v>1</v>
      </c>
      <c r="P2766" s="57" t="n">
        <f aca="false">IF(AND(C2766=Calc!$C$3,OR(Calc!$C$4=0,D2766=Calc!$C$4)),ROW(),0)</f>
        <v>2766</v>
      </c>
    </row>
    <row r="2767" customFormat="false" ht="15" hidden="false" customHeight="false" outlineLevel="0" collapsed="false">
      <c r="A2767" s="57" t="s">
        <v>3338</v>
      </c>
      <c r="B2767" s="58" t="n">
        <v>46007</v>
      </c>
      <c r="C2767" s="57" t="n">
        <f aca="false">YEAR(B2767)</f>
        <v>2025</v>
      </c>
      <c r="D2767" s="57" t="n">
        <f aca="false">MONTH(B2767)</f>
        <v>12</v>
      </c>
      <c r="E2767" s="57" t="s">
        <v>263</v>
      </c>
      <c r="F2767" s="57" t="s">
        <v>69</v>
      </c>
      <c r="G2767" s="57" t="s">
        <v>40</v>
      </c>
      <c r="H2767" s="57" t="s">
        <v>39</v>
      </c>
      <c r="I2767" s="59" t="n">
        <v>2</v>
      </c>
      <c r="J2767" s="60" t="n">
        <v>54</v>
      </c>
      <c r="K2767" s="60" t="n">
        <v>19</v>
      </c>
      <c r="L2767" s="61" t="n">
        <f aca="false">I2767*J2767</f>
        <v>108</v>
      </c>
      <c r="M2767" s="61" t="n">
        <f aca="false">L2767-I2767*K2767</f>
        <v>70</v>
      </c>
      <c r="N2767" s="57" t="n">
        <f aca="false">IF(COUNTIFS(E$2:E2767,E2767,C$2:C2767,C2767)=1,1,0)</f>
        <v>0</v>
      </c>
      <c r="O2767" s="57" t="n">
        <f aca="false">IF(COUNTIFS(E$2:E2767,E2767,C$2:C2767,C2767,D$2:D2767,D2767)=1,1,0)</f>
        <v>1</v>
      </c>
      <c r="P2767" s="57" t="n">
        <f aca="false">IF(AND(C2767=Calc!$C$3,OR(Calc!$C$4=0,D2767=Calc!$C$4)),ROW(),0)</f>
        <v>2767</v>
      </c>
    </row>
    <row r="2768" customFormat="false" ht="15" hidden="false" customHeight="false" outlineLevel="0" collapsed="false">
      <c r="A2768" s="57" t="s">
        <v>3339</v>
      </c>
      <c r="B2768" s="58" t="n">
        <v>46007</v>
      </c>
      <c r="C2768" s="57" t="n">
        <f aca="false">YEAR(B2768)</f>
        <v>2025</v>
      </c>
      <c r="D2768" s="57" t="n">
        <f aca="false">MONTH(B2768)</f>
        <v>12</v>
      </c>
      <c r="E2768" s="57" t="s">
        <v>177</v>
      </c>
      <c r="F2768" s="57" t="s">
        <v>75</v>
      </c>
      <c r="G2768" s="57" t="s">
        <v>45</v>
      </c>
      <c r="H2768" s="57" t="s">
        <v>46</v>
      </c>
      <c r="I2768" s="59" t="n">
        <v>1</v>
      </c>
      <c r="J2768" s="60" t="n">
        <v>149</v>
      </c>
      <c r="K2768" s="60" t="n">
        <v>71</v>
      </c>
      <c r="L2768" s="61" t="n">
        <f aca="false">I2768*J2768</f>
        <v>149</v>
      </c>
      <c r="M2768" s="61" t="n">
        <f aca="false">L2768-I2768*K2768</f>
        <v>78</v>
      </c>
      <c r="N2768" s="57" t="n">
        <f aca="false">IF(COUNTIFS(E$2:E2768,E2768,C$2:C2768,C2768)=1,1,0)</f>
        <v>0</v>
      </c>
      <c r="O2768" s="57" t="n">
        <f aca="false">IF(COUNTIFS(E$2:E2768,E2768,C$2:C2768,C2768,D$2:D2768,D2768)=1,1,0)</f>
        <v>1</v>
      </c>
      <c r="P2768" s="57" t="n">
        <f aca="false">IF(AND(C2768=Calc!$C$3,OR(Calc!$C$4=0,D2768=Calc!$C$4)),ROW(),0)</f>
        <v>2768</v>
      </c>
    </row>
    <row r="2769" customFormat="false" ht="15" hidden="false" customHeight="false" outlineLevel="0" collapsed="false">
      <c r="A2769" s="57" t="s">
        <v>3340</v>
      </c>
      <c r="B2769" s="58" t="n">
        <v>46007</v>
      </c>
      <c r="C2769" s="57" t="n">
        <f aca="false">YEAR(B2769)</f>
        <v>2025</v>
      </c>
      <c r="D2769" s="57" t="n">
        <f aca="false">MONTH(B2769)</f>
        <v>12</v>
      </c>
      <c r="E2769" s="57" t="s">
        <v>110</v>
      </c>
      <c r="F2769" s="57" t="s">
        <v>78</v>
      </c>
      <c r="G2769" s="57" t="s">
        <v>35</v>
      </c>
      <c r="H2769" s="57" t="s">
        <v>37</v>
      </c>
      <c r="I2769" s="59" t="n">
        <v>1</v>
      </c>
      <c r="J2769" s="60" t="n">
        <v>59</v>
      </c>
      <c r="K2769" s="60" t="n">
        <v>27</v>
      </c>
      <c r="L2769" s="61" t="n">
        <f aca="false">I2769*J2769</f>
        <v>59</v>
      </c>
      <c r="M2769" s="61" t="n">
        <f aca="false">L2769-I2769*K2769</f>
        <v>32</v>
      </c>
      <c r="N2769" s="57" t="n">
        <f aca="false">IF(COUNTIFS(E$2:E2769,E2769,C$2:C2769,C2769)=1,1,0)</f>
        <v>0</v>
      </c>
      <c r="O2769" s="57" t="n">
        <f aca="false">IF(COUNTIFS(E$2:E2769,E2769,C$2:C2769,C2769,D$2:D2769,D2769)=1,1,0)</f>
        <v>1</v>
      </c>
      <c r="P2769" s="57" t="n">
        <f aca="false">IF(AND(C2769=Calc!$C$3,OR(Calc!$C$4=0,D2769=Calc!$C$4)),ROW(),0)</f>
        <v>2769</v>
      </c>
    </row>
    <row r="2770" customFormat="false" ht="15" hidden="false" customHeight="false" outlineLevel="0" collapsed="false">
      <c r="A2770" s="57" t="s">
        <v>3341</v>
      </c>
      <c r="B2770" s="58" t="n">
        <v>46007</v>
      </c>
      <c r="C2770" s="57" t="n">
        <f aca="false">YEAR(B2770)</f>
        <v>2025</v>
      </c>
      <c r="D2770" s="57" t="n">
        <f aca="false">MONTH(B2770)</f>
        <v>12</v>
      </c>
      <c r="E2770" s="57" t="s">
        <v>285</v>
      </c>
      <c r="F2770" s="57" t="s">
        <v>75</v>
      </c>
      <c r="G2770" s="57" t="s">
        <v>50</v>
      </c>
      <c r="H2770" s="57" t="s">
        <v>49</v>
      </c>
      <c r="I2770" s="59" t="n">
        <v>1</v>
      </c>
      <c r="J2770" s="60" t="n">
        <v>32</v>
      </c>
      <c r="K2770" s="60" t="n">
        <v>7</v>
      </c>
      <c r="L2770" s="61" t="n">
        <f aca="false">I2770*J2770</f>
        <v>32</v>
      </c>
      <c r="M2770" s="61" t="n">
        <f aca="false">L2770-I2770*K2770</f>
        <v>25</v>
      </c>
      <c r="N2770" s="57" t="n">
        <f aca="false">IF(COUNTIFS(E$2:E2770,E2770,C$2:C2770,C2770)=1,1,0)</f>
        <v>0</v>
      </c>
      <c r="O2770" s="57" t="n">
        <f aca="false">IF(COUNTIFS(E$2:E2770,E2770,C$2:C2770,C2770,D$2:D2770,D2770)=1,1,0)</f>
        <v>1</v>
      </c>
      <c r="P2770" s="57" t="n">
        <f aca="false">IF(AND(C2770=Calc!$C$3,OR(Calc!$C$4=0,D2770=Calc!$C$4)),ROW(),0)</f>
        <v>2770</v>
      </c>
    </row>
    <row r="2771" customFormat="false" ht="15" hidden="false" customHeight="false" outlineLevel="0" collapsed="false">
      <c r="A2771" s="57" t="s">
        <v>3342</v>
      </c>
      <c r="B2771" s="58" t="n">
        <v>46007</v>
      </c>
      <c r="C2771" s="57" t="n">
        <f aca="false">YEAR(B2771)</f>
        <v>2025</v>
      </c>
      <c r="D2771" s="57" t="n">
        <f aca="false">MONTH(B2771)</f>
        <v>12</v>
      </c>
      <c r="E2771" s="57" t="s">
        <v>3343</v>
      </c>
      <c r="F2771" s="57" t="s">
        <v>78</v>
      </c>
      <c r="G2771" s="57" t="s">
        <v>35</v>
      </c>
      <c r="H2771" s="57" t="s">
        <v>38</v>
      </c>
      <c r="I2771" s="59" t="n">
        <v>1</v>
      </c>
      <c r="J2771" s="60" t="n">
        <v>49</v>
      </c>
      <c r="K2771" s="60" t="n">
        <v>22</v>
      </c>
      <c r="L2771" s="61" t="n">
        <f aca="false">I2771*J2771</f>
        <v>49</v>
      </c>
      <c r="M2771" s="61" t="n">
        <f aca="false">L2771-I2771*K2771</f>
        <v>27</v>
      </c>
      <c r="N2771" s="57" t="n">
        <f aca="false">IF(COUNTIFS(E$2:E2771,E2771,C$2:C2771,C2771)=1,1,0)</f>
        <v>1</v>
      </c>
      <c r="O2771" s="57" t="n">
        <f aca="false">IF(COUNTIFS(E$2:E2771,E2771,C$2:C2771,C2771,D$2:D2771,D2771)=1,1,0)</f>
        <v>1</v>
      </c>
      <c r="P2771" s="57" t="n">
        <f aca="false">IF(AND(C2771=Calc!$C$3,OR(Calc!$C$4=0,D2771=Calc!$C$4)),ROW(),0)</f>
        <v>2771</v>
      </c>
    </row>
    <row r="2772" customFormat="false" ht="15" hidden="false" customHeight="false" outlineLevel="0" collapsed="false">
      <c r="A2772" s="57" t="s">
        <v>3344</v>
      </c>
      <c r="B2772" s="58" t="n">
        <v>46007</v>
      </c>
      <c r="C2772" s="57" t="n">
        <f aca="false">YEAR(B2772)</f>
        <v>2025</v>
      </c>
      <c r="D2772" s="57" t="n">
        <f aca="false">MONTH(B2772)</f>
        <v>12</v>
      </c>
      <c r="E2772" s="57" t="s">
        <v>877</v>
      </c>
      <c r="F2772" s="57" t="s">
        <v>69</v>
      </c>
      <c r="G2772" s="57" t="s">
        <v>40</v>
      </c>
      <c r="H2772" s="57" t="s">
        <v>39</v>
      </c>
      <c r="I2772" s="59" t="n">
        <v>2</v>
      </c>
      <c r="J2772" s="60" t="n">
        <v>54</v>
      </c>
      <c r="K2772" s="60" t="n">
        <v>19</v>
      </c>
      <c r="L2772" s="61" t="n">
        <f aca="false">I2772*J2772</f>
        <v>108</v>
      </c>
      <c r="M2772" s="61" t="n">
        <f aca="false">L2772-I2772*K2772</f>
        <v>70</v>
      </c>
      <c r="N2772" s="57" t="n">
        <f aca="false">IF(COUNTIFS(E$2:E2772,E2772,C$2:C2772,C2772)=1,1,0)</f>
        <v>0</v>
      </c>
      <c r="O2772" s="57" t="n">
        <f aca="false">IF(COUNTIFS(E$2:E2772,E2772,C$2:C2772,C2772,D$2:D2772,D2772)=1,1,0)</f>
        <v>1</v>
      </c>
      <c r="P2772" s="57" t="n">
        <f aca="false">IF(AND(C2772=Calc!$C$3,OR(Calc!$C$4=0,D2772=Calc!$C$4)),ROW(),0)</f>
        <v>2772</v>
      </c>
    </row>
    <row r="2773" customFormat="false" ht="15" hidden="false" customHeight="false" outlineLevel="0" collapsed="false">
      <c r="A2773" s="57" t="s">
        <v>3345</v>
      </c>
      <c r="B2773" s="58" t="n">
        <v>46008</v>
      </c>
      <c r="C2773" s="57" t="n">
        <f aca="false">YEAR(B2773)</f>
        <v>2025</v>
      </c>
      <c r="D2773" s="57" t="n">
        <f aca="false">MONTH(B2773)</f>
        <v>12</v>
      </c>
      <c r="E2773" s="57" t="s">
        <v>547</v>
      </c>
      <c r="F2773" s="57" t="s">
        <v>72</v>
      </c>
      <c r="G2773" s="57" t="s">
        <v>35</v>
      </c>
      <c r="H2773" s="57" t="s">
        <v>38</v>
      </c>
      <c r="I2773" s="59" t="n">
        <v>2</v>
      </c>
      <c r="J2773" s="60" t="n">
        <v>49</v>
      </c>
      <c r="K2773" s="60" t="n">
        <v>22</v>
      </c>
      <c r="L2773" s="61" t="n">
        <f aca="false">I2773*J2773</f>
        <v>98</v>
      </c>
      <c r="M2773" s="61" t="n">
        <f aca="false">L2773-I2773*K2773</f>
        <v>54</v>
      </c>
      <c r="N2773" s="57" t="n">
        <f aca="false">IF(COUNTIFS(E$2:E2773,E2773,C$2:C2773,C2773)=1,1,0)</f>
        <v>0</v>
      </c>
      <c r="O2773" s="57" t="n">
        <f aca="false">IF(COUNTIFS(E$2:E2773,E2773,C$2:C2773,C2773,D$2:D2773,D2773)=1,1,0)</f>
        <v>1</v>
      </c>
      <c r="P2773" s="57" t="n">
        <f aca="false">IF(AND(C2773=Calc!$C$3,OR(Calc!$C$4=0,D2773=Calc!$C$4)),ROW(),0)</f>
        <v>2773</v>
      </c>
    </row>
    <row r="2774" customFormat="false" ht="15" hidden="false" customHeight="false" outlineLevel="0" collapsed="false">
      <c r="A2774" s="57" t="s">
        <v>3346</v>
      </c>
      <c r="B2774" s="58" t="n">
        <v>46008</v>
      </c>
      <c r="C2774" s="57" t="n">
        <f aca="false">YEAR(B2774)</f>
        <v>2025</v>
      </c>
      <c r="D2774" s="57" t="n">
        <f aca="false">MONTH(B2774)</f>
        <v>12</v>
      </c>
      <c r="E2774" s="57" t="s">
        <v>976</v>
      </c>
      <c r="F2774" s="57" t="s">
        <v>75</v>
      </c>
      <c r="G2774" s="57" t="s">
        <v>40</v>
      </c>
      <c r="H2774" s="57" t="s">
        <v>43</v>
      </c>
      <c r="I2774" s="59" t="n">
        <v>1</v>
      </c>
      <c r="J2774" s="60" t="n">
        <v>29</v>
      </c>
      <c r="K2774" s="60" t="n">
        <v>9</v>
      </c>
      <c r="L2774" s="61" t="n">
        <f aca="false">I2774*J2774</f>
        <v>29</v>
      </c>
      <c r="M2774" s="61" t="n">
        <f aca="false">L2774-I2774*K2774</f>
        <v>20</v>
      </c>
      <c r="N2774" s="57" t="n">
        <f aca="false">IF(COUNTIFS(E$2:E2774,E2774,C$2:C2774,C2774)=1,1,0)</f>
        <v>0</v>
      </c>
      <c r="O2774" s="57" t="n">
        <f aca="false">IF(COUNTIFS(E$2:E2774,E2774,C$2:C2774,C2774,D$2:D2774,D2774)=1,1,0)</f>
        <v>1</v>
      </c>
      <c r="P2774" s="57" t="n">
        <f aca="false">IF(AND(C2774=Calc!$C$3,OR(Calc!$C$4=0,D2774=Calc!$C$4)),ROW(),0)</f>
        <v>2774</v>
      </c>
    </row>
    <row r="2775" customFormat="false" ht="15" hidden="false" customHeight="false" outlineLevel="0" collapsed="false">
      <c r="A2775" s="57" t="s">
        <v>3347</v>
      </c>
      <c r="B2775" s="58" t="n">
        <v>46008</v>
      </c>
      <c r="C2775" s="57" t="n">
        <f aca="false">YEAR(B2775)</f>
        <v>2025</v>
      </c>
      <c r="D2775" s="57" t="n">
        <f aca="false">MONTH(B2775)</f>
        <v>12</v>
      </c>
      <c r="E2775" s="57" t="s">
        <v>393</v>
      </c>
      <c r="F2775" s="57" t="s">
        <v>78</v>
      </c>
      <c r="G2775" s="57" t="s">
        <v>35</v>
      </c>
      <c r="H2775" s="57" t="s">
        <v>36</v>
      </c>
      <c r="I2775" s="59" t="n">
        <v>1</v>
      </c>
      <c r="J2775" s="60" t="n">
        <v>179</v>
      </c>
      <c r="K2775" s="60" t="n">
        <v>92</v>
      </c>
      <c r="L2775" s="61" t="n">
        <f aca="false">I2775*J2775</f>
        <v>179</v>
      </c>
      <c r="M2775" s="61" t="n">
        <f aca="false">L2775-I2775*K2775</f>
        <v>87</v>
      </c>
      <c r="N2775" s="57" t="n">
        <f aca="false">IF(COUNTIFS(E$2:E2775,E2775,C$2:C2775,C2775)=1,1,0)</f>
        <v>0</v>
      </c>
      <c r="O2775" s="57" t="n">
        <f aca="false">IF(COUNTIFS(E$2:E2775,E2775,C$2:C2775,C2775,D$2:D2775,D2775)=1,1,0)</f>
        <v>1</v>
      </c>
      <c r="P2775" s="57" t="n">
        <f aca="false">IF(AND(C2775=Calc!$C$3,OR(Calc!$C$4=0,D2775=Calc!$C$4)),ROW(),0)</f>
        <v>2775</v>
      </c>
    </row>
    <row r="2776" customFormat="false" ht="15" hidden="false" customHeight="false" outlineLevel="0" collapsed="false">
      <c r="A2776" s="57" t="s">
        <v>3348</v>
      </c>
      <c r="B2776" s="58" t="n">
        <v>46008</v>
      </c>
      <c r="C2776" s="57" t="n">
        <f aca="false">YEAR(B2776)</f>
        <v>2025</v>
      </c>
      <c r="D2776" s="57" t="n">
        <f aca="false">MONTH(B2776)</f>
        <v>12</v>
      </c>
      <c r="E2776" s="57" t="s">
        <v>185</v>
      </c>
      <c r="F2776" s="57" t="s">
        <v>81</v>
      </c>
      <c r="G2776" s="57" t="s">
        <v>35</v>
      </c>
      <c r="H2776" s="57" t="s">
        <v>36</v>
      </c>
      <c r="I2776" s="59" t="n">
        <v>2</v>
      </c>
      <c r="J2776" s="60" t="n">
        <v>179</v>
      </c>
      <c r="K2776" s="60" t="n">
        <v>92</v>
      </c>
      <c r="L2776" s="61" t="n">
        <f aca="false">I2776*J2776</f>
        <v>358</v>
      </c>
      <c r="M2776" s="61" t="n">
        <f aca="false">L2776-I2776*K2776</f>
        <v>174</v>
      </c>
      <c r="N2776" s="57" t="n">
        <f aca="false">IF(COUNTIFS(E$2:E2776,E2776,C$2:C2776,C2776)=1,1,0)</f>
        <v>0</v>
      </c>
      <c r="O2776" s="57" t="n">
        <f aca="false">IF(COUNTIFS(E$2:E2776,E2776,C$2:C2776,C2776,D$2:D2776,D2776)=1,1,0)</f>
        <v>1</v>
      </c>
      <c r="P2776" s="57" t="n">
        <f aca="false">IF(AND(C2776=Calc!$C$3,OR(Calc!$C$4=0,D2776=Calc!$C$4)),ROW(),0)</f>
        <v>2776</v>
      </c>
    </row>
    <row r="2777" customFormat="false" ht="15" hidden="false" customHeight="false" outlineLevel="0" collapsed="false">
      <c r="A2777" s="57" t="s">
        <v>3349</v>
      </c>
      <c r="B2777" s="58" t="n">
        <v>46008</v>
      </c>
      <c r="C2777" s="57" t="n">
        <f aca="false">YEAR(B2777)</f>
        <v>2025</v>
      </c>
      <c r="D2777" s="57" t="n">
        <f aca="false">MONTH(B2777)</f>
        <v>12</v>
      </c>
      <c r="E2777" s="57" t="s">
        <v>376</v>
      </c>
      <c r="F2777" s="57" t="s">
        <v>78</v>
      </c>
      <c r="G2777" s="57" t="s">
        <v>40</v>
      </c>
      <c r="H2777" s="57" t="s">
        <v>43</v>
      </c>
      <c r="I2777" s="59" t="n">
        <v>2</v>
      </c>
      <c r="J2777" s="60" t="n">
        <v>29</v>
      </c>
      <c r="K2777" s="60" t="n">
        <v>9</v>
      </c>
      <c r="L2777" s="61" t="n">
        <f aca="false">I2777*J2777</f>
        <v>58</v>
      </c>
      <c r="M2777" s="61" t="n">
        <f aca="false">L2777-I2777*K2777</f>
        <v>40</v>
      </c>
      <c r="N2777" s="57" t="n">
        <f aca="false">IF(COUNTIFS(E$2:E2777,E2777,C$2:C2777,C2777)=1,1,0)</f>
        <v>0</v>
      </c>
      <c r="O2777" s="57" t="n">
        <f aca="false">IF(COUNTIFS(E$2:E2777,E2777,C$2:C2777,C2777,D$2:D2777,D2777)=1,1,0)</f>
        <v>0</v>
      </c>
      <c r="P2777" s="57" t="n">
        <f aca="false">IF(AND(C2777=Calc!$C$3,OR(Calc!$C$4=0,D2777=Calc!$C$4)),ROW(),0)</f>
        <v>2777</v>
      </c>
    </row>
    <row r="2778" customFormat="false" ht="15" hidden="false" customHeight="false" outlineLevel="0" collapsed="false">
      <c r="A2778" s="57" t="s">
        <v>3350</v>
      </c>
      <c r="B2778" s="58" t="n">
        <v>46009</v>
      </c>
      <c r="C2778" s="57" t="n">
        <f aca="false">YEAR(B2778)</f>
        <v>2025</v>
      </c>
      <c r="D2778" s="57" t="n">
        <f aca="false">MONTH(B2778)</f>
        <v>12</v>
      </c>
      <c r="E2778" s="57" t="s">
        <v>512</v>
      </c>
      <c r="F2778" s="57" t="s">
        <v>75</v>
      </c>
      <c r="G2778" s="57" t="s">
        <v>50</v>
      </c>
      <c r="H2778" s="57" t="s">
        <v>52</v>
      </c>
      <c r="I2778" s="59" t="n">
        <v>1</v>
      </c>
      <c r="J2778" s="60" t="n">
        <v>45</v>
      </c>
      <c r="K2778" s="60" t="n">
        <v>14</v>
      </c>
      <c r="L2778" s="61" t="n">
        <f aca="false">I2778*J2778</f>
        <v>45</v>
      </c>
      <c r="M2778" s="61" t="n">
        <f aca="false">L2778-I2778*K2778</f>
        <v>31</v>
      </c>
      <c r="N2778" s="57" t="n">
        <f aca="false">IF(COUNTIFS(E$2:E2778,E2778,C$2:C2778,C2778)=1,1,0)</f>
        <v>0</v>
      </c>
      <c r="O2778" s="57" t="n">
        <f aca="false">IF(COUNTIFS(E$2:E2778,E2778,C$2:C2778,C2778,D$2:D2778,D2778)=1,1,0)</f>
        <v>1</v>
      </c>
      <c r="P2778" s="57" t="n">
        <f aca="false">IF(AND(C2778=Calc!$C$3,OR(Calc!$C$4=0,D2778=Calc!$C$4)),ROW(),0)</f>
        <v>2778</v>
      </c>
    </row>
    <row r="2779" customFormat="false" ht="15" hidden="false" customHeight="false" outlineLevel="0" collapsed="false">
      <c r="A2779" s="57" t="s">
        <v>3351</v>
      </c>
      <c r="B2779" s="58" t="n">
        <v>46009</v>
      </c>
      <c r="C2779" s="57" t="n">
        <f aca="false">YEAR(B2779)</f>
        <v>2025</v>
      </c>
      <c r="D2779" s="57" t="n">
        <f aca="false">MONTH(B2779)</f>
        <v>12</v>
      </c>
      <c r="E2779" s="57" t="s">
        <v>543</v>
      </c>
      <c r="F2779" s="57" t="s">
        <v>78</v>
      </c>
      <c r="G2779" s="57" t="s">
        <v>40</v>
      </c>
      <c r="H2779" s="57" t="s">
        <v>41</v>
      </c>
      <c r="I2779" s="59" t="n">
        <v>1</v>
      </c>
      <c r="J2779" s="60" t="n">
        <v>46</v>
      </c>
      <c r="K2779" s="60" t="n">
        <v>16</v>
      </c>
      <c r="L2779" s="61" t="n">
        <f aca="false">I2779*J2779</f>
        <v>46</v>
      </c>
      <c r="M2779" s="61" t="n">
        <f aca="false">L2779-I2779*K2779</f>
        <v>30</v>
      </c>
      <c r="N2779" s="57" t="n">
        <f aca="false">IF(COUNTIFS(E$2:E2779,E2779,C$2:C2779,C2779)=1,1,0)</f>
        <v>0</v>
      </c>
      <c r="O2779" s="57" t="n">
        <f aca="false">IF(COUNTIFS(E$2:E2779,E2779,C$2:C2779,C2779,D$2:D2779,D2779)=1,1,0)</f>
        <v>1</v>
      </c>
      <c r="P2779" s="57" t="n">
        <f aca="false">IF(AND(C2779=Calc!$C$3,OR(Calc!$C$4=0,D2779=Calc!$C$4)),ROW(),0)</f>
        <v>2779</v>
      </c>
    </row>
    <row r="2780" customFormat="false" ht="15" hidden="false" customHeight="false" outlineLevel="0" collapsed="false">
      <c r="A2780" s="57" t="s">
        <v>3352</v>
      </c>
      <c r="B2780" s="58" t="n">
        <v>46009</v>
      </c>
      <c r="C2780" s="57" t="n">
        <f aca="false">YEAR(B2780)</f>
        <v>2025</v>
      </c>
      <c r="D2780" s="57" t="n">
        <f aca="false">MONTH(B2780)</f>
        <v>12</v>
      </c>
      <c r="E2780" s="57" t="s">
        <v>120</v>
      </c>
      <c r="F2780" s="57" t="s">
        <v>78</v>
      </c>
      <c r="G2780" s="57" t="s">
        <v>35</v>
      </c>
      <c r="H2780" s="57" t="s">
        <v>37</v>
      </c>
      <c r="I2780" s="59" t="n">
        <v>3</v>
      </c>
      <c r="J2780" s="60" t="n">
        <v>59</v>
      </c>
      <c r="K2780" s="60" t="n">
        <v>27</v>
      </c>
      <c r="L2780" s="61" t="n">
        <f aca="false">I2780*J2780</f>
        <v>177</v>
      </c>
      <c r="M2780" s="61" t="n">
        <f aca="false">L2780-I2780*K2780</f>
        <v>96</v>
      </c>
      <c r="N2780" s="57" t="n">
        <f aca="false">IF(COUNTIFS(E$2:E2780,E2780,C$2:C2780,C2780)=1,1,0)</f>
        <v>0</v>
      </c>
      <c r="O2780" s="57" t="n">
        <f aca="false">IF(COUNTIFS(E$2:E2780,E2780,C$2:C2780,C2780,D$2:D2780,D2780)=1,1,0)</f>
        <v>1</v>
      </c>
      <c r="P2780" s="57" t="n">
        <f aca="false">IF(AND(C2780=Calc!$C$3,OR(Calc!$C$4=0,D2780=Calc!$C$4)),ROW(),0)</f>
        <v>2780</v>
      </c>
    </row>
    <row r="2781" customFormat="false" ht="15" hidden="false" customHeight="false" outlineLevel="0" collapsed="false">
      <c r="A2781" s="57" t="s">
        <v>3353</v>
      </c>
      <c r="B2781" s="58" t="n">
        <v>46009</v>
      </c>
      <c r="C2781" s="57" t="n">
        <f aca="false">YEAR(B2781)</f>
        <v>2025</v>
      </c>
      <c r="D2781" s="57" t="n">
        <f aca="false">MONTH(B2781)</f>
        <v>12</v>
      </c>
      <c r="E2781" s="57" t="s">
        <v>80</v>
      </c>
      <c r="F2781" s="57" t="s">
        <v>81</v>
      </c>
      <c r="G2781" s="57" t="s">
        <v>40</v>
      </c>
      <c r="H2781" s="57" t="s">
        <v>42</v>
      </c>
      <c r="I2781" s="59" t="n">
        <v>1</v>
      </c>
      <c r="J2781" s="60" t="n">
        <v>79</v>
      </c>
      <c r="K2781" s="60" t="n">
        <v>31</v>
      </c>
      <c r="L2781" s="61" t="n">
        <f aca="false">I2781*J2781</f>
        <v>79</v>
      </c>
      <c r="M2781" s="61" t="n">
        <f aca="false">L2781-I2781*K2781</f>
        <v>48</v>
      </c>
      <c r="N2781" s="57" t="n">
        <f aca="false">IF(COUNTIFS(E$2:E2781,E2781,C$2:C2781,C2781)=1,1,0)</f>
        <v>0</v>
      </c>
      <c r="O2781" s="57" t="n">
        <f aca="false">IF(COUNTIFS(E$2:E2781,E2781,C$2:C2781,C2781,D$2:D2781,D2781)=1,1,0)</f>
        <v>1</v>
      </c>
      <c r="P2781" s="57" t="n">
        <f aca="false">IF(AND(C2781=Calc!$C$3,OR(Calc!$C$4=0,D2781=Calc!$C$4)),ROW(),0)</f>
        <v>2781</v>
      </c>
    </row>
    <row r="2782" customFormat="false" ht="15" hidden="false" customHeight="false" outlineLevel="0" collapsed="false">
      <c r="A2782" s="57" t="s">
        <v>3354</v>
      </c>
      <c r="B2782" s="58" t="n">
        <v>46009</v>
      </c>
      <c r="C2782" s="57" t="n">
        <f aca="false">YEAR(B2782)</f>
        <v>2025</v>
      </c>
      <c r="D2782" s="57" t="n">
        <f aca="false">MONTH(B2782)</f>
        <v>12</v>
      </c>
      <c r="E2782" s="57" t="s">
        <v>97</v>
      </c>
      <c r="F2782" s="57" t="s">
        <v>78</v>
      </c>
      <c r="G2782" s="57" t="s">
        <v>40</v>
      </c>
      <c r="H2782" s="57" t="s">
        <v>39</v>
      </c>
      <c r="I2782" s="59" t="n">
        <v>3</v>
      </c>
      <c r="J2782" s="60" t="n">
        <v>54</v>
      </c>
      <c r="K2782" s="60" t="n">
        <v>19</v>
      </c>
      <c r="L2782" s="61" t="n">
        <f aca="false">I2782*J2782</f>
        <v>162</v>
      </c>
      <c r="M2782" s="61" t="n">
        <f aca="false">L2782-I2782*K2782</f>
        <v>105</v>
      </c>
      <c r="N2782" s="57" t="n">
        <f aca="false">IF(COUNTIFS(E$2:E2782,E2782,C$2:C2782,C2782)=1,1,0)</f>
        <v>0</v>
      </c>
      <c r="O2782" s="57" t="n">
        <f aca="false">IF(COUNTIFS(E$2:E2782,E2782,C$2:C2782,C2782,D$2:D2782,D2782)=1,1,0)</f>
        <v>1</v>
      </c>
      <c r="P2782" s="57" t="n">
        <f aca="false">IF(AND(C2782=Calc!$C$3,OR(Calc!$C$4=0,D2782=Calc!$C$4)),ROW(),0)</f>
        <v>2782</v>
      </c>
    </row>
    <row r="2783" customFormat="false" ht="15" hidden="false" customHeight="false" outlineLevel="0" collapsed="false">
      <c r="A2783" s="57" t="s">
        <v>3355</v>
      </c>
      <c r="B2783" s="58" t="n">
        <v>46009</v>
      </c>
      <c r="C2783" s="57" t="n">
        <f aca="false">YEAR(B2783)</f>
        <v>2025</v>
      </c>
      <c r="D2783" s="57" t="n">
        <f aca="false">MONTH(B2783)</f>
        <v>12</v>
      </c>
      <c r="E2783" s="57" t="s">
        <v>743</v>
      </c>
      <c r="F2783" s="57" t="s">
        <v>69</v>
      </c>
      <c r="G2783" s="57" t="s">
        <v>35</v>
      </c>
      <c r="H2783" s="57" t="s">
        <v>38</v>
      </c>
      <c r="I2783" s="59" t="n">
        <v>3</v>
      </c>
      <c r="J2783" s="60" t="n">
        <v>49</v>
      </c>
      <c r="K2783" s="60" t="n">
        <v>22</v>
      </c>
      <c r="L2783" s="61" t="n">
        <f aca="false">I2783*J2783</f>
        <v>147</v>
      </c>
      <c r="M2783" s="61" t="n">
        <f aca="false">L2783-I2783*K2783</f>
        <v>81</v>
      </c>
      <c r="N2783" s="57" t="n">
        <f aca="false">IF(COUNTIFS(E$2:E2783,E2783,C$2:C2783,C2783)=1,1,0)</f>
        <v>0</v>
      </c>
      <c r="O2783" s="57" t="n">
        <f aca="false">IF(COUNTIFS(E$2:E2783,E2783,C$2:C2783,C2783,D$2:D2783,D2783)=1,1,0)</f>
        <v>1</v>
      </c>
      <c r="P2783" s="57" t="n">
        <f aca="false">IF(AND(C2783=Calc!$C$3,OR(Calc!$C$4=0,D2783=Calc!$C$4)),ROW(),0)</f>
        <v>2783</v>
      </c>
    </row>
    <row r="2784" customFormat="false" ht="15" hidden="false" customHeight="false" outlineLevel="0" collapsed="false">
      <c r="A2784" s="57" t="s">
        <v>3356</v>
      </c>
      <c r="B2784" s="58" t="n">
        <v>46009</v>
      </c>
      <c r="C2784" s="57" t="n">
        <f aca="false">YEAR(B2784)</f>
        <v>2025</v>
      </c>
      <c r="D2784" s="57" t="n">
        <f aca="false">MONTH(B2784)</f>
        <v>12</v>
      </c>
      <c r="E2784" s="57" t="s">
        <v>158</v>
      </c>
      <c r="F2784" s="57" t="s">
        <v>81</v>
      </c>
      <c r="G2784" s="57" t="s">
        <v>40</v>
      </c>
      <c r="H2784" s="57" t="s">
        <v>41</v>
      </c>
      <c r="I2784" s="59" t="n">
        <v>2</v>
      </c>
      <c r="J2784" s="60" t="n">
        <v>46</v>
      </c>
      <c r="K2784" s="60" t="n">
        <v>16</v>
      </c>
      <c r="L2784" s="61" t="n">
        <f aca="false">I2784*J2784</f>
        <v>92</v>
      </c>
      <c r="M2784" s="61" t="n">
        <f aca="false">L2784-I2784*K2784</f>
        <v>60</v>
      </c>
      <c r="N2784" s="57" t="n">
        <f aca="false">IF(COUNTIFS(E$2:E2784,E2784,C$2:C2784,C2784)=1,1,0)</f>
        <v>0</v>
      </c>
      <c r="O2784" s="57" t="n">
        <f aca="false">IF(COUNTIFS(E$2:E2784,E2784,C$2:C2784,C2784,D$2:D2784,D2784)=1,1,0)</f>
        <v>1</v>
      </c>
      <c r="P2784" s="57" t="n">
        <f aca="false">IF(AND(C2784=Calc!$C$3,OR(Calc!$C$4=0,D2784=Calc!$C$4)),ROW(),0)</f>
        <v>2784</v>
      </c>
    </row>
    <row r="2785" customFormat="false" ht="15" hidden="false" customHeight="false" outlineLevel="0" collapsed="false">
      <c r="A2785" s="57" t="s">
        <v>3357</v>
      </c>
      <c r="B2785" s="58" t="n">
        <v>46009</v>
      </c>
      <c r="C2785" s="57" t="n">
        <f aca="false">YEAR(B2785)</f>
        <v>2025</v>
      </c>
      <c r="D2785" s="57" t="n">
        <f aca="false">MONTH(B2785)</f>
        <v>12</v>
      </c>
      <c r="E2785" s="57" t="s">
        <v>978</v>
      </c>
      <c r="F2785" s="57" t="s">
        <v>75</v>
      </c>
      <c r="G2785" s="57" t="s">
        <v>40</v>
      </c>
      <c r="H2785" s="57" t="s">
        <v>42</v>
      </c>
      <c r="I2785" s="59" t="n">
        <v>2</v>
      </c>
      <c r="J2785" s="60" t="n">
        <v>79</v>
      </c>
      <c r="K2785" s="60" t="n">
        <v>31</v>
      </c>
      <c r="L2785" s="61" t="n">
        <f aca="false">I2785*J2785</f>
        <v>158</v>
      </c>
      <c r="M2785" s="61" t="n">
        <f aca="false">L2785-I2785*K2785</f>
        <v>96</v>
      </c>
      <c r="N2785" s="57" t="n">
        <f aca="false">IF(COUNTIFS(E$2:E2785,E2785,C$2:C2785,C2785)=1,1,0)</f>
        <v>0</v>
      </c>
      <c r="O2785" s="57" t="n">
        <f aca="false">IF(COUNTIFS(E$2:E2785,E2785,C$2:C2785,C2785,D$2:D2785,D2785)=1,1,0)</f>
        <v>1</v>
      </c>
      <c r="P2785" s="57" t="n">
        <f aca="false">IF(AND(C2785=Calc!$C$3,OR(Calc!$C$4=0,D2785=Calc!$C$4)),ROW(),0)</f>
        <v>2785</v>
      </c>
    </row>
    <row r="2786" customFormat="false" ht="15" hidden="false" customHeight="false" outlineLevel="0" collapsed="false">
      <c r="A2786" s="57" t="s">
        <v>3358</v>
      </c>
      <c r="B2786" s="58" t="n">
        <v>46010</v>
      </c>
      <c r="C2786" s="57" t="n">
        <f aca="false">YEAR(B2786)</f>
        <v>2025</v>
      </c>
      <c r="D2786" s="57" t="n">
        <f aca="false">MONTH(B2786)</f>
        <v>12</v>
      </c>
      <c r="E2786" s="57" t="s">
        <v>510</v>
      </c>
      <c r="F2786" s="57" t="s">
        <v>78</v>
      </c>
      <c r="G2786" s="57" t="s">
        <v>40</v>
      </c>
      <c r="H2786" s="57" t="s">
        <v>41</v>
      </c>
      <c r="I2786" s="59" t="n">
        <v>1</v>
      </c>
      <c r="J2786" s="60" t="n">
        <v>46</v>
      </c>
      <c r="K2786" s="60" t="n">
        <v>16</v>
      </c>
      <c r="L2786" s="61" t="n">
        <f aca="false">I2786*J2786</f>
        <v>46</v>
      </c>
      <c r="M2786" s="61" t="n">
        <f aca="false">L2786-I2786*K2786</f>
        <v>30</v>
      </c>
      <c r="N2786" s="57" t="n">
        <f aca="false">IF(COUNTIFS(E$2:E2786,E2786,C$2:C2786,C2786)=1,1,0)</f>
        <v>0</v>
      </c>
      <c r="O2786" s="57" t="n">
        <f aca="false">IF(COUNTIFS(E$2:E2786,E2786,C$2:C2786,C2786,D$2:D2786,D2786)=1,1,0)</f>
        <v>1</v>
      </c>
      <c r="P2786" s="57" t="n">
        <f aca="false">IF(AND(C2786=Calc!$C$3,OR(Calc!$C$4=0,D2786=Calc!$C$4)),ROW(),0)</f>
        <v>2786</v>
      </c>
    </row>
    <row r="2787" customFormat="false" ht="15" hidden="false" customHeight="false" outlineLevel="0" collapsed="false">
      <c r="A2787" s="57" t="s">
        <v>3359</v>
      </c>
      <c r="B2787" s="58" t="n">
        <v>46010</v>
      </c>
      <c r="C2787" s="57" t="n">
        <f aca="false">YEAR(B2787)</f>
        <v>2025</v>
      </c>
      <c r="D2787" s="57" t="n">
        <f aca="false">MONTH(B2787)</f>
        <v>12</v>
      </c>
      <c r="E2787" s="57" t="s">
        <v>196</v>
      </c>
      <c r="F2787" s="57" t="s">
        <v>69</v>
      </c>
      <c r="G2787" s="57" t="s">
        <v>35</v>
      </c>
      <c r="H2787" s="57" t="s">
        <v>36</v>
      </c>
      <c r="I2787" s="59" t="n">
        <v>2</v>
      </c>
      <c r="J2787" s="60" t="n">
        <v>179</v>
      </c>
      <c r="K2787" s="60" t="n">
        <v>92</v>
      </c>
      <c r="L2787" s="61" t="n">
        <f aca="false">I2787*J2787</f>
        <v>358</v>
      </c>
      <c r="M2787" s="61" t="n">
        <f aca="false">L2787-I2787*K2787</f>
        <v>174</v>
      </c>
      <c r="N2787" s="57" t="n">
        <f aca="false">IF(COUNTIFS(E$2:E2787,E2787,C$2:C2787,C2787)=1,1,0)</f>
        <v>0</v>
      </c>
      <c r="O2787" s="57" t="n">
        <f aca="false">IF(COUNTIFS(E$2:E2787,E2787,C$2:C2787,C2787,D$2:D2787,D2787)=1,1,0)</f>
        <v>0</v>
      </c>
      <c r="P2787" s="57" t="n">
        <f aca="false">IF(AND(C2787=Calc!$C$3,OR(Calc!$C$4=0,D2787=Calc!$C$4)),ROW(),0)</f>
        <v>2787</v>
      </c>
    </row>
    <row r="2788" customFormat="false" ht="15" hidden="false" customHeight="false" outlineLevel="0" collapsed="false">
      <c r="A2788" s="57" t="s">
        <v>3360</v>
      </c>
      <c r="B2788" s="58" t="n">
        <v>46010</v>
      </c>
      <c r="C2788" s="57" t="n">
        <f aca="false">YEAR(B2788)</f>
        <v>2025</v>
      </c>
      <c r="D2788" s="57" t="n">
        <f aca="false">MONTH(B2788)</f>
        <v>12</v>
      </c>
      <c r="E2788" s="57" t="s">
        <v>434</v>
      </c>
      <c r="F2788" s="57" t="s">
        <v>78</v>
      </c>
      <c r="G2788" s="57" t="s">
        <v>35</v>
      </c>
      <c r="H2788" s="57" t="s">
        <v>37</v>
      </c>
      <c r="I2788" s="59" t="n">
        <v>1</v>
      </c>
      <c r="J2788" s="60" t="n">
        <v>59</v>
      </c>
      <c r="K2788" s="60" t="n">
        <v>27</v>
      </c>
      <c r="L2788" s="61" t="n">
        <f aca="false">I2788*J2788</f>
        <v>59</v>
      </c>
      <c r="M2788" s="61" t="n">
        <f aca="false">L2788-I2788*K2788</f>
        <v>32</v>
      </c>
      <c r="N2788" s="57" t="n">
        <f aca="false">IF(COUNTIFS(E$2:E2788,E2788,C$2:C2788,C2788)=1,1,0)</f>
        <v>0</v>
      </c>
      <c r="O2788" s="57" t="n">
        <f aca="false">IF(COUNTIFS(E$2:E2788,E2788,C$2:C2788,C2788,D$2:D2788,D2788)=1,1,0)</f>
        <v>1</v>
      </c>
      <c r="P2788" s="57" t="n">
        <f aca="false">IF(AND(C2788=Calc!$C$3,OR(Calc!$C$4=0,D2788=Calc!$C$4)),ROW(),0)</f>
        <v>2788</v>
      </c>
    </row>
    <row r="2789" customFormat="false" ht="15" hidden="false" customHeight="false" outlineLevel="0" collapsed="false">
      <c r="A2789" s="57" t="s">
        <v>3361</v>
      </c>
      <c r="B2789" s="58" t="n">
        <v>46010</v>
      </c>
      <c r="C2789" s="57" t="n">
        <f aca="false">YEAR(B2789)</f>
        <v>2025</v>
      </c>
      <c r="D2789" s="57" t="n">
        <f aca="false">MONTH(B2789)</f>
        <v>12</v>
      </c>
      <c r="E2789" s="57" t="s">
        <v>196</v>
      </c>
      <c r="F2789" s="57" t="s">
        <v>69</v>
      </c>
      <c r="G2789" s="57" t="s">
        <v>40</v>
      </c>
      <c r="H2789" s="57" t="s">
        <v>39</v>
      </c>
      <c r="I2789" s="59" t="n">
        <v>2</v>
      </c>
      <c r="J2789" s="60" t="n">
        <v>54</v>
      </c>
      <c r="K2789" s="60" t="n">
        <v>19</v>
      </c>
      <c r="L2789" s="61" t="n">
        <f aca="false">I2789*J2789</f>
        <v>108</v>
      </c>
      <c r="M2789" s="61" t="n">
        <f aca="false">L2789-I2789*K2789</f>
        <v>70</v>
      </c>
      <c r="N2789" s="57" t="n">
        <f aca="false">IF(COUNTIFS(E$2:E2789,E2789,C$2:C2789,C2789)=1,1,0)</f>
        <v>0</v>
      </c>
      <c r="O2789" s="57" t="n">
        <f aca="false">IF(COUNTIFS(E$2:E2789,E2789,C$2:C2789,C2789,D$2:D2789,D2789)=1,1,0)</f>
        <v>0</v>
      </c>
      <c r="P2789" s="57" t="n">
        <f aca="false">IF(AND(C2789=Calc!$C$3,OR(Calc!$C$4=0,D2789=Calc!$C$4)),ROW(),0)</f>
        <v>2789</v>
      </c>
    </row>
    <row r="2790" customFormat="false" ht="15" hidden="false" customHeight="false" outlineLevel="0" collapsed="false">
      <c r="A2790" s="57" t="s">
        <v>3362</v>
      </c>
      <c r="B2790" s="58" t="n">
        <v>46010</v>
      </c>
      <c r="C2790" s="57" t="n">
        <f aca="false">YEAR(B2790)</f>
        <v>2025</v>
      </c>
      <c r="D2790" s="57" t="n">
        <f aca="false">MONTH(B2790)</f>
        <v>12</v>
      </c>
      <c r="E2790" s="57" t="s">
        <v>156</v>
      </c>
      <c r="F2790" s="57" t="s">
        <v>75</v>
      </c>
      <c r="G2790" s="57" t="s">
        <v>35</v>
      </c>
      <c r="H2790" s="57" t="s">
        <v>37</v>
      </c>
      <c r="I2790" s="59" t="n">
        <v>1</v>
      </c>
      <c r="J2790" s="60" t="n">
        <v>59</v>
      </c>
      <c r="K2790" s="60" t="n">
        <v>27</v>
      </c>
      <c r="L2790" s="61" t="n">
        <f aca="false">I2790*J2790</f>
        <v>59</v>
      </c>
      <c r="M2790" s="61" t="n">
        <f aca="false">L2790-I2790*K2790</f>
        <v>32</v>
      </c>
      <c r="N2790" s="57" t="n">
        <f aca="false">IF(COUNTIFS(E$2:E2790,E2790,C$2:C2790,C2790)=1,1,0)</f>
        <v>0</v>
      </c>
      <c r="O2790" s="57" t="n">
        <f aca="false">IF(COUNTIFS(E$2:E2790,E2790,C$2:C2790,C2790,D$2:D2790,D2790)=1,1,0)</f>
        <v>1</v>
      </c>
      <c r="P2790" s="57" t="n">
        <f aca="false">IF(AND(C2790=Calc!$C$3,OR(Calc!$C$4=0,D2790=Calc!$C$4)),ROW(),0)</f>
        <v>2790</v>
      </c>
    </row>
    <row r="2791" customFormat="false" ht="15" hidden="false" customHeight="false" outlineLevel="0" collapsed="false">
      <c r="A2791" s="57" t="s">
        <v>3363</v>
      </c>
      <c r="B2791" s="58" t="n">
        <v>46011</v>
      </c>
      <c r="C2791" s="57" t="n">
        <f aca="false">YEAR(B2791)</f>
        <v>2025</v>
      </c>
      <c r="D2791" s="57" t="n">
        <f aca="false">MONTH(B2791)</f>
        <v>12</v>
      </c>
      <c r="E2791" s="57" t="s">
        <v>156</v>
      </c>
      <c r="F2791" s="57" t="s">
        <v>75</v>
      </c>
      <c r="G2791" s="57" t="s">
        <v>35</v>
      </c>
      <c r="H2791" s="57" t="s">
        <v>36</v>
      </c>
      <c r="I2791" s="59" t="n">
        <v>1</v>
      </c>
      <c r="J2791" s="60" t="n">
        <v>179</v>
      </c>
      <c r="K2791" s="60" t="n">
        <v>92</v>
      </c>
      <c r="L2791" s="61" t="n">
        <f aca="false">I2791*J2791</f>
        <v>179</v>
      </c>
      <c r="M2791" s="61" t="n">
        <f aca="false">L2791-I2791*K2791</f>
        <v>87</v>
      </c>
      <c r="N2791" s="57" t="n">
        <f aca="false">IF(COUNTIFS(E$2:E2791,E2791,C$2:C2791,C2791)=1,1,0)</f>
        <v>0</v>
      </c>
      <c r="O2791" s="57" t="n">
        <f aca="false">IF(COUNTIFS(E$2:E2791,E2791,C$2:C2791,C2791,D$2:D2791,D2791)=1,1,0)</f>
        <v>0</v>
      </c>
      <c r="P2791" s="57" t="n">
        <f aca="false">IF(AND(C2791=Calc!$C$3,OR(Calc!$C$4=0,D2791=Calc!$C$4)),ROW(),0)</f>
        <v>2791</v>
      </c>
    </row>
    <row r="2792" customFormat="false" ht="15" hidden="false" customHeight="false" outlineLevel="0" collapsed="false">
      <c r="A2792" s="57" t="s">
        <v>3364</v>
      </c>
      <c r="B2792" s="58" t="n">
        <v>46011</v>
      </c>
      <c r="C2792" s="57" t="n">
        <f aca="false">YEAR(B2792)</f>
        <v>2025</v>
      </c>
      <c r="D2792" s="57" t="n">
        <f aca="false">MONTH(B2792)</f>
        <v>12</v>
      </c>
      <c r="E2792" s="57" t="s">
        <v>321</v>
      </c>
      <c r="F2792" s="57" t="s">
        <v>81</v>
      </c>
      <c r="G2792" s="57" t="s">
        <v>40</v>
      </c>
      <c r="H2792" s="57" t="s">
        <v>43</v>
      </c>
      <c r="I2792" s="59" t="n">
        <v>1</v>
      </c>
      <c r="J2792" s="60" t="n">
        <v>29</v>
      </c>
      <c r="K2792" s="60" t="n">
        <v>9</v>
      </c>
      <c r="L2792" s="61" t="n">
        <f aca="false">I2792*J2792</f>
        <v>29</v>
      </c>
      <c r="M2792" s="61" t="n">
        <f aca="false">L2792-I2792*K2792</f>
        <v>20</v>
      </c>
      <c r="N2792" s="57" t="n">
        <f aca="false">IF(COUNTIFS(E$2:E2792,E2792,C$2:C2792,C2792)=1,1,0)</f>
        <v>0</v>
      </c>
      <c r="O2792" s="57" t="n">
        <f aca="false">IF(COUNTIFS(E$2:E2792,E2792,C$2:C2792,C2792,D$2:D2792,D2792)=1,1,0)</f>
        <v>1</v>
      </c>
      <c r="P2792" s="57" t="n">
        <f aca="false">IF(AND(C2792=Calc!$C$3,OR(Calc!$C$4=0,D2792=Calc!$C$4)),ROW(),0)</f>
        <v>2792</v>
      </c>
    </row>
    <row r="2793" customFormat="false" ht="15" hidden="false" customHeight="false" outlineLevel="0" collapsed="false">
      <c r="A2793" s="57" t="s">
        <v>3365</v>
      </c>
      <c r="B2793" s="58" t="n">
        <v>46011</v>
      </c>
      <c r="C2793" s="57" t="n">
        <f aca="false">YEAR(B2793)</f>
        <v>2025</v>
      </c>
      <c r="D2793" s="57" t="n">
        <f aca="false">MONTH(B2793)</f>
        <v>12</v>
      </c>
      <c r="E2793" s="57" t="s">
        <v>309</v>
      </c>
      <c r="F2793" s="57" t="s">
        <v>81</v>
      </c>
      <c r="G2793" s="57" t="s">
        <v>45</v>
      </c>
      <c r="H2793" s="57" t="s">
        <v>48</v>
      </c>
      <c r="I2793" s="59" t="n">
        <v>1</v>
      </c>
      <c r="J2793" s="60" t="n">
        <v>99</v>
      </c>
      <c r="K2793" s="60" t="n">
        <v>38</v>
      </c>
      <c r="L2793" s="61" t="n">
        <f aca="false">I2793*J2793</f>
        <v>99</v>
      </c>
      <c r="M2793" s="61" t="n">
        <f aca="false">L2793-I2793*K2793</f>
        <v>61</v>
      </c>
      <c r="N2793" s="57" t="n">
        <f aca="false">IF(COUNTIFS(E$2:E2793,E2793,C$2:C2793,C2793)=1,1,0)</f>
        <v>0</v>
      </c>
      <c r="O2793" s="57" t="n">
        <f aca="false">IF(COUNTIFS(E$2:E2793,E2793,C$2:C2793,C2793,D$2:D2793,D2793)=1,1,0)</f>
        <v>1</v>
      </c>
      <c r="P2793" s="57" t="n">
        <f aca="false">IF(AND(C2793=Calc!$C$3,OR(Calc!$C$4=0,D2793=Calc!$C$4)),ROW(),0)</f>
        <v>2793</v>
      </c>
    </row>
    <row r="2794" customFormat="false" ht="15" hidden="false" customHeight="false" outlineLevel="0" collapsed="false">
      <c r="A2794" s="57" t="s">
        <v>3366</v>
      </c>
      <c r="B2794" s="58" t="n">
        <v>46011</v>
      </c>
      <c r="C2794" s="57" t="n">
        <f aca="false">YEAR(B2794)</f>
        <v>2025</v>
      </c>
      <c r="D2794" s="57" t="n">
        <f aca="false">MONTH(B2794)</f>
        <v>12</v>
      </c>
      <c r="E2794" s="57" t="s">
        <v>89</v>
      </c>
      <c r="F2794" s="57" t="s">
        <v>81</v>
      </c>
      <c r="G2794" s="57" t="s">
        <v>50</v>
      </c>
      <c r="H2794" s="57" t="s">
        <v>51</v>
      </c>
      <c r="I2794" s="59" t="n">
        <v>1</v>
      </c>
      <c r="J2794" s="60" t="n">
        <v>69</v>
      </c>
      <c r="K2794" s="60" t="n">
        <v>29</v>
      </c>
      <c r="L2794" s="61" t="n">
        <f aca="false">I2794*J2794</f>
        <v>69</v>
      </c>
      <c r="M2794" s="61" t="n">
        <f aca="false">L2794-I2794*K2794</f>
        <v>40</v>
      </c>
      <c r="N2794" s="57" t="n">
        <f aca="false">IF(COUNTIFS(E$2:E2794,E2794,C$2:C2794,C2794)=1,1,0)</f>
        <v>0</v>
      </c>
      <c r="O2794" s="57" t="n">
        <f aca="false">IF(COUNTIFS(E$2:E2794,E2794,C$2:C2794,C2794,D$2:D2794,D2794)=1,1,0)</f>
        <v>0</v>
      </c>
      <c r="P2794" s="57" t="n">
        <f aca="false">IF(AND(C2794=Calc!$C$3,OR(Calc!$C$4=0,D2794=Calc!$C$4)),ROW(),0)</f>
        <v>2794</v>
      </c>
    </row>
    <row r="2795" customFormat="false" ht="15" hidden="false" customHeight="false" outlineLevel="0" collapsed="false">
      <c r="A2795" s="57" t="s">
        <v>3367</v>
      </c>
      <c r="B2795" s="58" t="n">
        <v>46011</v>
      </c>
      <c r="C2795" s="57" t="n">
        <f aca="false">YEAR(B2795)</f>
        <v>2025</v>
      </c>
      <c r="D2795" s="57" t="n">
        <f aca="false">MONTH(B2795)</f>
        <v>12</v>
      </c>
      <c r="E2795" s="57" t="s">
        <v>1307</v>
      </c>
      <c r="F2795" s="57" t="s">
        <v>78</v>
      </c>
      <c r="G2795" s="57" t="s">
        <v>35</v>
      </c>
      <c r="H2795" s="57" t="s">
        <v>38</v>
      </c>
      <c r="I2795" s="59" t="n">
        <v>1</v>
      </c>
      <c r="J2795" s="60" t="n">
        <v>49</v>
      </c>
      <c r="K2795" s="60" t="n">
        <v>22</v>
      </c>
      <c r="L2795" s="61" t="n">
        <f aca="false">I2795*J2795</f>
        <v>49</v>
      </c>
      <c r="M2795" s="61" t="n">
        <f aca="false">L2795-I2795*K2795</f>
        <v>27</v>
      </c>
      <c r="N2795" s="57" t="n">
        <f aca="false">IF(COUNTIFS(E$2:E2795,E2795,C$2:C2795,C2795)=1,1,0)</f>
        <v>0</v>
      </c>
      <c r="O2795" s="57" t="n">
        <f aca="false">IF(COUNTIFS(E$2:E2795,E2795,C$2:C2795,C2795,D$2:D2795,D2795)=1,1,0)</f>
        <v>1</v>
      </c>
      <c r="P2795" s="57" t="n">
        <f aca="false">IF(AND(C2795=Calc!$C$3,OR(Calc!$C$4=0,D2795=Calc!$C$4)),ROW(),0)</f>
        <v>2795</v>
      </c>
    </row>
    <row r="2796" customFormat="false" ht="15" hidden="false" customHeight="false" outlineLevel="0" collapsed="false">
      <c r="A2796" s="57" t="s">
        <v>3368</v>
      </c>
      <c r="B2796" s="58" t="n">
        <v>46012</v>
      </c>
      <c r="C2796" s="57" t="n">
        <f aca="false">YEAR(B2796)</f>
        <v>2025</v>
      </c>
      <c r="D2796" s="57" t="n">
        <f aca="false">MONTH(B2796)</f>
        <v>12</v>
      </c>
      <c r="E2796" s="57" t="s">
        <v>203</v>
      </c>
      <c r="F2796" s="57" t="s">
        <v>78</v>
      </c>
      <c r="G2796" s="57" t="s">
        <v>35</v>
      </c>
      <c r="H2796" s="57" t="s">
        <v>38</v>
      </c>
      <c r="I2796" s="59" t="n">
        <v>1</v>
      </c>
      <c r="J2796" s="60" t="n">
        <v>49</v>
      </c>
      <c r="K2796" s="60" t="n">
        <v>22</v>
      </c>
      <c r="L2796" s="61" t="n">
        <f aca="false">I2796*J2796</f>
        <v>49</v>
      </c>
      <c r="M2796" s="61" t="n">
        <f aca="false">L2796-I2796*K2796</f>
        <v>27</v>
      </c>
      <c r="N2796" s="57" t="n">
        <f aca="false">IF(COUNTIFS(E$2:E2796,E2796,C$2:C2796,C2796)=1,1,0)</f>
        <v>0</v>
      </c>
      <c r="O2796" s="57" t="n">
        <f aca="false">IF(COUNTIFS(E$2:E2796,E2796,C$2:C2796,C2796,D$2:D2796,D2796)=1,1,0)</f>
        <v>0</v>
      </c>
      <c r="P2796" s="57" t="n">
        <f aca="false">IF(AND(C2796=Calc!$C$3,OR(Calc!$C$4=0,D2796=Calc!$C$4)),ROW(),0)</f>
        <v>2796</v>
      </c>
    </row>
    <row r="2797" customFormat="false" ht="15" hidden="false" customHeight="false" outlineLevel="0" collapsed="false">
      <c r="A2797" s="57" t="s">
        <v>3369</v>
      </c>
      <c r="B2797" s="58" t="n">
        <v>46012</v>
      </c>
      <c r="C2797" s="57" t="n">
        <f aca="false">YEAR(B2797)</f>
        <v>2025</v>
      </c>
      <c r="D2797" s="57" t="n">
        <f aca="false">MONTH(B2797)</f>
        <v>12</v>
      </c>
      <c r="E2797" s="57" t="s">
        <v>1022</v>
      </c>
      <c r="F2797" s="57" t="s">
        <v>75</v>
      </c>
      <c r="G2797" s="57" t="s">
        <v>35</v>
      </c>
      <c r="H2797" s="57" t="s">
        <v>37</v>
      </c>
      <c r="I2797" s="59" t="n">
        <v>1</v>
      </c>
      <c r="J2797" s="60" t="n">
        <v>59</v>
      </c>
      <c r="K2797" s="60" t="n">
        <v>27</v>
      </c>
      <c r="L2797" s="61" t="n">
        <f aca="false">I2797*J2797</f>
        <v>59</v>
      </c>
      <c r="M2797" s="61" t="n">
        <f aca="false">L2797-I2797*K2797</f>
        <v>32</v>
      </c>
      <c r="N2797" s="57" t="n">
        <f aca="false">IF(COUNTIFS(E$2:E2797,E2797,C$2:C2797,C2797)=1,1,0)</f>
        <v>0</v>
      </c>
      <c r="O2797" s="57" t="n">
        <f aca="false">IF(COUNTIFS(E$2:E2797,E2797,C$2:C2797,C2797,D$2:D2797,D2797)=1,1,0)</f>
        <v>1</v>
      </c>
      <c r="P2797" s="57" t="n">
        <f aca="false">IF(AND(C2797=Calc!$C$3,OR(Calc!$C$4=0,D2797=Calc!$C$4)),ROW(),0)</f>
        <v>2797</v>
      </c>
    </row>
    <row r="2798" customFormat="false" ht="15" hidden="false" customHeight="false" outlineLevel="0" collapsed="false">
      <c r="A2798" s="57" t="s">
        <v>3370</v>
      </c>
      <c r="B2798" s="58" t="n">
        <v>46012</v>
      </c>
      <c r="C2798" s="57" t="n">
        <f aca="false">YEAR(B2798)</f>
        <v>2025</v>
      </c>
      <c r="D2798" s="57" t="n">
        <f aca="false">MONTH(B2798)</f>
        <v>12</v>
      </c>
      <c r="E2798" s="57" t="s">
        <v>1304</v>
      </c>
      <c r="F2798" s="57" t="s">
        <v>78</v>
      </c>
      <c r="G2798" s="57" t="s">
        <v>35</v>
      </c>
      <c r="H2798" s="57" t="s">
        <v>38</v>
      </c>
      <c r="I2798" s="59" t="n">
        <v>1</v>
      </c>
      <c r="J2798" s="60" t="n">
        <v>49</v>
      </c>
      <c r="K2798" s="60" t="n">
        <v>22</v>
      </c>
      <c r="L2798" s="61" t="n">
        <f aca="false">I2798*J2798</f>
        <v>49</v>
      </c>
      <c r="M2798" s="61" t="n">
        <f aca="false">L2798-I2798*K2798</f>
        <v>27</v>
      </c>
      <c r="N2798" s="57" t="n">
        <f aca="false">IF(COUNTIFS(E$2:E2798,E2798,C$2:C2798,C2798)=1,1,0)</f>
        <v>0</v>
      </c>
      <c r="O2798" s="57" t="n">
        <f aca="false">IF(COUNTIFS(E$2:E2798,E2798,C$2:C2798,C2798,D$2:D2798,D2798)=1,1,0)</f>
        <v>0</v>
      </c>
      <c r="P2798" s="57" t="n">
        <f aca="false">IF(AND(C2798=Calc!$C$3,OR(Calc!$C$4=0,D2798=Calc!$C$4)),ROW(),0)</f>
        <v>2798</v>
      </c>
    </row>
    <row r="2799" customFormat="false" ht="15" hidden="false" customHeight="false" outlineLevel="0" collapsed="false">
      <c r="A2799" s="57" t="s">
        <v>3371</v>
      </c>
      <c r="B2799" s="58" t="n">
        <v>46012</v>
      </c>
      <c r="C2799" s="57" t="n">
        <f aca="false">YEAR(B2799)</f>
        <v>2025</v>
      </c>
      <c r="D2799" s="57" t="n">
        <f aca="false">MONTH(B2799)</f>
        <v>12</v>
      </c>
      <c r="E2799" s="57" t="s">
        <v>240</v>
      </c>
      <c r="F2799" s="57" t="s">
        <v>75</v>
      </c>
      <c r="G2799" s="57" t="s">
        <v>50</v>
      </c>
      <c r="H2799" s="57" t="s">
        <v>49</v>
      </c>
      <c r="I2799" s="59" t="n">
        <v>1</v>
      </c>
      <c r="J2799" s="60" t="n">
        <v>32</v>
      </c>
      <c r="K2799" s="60" t="n">
        <v>7</v>
      </c>
      <c r="L2799" s="61" t="n">
        <f aca="false">I2799*J2799</f>
        <v>32</v>
      </c>
      <c r="M2799" s="61" t="n">
        <f aca="false">L2799-I2799*K2799</f>
        <v>25</v>
      </c>
      <c r="N2799" s="57" t="n">
        <f aca="false">IF(COUNTIFS(E$2:E2799,E2799,C$2:C2799,C2799)=1,1,0)</f>
        <v>0</v>
      </c>
      <c r="O2799" s="57" t="n">
        <f aca="false">IF(COUNTIFS(E$2:E2799,E2799,C$2:C2799,C2799,D$2:D2799,D2799)=1,1,0)</f>
        <v>1</v>
      </c>
      <c r="P2799" s="57" t="n">
        <f aca="false">IF(AND(C2799=Calc!$C$3,OR(Calc!$C$4=0,D2799=Calc!$C$4)),ROW(),0)</f>
        <v>2799</v>
      </c>
    </row>
    <row r="2800" customFormat="false" ht="15" hidden="false" customHeight="false" outlineLevel="0" collapsed="false">
      <c r="A2800" s="57" t="s">
        <v>3372</v>
      </c>
      <c r="B2800" s="58" t="n">
        <v>46013</v>
      </c>
      <c r="C2800" s="57" t="n">
        <f aca="false">YEAR(B2800)</f>
        <v>2025</v>
      </c>
      <c r="D2800" s="57" t="n">
        <f aca="false">MONTH(B2800)</f>
        <v>12</v>
      </c>
      <c r="E2800" s="57" t="s">
        <v>1342</v>
      </c>
      <c r="F2800" s="57" t="s">
        <v>72</v>
      </c>
      <c r="G2800" s="57" t="s">
        <v>40</v>
      </c>
      <c r="H2800" s="57" t="s">
        <v>43</v>
      </c>
      <c r="I2800" s="59" t="n">
        <v>1</v>
      </c>
      <c r="J2800" s="60" t="n">
        <v>29</v>
      </c>
      <c r="K2800" s="60" t="n">
        <v>9</v>
      </c>
      <c r="L2800" s="61" t="n">
        <f aca="false">I2800*J2800</f>
        <v>29</v>
      </c>
      <c r="M2800" s="61" t="n">
        <f aca="false">L2800-I2800*K2800</f>
        <v>20</v>
      </c>
      <c r="N2800" s="57" t="n">
        <f aca="false">IF(COUNTIFS(E$2:E2800,E2800,C$2:C2800,C2800)=1,1,0)</f>
        <v>0</v>
      </c>
      <c r="O2800" s="57" t="n">
        <f aca="false">IF(COUNTIFS(E$2:E2800,E2800,C$2:C2800,C2800,D$2:D2800,D2800)=1,1,0)</f>
        <v>1</v>
      </c>
      <c r="P2800" s="57" t="n">
        <f aca="false">IF(AND(C2800=Calc!$C$3,OR(Calc!$C$4=0,D2800=Calc!$C$4)),ROW(),0)</f>
        <v>2800</v>
      </c>
    </row>
    <row r="2801" customFormat="false" ht="15" hidden="false" customHeight="false" outlineLevel="0" collapsed="false">
      <c r="A2801" s="57" t="s">
        <v>3373</v>
      </c>
      <c r="B2801" s="58" t="n">
        <v>46013</v>
      </c>
      <c r="C2801" s="57" t="n">
        <f aca="false">YEAR(B2801)</f>
        <v>2025</v>
      </c>
      <c r="D2801" s="57" t="n">
        <f aca="false">MONTH(B2801)</f>
        <v>12</v>
      </c>
      <c r="E2801" s="57" t="s">
        <v>924</v>
      </c>
      <c r="F2801" s="57" t="s">
        <v>72</v>
      </c>
      <c r="G2801" s="57" t="s">
        <v>40</v>
      </c>
      <c r="H2801" s="57" t="s">
        <v>41</v>
      </c>
      <c r="I2801" s="59" t="n">
        <v>1</v>
      </c>
      <c r="J2801" s="60" t="n">
        <v>46</v>
      </c>
      <c r="K2801" s="60" t="n">
        <v>16</v>
      </c>
      <c r="L2801" s="61" t="n">
        <f aca="false">I2801*J2801</f>
        <v>46</v>
      </c>
      <c r="M2801" s="61" t="n">
        <f aca="false">L2801-I2801*K2801</f>
        <v>30</v>
      </c>
      <c r="N2801" s="57" t="n">
        <f aca="false">IF(COUNTIFS(E$2:E2801,E2801,C$2:C2801,C2801)=1,1,0)</f>
        <v>0</v>
      </c>
      <c r="O2801" s="57" t="n">
        <f aca="false">IF(COUNTIFS(E$2:E2801,E2801,C$2:C2801,C2801,D$2:D2801,D2801)=1,1,0)</f>
        <v>1</v>
      </c>
      <c r="P2801" s="57" t="n">
        <f aca="false">IF(AND(C2801=Calc!$C$3,OR(Calc!$C$4=0,D2801=Calc!$C$4)),ROW(),0)</f>
        <v>2801</v>
      </c>
    </row>
    <row r="2802" customFormat="false" ht="15" hidden="false" customHeight="false" outlineLevel="0" collapsed="false">
      <c r="A2802" s="57" t="s">
        <v>3374</v>
      </c>
      <c r="B2802" s="58" t="n">
        <v>46013</v>
      </c>
      <c r="C2802" s="57" t="n">
        <f aca="false">YEAR(B2802)</f>
        <v>2025</v>
      </c>
      <c r="D2802" s="57" t="n">
        <f aca="false">MONTH(B2802)</f>
        <v>12</v>
      </c>
      <c r="E2802" s="57" t="s">
        <v>3293</v>
      </c>
      <c r="F2802" s="57" t="s">
        <v>81</v>
      </c>
      <c r="G2802" s="57" t="s">
        <v>35</v>
      </c>
      <c r="H2802" s="57" t="s">
        <v>36</v>
      </c>
      <c r="I2802" s="59" t="n">
        <v>1</v>
      </c>
      <c r="J2802" s="60" t="n">
        <v>179</v>
      </c>
      <c r="K2802" s="60" t="n">
        <v>92</v>
      </c>
      <c r="L2802" s="61" t="n">
        <f aca="false">I2802*J2802</f>
        <v>179</v>
      </c>
      <c r="M2802" s="61" t="n">
        <f aca="false">L2802-I2802*K2802</f>
        <v>87</v>
      </c>
      <c r="N2802" s="57" t="n">
        <f aca="false">IF(COUNTIFS(E$2:E2802,E2802,C$2:C2802,C2802)=1,1,0)</f>
        <v>0</v>
      </c>
      <c r="O2802" s="57" t="n">
        <f aca="false">IF(COUNTIFS(E$2:E2802,E2802,C$2:C2802,C2802,D$2:D2802,D2802)=1,1,0)</f>
        <v>0</v>
      </c>
      <c r="P2802" s="57" t="n">
        <f aca="false">IF(AND(C2802=Calc!$C$3,OR(Calc!$C$4=0,D2802=Calc!$C$4)),ROW(),0)</f>
        <v>2802</v>
      </c>
    </row>
    <row r="2803" customFormat="false" ht="15" hidden="false" customHeight="false" outlineLevel="0" collapsed="false">
      <c r="A2803" s="57" t="s">
        <v>3375</v>
      </c>
      <c r="B2803" s="58" t="n">
        <v>46013</v>
      </c>
      <c r="C2803" s="57" t="n">
        <f aca="false">YEAR(B2803)</f>
        <v>2025</v>
      </c>
      <c r="D2803" s="57" t="n">
        <f aca="false">MONTH(B2803)</f>
        <v>12</v>
      </c>
      <c r="E2803" s="57" t="s">
        <v>267</v>
      </c>
      <c r="F2803" s="57" t="s">
        <v>69</v>
      </c>
      <c r="G2803" s="57" t="s">
        <v>40</v>
      </c>
      <c r="H2803" s="57" t="s">
        <v>43</v>
      </c>
      <c r="I2803" s="59" t="n">
        <v>1</v>
      </c>
      <c r="J2803" s="60" t="n">
        <v>29</v>
      </c>
      <c r="K2803" s="60" t="n">
        <v>9</v>
      </c>
      <c r="L2803" s="61" t="n">
        <f aca="false">I2803*J2803</f>
        <v>29</v>
      </c>
      <c r="M2803" s="61" t="n">
        <f aca="false">L2803-I2803*K2803</f>
        <v>20</v>
      </c>
      <c r="N2803" s="57" t="n">
        <f aca="false">IF(COUNTIFS(E$2:E2803,E2803,C$2:C2803,C2803)=1,1,0)</f>
        <v>0</v>
      </c>
      <c r="O2803" s="57" t="n">
        <f aca="false">IF(COUNTIFS(E$2:E2803,E2803,C$2:C2803,C2803,D$2:D2803,D2803)=1,1,0)</f>
        <v>1</v>
      </c>
      <c r="P2803" s="57" t="n">
        <f aca="false">IF(AND(C2803=Calc!$C$3,OR(Calc!$C$4=0,D2803=Calc!$C$4)),ROW(),0)</f>
        <v>2803</v>
      </c>
    </row>
    <row r="2804" customFormat="false" ht="15" hidden="false" customHeight="false" outlineLevel="0" collapsed="false">
      <c r="A2804" s="57" t="s">
        <v>3376</v>
      </c>
      <c r="B2804" s="58" t="n">
        <v>46013</v>
      </c>
      <c r="C2804" s="57" t="n">
        <f aca="false">YEAR(B2804)</f>
        <v>2025</v>
      </c>
      <c r="D2804" s="57" t="n">
        <f aca="false">MONTH(B2804)</f>
        <v>12</v>
      </c>
      <c r="E2804" s="57" t="s">
        <v>238</v>
      </c>
      <c r="F2804" s="57" t="s">
        <v>78</v>
      </c>
      <c r="G2804" s="57" t="s">
        <v>45</v>
      </c>
      <c r="H2804" s="57" t="s">
        <v>47</v>
      </c>
      <c r="I2804" s="59" t="n">
        <v>1</v>
      </c>
      <c r="J2804" s="60" t="n">
        <v>34</v>
      </c>
      <c r="K2804" s="60" t="n">
        <v>12</v>
      </c>
      <c r="L2804" s="61" t="n">
        <f aca="false">I2804*J2804</f>
        <v>34</v>
      </c>
      <c r="M2804" s="61" t="n">
        <f aca="false">L2804-I2804*K2804</f>
        <v>22</v>
      </c>
      <c r="N2804" s="57" t="n">
        <f aca="false">IF(COUNTIFS(E$2:E2804,E2804,C$2:C2804,C2804)=1,1,0)</f>
        <v>0</v>
      </c>
      <c r="O2804" s="57" t="n">
        <f aca="false">IF(COUNTIFS(E$2:E2804,E2804,C$2:C2804,C2804,D$2:D2804,D2804)=1,1,0)</f>
        <v>1</v>
      </c>
      <c r="P2804" s="57" t="n">
        <f aca="false">IF(AND(C2804=Calc!$C$3,OR(Calc!$C$4=0,D2804=Calc!$C$4)),ROW(),0)</f>
        <v>2804</v>
      </c>
    </row>
    <row r="2805" customFormat="false" ht="15" hidden="false" customHeight="false" outlineLevel="0" collapsed="false">
      <c r="A2805" s="57" t="s">
        <v>3377</v>
      </c>
      <c r="B2805" s="58" t="n">
        <v>46013</v>
      </c>
      <c r="C2805" s="57" t="n">
        <f aca="false">YEAR(B2805)</f>
        <v>2025</v>
      </c>
      <c r="D2805" s="57" t="n">
        <f aca="false">MONTH(B2805)</f>
        <v>12</v>
      </c>
      <c r="E2805" s="57" t="s">
        <v>477</v>
      </c>
      <c r="F2805" s="57" t="s">
        <v>78</v>
      </c>
      <c r="G2805" s="57" t="s">
        <v>35</v>
      </c>
      <c r="H2805" s="57" t="s">
        <v>34</v>
      </c>
      <c r="I2805" s="59" t="n">
        <v>1</v>
      </c>
      <c r="J2805" s="60" t="n">
        <v>89</v>
      </c>
      <c r="K2805" s="60" t="n">
        <v>41</v>
      </c>
      <c r="L2805" s="61" t="n">
        <f aca="false">I2805*J2805</f>
        <v>89</v>
      </c>
      <c r="M2805" s="61" t="n">
        <f aca="false">L2805-I2805*K2805</f>
        <v>48</v>
      </c>
      <c r="N2805" s="57" t="n">
        <f aca="false">IF(COUNTIFS(E$2:E2805,E2805,C$2:C2805,C2805)=1,1,0)</f>
        <v>0</v>
      </c>
      <c r="O2805" s="57" t="n">
        <f aca="false">IF(COUNTIFS(E$2:E2805,E2805,C$2:C2805,C2805,D$2:D2805,D2805)=1,1,0)</f>
        <v>1</v>
      </c>
      <c r="P2805" s="57" t="n">
        <f aca="false">IF(AND(C2805=Calc!$C$3,OR(Calc!$C$4=0,D2805=Calc!$C$4)),ROW(),0)</f>
        <v>2805</v>
      </c>
    </row>
    <row r="2806" customFormat="false" ht="15" hidden="false" customHeight="false" outlineLevel="0" collapsed="false">
      <c r="A2806" s="57" t="s">
        <v>3378</v>
      </c>
      <c r="B2806" s="58" t="n">
        <v>46013</v>
      </c>
      <c r="C2806" s="57" t="n">
        <f aca="false">YEAR(B2806)</f>
        <v>2025</v>
      </c>
      <c r="D2806" s="57" t="n">
        <f aca="false">MONTH(B2806)</f>
        <v>12</v>
      </c>
      <c r="E2806" s="57" t="s">
        <v>680</v>
      </c>
      <c r="F2806" s="57" t="s">
        <v>81</v>
      </c>
      <c r="G2806" s="57" t="s">
        <v>35</v>
      </c>
      <c r="H2806" s="57" t="s">
        <v>38</v>
      </c>
      <c r="I2806" s="59" t="n">
        <v>1</v>
      </c>
      <c r="J2806" s="60" t="n">
        <v>49</v>
      </c>
      <c r="K2806" s="60" t="n">
        <v>22</v>
      </c>
      <c r="L2806" s="61" t="n">
        <f aca="false">I2806*J2806</f>
        <v>49</v>
      </c>
      <c r="M2806" s="61" t="n">
        <f aca="false">L2806-I2806*K2806</f>
        <v>27</v>
      </c>
      <c r="N2806" s="57" t="n">
        <f aca="false">IF(COUNTIFS(E$2:E2806,E2806,C$2:C2806,C2806)=1,1,0)</f>
        <v>1</v>
      </c>
      <c r="O2806" s="57" t="n">
        <f aca="false">IF(COUNTIFS(E$2:E2806,E2806,C$2:C2806,C2806,D$2:D2806,D2806)=1,1,0)</f>
        <v>1</v>
      </c>
      <c r="P2806" s="57" t="n">
        <f aca="false">IF(AND(C2806=Calc!$C$3,OR(Calc!$C$4=0,D2806=Calc!$C$4)),ROW(),0)</f>
        <v>2806</v>
      </c>
    </row>
    <row r="2807" customFormat="false" ht="15" hidden="false" customHeight="false" outlineLevel="0" collapsed="false">
      <c r="A2807" s="57" t="s">
        <v>3379</v>
      </c>
      <c r="B2807" s="58" t="n">
        <v>46013</v>
      </c>
      <c r="C2807" s="57" t="n">
        <f aca="false">YEAR(B2807)</f>
        <v>2025</v>
      </c>
      <c r="D2807" s="57" t="n">
        <f aca="false">MONTH(B2807)</f>
        <v>12</v>
      </c>
      <c r="E2807" s="57" t="s">
        <v>1240</v>
      </c>
      <c r="F2807" s="57" t="s">
        <v>69</v>
      </c>
      <c r="G2807" s="57" t="s">
        <v>40</v>
      </c>
      <c r="H2807" s="57" t="s">
        <v>41</v>
      </c>
      <c r="I2807" s="59" t="n">
        <v>2</v>
      </c>
      <c r="J2807" s="60" t="n">
        <v>46</v>
      </c>
      <c r="K2807" s="60" t="n">
        <v>16</v>
      </c>
      <c r="L2807" s="61" t="n">
        <f aca="false">I2807*J2807</f>
        <v>92</v>
      </c>
      <c r="M2807" s="61" t="n">
        <f aca="false">L2807-I2807*K2807</f>
        <v>60</v>
      </c>
      <c r="N2807" s="57" t="n">
        <f aca="false">IF(COUNTIFS(E$2:E2807,E2807,C$2:C2807,C2807)=1,1,0)</f>
        <v>0</v>
      </c>
      <c r="O2807" s="57" t="n">
        <f aca="false">IF(COUNTIFS(E$2:E2807,E2807,C$2:C2807,C2807,D$2:D2807,D2807)=1,1,0)</f>
        <v>1</v>
      </c>
      <c r="P2807" s="57" t="n">
        <f aca="false">IF(AND(C2807=Calc!$C$3,OR(Calc!$C$4=0,D2807=Calc!$C$4)),ROW(),0)</f>
        <v>2807</v>
      </c>
    </row>
    <row r="2808" customFormat="false" ht="15" hidden="false" customHeight="false" outlineLevel="0" collapsed="false">
      <c r="A2808" s="57" t="s">
        <v>3380</v>
      </c>
      <c r="B2808" s="58" t="n">
        <v>46014</v>
      </c>
      <c r="C2808" s="57" t="n">
        <f aca="false">YEAR(B2808)</f>
        <v>2025</v>
      </c>
      <c r="D2808" s="57" t="n">
        <f aca="false">MONTH(B2808)</f>
        <v>12</v>
      </c>
      <c r="E2808" s="57" t="s">
        <v>125</v>
      </c>
      <c r="F2808" s="57" t="s">
        <v>69</v>
      </c>
      <c r="G2808" s="57" t="s">
        <v>40</v>
      </c>
      <c r="H2808" s="57" t="s">
        <v>43</v>
      </c>
      <c r="I2808" s="59" t="n">
        <v>1</v>
      </c>
      <c r="J2808" s="60" t="n">
        <v>29</v>
      </c>
      <c r="K2808" s="60" t="n">
        <v>9</v>
      </c>
      <c r="L2808" s="61" t="n">
        <f aca="false">I2808*J2808</f>
        <v>29</v>
      </c>
      <c r="M2808" s="61" t="n">
        <f aca="false">L2808-I2808*K2808</f>
        <v>20</v>
      </c>
      <c r="N2808" s="57" t="n">
        <f aca="false">IF(COUNTIFS(E$2:E2808,E2808,C$2:C2808,C2808)=1,1,0)</f>
        <v>0</v>
      </c>
      <c r="O2808" s="57" t="n">
        <f aca="false">IF(COUNTIFS(E$2:E2808,E2808,C$2:C2808,C2808,D$2:D2808,D2808)=1,1,0)</f>
        <v>0</v>
      </c>
      <c r="P2808" s="57" t="n">
        <f aca="false">IF(AND(C2808=Calc!$C$3,OR(Calc!$C$4=0,D2808=Calc!$C$4)),ROW(),0)</f>
        <v>2808</v>
      </c>
    </row>
    <row r="2809" customFormat="false" ht="15" hidden="false" customHeight="false" outlineLevel="0" collapsed="false">
      <c r="A2809" s="57" t="s">
        <v>3381</v>
      </c>
      <c r="B2809" s="58" t="n">
        <v>46014</v>
      </c>
      <c r="C2809" s="57" t="n">
        <f aca="false">YEAR(B2809)</f>
        <v>2025</v>
      </c>
      <c r="D2809" s="57" t="n">
        <f aca="false">MONTH(B2809)</f>
        <v>12</v>
      </c>
      <c r="E2809" s="57" t="s">
        <v>361</v>
      </c>
      <c r="F2809" s="57" t="s">
        <v>69</v>
      </c>
      <c r="G2809" s="57" t="s">
        <v>45</v>
      </c>
      <c r="H2809" s="57" t="s">
        <v>44</v>
      </c>
      <c r="I2809" s="59" t="n">
        <v>1</v>
      </c>
      <c r="J2809" s="60" t="n">
        <v>119</v>
      </c>
      <c r="K2809" s="60" t="n">
        <v>63</v>
      </c>
      <c r="L2809" s="61" t="n">
        <f aca="false">I2809*J2809</f>
        <v>119</v>
      </c>
      <c r="M2809" s="61" t="n">
        <f aca="false">L2809-I2809*K2809</f>
        <v>56</v>
      </c>
      <c r="N2809" s="57" t="n">
        <f aca="false">IF(COUNTIFS(E$2:E2809,E2809,C$2:C2809,C2809)=1,1,0)</f>
        <v>0</v>
      </c>
      <c r="O2809" s="57" t="n">
        <f aca="false">IF(COUNTIFS(E$2:E2809,E2809,C$2:C2809,C2809,D$2:D2809,D2809)=1,1,0)</f>
        <v>0</v>
      </c>
      <c r="P2809" s="57" t="n">
        <f aca="false">IF(AND(C2809=Calc!$C$3,OR(Calc!$C$4=0,D2809=Calc!$C$4)),ROW(),0)</f>
        <v>2809</v>
      </c>
    </row>
    <row r="2810" customFormat="false" ht="15" hidden="false" customHeight="false" outlineLevel="0" collapsed="false">
      <c r="A2810" s="57" t="s">
        <v>3382</v>
      </c>
      <c r="B2810" s="58" t="n">
        <v>46014</v>
      </c>
      <c r="C2810" s="57" t="n">
        <f aca="false">YEAR(B2810)</f>
        <v>2025</v>
      </c>
      <c r="D2810" s="57" t="n">
        <f aca="false">MONTH(B2810)</f>
        <v>12</v>
      </c>
      <c r="E2810" s="57" t="s">
        <v>500</v>
      </c>
      <c r="F2810" s="57" t="s">
        <v>72</v>
      </c>
      <c r="G2810" s="57" t="s">
        <v>50</v>
      </c>
      <c r="H2810" s="57" t="s">
        <v>49</v>
      </c>
      <c r="I2810" s="59" t="n">
        <v>1</v>
      </c>
      <c r="J2810" s="60" t="n">
        <v>32</v>
      </c>
      <c r="K2810" s="60" t="n">
        <v>7</v>
      </c>
      <c r="L2810" s="61" t="n">
        <f aca="false">I2810*J2810</f>
        <v>32</v>
      </c>
      <c r="M2810" s="61" t="n">
        <f aca="false">L2810-I2810*K2810</f>
        <v>25</v>
      </c>
      <c r="N2810" s="57" t="n">
        <f aca="false">IF(COUNTIFS(E$2:E2810,E2810,C$2:C2810,C2810)=1,1,0)</f>
        <v>0</v>
      </c>
      <c r="O2810" s="57" t="n">
        <f aca="false">IF(COUNTIFS(E$2:E2810,E2810,C$2:C2810,C2810,D$2:D2810,D2810)=1,1,0)</f>
        <v>1</v>
      </c>
      <c r="P2810" s="57" t="n">
        <f aca="false">IF(AND(C2810=Calc!$C$3,OR(Calc!$C$4=0,D2810=Calc!$C$4)),ROW(),0)</f>
        <v>2810</v>
      </c>
    </row>
    <row r="2811" customFormat="false" ht="15" hidden="false" customHeight="false" outlineLevel="0" collapsed="false">
      <c r="A2811" s="57" t="s">
        <v>3383</v>
      </c>
      <c r="B2811" s="58" t="n">
        <v>46014</v>
      </c>
      <c r="C2811" s="57" t="n">
        <f aca="false">YEAR(B2811)</f>
        <v>2025</v>
      </c>
      <c r="D2811" s="57" t="n">
        <f aca="false">MONTH(B2811)</f>
        <v>12</v>
      </c>
      <c r="E2811" s="57" t="s">
        <v>986</v>
      </c>
      <c r="F2811" s="57" t="s">
        <v>75</v>
      </c>
      <c r="G2811" s="57" t="s">
        <v>45</v>
      </c>
      <c r="H2811" s="57" t="s">
        <v>46</v>
      </c>
      <c r="I2811" s="59" t="n">
        <v>1</v>
      </c>
      <c r="J2811" s="60" t="n">
        <v>149</v>
      </c>
      <c r="K2811" s="60" t="n">
        <v>71</v>
      </c>
      <c r="L2811" s="61" t="n">
        <f aca="false">I2811*J2811</f>
        <v>149</v>
      </c>
      <c r="M2811" s="61" t="n">
        <f aca="false">L2811-I2811*K2811</f>
        <v>78</v>
      </c>
      <c r="N2811" s="57" t="n">
        <f aca="false">IF(COUNTIFS(E$2:E2811,E2811,C$2:C2811,C2811)=1,1,0)</f>
        <v>0</v>
      </c>
      <c r="O2811" s="57" t="n">
        <f aca="false">IF(COUNTIFS(E$2:E2811,E2811,C$2:C2811,C2811,D$2:D2811,D2811)=1,1,0)</f>
        <v>1</v>
      </c>
      <c r="P2811" s="57" t="n">
        <f aca="false">IF(AND(C2811=Calc!$C$3,OR(Calc!$C$4=0,D2811=Calc!$C$4)),ROW(),0)</f>
        <v>2811</v>
      </c>
    </row>
    <row r="2812" customFormat="false" ht="15" hidden="false" customHeight="false" outlineLevel="0" collapsed="false">
      <c r="A2812" s="57" t="s">
        <v>3384</v>
      </c>
      <c r="B2812" s="58" t="n">
        <v>46014</v>
      </c>
      <c r="C2812" s="57" t="n">
        <f aca="false">YEAR(B2812)</f>
        <v>2025</v>
      </c>
      <c r="D2812" s="57" t="n">
        <f aca="false">MONTH(B2812)</f>
        <v>12</v>
      </c>
      <c r="E2812" s="57" t="s">
        <v>428</v>
      </c>
      <c r="F2812" s="57" t="s">
        <v>78</v>
      </c>
      <c r="G2812" s="57" t="s">
        <v>40</v>
      </c>
      <c r="H2812" s="57" t="s">
        <v>39</v>
      </c>
      <c r="I2812" s="59" t="n">
        <v>1</v>
      </c>
      <c r="J2812" s="60" t="n">
        <v>54</v>
      </c>
      <c r="K2812" s="60" t="n">
        <v>19</v>
      </c>
      <c r="L2812" s="61" t="n">
        <f aca="false">I2812*J2812</f>
        <v>54</v>
      </c>
      <c r="M2812" s="61" t="n">
        <f aca="false">L2812-I2812*K2812</f>
        <v>35</v>
      </c>
      <c r="N2812" s="57" t="n">
        <f aca="false">IF(COUNTIFS(E$2:E2812,E2812,C$2:C2812,C2812)=1,1,0)</f>
        <v>0</v>
      </c>
      <c r="O2812" s="57" t="n">
        <f aca="false">IF(COUNTIFS(E$2:E2812,E2812,C$2:C2812,C2812,D$2:D2812,D2812)=1,1,0)</f>
        <v>1</v>
      </c>
      <c r="P2812" s="57" t="n">
        <f aca="false">IF(AND(C2812=Calc!$C$3,OR(Calc!$C$4=0,D2812=Calc!$C$4)),ROW(),0)</f>
        <v>2812</v>
      </c>
    </row>
    <row r="2813" customFormat="false" ht="15" hidden="false" customHeight="false" outlineLevel="0" collapsed="false">
      <c r="A2813" s="57" t="s">
        <v>3385</v>
      </c>
      <c r="B2813" s="58" t="n">
        <v>46015</v>
      </c>
      <c r="C2813" s="57" t="n">
        <f aca="false">YEAR(B2813)</f>
        <v>2025</v>
      </c>
      <c r="D2813" s="57" t="n">
        <f aca="false">MONTH(B2813)</f>
        <v>12</v>
      </c>
      <c r="E2813" s="57" t="s">
        <v>696</v>
      </c>
      <c r="F2813" s="57" t="s">
        <v>72</v>
      </c>
      <c r="G2813" s="57" t="s">
        <v>40</v>
      </c>
      <c r="H2813" s="57" t="s">
        <v>43</v>
      </c>
      <c r="I2813" s="59" t="n">
        <v>1</v>
      </c>
      <c r="J2813" s="60" t="n">
        <v>29</v>
      </c>
      <c r="K2813" s="60" t="n">
        <v>9</v>
      </c>
      <c r="L2813" s="61" t="n">
        <f aca="false">I2813*J2813</f>
        <v>29</v>
      </c>
      <c r="M2813" s="61" t="n">
        <f aca="false">L2813-I2813*K2813</f>
        <v>20</v>
      </c>
      <c r="N2813" s="57" t="n">
        <f aca="false">IF(COUNTIFS(E$2:E2813,E2813,C$2:C2813,C2813)=1,1,0)</f>
        <v>0</v>
      </c>
      <c r="O2813" s="57" t="n">
        <f aca="false">IF(COUNTIFS(E$2:E2813,E2813,C$2:C2813,C2813,D$2:D2813,D2813)=1,1,0)</f>
        <v>1</v>
      </c>
      <c r="P2813" s="57" t="n">
        <f aca="false">IF(AND(C2813=Calc!$C$3,OR(Calc!$C$4=0,D2813=Calc!$C$4)),ROW(),0)</f>
        <v>2813</v>
      </c>
    </row>
    <row r="2814" customFormat="false" ht="15" hidden="false" customHeight="false" outlineLevel="0" collapsed="false">
      <c r="A2814" s="57" t="s">
        <v>3386</v>
      </c>
      <c r="B2814" s="58" t="n">
        <v>46015</v>
      </c>
      <c r="C2814" s="57" t="n">
        <f aca="false">YEAR(B2814)</f>
        <v>2025</v>
      </c>
      <c r="D2814" s="57" t="n">
        <f aca="false">MONTH(B2814)</f>
        <v>12</v>
      </c>
      <c r="E2814" s="57" t="s">
        <v>1792</v>
      </c>
      <c r="F2814" s="57" t="s">
        <v>75</v>
      </c>
      <c r="G2814" s="57" t="s">
        <v>45</v>
      </c>
      <c r="H2814" s="57" t="s">
        <v>44</v>
      </c>
      <c r="I2814" s="59" t="n">
        <v>2</v>
      </c>
      <c r="J2814" s="60" t="n">
        <v>119</v>
      </c>
      <c r="K2814" s="60" t="n">
        <v>63</v>
      </c>
      <c r="L2814" s="61" t="n">
        <f aca="false">I2814*J2814</f>
        <v>238</v>
      </c>
      <c r="M2814" s="61" t="n">
        <f aca="false">L2814-I2814*K2814</f>
        <v>112</v>
      </c>
      <c r="N2814" s="57" t="n">
        <f aca="false">IF(COUNTIFS(E$2:E2814,E2814,C$2:C2814,C2814)=1,1,0)</f>
        <v>0</v>
      </c>
      <c r="O2814" s="57" t="n">
        <f aca="false">IF(COUNTIFS(E$2:E2814,E2814,C$2:C2814,C2814,D$2:D2814,D2814)=1,1,0)</f>
        <v>1</v>
      </c>
      <c r="P2814" s="57" t="n">
        <f aca="false">IF(AND(C2814=Calc!$C$3,OR(Calc!$C$4=0,D2814=Calc!$C$4)),ROW(),0)</f>
        <v>2814</v>
      </c>
    </row>
    <row r="2815" customFormat="false" ht="15" hidden="false" customHeight="false" outlineLevel="0" collapsed="false">
      <c r="A2815" s="57" t="s">
        <v>3387</v>
      </c>
      <c r="B2815" s="58" t="n">
        <v>46015</v>
      </c>
      <c r="C2815" s="57" t="n">
        <f aca="false">YEAR(B2815)</f>
        <v>2025</v>
      </c>
      <c r="D2815" s="57" t="n">
        <f aca="false">MONTH(B2815)</f>
        <v>12</v>
      </c>
      <c r="E2815" s="57" t="s">
        <v>259</v>
      </c>
      <c r="F2815" s="57" t="s">
        <v>78</v>
      </c>
      <c r="G2815" s="57" t="s">
        <v>54</v>
      </c>
      <c r="H2815" s="57" t="s">
        <v>56</v>
      </c>
      <c r="I2815" s="59" t="n">
        <v>1</v>
      </c>
      <c r="J2815" s="60" t="n">
        <v>42</v>
      </c>
      <c r="K2815" s="60" t="n">
        <v>17</v>
      </c>
      <c r="L2815" s="61" t="n">
        <f aca="false">I2815*J2815</f>
        <v>42</v>
      </c>
      <c r="M2815" s="61" t="n">
        <f aca="false">L2815-I2815*K2815</f>
        <v>25</v>
      </c>
      <c r="N2815" s="57" t="n">
        <f aca="false">IF(COUNTIFS(E$2:E2815,E2815,C$2:C2815,C2815)=1,1,0)</f>
        <v>1</v>
      </c>
      <c r="O2815" s="57" t="n">
        <f aca="false">IF(COUNTIFS(E$2:E2815,E2815,C$2:C2815,C2815,D$2:D2815,D2815)=1,1,0)</f>
        <v>1</v>
      </c>
      <c r="P2815" s="57" t="n">
        <f aca="false">IF(AND(C2815=Calc!$C$3,OR(Calc!$C$4=0,D2815=Calc!$C$4)),ROW(),0)</f>
        <v>2815</v>
      </c>
    </row>
    <row r="2816" customFormat="false" ht="15" hidden="false" customHeight="false" outlineLevel="0" collapsed="false">
      <c r="A2816" s="57" t="s">
        <v>3388</v>
      </c>
      <c r="B2816" s="58" t="n">
        <v>46015</v>
      </c>
      <c r="C2816" s="57" t="n">
        <f aca="false">YEAR(B2816)</f>
        <v>2025</v>
      </c>
      <c r="D2816" s="57" t="n">
        <f aca="false">MONTH(B2816)</f>
        <v>12</v>
      </c>
      <c r="E2816" s="57" t="s">
        <v>1304</v>
      </c>
      <c r="F2816" s="57" t="s">
        <v>78</v>
      </c>
      <c r="G2816" s="57" t="s">
        <v>40</v>
      </c>
      <c r="H2816" s="57" t="s">
        <v>41</v>
      </c>
      <c r="I2816" s="59" t="n">
        <v>2</v>
      </c>
      <c r="J2816" s="60" t="n">
        <v>46</v>
      </c>
      <c r="K2816" s="60" t="n">
        <v>16</v>
      </c>
      <c r="L2816" s="61" t="n">
        <f aca="false">I2816*J2816</f>
        <v>92</v>
      </c>
      <c r="M2816" s="61" t="n">
        <f aca="false">L2816-I2816*K2816</f>
        <v>60</v>
      </c>
      <c r="N2816" s="57" t="n">
        <f aca="false">IF(COUNTIFS(E$2:E2816,E2816,C$2:C2816,C2816)=1,1,0)</f>
        <v>0</v>
      </c>
      <c r="O2816" s="57" t="n">
        <f aca="false">IF(COUNTIFS(E$2:E2816,E2816,C$2:C2816,C2816,D$2:D2816,D2816)=1,1,0)</f>
        <v>0</v>
      </c>
      <c r="P2816" s="57" t="n">
        <f aca="false">IF(AND(C2816=Calc!$C$3,OR(Calc!$C$4=0,D2816=Calc!$C$4)),ROW(),0)</f>
        <v>2816</v>
      </c>
    </row>
    <row r="2817" customFormat="false" ht="15" hidden="false" customHeight="false" outlineLevel="0" collapsed="false">
      <c r="A2817" s="57" t="s">
        <v>3389</v>
      </c>
      <c r="B2817" s="58" t="n">
        <v>46015</v>
      </c>
      <c r="C2817" s="57" t="n">
        <f aca="false">YEAR(B2817)</f>
        <v>2025</v>
      </c>
      <c r="D2817" s="57" t="n">
        <f aca="false">MONTH(B2817)</f>
        <v>12</v>
      </c>
      <c r="E2817" s="57" t="s">
        <v>1107</v>
      </c>
      <c r="F2817" s="57" t="s">
        <v>78</v>
      </c>
      <c r="G2817" s="57" t="s">
        <v>35</v>
      </c>
      <c r="H2817" s="57" t="s">
        <v>36</v>
      </c>
      <c r="I2817" s="59" t="n">
        <v>1</v>
      </c>
      <c r="J2817" s="60" t="n">
        <v>179</v>
      </c>
      <c r="K2817" s="60" t="n">
        <v>92</v>
      </c>
      <c r="L2817" s="61" t="n">
        <f aca="false">I2817*J2817</f>
        <v>179</v>
      </c>
      <c r="M2817" s="61" t="n">
        <f aca="false">L2817-I2817*K2817</f>
        <v>87</v>
      </c>
      <c r="N2817" s="57" t="n">
        <f aca="false">IF(COUNTIFS(E$2:E2817,E2817,C$2:C2817,C2817)=1,1,0)</f>
        <v>0</v>
      </c>
      <c r="O2817" s="57" t="n">
        <f aca="false">IF(COUNTIFS(E$2:E2817,E2817,C$2:C2817,C2817,D$2:D2817,D2817)=1,1,0)</f>
        <v>1</v>
      </c>
      <c r="P2817" s="57" t="n">
        <f aca="false">IF(AND(C2817=Calc!$C$3,OR(Calc!$C$4=0,D2817=Calc!$C$4)),ROW(),0)</f>
        <v>2817</v>
      </c>
    </row>
    <row r="2818" customFormat="false" ht="15" hidden="false" customHeight="false" outlineLevel="0" collapsed="false">
      <c r="A2818" s="57" t="s">
        <v>3390</v>
      </c>
      <c r="B2818" s="58" t="n">
        <v>46015</v>
      </c>
      <c r="C2818" s="57" t="n">
        <f aca="false">YEAR(B2818)</f>
        <v>2025</v>
      </c>
      <c r="D2818" s="57" t="n">
        <f aca="false">MONTH(B2818)</f>
        <v>12</v>
      </c>
      <c r="E2818" s="57" t="s">
        <v>1109</v>
      </c>
      <c r="F2818" s="57" t="s">
        <v>78</v>
      </c>
      <c r="G2818" s="57" t="s">
        <v>40</v>
      </c>
      <c r="H2818" s="57" t="s">
        <v>42</v>
      </c>
      <c r="I2818" s="59" t="n">
        <v>2</v>
      </c>
      <c r="J2818" s="60" t="n">
        <v>79</v>
      </c>
      <c r="K2818" s="60" t="n">
        <v>31</v>
      </c>
      <c r="L2818" s="61" t="n">
        <f aca="false">I2818*J2818</f>
        <v>158</v>
      </c>
      <c r="M2818" s="61" t="n">
        <f aca="false">L2818-I2818*K2818</f>
        <v>96</v>
      </c>
      <c r="N2818" s="57" t="n">
        <f aca="false">IF(COUNTIFS(E$2:E2818,E2818,C$2:C2818,C2818)=1,1,0)</f>
        <v>0</v>
      </c>
      <c r="O2818" s="57" t="n">
        <f aca="false">IF(COUNTIFS(E$2:E2818,E2818,C$2:C2818,C2818,D$2:D2818,D2818)=1,1,0)</f>
        <v>1</v>
      </c>
      <c r="P2818" s="57" t="n">
        <f aca="false">IF(AND(C2818=Calc!$C$3,OR(Calc!$C$4=0,D2818=Calc!$C$4)),ROW(),0)</f>
        <v>2818</v>
      </c>
    </row>
    <row r="2819" customFormat="false" ht="15" hidden="false" customHeight="false" outlineLevel="0" collapsed="false">
      <c r="A2819" s="57" t="s">
        <v>3391</v>
      </c>
      <c r="B2819" s="58" t="n">
        <v>46016</v>
      </c>
      <c r="C2819" s="57" t="n">
        <f aca="false">YEAR(B2819)</f>
        <v>2025</v>
      </c>
      <c r="D2819" s="57" t="n">
        <f aca="false">MONTH(B2819)</f>
        <v>12</v>
      </c>
      <c r="E2819" s="57" t="s">
        <v>1980</v>
      </c>
      <c r="F2819" s="57" t="s">
        <v>81</v>
      </c>
      <c r="G2819" s="57" t="s">
        <v>35</v>
      </c>
      <c r="H2819" s="57" t="s">
        <v>34</v>
      </c>
      <c r="I2819" s="59" t="n">
        <v>1</v>
      </c>
      <c r="J2819" s="60" t="n">
        <v>89</v>
      </c>
      <c r="K2819" s="60" t="n">
        <v>41</v>
      </c>
      <c r="L2819" s="61" t="n">
        <f aca="false">I2819*J2819</f>
        <v>89</v>
      </c>
      <c r="M2819" s="61" t="n">
        <f aca="false">L2819-I2819*K2819</f>
        <v>48</v>
      </c>
      <c r="N2819" s="57" t="n">
        <f aca="false">IF(COUNTIFS(E$2:E2819,E2819,C$2:C2819,C2819)=1,1,0)</f>
        <v>0</v>
      </c>
      <c r="O2819" s="57" t="n">
        <f aca="false">IF(COUNTIFS(E$2:E2819,E2819,C$2:C2819,C2819,D$2:D2819,D2819)=1,1,0)</f>
        <v>1</v>
      </c>
      <c r="P2819" s="57" t="n">
        <f aca="false">IF(AND(C2819=Calc!$C$3,OR(Calc!$C$4=0,D2819=Calc!$C$4)),ROW(),0)</f>
        <v>2819</v>
      </c>
    </row>
    <row r="2820" customFormat="false" ht="15" hidden="false" customHeight="false" outlineLevel="0" collapsed="false">
      <c r="A2820" s="57" t="s">
        <v>3392</v>
      </c>
      <c r="B2820" s="58" t="n">
        <v>46016</v>
      </c>
      <c r="C2820" s="57" t="n">
        <f aca="false">YEAR(B2820)</f>
        <v>2025</v>
      </c>
      <c r="D2820" s="57" t="n">
        <f aca="false">MONTH(B2820)</f>
        <v>12</v>
      </c>
      <c r="E2820" s="57" t="s">
        <v>193</v>
      </c>
      <c r="F2820" s="57" t="s">
        <v>78</v>
      </c>
      <c r="G2820" s="57" t="s">
        <v>40</v>
      </c>
      <c r="H2820" s="57" t="s">
        <v>43</v>
      </c>
      <c r="I2820" s="59" t="n">
        <v>1</v>
      </c>
      <c r="J2820" s="60" t="n">
        <v>29</v>
      </c>
      <c r="K2820" s="60" t="n">
        <v>9</v>
      </c>
      <c r="L2820" s="61" t="n">
        <f aca="false">I2820*J2820</f>
        <v>29</v>
      </c>
      <c r="M2820" s="61" t="n">
        <f aca="false">L2820-I2820*K2820</f>
        <v>20</v>
      </c>
      <c r="N2820" s="57" t="n">
        <f aca="false">IF(COUNTIFS(E$2:E2820,E2820,C$2:C2820,C2820)=1,1,0)</f>
        <v>0</v>
      </c>
      <c r="O2820" s="57" t="n">
        <f aca="false">IF(COUNTIFS(E$2:E2820,E2820,C$2:C2820,C2820,D$2:D2820,D2820)=1,1,0)</f>
        <v>1</v>
      </c>
      <c r="P2820" s="57" t="n">
        <f aca="false">IF(AND(C2820=Calc!$C$3,OR(Calc!$C$4=0,D2820=Calc!$C$4)),ROW(),0)</f>
        <v>2820</v>
      </c>
    </row>
    <row r="2821" customFormat="false" ht="15" hidden="false" customHeight="false" outlineLevel="0" collapsed="false">
      <c r="A2821" s="57" t="s">
        <v>3393</v>
      </c>
      <c r="B2821" s="58" t="n">
        <v>46016</v>
      </c>
      <c r="C2821" s="57" t="n">
        <f aca="false">YEAR(B2821)</f>
        <v>2025</v>
      </c>
      <c r="D2821" s="57" t="n">
        <f aca="false">MONTH(B2821)</f>
        <v>12</v>
      </c>
      <c r="E2821" s="57" t="s">
        <v>1046</v>
      </c>
      <c r="F2821" s="57" t="s">
        <v>69</v>
      </c>
      <c r="G2821" s="57" t="s">
        <v>50</v>
      </c>
      <c r="H2821" s="57" t="s">
        <v>52</v>
      </c>
      <c r="I2821" s="59" t="n">
        <v>1</v>
      </c>
      <c r="J2821" s="60" t="n">
        <v>45</v>
      </c>
      <c r="K2821" s="60" t="n">
        <v>14</v>
      </c>
      <c r="L2821" s="61" t="n">
        <f aca="false">I2821*J2821</f>
        <v>45</v>
      </c>
      <c r="M2821" s="61" t="n">
        <f aca="false">L2821-I2821*K2821</f>
        <v>31</v>
      </c>
      <c r="N2821" s="57" t="n">
        <f aca="false">IF(COUNTIFS(E$2:E2821,E2821,C$2:C2821,C2821)=1,1,0)</f>
        <v>0</v>
      </c>
      <c r="O2821" s="57" t="n">
        <f aca="false">IF(COUNTIFS(E$2:E2821,E2821,C$2:C2821,C2821,D$2:D2821,D2821)=1,1,0)</f>
        <v>1</v>
      </c>
      <c r="P2821" s="57" t="n">
        <f aca="false">IF(AND(C2821=Calc!$C$3,OR(Calc!$C$4=0,D2821=Calc!$C$4)),ROW(),0)</f>
        <v>2821</v>
      </c>
    </row>
    <row r="2822" customFormat="false" ht="15" hidden="false" customHeight="false" outlineLevel="0" collapsed="false">
      <c r="A2822" s="57" t="s">
        <v>3394</v>
      </c>
      <c r="B2822" s="58" t="n">
        <v>46016</v>
      </c>
      <c r="C2822" s="57" t="n">
        <f aca="false">YEAR(B2822)</f>
        <v>2025</v>
      </c>
      <c r="D2822" s="57" t="n">
        <f aca="false">MONTH(B2822)</f>
        <v>12</v>
      </c>
      <c r="E2822" s="57" t="s">
        <v>363</v>
      </c>
      <c r="F2822" s="57" t="s">
        <v>81</v>
      </c>
      <c r="G2822" s="57" t="s">
        <v>50</v>
      </c>
      <c r="H2822" s="57" t="s">
        <v>49</v>
      </c>
      <c r="I2822" s="59" t="n">
        <v>1</v>
      </c>
      <c r="J2822" s="60" t="n">
        <v>32</v>
      </c>
      <c r="K2822" s="60" t="n">
        <v>7</v>
      </c>
      <c r="L2822" s="61" t="n">
        <f aca="false">I2822*J2822</f>
        <v>32</v>
      </c>
      <c r="M2822" s="61" t="n">
        <f aca="false">L2822-I2822*K2822</f>
        <v>25</v>
      </c>
      <c r="N2822" s="57" t="n">
        <f aca="false">IF(COUNTIFS(E$2:E2822,E2822,C$2:C2822,C2822)=1,1,0)</f>
        <v>0</v>
      </c>
      <c r="O2822" s="57" t="n">
        <f aca="false">IF(COUNTIFS(E$2:E2822,E2822,C$2:C2822,C2822,D$2:D2822,D2822)=1,1,0)</f>
        <v>1</v>
      </c>
      <c r="P2822" s="57" t="n">
        <f aca="false">IF(AND(C2822=Calc!$C$3,OR(Calc!$C$4=0,D2822=Calc!$C$4)),ROW(),0)</f>
        <v>2822</v>
      </c>
    </row>
    <row r="2823" customFormat="false" ht="15" hidden="false" customHeight="false" outlineLevel="0" collapsed="false">
      <c r="A2823" s="57" t="s">
        <v>3395</v>
      </c>
      <c r="B2823" s="58" t="n">
        <v>46016</v>
      </c>
      <c r="C2823" s="57" t="n">
        <f aca="false">YEAR(B2823)</f>
        <v>2025</v>
      </c>
      <c r="D2823" s="57" t="n">
        <f aca="false">MONTH(B2823)</f>
        <v>12</v>
      </c>
      <c r="E2823" s="57" t="s">
        <v>146</v>
      </c>
      <c r="F2823" s="57" t="s">
        <v>78</v>
      </c>
      <c r="G2823" s="57" t="s">
        <v>35</v>
      </c>
      <c r="H2823" s="57" t="s">
        <v>38</v>
      </c>
      <c r="I2823" s="59" t="n">
        <v>1</v>
      </c>
      <c r="J2823" s="60" t="n">
        <v>49</v>
      </c>
      <c r="K2823" s="60" t="n">
        <v>22</v>
      </c>
      <c r="L2823" s="61" t="n">
        <f aca="false">I2823*J2823</f>
        <v>49</v>
      </c>
      <c r="M2823" s="61" t="n">
        <f aca="false">L2823-I2823*K2823</f>
        <v>27</v>
      </c>
      <c r="N2823" s="57" t="n">
        <f aca="false">IF(COUNTIFS(E$2:E2823,E2823,C$2:C2823,C2823)=1,1,0)</f>
        <v>0</v>
      </c>
      <c r="O2823" s="57" t="n">
        <f aca="false">IF(COUNTIFS(E$2:E2823,E2823,C$2:C2823,C2823,D$2:D2823,D2823)=1,1,0)</f>
        <v>1</v>
      </c>
      <c r="P2823" s="57" t="n">
        <f aca="false">IF(AND(C2823=Calc!$C$3,OR(Calc!$C$4=0,D2823=Calc!$C$4)),ROW(),0)</f>
        <v>2823</v>
      </c>
    </row>
    <row r="2824" customFormat="false" ht="15" hidden="false" customHeight="false" outlineLevel="0" collapsed="false">
      <c r="A2824" s="57" t="s">
        <v>3396</v>
      </c>
      <c r="B2824" s="58" t="n">
        <v>46016</v>
      </c>
      <c r="C2824" s="57" t="n">
        <f aca="false">YEAR(B2824)</f>
        <v>2025</v>
      </c>
      <c r="D2824" s="57" t="n">
        <f aca="false">MONTH(B2824)</f>
        <v>12</v>
      </c>
      <c r="E2824" s="57" t="s">
        <v>725</v>
      </c>
      <c r="F2824" s="57" t="s">
        <v>69</v>
      </c>
      <c r="G2824" s="57" t="s">
        <v>35</v>
      </c>
      <c r="H2824" s="57" t="s">
        <v>34</v>
      </c>
      <c r="I2824" s="59" t="n">
        <v>2</v>
      </c>
      <c r="J2824" s="60" t="n">
        <v>89</v>
      </c>
      <c r="K2824" s="60" t="n">
        <v>41</v>
      </c>
      <c r="L2824" s="61" t="n">
        <f aca="false">I2824*J2824</f>
        <v>178</v>
      </c>
      <c r="M2824" s="61" t="n">
        <f aca="false">L2824-I2824*K2824</f>
        <v>96</v>
      </c>
      <c r="N2824" s="57" t="n">
        <f aca="false">IF(COUNTIFS(E$2:E2824,E2824,C$2:C2824,C2824)=1,1,0)</f>
        <v>0</v>
      </c>
      <c r="O2824" s="57" t="n">
        <f aca="false">IF(COUNTIFS(E$2:E2824,E2824,C$2:C2824,C2824,D$2:D2824,D2824)=1,1,0)</f>
        <v>1</v>
      </c>
      <c r="P2824" s="57" t="n">
        <f aca="false">IF(AND(C2824=Calc!$C$3,OR(Calc!$C$4=0,D2824=Calc!$C$4)),ROW(),0)</f>
        <v>2824</v>
      </c>
    </row>
    <row r="2825" customFormat="false" ht="15" hidden="false" customHeight="false" outlineLevel="0" collapsed="false">
      <c r="A2825" s="57" t="s">
        <v>3397</v>
      </c>
      <c r="B2825" s="58" t="n">
        <v>46017</v>
      </c>
      <c r="C2825" s="57" t="n">
        <f aca="false">YEAR(B2825)</f>
        <v>2025</v>
      </c>
      <c r="D2825" s="57" t="n">
        <f aca="false">MONTH(B2825)</f>
        <v>12</v>
      </c>
      <c r="E2825" s="57" t="s">
        <v>510</v>
      </c>
      <c r="F2825" s="57" t="s">
        <v>78</v>
      </c>
      <c r="G2825" s="57" t="s">
        <v>35</v>
      </c>
      <c r="H2825" s="57" t="s">
        <v>34</v>
      </c>
      <c r="I2825" s="59" t="n">
        <v>1</v>
      </c>
      <c r="J2825" s="60" t="n">
        <v>89</v>
      </c>
      <c r="K2825" s="60" t="n">
        <v>41</v>
      </c>
      <c r="L2825" s="61" t="n">
        <f aca="false">I2825*J2825</f>
        <v>89</v>
      </c>
      <c r="M2825" s="61" t="n">
        <f aca="false">L2825-I2825*K2825</f>
        <v>48</v>
      </c>
      <c r="N2825" s="57" t="n">
        <f aca="false">IF(COUNTIFS(E$2:E2825,E2825,C$2:C2825,C2825)=1,1,0)</f>
        <v>0</v>
      </c>
      <c r="O2825" s="57" t="n">
        <f aca="false">IF(COUNTIFS(E$2:E2825,E2825,C$2:C2825,C2825,D$2:D2825,D2825)=1,1,0)</f>
        <v>0</v>
      </c>
      <c r="P2825" s="57" t="n">
        <f aca="false">IF(AND(C2825=Calc!$C$3,OR(Calc!$C$4=0,D2825=Calc!$C$4)),ROW(),0)</f>
        <v>2825</v>
      </c>
    </row>
    <row r="2826" customFormat="false" ht="15" hidden="false" customHeight="false" outlineLevel="0" collapsed="false">
      <c r="A2826" s="57" t="s">
        <v>3398</v>
      </c>
      <c r="B2826" s="58" t="n">
        <v>46017</v>
      </c>
      <c r="C2826" s="57" t="n">
        <f aca="false">YEAR(B2826)</f>
        <v>2025</v>
      </c>
      <c r="D2826" s="57" t="n">
        <f aca="false">MONTH(B2826)</f>
        <v>12</v>
      </c>
      <c r="E2826" s="57" t="s">
        <v>698</v>
      </c>
      <c r="F2826" s="57" t="s">
        <v>75</v>
      </c>
      <c r="G2826" s="57" t="s">
        <v>45</v>
      </c>
      <c r="H2826" s="57" t="s">
        <v>46</v>
      </c>
      <c r="I2826" s="59" t="n">
        <v>1</v>
      </c>
      <c r="J2826" s="60" t="n">
        <v>149</v>
      </c>
      <c r="K2826" s="60" t="n">
        <v>71</v>
      </c>
      <c r="L2826" s="61" t="n">
        <f aca="false">I2826*J2826</f>
        <v>149</v>
      </c>
      <c r="M2826" s="61" t="n">
        <f aca="false">L2826-I2826*K2826</f>
        <v>78</v>
      </c>
      <c r="N2826" s="57" t="n">
        <f aca="false">IF(COUNTIFS(E$2:E2826,E2826,C$2:C2826,C2826)=1,1,0)</f>
        <v>0</v>
      </c>
      <c r="O2826" s="57" t="n">
        <f aca="false">IF(COUNTIFS(E$2:E2826,E2826,C$2:C2826,C2826,D$2:D2826,D2826)=1,1,0)</f>
        <v>1</v>
      </c>
      <c r="P2826" s="57" t="n">
        <f aca="false">IF(AND(C2826=Calc!$C$3,OR(Calc!$C$4=0,D2826=Calc!$C$4)),ROW(),0)</f>
        <v>2826</v>
      </c>
    </row>
    <row r="2827" customFormat="false" ht="15" hidden="false" customHeight="false" outlineLevel="0" collapsed="false">
      <c r="A2827" s="57" t="s">
        <v>3399</v>
      </c>
      <c r="B2827" s="58" t="n">
        <v>46017</v>
      </c>
      <c r="C2827" s="57" t="n">
        <f aca="false">YEAR(B2827)</f>
        <v>2025</v>
      </c>
      <c r="D2827" s="57" t="n">
        <f aca="false">MONTH(B2827)</f>
        <v>12</v>
      </c>
      <c r="E2827" s="57" t="s">
        <v>580</v>
      </c>
      <c r="F2827" s="57" t="s">
        <v>75</v>
      </c>
      <c r="G2827" s="57" t="s">
        <v>45</v>
      </c>
      <c r="H2827" s="57" t="s">
        <v>48</v>
      </c>
      <c r="I2827" s="59" t="n">
        <v>2</v>
      </c>
      <c r="J2827" s="60" t="n">
        <v>99</v>
      </c>
      <c r="K2827" s="60" t="n">
        <v>38</v>
      </c>
      <c r="L2827" s="61" t="n">
        <f aca="false">I2827*J2827</f>
        <v>198</v>
      </c>
      <c r="M2827" s="61" t="n">
        <f aca="false">L2827-I2827*K2827</f>
        <v>122</v>
      </c>
      <c r="N2827" s="57" t="n">
        <f aca="false">IF(COUNTIFS(E$2:E2827,E2827,C$2:C2827,C2827)=1,1,0)</f>
        <v>0</v>
      </c>
      <c r="O2827" s="57" t="n">
        <f aca="false">IF(COUNTIFS(E$2:E2827,E2827,C$2:C2827,C2827,D$2:D2827,D2827)=1,1,0)</f>
        <v>1</v>
      </c>
      <c r="P2827" s="57" t="n">
        <f aca="false">IF(AND(C2827=Calc!$C$3,OR(Calc!$C$4=0,D2827=Calc!$C$4)),ROW(),0)</f>
        <v>2827</v>
      </c>
    </row>
    <row r="2828" customFormat="false" ht="15" hidden="false" customHeight="false" outlineLevel="0" collapsed="false">
      <c r="A2828" s="57" t="s">
        <v>3400</v>
      </c>
      <c r="B2828" s="58" t="n">
        <v>46017</v>
      </c>
      <c r="C2828" s="57" t="n">
        <f aca="false">YEAR(B2828)</f>
        <v>2025</v>
      </c>
      <c r="D2828" s="57" t="n">
        <f aca="false">MONTH(B2828)</f>
        <v>12</v>
      </c>
      <c r="E2828" s="57" t="s">
        <v>77</v>
      </c>
      <c r="F2828" s="57" t="s">
        <v>78</v>
      </c>
      <c r="G2828" s="57" t="s">
        <v>35</v>
      </c>
      <c r="H2828" s="57" t="s">
        <v>37</v>
      </c>
      <c r="I2828" s="59" t="n">
        <v>1</v>
      </c>
      <c r="J2828" s="60" t="n">
        <v>59</v>
      </c>
      <c r="K2828" s="60" t="n">
        <v>27</v>
      </c>
      <c r="L2828" s="61" t="n">
        <f aca="false">I2828*J2828</f>
        <v>59</v>
      </c>
      <c r="M2828" s="61" t="n">
        <f aca="false">L2828-I2828*K2828</f>
        <v>32</v>
      </c>
      <c r="N2828" s="57" t="n">
        <f aca="false">IF(COUNTIFS(E$2:E2828,E2828,C$2:C2828,C2828)=1,1,0)</f>
        <v>0</v>
      </c>
      <c r="O2828" s="57" t="n">
        <f aca="false">IF(COUNTIFS(E$2:E2828,E2828,C$2:C2828,C2828,D$2:D2828,D2828)=1,1,0)</f>
        <v>0</v>
      </c>
      <c r="P2828" s="57" t="n">
        <f aca="false">IF(AND(C2828=Calc!$C$3,OR(Calc!$C$4=0,D2828=Calc!$C$4)),ROW(),0)</f>
        <v>2828</v>
      </c>
    </row>
    <row r="2829" customFormat="false" ht="15" hidden="false" customHeight="false" outlineLevel="0" collapsed="false">
      <c r="A2829" s="57" t="s">
        <v>3401</v>
      </c>
      <c r="B2829" s="58" t="n">
        <v>46017</v>
      </c>
      <c r="C2829" s="57" t="n">
        <f aca="false">YEAR(B2829)</f>
        <v>2025</v>
      </c>
      <c r="D2829" s="57" t="n">
        <f aca="false">MONTH(B2829)</f>
        <v>12</v>
      </c>
      <c r="E2829" s="57" t="s">
        <v>219</v>
      </c>
      <c r="F2829" s="57" t="s">
        <v>78</v>
      </c>
      <c r="G2829" s="57" t="s">
        <v>35</v>
      </c>
      <c r="H2829" s="57" t="s">
        <v>36</v>
      </c>
      <c r="I2829" s="59" t="n">
        <v>2</v>
      </c>
      <c r="J2829" s="60" t="n">
        <v>179</v>
      </c>
      <c r="K2829" s="60" t="n">
        <v>92</v>
      </c>
      <c r="L2829" s="61" t="n">
        <f aca="false">I2829*J2829</f>
        <v>358</v>
      </c>
      <c r="M2829" s="61" t="n">
        <f aca="false">L2829-I2829*K2829</f>
        <v>174</v>
      </c>
      <c r="N2829" s="57" t="n">
        <f aca="false">IF(COUNTIFS(E$2:E2829,E2829,C$2:C2829,C2829)=1,1,0)</f>
        <v>0</v>
      </c>
      <c r="O2829" s="57" t="n">
        <f aca="false">IF(COUNTIFS(E$2:E2829,E2829,C$2:C2829,C2829,D$2:D2829,D2829)=1,1,0)</f>
        <v>0</v>
      </c>
      <c r="P2829" s="57" t="n">
        <f aca="false">IF(AND(C2829=Calc!$C$3,OR(Calc!$C$4=0,D2829=Calc!$C$4)),ROW(),0)</f>
        <v>2829</v>
      </c>
    </row>
    <row r="2830" customFormat="false" ht="15" hidden="false" customHeight="false" outlineLevel="0" collapsed="false">
      <c r="A2830" s="57" t="s">
        <v>3402</v>
      </c>
      <c r="B2830" s="58" t="n">
        <v>46017</v>
      </c>
      <c r="C2830" s="57" t="n">
        <f aca="false">YEAR(B2830)</f>
        <v>2025</v>
      </c>
      <c r="D2830" s="57" t="n">
        <f aca="false">MONTH(B2830)</f>
        <v>12</v>
      </c>
      <c r="E2830" s="57" t="s">
        <v>233</v>
      </c>
      <c r="F2830" s="57" t="s">
        <v>78</v>
      </c>
      <c r="G2830" s="57" t="s">
        <v>45</v>
      </c>
      <c r="H2830" s="57" t="s">
        <v>47</v>
      </c>
      <c r="I2830" s="59" t="n">
        <v>1</v>
      </c>
      <c r="J2830" s="60" t="n">
        <v>34</v>
      </c>
      <c r="K2830" s="60" t="n">
        <v>12</v>
      </c>
      <c r="L2830" s="61" t="n">
        <f aca="false">I2830*J2830</f>
        <v>34</v>
      </c>
      <c r="M2830" s="61" t="n">
        <f aca="false">L2830-I2830*K2830</f>
        <v>22</v>
      </c>
      <c r="N2830" s="57" t="n">
        <f aca="false">IF(COUNTIFS(E$2:E2830,E2830,C$2:C2830,C2830)=1,1,0)</f>
        <v>0</v>
      </c>
      <c r="O2830" s="57" t="n">
        <f aca="false">IF(COUNTIFS(E$2:E2830,E2830,C$2:C2830,C2830,D$2:D2830,D2830)=1,1,0)</f>
        <v>1</v>
      </c>
      <c r="P2830" s="57" t="n">
        <f aca="false">IF(AND(C2830=Calc!$C$3,OR(Calc!$C$4=0,D2830=Calc!$C$4)),ROW(),0)</f>
        <v>2830</v>
      </c>
    </row>
    <row r="2831" customFormat="false" ht="15" hidden="false" customHeight="false" outlineLevel="0" collapsed="false">
      <c r="A2831" s="57" t="s">
        <v>3403</v>
      </c>
      <c r="B2831" s="58" t="n">
        <v>46017</v>
      </c>
      <c r="C2831" s="57" t="n">
        <f aca="false">YEAR(B2831)</f>
        <v>2025</v>
      </c>
      <c r="D2831" s="57" t="n">
        <f aca="false">MONTH(B2831)</f>
        <v>12</v>
      </c>
      <c r="E2831" s="57" t="s">
        <v>622</v>
      </c>
      <c r="F2831" s="57" t="s">
        <v>69</v>
      </c>
      <c r="G2831" s="57" t="s">
        <v>45</v>
      </c>
      <c r="H2831" s="57" t="s">
        <v>46</v>
      </c>
      <c r="I2831" s="59" t="n">
        <v>1</v>
      </c>
      <c r="J2831" s="60" t="n">
        <v>149</v>
      </c>
      <c r="K2831" s="60" t="n">
        <v>71</v>
      </c>
      <c r="L2831" s="61" t="n">
        <f aca="false">I2831*J2831</f>
        <v>149</v>
      </c>
      <c r="M2831" s="61" t="n">
        <f aca="false">L2831-I2831*K2831</f>
        <v>78</v>
      </c>
      <c r="N2831" s="57" t="n">
        <f aca="false">IF(COUNTIFS(E$2:E2831,E2831,C$2:C2831,C2831)=1,1,0)</f>
        <v>0</v>
      </c>
      <c r="O2831" s="57" t="n">
        <f aca="false">IF(COUNTIFS(E$2:E2831,E2831,C$2:C2831,C2831,D$2:D2831,D2831)=1,1,0)</f>
        <v>1</v>
      </c>
      <c r="P2831" s="57" t="n">
        <f aca="false">IF(AND(C2831=Calc!$C$3,OR(Calc!$C$4=0,D2831=Calc!$C$4)),ROW(),0)</f>
        <v>2831</v>
      </c>
    </row>
    <row r="2832" customFormat="false" ht="15" hidden="false" customHeight="false" outlineLevel="0" collapsed="false">
      <c r="A2832" s="57" t="s">
        <v>3404</v>
      </c>
      <c r="B2832" s="58" t="n">
        <v>46017</v>
      </c>
      <c r="C2832" s="57" t="n">
        <f aca="false">YEAR(B2832)</f>
        <v>2025</v>
      </c>
      <c r="D2832" s="57" t="n">
        <f aca="false">MONTH(B2832)</f>
        <v>12</v>
      </c>
      <c r="E2832" s="57" t="s">
        <v>370</v>
      </c>
      <c r="F2832" s="57" t="s">
        <v>75</v>
      </c>
      <c r="G2832" s="57" t="s">
        <v>40</v>
      </c>
      <c r="H2832" s="57" t="s">
        <v>41</v>
      </c>
      <c r="I2832" s="59" t="n">
        <v>2</v>
      </c>
      <c r="J2832" s="60" t="n">
        <v>46</v>
      </c>
      <c r="K2832" s="60" t="n">
        <v>16</v>
      </c>
      <c r="L2832" s="61" t="n">
        <f aca="false">I2832*J2832</f>
        <v>92</v>
      </c>
      <c r="M2832" s="61" t="n">
        <f aca="false">L2832-I2832*K2832</f>
        <v>60</v>
      </c>
      <c r="N2832" s="57" t="n">
        <f aca="false">IF(COUNTIFS(E$2:E2832,E2832,C$2:C2832,C2832)=1,1,0)</f>
        <v>1</v>
      </c>
      <c r="O2832" s="57" t="n">
        <f aca="false">IF(COUNTIFS(E$2:E2832,E2832,C$2:C2832,C2832,D$2:D2832,D2832)=1,1,0)</f>
        <v>1</v>
      </c>
      <c r="P2832" s="57" t="n">
        <f aca="false">IF(AND(C2832=Calc!$C$3,OR(Calc!$C$4=0,D2832=Calc!$C$4)),ROW(),0)</f>
        <v>2832</v>
      </c>
    </row>
    <row r="2833" customFormat="false" ht="15" hidden="false" customHeight="false" outlineLevel="0" collapsed="false">
      <c r="A2833" s="57" t="s">
        <v>3405</v>
      </c>
      <c r="B2833" s="58" t="n">
        <v>46018</v>
      </c>
      <c r="C2833" s="57" t="n">
        <f aca="false">YEAR(B2833)</f>
        <v>2025</v>
      </c>
      <c r="D2833" s="57" t="n">
        <f aca="false">MONTH(B2833)</f>
        <v>12</v>
      </c>
      <c r="E2833" s="57" t="s">
        <v>1584</v>
      </c>
      <c r="F2833" s="57" t="s">
        <v>75</v>
      </c>
      <c r="G2833" s="57" t="s">
        <v>45</v>
      </c>
      <c r="H2833" s="57" t="s">
        <v>44</v>
      </c>
      <c r="I2833" s="59" t="n">
        <v>1</v>
      </c>
      <c r="J2833" s="60" t="n">
        <v>119</v>
      </c>
      <c r="K2833" s="60" t="n">
        <v>63</v>
      </c>
      <c r="L2833" s="61" t="n">
        <f aca="false">I2833*J2833</f>
        <v>119</v>
      </c>
      <c r="M2833" s="61" t="n">
        <f aca="false">L2833-I2833*K2833</f>
        <v>56</v>
      </c>
      <c r="N2833" s="57" t="n">
        <f aca="false">IF(COUNTIFS(E$2:E2833,E2833,C$2:C2833,C2833)=1,1,0)</f>
        <v>0</v>
      </c>
      <c r="O2833" s="57" t="n">
        <f aca="false">IF(COUNTIFS(E$2:E2833,E2833,C$2:C2833,C2833,D$2:D2833,D2833)=1,1,0)</f>
        <v>1</v>
      </c>
      <c r="P2833" s="57" t="n">
        <f aca="false">IF(AND(C2833=Calc!$C$3,OR(Calc!$C$4=0,D2833=Calc!$C$4)),ROW(),0)</f>
        <v>2833</v>
      </c>
    </row>
    <row r="2834" customFormat="false" ht="15" hidden="false" customHeight="false" outlineLevel="0" collapsed="false">
      <c r="A2834" s="57" t="s">
        <v>3406</v>
      </c>
      <c r="B2834" s="58" t="n">
        <v>46018</v>
      </c>
      <c r="C2834" s="57" t="n">
        <f aca="false">YEAR(B2834)</f>
        <v>2025</v>
      </c>
      <c r="D2834" s="57" t="n">
        <f aca="false">MONTH(B2834)</f>
        <v>12</v>
      </c>
      <c r="E2834" s="57" t="s">
        <v>89</v>
      </c>
      <c r="F2834" s="57" t="s">
        <v>81</v>
      </c>
      <c r="G2834" s="57" t="s">
        <v>35</v>
      </c>
      <c r="H2834" s="57" t="s">
        <v>38</v>
      </c>
      <c r="I2834" s="59" t="n">
        <v>1</v>
      </c>
      <c r="J2834" s="60" t="n">
        <v>49</v>
      </c>
      <c r="K2834" s="60" t="n">
        <v>22</v>
      </c>
      <c r="L2834" s="61" t="n">
        <f aca="false">I2834*J2834</f>
        <v>49</v>
      </c>
      <c r="M2834" s="61" t="n">
        <f aca="false">L2834-I2834*K2834</f>
        <v>27</v>
      </c>
      <c r="N2834" s="57" t="n">
        <f aca="false">IF(COUNTIFS(E$2:E2834,E2834,C$2:C2834,C2834)=1,1,0)</f>
        <v>0</v>
      </c>
      <c r="O2834" s="57" t="n">
        <f aca="false">IF(COUNTIFS(E$2:E2834,E2834,C$2:C2834,C2834,D$2:D2834,D2834)=1,1,0)</f>
        <v>0</v>
      </c>
      <c r="P2834" s="57" t="n">
        <f aca="false">IF(AND(C2834=Calc!$C$3,OR(Calc!$C$4=0,D2834=Calc!$C$4)),ROW(),0)</f>
        <v>2834</v>
      </c>
    </row>
    <row r="2835" customFormat="false" ht="15" hidden="false" customHeight="false" outlineLevel="0" collapsed="false">
      <c r="A2835" s="57" t="s">
        <v>3407</v>
      </c>
      <c r="B2835" s="58" t="n">
        <v>46018</v>
      </c>
      <c r="C2835" s="57" t="n">
        <f aca="false">YEAR(B2835)</f>
        <v>2025</v>
      </c>
      <c r="D2835" s="57" t="n">
        <f aca="false">MONTH(B2835)</f>
        <v>12</v>
      </c>
      <c r="E2835" s="57" t="s">
        <v>1046</v>
      </c>
      <c r="F2835" s="57" t="s">
        <v>69</v>
      </c>
      <c r="G2835" s="57" t="s">
        <v>40</v>
      </c>
      <c r="H2835" s="57" t="s">
        <v>42</v>
      </c>
      <c r="I2835" s="59" t="n">
        <v>1</v>
      </c>
      <c r="J2835" s="60" t="n">
        <v>79</v>
      </c>
      <c r="K2835" s="60" t="n">
        <v>31</v>
      </c>
      <c r="L2835" s="61" t="n">
        <f aca="false">I2835*J2835</f>
        <v>79</v>
      </c>
      <c r="M2835" s="61" t="n">
        <f aca="false">L2835-I2835*K2835</f>
        <v>48</v>
      </c>
      <c r="N2835" s="57" t="n">
        <f aca="false">IF(COUNTIFS(E$2:E2835,E2835,C$2:C2835,C2835)=1,1,0)</f>
        <v>0</v>
      </c>
      <c r="O2835" s="57" t="n">
        <f aca="false">IF(COUNTIFS(E$2:E2835,E2835,C$2:C2835,C2835,D$2:D2835,D2835)=1,1,0)</f>
        <v>0</v>
      </c>
      <c r="P2835" s="57" t="n">
        <f aca="false">IF(AND(C2835=Calc!$C$3,OR(Calc!$C$4=0,D2835=Calc!$C$4)),ROW(),0)</f>
        <v>2835</v>
      </c>
    </row>
    <row r="2836" customFormat="false" ht="15" hidden="false" customHeight="false" outlineLevel="0" collapsed="false">
      <c r="A2836" s="57" t="s">
        <v>3408</v>
      </c>
      <c r="B2836" s="58" t="n">
        <v>46018</v>
      </c>
      <c r="C2836" s="57" t="n">
        <f aca="false">YEAR(B2836)</f>
        <v>2025</v>
      </c>
      <c r="D2836" s="57" t="n">
        <f aca="false">MONTH(B2836)</f>
        <v>12</v>
      </c>
      <c r="E2836" s="57" t="s">
        <v>3409</v>
      </c>
      <c r="F2836" s="57" t="s">
        <v>69</v>
      </c>
      <c r="G2836" s="57" t="s">
        <v>50</v>
      </c>
      <c r="H2836" s="57" t="s">
        <v>52</v>
      </c>
      <c r="I2836" s="59" t="n">
        <v>3</v>
      </c>
      <c r="J2836" s="60" t="n">
        <v>45</v>
      </c>
      <c r="K2836" s="60" t="n">
        <v>14</v>
      </c>
      <c r="L2836" s="61" t="n">
        <f aca="false">I2836*J2836</f>
        <v>135</v>
      </c>
      <c r="M2836" s="61" t="n">
        <f aca="false">L2836-I2836*K2836</f>
        <v>93</v>
      </c>
      <c r="N2836" s="57" t="n">
        <f aca="false">IF(COUNTIFS(E$2:E2836,E2836,C$2:C2836,C2836)=1,1,0)</f>
        <v>1</v>
      </c>
      <c r="O2836" s="57" t="n">
        <f aca="false">IF(COUNTIFS(E$2:E2836,E2836,C$2:C2836,C2836,D$2:D2836,D2836)=1,1,0)</f>
        <v>1</v>
      </c>
      <c r="P2836" s="57" t="n">
        <f aca="false">IF(AND(C2836=Calc!$C$3,OR(Calc!$C$4=0,D2836=Calc!$C$4)),ROW(),0)</f>
        <v>2836</v>
      </c>
    </row>
    <row r="2837" customFormat="false" ht="15" hidden="false" customHeight="false" outlineLevel="0" collapsed="false">
      <c r="A2837" s="57" t="s">
        <v>3410</v>
      </c>
      <c r="B2837" s="58" t="n">
        <v>46018</v>
      </c>
      <c r="C2837" s="57" t="n">
        <f aca="false">YEAR(B2837)</f>
        <v>2025</v>
      </c>
      <c r="D2837" s="57" t="n">
        <f aca="false">MONTH(B2837)</f>
        <v>12</v>
      </c>
      <c r="E2837" s="57" t="s">
        <v>296</v>
      </c>
      <c r="F2837" s="57" t="s">
        <v>75</v>
      </c>
      <c r="G2837" s="57" t="s">
        <v>45</v>
      </c>
      <c r="H2837" s="57" t="s">
        <v>44</v>
      </c>
      <c r="I2837" s="59" t="n">
        <v>1</v>
      </c>
      <c r="J2837" s="60" t="n">
        <v>119</v>
      </c>
      <c r="K2837" s="60" t="n">
        <v>63</v>
      </c>
      <c r="L2837" s="61" t="n">
        <f aca="false">I2837*J2837</f>
        <v>119</v>
      </c>
      <c r="M2837" s="61" t="n">
        <f aca="false">L2837-I2837*K2837</f>
        <v>56</v>
      </c>
      <c r="N2837" s="57" t="n">
        <f aca="false">IF(COUNTIFS(E$2:E2837,E2837,C$2:C2837,C2837)=1,1,0)</f>
        <v>0</v>
      </c>
      <c r="O2837" s="57" t="n">
        <f aca="false">IF(COUNTIFS(E$2:E2837,E2837,C$2:C2837,C2837,D$2:D2837,D2837)=1,1,0)</f>
        <v>1</v>
      </c>
      <c r="P2837" s="57" t="n">
        <f aca="false">IF(AND(C2837=Calc!$C$3,OR(Calc!$C$4=0,D2837=Calc!$C$4)),ROW(),0)</f>
        <v>2837</v>
      </c>
    </row>
    <row r="2838" customFormat="false" ht="15" hidden="false" customHeight="false" outlineLevel="0" collapsed="false">
      <c r="A2838" s="57" t="s">
        <v>3411</v>
      </c>
      <c r="B2838" s="58" t="n">
        <v>46018</v>
      </c>
      <c r="C2838" s="57" t="n">
        <f aca="false">YEAR(B2838)</f>
        <v>2025</v>
      </c>
      <c r="D2838" s="57" t="n">
        <f aca="false">MONTH(B2838)</f>
        <v>12</v>
      </c>
      <c r="E2838" s="57" t="s">
        <v>1188</v>
      </c>
      <c r="F2838" s="57" t="s">
        <v>75</v>
      </c>
      <c r="G2838" s="57" t="s">
        <v>45</v>
      </c>
      <c r="H2838" s="57" t="s">
        <v>47</v>
      </c>
      <c r="I2838" s="59" t="n">
        <v>1</v>
      </c>
      <c r="J2838" s="60" t="n">
        <v>34</v>
      </c>
      <c r="K2838" s="60" t="n">
        <v>12</v>
      </c>
      <c r="L2838" s="61" t="n">
        <f aca="false">I2838*J2838</f>
        <v>34</v>
      </c>
      <c r="M2838" s="61" t="n">
        <f aca="false">L2838-I2838*K2838</f>
        <v>22</v>
      </c>
      <c r="N2838" s="57" t="n">
        <f aca="false">IF(COUNTIFS(E$2:E2838,E2838,C$2:C2838,C2838)=1,1,0)</f>
        <v>0</v>
      </c>
      <c r="O2838" s="57" t="n">
        <f aca="false">IF(COUNTIFS(E$2:E2838,E2838,C$2:C2838,C2838,D$2:D2838,D2838)=1,1,0)</f>
        <v>1</v>
      </c>
      <c r="P2838" s="57" t="n">
        <f aca="false">IF(AND(C2838=Calc!$C$3,OR(Calc!$C$4=0,D2838=Calc!$C$4)),ROW(),0)</f>
        <v>2838</v>
      </c>
    </row>
    <row r="2839" customFormat="false" ht="15" hidden="false" customHeight="false" outlineLevel="0" collapsed="false">
      <c r="A2839" s="57" t="s">
        <v>3412</v>
      </c>
      <c r="B2839" s="58" t="n">
        <v>46018</v>
      </c>
      <c r="C2839" s="57" t="n">
        <f aca="false">YEAR(B2839)</f>
        <v>2025</v>
      </c>
      <c r="D2839" s="57" t="n">
        <f aca="false">MONTH(B2839)</f>
        <v>12</v>
      </c>
      <c r="E2839" s="57" t="s">
        <v>213</v>
      </c>
      <c r="F2839" s="57" t="s">
        <v>78</v>
      </c>
      <c r="G2839" s="57" t="s">
        <v>35</v>
      </c>
      <c r="H2839" s="57" t="s">
        <v>36</v>
      </c>
      <c r="I2839" s="59" t="n">
        <v>1</v>
      </c>
      <c r="J2839" s="60" t="n">
        <v>179</v>
      </c>
      <c r="K2839" s="60" t="n">
        <v>92</v>
      </c>
      <c r="L2839" s="61" t="n">
        <f aca="false">I2839*J2839</f>
        <v>179</v>
      </c>
      <c r="M2839" s="61" t="n">
        <f aca="false">L2839-I2839*K2839</f>
        <v>87</v>
      </c>
      <c r="N2839" s="57" t="n">
        <f aca="false">IF(COUNTIFS(E$2:E2839,E2839,C$2:C2839,C2839)=1,1,0)</f>
        <v>0</v>
      </c>
      <c r="O2839" s="57" t="n">
        <f aca="false">IF(COUNTIFS(E$2:E2839,E2839,C$2:C2839,C2839,D$2:D2839,D2839)=1,1,0)</f>
        <v>0</v>
      </c>
      <c r="P2839" s="57" t="n">
        <f aca="false">IF(AND(C2839=Calc!$C$3,OR(Calc!$C$4=0,D2839=Calc!$C$4)),ROW(),0)</f>
        <v>2839</v>
      </c>
    </row>
    <row r="2840" customFormat="false" ht="15" hidden="false" customHeight="false" outlineLevel="0" collapsed="false">
      <c r="A2840" s="57" t="s">
        <v>3413</v>
      </c>
      <c r="B2840" s="58" t="n">
        <v>46018</v>
      </c>
      <c r="C2840" s="57" t="n">
        <f aca="false">YEAR(B2840)</f>
        <v>2025</v>
      </c>
      <c r="D2840" s="57" t="n">
        <f aca="false">MONTH(B2840)</f>
        <v>12</v>
      </c>
      <c r="E2840" s="57" t="s">
        <v>957</v>
      </c>
      <c r="F2840" s="57" t="s">
        <v>69</v>
      </c>
      <c r="G2840" s="57" t="s">
        <v>40</v>
      </c>
      <c r="H2840" s="57" t="s">
        <v>43</v>
      </c>
      <c r="I2840" s="59" t="n">
        <v>1</v>
      </c>
      <c r="J2840" s="60" t="n">
        <v>29</v>
      </c>
      <c r="K2840" s="60" t="n">
        <v>9</v>
      </c>
      <c r="L2840" s="61" t="n">
        <f aca="false">I2840*J2840</f>
        <v>29</v>
      </c>
      <c r="M2840" s="61" t="n">
        <f aca="false">L2840-I2840*K2840</f>
        <v>20</v>
      </c>
      <c r="N2840" s="57" t="n">
        <f aca="false">IF(COUNTIFS(E$2:E2840,E2840,C$2:C2840,C2840)=1,1,0)</f>
        <v>0</v>
      </c>
      <c r="O2840" s="57" t="n">
        <f aca="false">IF(COUNTIFS(E$2:E2840,E2840,C$2:C2840,C2840,D$2:D2840,D2840)=1,1,0)</f>
        <v>1</v>
      </c>
      <c r="P2840" s="57" t="n">
        <f aca="false">IF(AND(C2840=Calc!$C$3,OR(Calc!$C$4=0,D2840=Calc!$C$4)),ROW(),0)</f>
        <v>2840</v>
      </c>
    </row>
    <row r="2841" customFormat="false" ht="15" hidden="false" customHeight="false" outlineLevel="0" collapsed="false">
      <c r="A2841" s="57" t="s">
        <v>3414</v>
      </c>
      <c r="B2841" s="58" t="n">
        <v>46019</v>
      </c>
      <c r="C2841" s="57" t="n">
        <f aca="false">YEAR(B2841)</f>
        <v>2025</v>
      </c>
      <c r="D2841" s="57" t="n">
        <f aca="false">MONTH(B2841)</f>
        <v>12</v>
      </c>
      <c r="E2841" s="57" t="s">
        <v>80</v>
      </c>
      <c r="F2841" s="57" t="s">
        <v>81</v>
      </c>
      <c r="G2841" s="57" t="s">
        <v>45</v>
      </c>
      <c r="H2841" s="57" t="s">
        <v>48</v>
      </c>
      <c r="I2841" s="59" t="n">
        <v>1</v>
      </c>
      <c r="J2841" s="60" t="n">
        <v>99</v>
      </c>
      <c r="K2841" s="60" t="n">
        <v>38</v>
      </c>
      <c r="L2841" s="61" t="n">
        <f aca="false">I2841*J2841</f>
        <v>99</v>
      </c>
      <c r="M2841" s="61" t="n">
        <f aca="false">L2841-I2841*K2841</f>
        <v>61</v>
      </c>
      <c r="N2841" s="57" t="n">
        <f aca="false">IF(COUNTIFS(E$2:E2841,E2841,C$2:C2841,C2841)=1,1,0)</f>
        <v>0</v>
      </c>
      <c r="O2841" s="57" t="n">
        <f aca="false">IF(COUNTIFS(E$2:E2841,E2841,C$2:C2841,C2841,D$2:D2841,D2841)=1,1,0)</f>
        <v>0</v>
      </c>
      <c r="P2841" s="57" t="n">
        <f aca="false">IF(AND(C2841=Calc!$C$3,OR(Calc!$C$4=0,D2841=Calc!$C$4)),ROW(),0)</f>
        <v>2841</v>
      </c>
    </row>
    <row r="2842" customFormat="false" ht="15" hidden="false" customHeight="false" outlineLevel="0" collapsed="false">
      <c r="A2842" s="57" t="s">
        <v>3415</v>
      </c>
      <c r="B2842" s="58" t="n">
        <v>46019</v>
      </c>
      <c r="C2842" s="57" t="n">
        <f aca="false">YEAR(B2842)</f>
        <v>2025</v>
      </c>
      <c r="D2842" s="57" t="n">
        <f aca="false">MONTH(B2842)</f>
        <v>12</v>
      </c>
      <c r="E2842" s="57" t="s">
        <v>164</v>
      </c>
      <c r="F2842" s="57" t="s">
        <v>69</v>
      </c>
      <c r="G2842" s="57" t="s">
        <v>35</v>
      </c>
      <c r="H2842" s="57" t="s">
        <v>36</v>
      </c>
      <c r="I2842" s="59" t="n">
        <v>2</v>
      </c>
      <c r="J2842" s="60" t="n">
        <v>179</v>
      </c>
      <c r="K2842" s="60" t="n">
        <v>92</v>
      </c>
      <c r="L2842" s="61" t="n">
        <f aca="false">I2842*J2842</f>
        <v>358</v>
      </c>
      <c r="M2842" s="61" t="n">
        <f aca="false">L2842-I2842*K2842</f>
        <v>174</v>
      </c>
      <c r="N2842" s="57" t="n">
        <f aca="false">IF(COUNTIFS(E$2:E2842,E2842,C$2:C2842,C2842)=1,1,0)</f>
        <v>0</v>
      </c>
      <c r="O2842" s="57" t="n">
        <f aca="false">IF(COUNTIFS(E$2:E2842,E2842,C$2:C2842,C2842,D$2:D2842,D2842)=1,1,0)</f>
        <v>1</v>
      </c>
      <c r="P2842" s="57" t="n">
        <f aca="false">IF(AND(C2842=Calc!$C$3,OR(Calc!$C$4=0,D2842=Calc!$C$4)),ROW(),0)</f>
        <v>2842</v>
      </c>
    </row>
    <row r="2843" customFormat="false" ht="15" hidden="false" customHeight="false" outlineLevel="0" collapsed="false">
      <c r="A2843" s="57" t="s">
        <v>3416</v>
      </c>
      <c r="B2843" s="58" t="n">
        <v>46019</v>
      </c>
      <c r="C2843" s="57" t="n">
        <f aca="false">YEAR(B2843)</f>
        <v>2025</v>
      </c>
      <c r="D2843" s="57" t="n">
        <f aca="false">MONTH(B2843)</f>
        <v>12</v>
      </c>
      <c r="E2843" s="57" t="s">
        <v>363</v>
      </c>
      <c r="F2843" s="57" t="s">
        <v>81</v>
      </c>
      <c r="G2843" s="57" t="s">
        <v>40</v>
      </c>
      <c r="H2843" s="57" t="s">
        <v>42</v>
      </c>
      <c r="I2843" s="59" t="n">
        <v>1</v>
      </c>
      <c r="J2843" s="60" t="n">
        <v>79</v>
      </c>
      <c r="K2843" s="60" t="n">
        <v>31</v>
      </c>
      <c r="L2843" s="61" t="n">
        <f aca="false">I2843*J2843</f>
        <v>79</v>
      </c>
      <c r="M2843" s="61" t="n">
        <f aca="false">L2843-I2843*K2843</f>
        <v>48</v>
      </c>
      <c r="N2843" s="57" t="n">
        <f aca="false">IF(COUNTIFS(E$2:E2843,E2843,C$2:C2843,C2843)=1,1,0)</f>
        <v>0</v>
      </c>
      <c r="O2843" s="57" t="n">
        <f aca="false">IF(COUNTIFS(E$2:E2843,E2843,C$2:C2843,C2843,D$2:D2843,D2843)=1,1,0)</f>
        <v>0</v>
      </c>
      <c r="P2843" s="57" t="n">
        <f aca="false">IF(AND(C2843=Calc!$C$3,OR(Calc!$C$4=0,D2843=Calc!$C$4)),ROW(),0)</f>
        <v>2843</v>
      </c>
    </row>
    <row r="2844" customFormat="false" ht="15" hidden="false" customHeight="false" outlineLevel="0" collapsed="false">
      <c r="A2844" s="57" t="s">
        <v>3417</v>
      </c>
      <c r="B2844" s="58" t="n">
        <v>46019</v>
      </c>
      <c r="C2844" s="57" t="n">
        <f aca="false">YEAR(B2844)</f>
        <v>2025</v>
      </c>
      <c r="D2844" s="57" t="n">
        <f aca="false">MONTH(B2844)</f>
        <v>12</v>
      </c>
      <c r="E2844" s="57" t="s">
        <v>479</v>
      </c>
      <c r="F2844" s="57" t="s">
        <v>72</v>
      </c>
      <c r="G2844" s="57" t="s">
        <v>40</v>
      </c>
      <c r="H2844" s="57" t="s">
        <v>43</v>
      </c>
      <c r="I2844" s="59" t="n">
        <v>1</v>
      </c>
      <c r="J2844" s="60" t="n">
        <v>29</v>
      </c>
      <c r="K2844" s="60" t="n">
        <v>9</v>
      </c>
      <c r="L2844" s="61" t="n">
        <f aca="false">I2844*J2844</f>
        <v>29</v>
      </c>
      <c r="M2844" s="61" t="n">
        <f aca="false">L2844-I2844*K2844</f>
        <v>20</v>
      </c>
      <c r="N2844" s="57" t="n">
        <f aca="false">IF(COUNTIFS(E$2:E2844,E2844,C$2:C2844,C2844)=1,1,0)</f>
        <v>0</v>
      </c>
      <c r="O2844" s="57" t="n">
        <f aca="false">IF(COUNTIFS(E$2:E2844,E2844,C$2:C2844,C2844,D$2:D2844,D2844)=1,1,0)</f>
        <v>0</v>
      </c>
      <c r="P2844" s="57" t="n">
        <f aca="false">IF(AND(C2844=Calc!$C$3,OR(Calc!$C$4=0,D2844=Calc!$C$4)),ROW(),0)</f>
        <v>2844</v>
      </c>
    </row>
    <row r="2845" customFormat="false" ht="15" hidden="false" customHeight="false" outlineLevel="0" collapsed="false">
      <c r="A2845" s="57" t="s">
        <v>3418</v>
      </c>
      <c r="B2845" s="58" t="n">
        <v>46019</v>
      </c>
      <c r="C2845" s="57" t="n">
        <f aca="false">YEAR(B2845)</f>
        <v>2025</v>
      </c>
      <c r="D2845" s="57" t="n">
        <f aca="false">MONTH(B2845)</f>
        <v>12</v>
      </c>
      <c r="E2845" s="57" t="s">
        <v>443</v>
      </c>
      <c r="F2845" s="57" t="s">
        <v>75</v>
      </c>
      <c r="G2845" s="57" t="s">
        <v>45</v>
      </c>
      <c r="H2845" s="57" t="s">
        <v>46</v>
      </c>
      <c r="I2845" s="59" t="n">
        <v>1</v>
      </c>
      <c r="J2845" s="60" t="n">
        <v>149</v>
      </c>
      <c r="K2845" s="60" t="n">
        <v>71</v>
      </c>
      <c r="L2845" s="61" t="n">
        <f aca="false">I2845*J2845</f>
        <v>149</v>
      </c>
      <c r="M2845" s="61" t="n">
        <f aca="false">L2845-I2845*K2845</f>
        <v>78</v>
      </c>
      <c r="N2845" s="57" t="n">
        <f aca="false">IF(COUNTIFS(E$2:E2845,E2845,C$2:C2845,C2845)=1,1,0)</f>
        <v>0</v>
      </c>
      <c r="O2845" s="57" t="n">
        <f aca="false">IF(COUNTIFS(E$2:E2845,E2845,C$2:C2845,C2845,D$2:D2845,D2845)=1,1,0)</f>
        <v>1</v>
      </c>
      <c r="P2845" s="57" t="n">
        <f aca="false">IF(AND(C2845=Calc!$C$3,OR(Calc!$C$4=0,D2845=Calc!$C$4)),ROW(),0)</f>
        <v>2845</v>
      </c>
    </row>
    <row r="2846" customFormat="false" ht="15" hidden="false" customHeight="false" outlineLevel="0" collapsed="false">
      <c r="A2846" s="57" t="s">
        <v>3419</v>
      </c>
      <c r="B2846" s="58" t="n">
        <v>46019</v>
      </c>
      <c r="C2846" s="57" t="n">
        <f aca="false">YEAR(B2846)</f>
        <v>2025</v>
      </c>
      <c r="D2846" s="57" t="n">
        <f aca="false">MONTH(B2846)</f>
        <v>12</v>
      </c>
      <c r="E2846" s="57" t="s">
        <v>3129</v>
      </c>
      <c r="F2846" s="57" t="s">
        <v>69</v>
      </c>
      <c r="G2846" s="57" t="s">
        <v>40</v>
      </c>
      <c r="H2846" s="57" t="s">
        <v>43</v>
      </c>
      <c r="I2846" s="59" t="n">
        <v>1</v>
      </c>
      <c r="J2846" s="60" t="n">
        <v>29</v>
      </c>
      <c r="K2846" s="60" t="n">
        <v>9</v>
      </c>
      <c r="L2846" s="61" t="n">
        <f aca="false">I2846*J2846</f>
        <v>29</v>
      </c>
      <c r="M2846" s="61" t="n">
        <f aca="false">L2846-I2846*K2846</f>
        <v>20</v>
      </c>
      <c r="N2846" s="57" t="n">
        <f aca="false">IF(COUNTIFS(E$2:E2846,E2846,C$2:C2846,C2846)=1,1,0)</f>
        <v>0</v>
      </c>
      <c r="O2846" s="57" t="n">
        <f aca="false">IF(COUNTIFS(E$2:E2846,E2846,C$2:C2846,C2846,D$2:D2846,D2846)=1,1,0)</f>
        <v>1</v>
      </c>
      <c r="P2846" s="57" t="n">
        <f aca="false">IF(AND(C2846=Calc!$C$3,OR(Calc!$C$4=0,D2846=Calc!$C$4)),ROW(),0)</f>
        <v>2846</v>
      </c>
    </row>
    <row r="2847" customFormat="false" ht="15" hidden="false" customHeight="false" outlineLevel="0" collapsed="false">
      <c r="A2847" s="57" t="s">
        <v>3420</v>
      </c>
      <c r="B2847" s="58" t="n">
        <v>46020</v>
      </c>
      <c r="C2847" s="57" t="n">
        <f aca="false">YEAR(B2847)</f>
        <v>2025</v>
      </c>
      <c r="D2847" s="57" t="n">
        <f aca="false">MONTH(B2847)</f>
        <v>12</v>
      </c>
      <c r="E2847" s="57" t="s">
        <v>152</v>
      </c>
      <c r="F2847" s="57" t="s">
        <v>72</v>
      </c>
      <c r="G2847" s="57" t="s">
        <v>50</v>
      </c>
      <c r="H2847" s="57" t="s">
        <v>49</v>
      </c>
      <c r="I2847" s="59" t="n">
        <v>1</v>
      </c>
      <c r="J2847" s="60" t="n">
        <v>32</v>
      </c>
      <c r="K2847" s="60" t="n">
        <v>7</v>
      </c>
      <c r="L2847" s="61" t="n">
        <f aca="false">I2847*J2847</f>
        <v>32</v>
      </c>
      <c r="M2847" s="61" t="n">
        <f aca="false">L2847-I2847*K2847</f>
        <v>25</v>
      </c>
      <c r="N2847" s="57" t="n">
        <f aca="false">IF(COUNTIFS(E$2:E2847,E2847,C$2:C2847,C2847)=1,1,0)</f>
        <v>0</v>
      </c>
      <c r="O2847" s="57" t="n">
        <f aca="false">IF(COUNTIFS(E$2:E2847,E2847,C$2:C2847,C2847,D$2:D2847,D2847)=1,1,0)</f>
        <v>0</v>
      </c>
      <c r="P2847" s="57" t="n">
        <f aca="false">IF(AND(C2847=Calc!$C$3,OR(Calc!$C$4=0,D2847=Calc!$C$4)),ROW(),0)</f>
        <v>2847</v>
      </c>
    </row>
    <row r="2848" customFormat="false" ht="15" hidden="false" customHeight="false" outlineLevel="0" collapsed="false">
      <c r="A2848" s="57" t="s">
        <v>3421</v>
      </c>
      <c r="B2848" s="58" t="n">
        <v>46020</v>
      </c>
      <c r="C2848" s="57" t="n">
        <f aca="false">YEAR(B2848)</f>
        <v>2025</v>
      </c>
      <c r="D2848" s="57" t="n">
        <f aca="false">MONTH(B2848)</f>
        <v>12</v>
      </c>
      <c r="E2848" s="57" t="s">
        <v>466</v>
      </c>
      <c r="F2848" s="57" t="s">
        <v>72</v>
      </c>
      <c r="G2848" s="57" t="s">
        <v>35</v>
      </c>
      <c r="H2848" s="57" t="s">
        <v>37</v>
      </c>
      <c r="I2848" s="59" t="n">
        <v>1</v>
      </c>
      <c r="J2848" s="60" t="n">
        <v>59</v>
      </c>
      <c r="K2848" s="60" t="n">
        <v>27</v>
      </c>
      <c r="L2848" s="61" t="n">
        <f aca="false">I2848*J2848</f>
        <v>59</v>
      </c>
      <c r="M2848" s="61" t="n">
        <f aca="false">L2848-I2848*K2848</f>
        <v>32</v>
      </c>
      <c r="N2848" s="57" t="n">
        <f aca="false">IF(COUNTIFS(E$2:E2848,E2848,C$2:C2848,C2848)=1,1,0)</f>
        <v>0</v>
      </c>
      <c r="O2848" s="57" t="n">
        <f aca="false">IF(COUNTIFS(E$2:E2848,E2848,C$2:C2848,C2848,D$2:D2848,D2848)=1,1,0)</f>
        <v>1</v>
      </c>
      <c r="P2848" s="57" t="n">
        <f aca="false">IF(AND(C2848=Calc!$C$3,OR(Calc!$C$4=0,D2848=Calc!$C$4)),ROW(),0)</f>
        <v>2848</v>
      </c>
    </row>
    <row r="2849" customFormat="false" ht="15" hidden="false" customHeight="false" outlineLevel="0" collapsed="false">
      <c r="A2849" s="57" t="s">
        <v>3422</v>
      </c>
      <c r="B2849" s="58" t="n">
        <v>46020</v>
      </c>
      <c r="C2849" s="57" t="n">
        <f aca="false">YEAR(B2849)</f>
        <v>2025</v>
      </c>
      <c r="D2849" s="57" t="n">
        <f aca="false">MONTH(B2849)</f>
        <v>12</v>
      </c>
      <c r="E2849" s="57" t="s">
        <v>342</v>
      </c>
      <c r="F2849" s="57" t="s">
        <v>78</v>
      </c>
      <c r="G2849" s="57" t="s">
        <v>35</v>
      </c>
      <c r="H2849" s="57" t="s">
        <v>37</v>
      </c>
      <c r="I2849" s="59" t="n">
        <v>2</v>
      </c>
      <c r="J2849" s="60" t="n">
        <v>59</v>
      </c>
      <c r="K2849" s="60" t="n">
        <v>27</v>
      </c>
      <c r="L2849" s="61" t="n">
        <f aca="false">I2849*J2849</f>
        <v>118</v>
      </c>
      <c r="M2849" s="61" t="n">
        <f aca="false">L2849-I2849*K2849</f>
        <v>64</v>
      </c>
      <c r="N2849" s="57" t="n">
        <f aca="false">IF(COUNTIFS(E$2:E2849,E2849,C$2:C2849,C2849)=1,1,0)</f>
        <v>0</v>
      </c>
      <c r="O2849" s="57" t="n">
        <f aca="false">IF(COUNTIFS(E$2:E2849,E2849,C$2:C2849,C2849,D$2:D2849,D2849)=1,1,0)</f>
        <v>0</v>
      </c>
      <c r="P2849" s="57" t="n">
        <f aca="false">IF(AND(C2849=Calc!$C$3,OR(Calc!$C$4=0,D2849=Calc!$C$4)),ROW(),0)</f>
        <v>2849</v>
      </c>
    </row>
    <row r="2850" customFormat="false" ht="15" hidden="false" customHeight="false" outlineLevel="0" collapsed="false">
      <c r="A2850" s="57" t="s">
        <v>3423</v>
      </c>
      <c r="B2850" s="58" t="n">
        <v>46020</v>
      </c>
      <c r="C2850" s="57" t="n">
        <f aca="false">YEAR(B2850)</f>
        <v>2025</v>
      </c>
      <c r="D2850" s="57" t="n">
        <f aca="false">MONTH(B2850)</f>
        <v>12</v>
      </c>
      <c r="E2850" s="57" t="s">
        <v>508</v>
      </c>
      <c r="F2850" s="57" t="s">
        <v>81</v>
      </c>
      <c r="G2850" s="57" t="s">
        <v>35</v>
      </c>
      <c r="H2850" s="57" t="s">
        <v>37</v>
      </c>
      <c r="I2850" s="59" t="n">
        <v>1</v>
      </c>
      <c r="J2850" s="60" t="n">
        <v>59</v>
      </c>
      <c r="K2850" s="60" t="n">
        <v>27</v>
      </c>
      <c r="L2850" s="61" t="n">
        <f aca="false">I2850*J2850</f>
        <v>59</v>
      </c>
      <c r="M2850" s="61" t="n">
        <f aca="false">L2850-I2850*K2850</f>
        <v>32</v>
      </c>
      <c r="N2850" s="57" t="n">
        <f aca="false">IF(COUNTIFS(E$2:E2850,E2850,C$2:C2850,C2850)=1,1,0)</f>
        <v>0</v>
      </c>
      <c r="O2850" s="57" t="n">
        <f aca="false">IF(COUNTIFS(E$2:E2850,E2850,C$2:C2850,C2850,D$2:D2850,D2850)=1,1,0)</f>
        <v>1</v>
      </c>
      <c r="P2850" s="57" t="n">
        <f aca="false">IF(AND(C2850=Calc!$C$3,OR(Calc!$C$4=0,D2850=Calc!$C$4)),ROW(),0)</f>
        <v>2850</v>
      </c>
    </row>
    <row r="2851" customFormat="false" ht="15" hidden="false" customHeight="false" outlineLevel="0" collapsed="false">
      <c r="A2851" s="57" t="s">
        <v>3424</v>
      </c>
      <c r="B2851" s="58" t="n">
        <v>46020</v>
      </c>
      <c r="C2851" s="57" t="n">
        <f aca="false">YEAR(B2851)</f>
        <v>2025</v>
      </c>
      <c r="D2851" s="57" t="n">
        <f aca="false">MONTH(B2851)</f>
        <v>12</v>
      </c>
      <c r="E2851" s="57" t="s">
        <v>1216</v>
      </c>
      <c r="F2851" s="57" t="s">
        <v>75</v>
      </c>
      <c r="G2851" s="57" t="s">
        <v>35</v>
      </c>
      <c r="H2851" s="57" t="s">
        <v>34</v>
      </c>
      <c r="I2851" s="59" t="n">
        <v>1</v>
      </c>
      <c r="J2851" s="60" t="n">
        <v>89</v>
      </c>
      <c r="K2851" s="60" t="n">
        <v>41</v>
      </c>
      <c r="L2851" s="61" t="n">
        <f aca="false">I2851*J2851</f>
        <v>89</v>
      </c>
      <c r="M2851" s="61" t="n">
        <f aca="false">L2851-I2851*K2851</f>
        <v>48</v>
      </c>
      <c r="N2851" s="57" t="n">
        <f aca="false">IF(COUNTIFS(E$2:E2851,E2851,C$2:C2851,C2851)=1,1,0)</f>
        <v>0</v>
      </c>
      <c r="O2851" s="57" t="n">
        <f aca="false">IF(COUNTIFS(E$2:E2851,E2851,C$2:C2851,C2851,D$2:D2851,D2851)=1,1,0)</f>
        <v>1</v>
      </c>
      <c r="P2851" s="57" t="n">
        <f aca="false">IF(AND(C2851=Calc!$C$3,OR(Calc!$C$4=0,D2851=Calc!$C$4)),ROW(),0)</f>
        <v>2851</v>
      </c>
    </row>
    <row r="2852" customFormat="false" ht="15" hidden="false" customHeight="false" outlineLevel="0" collapsed="false">
      <c r="A2852" s="57" t="s">
        <v>3425</v>
      </c>
      <c r="B2852" s="58" t="n">
        <v>46020</v>
      </c>
      <c r="C2852" s="57" t="n">
        <f aca="false">YEAR(B2852)</f>
        <v>2025</v>
      </c>
      <c r="D2852" s="57" t="n">
        <f aca="false">MONTH(B2852)</f>
        <v>12</v>
      </c>
      <c r="E2852" s="57" t="s">
        <v>89</v>
      </c>
      <c r="F2852" s="57" t="s">
        <v>81</v>
      </c>
      <c r="G2852" s="57" t="s">
        <v>35</v>
      </c>
      <c r="H2852" s="57" t="s">
        <v>34</v>
      </c>
      <c r="I2852" s="59" t="n">
        <v>1</v>
      </c>
      <c r="J2852" s="60" t="n">
        <v>89</v>
      </c>
      <c r="K2852" s="60" t="n">
        <v>41</v>
      </c>
      <c r="L2852" s="61" t="n">
        <f aca="false">I2852*J2852</f>
        <v>89</v>
      </c>
      <c r="M2852" s="61" t="n">
        <f aca="false">L2852-I2852*K2852</f>
        <v>48</v>
      </c>
      <c r="N2852" s="57" t="n">
        <f aca="false">IF(COUNTIFS(E$2:E2852,E2852,C$2:C2852,C2852)=1,1,0)</f>
        <v>0</v>
      </c>
      <c r="O2852" s="57" t="n">
        <f aca="false">IF(COUNTIFS(E$2:E2852,E2852,C$2:C2852,C2852,D$2:D2852,D2852)=1,1,0)</f>
        <v>0</v>
      </c>
      <c r="P2852" s="57" t="n">
        <f aca="false">IF(AND(C2852=Calc!$C$3,OR(Calc!$C$4=0,D2852=Calc!$C$4)),ROW(),0)</f>
        <v>2852</v>
      </c>
    </row>
    <row r="2853" customFormat="false" ht="15" hidden="false" customHeight="false" outlineLevel="0" collapsed="false">
      <c r="A2853" s="57" t="s">
        <v>3426</v>
      </c>
      <c r="B2853" s="58" t="n">
        <v>46020</v>
      </c>
      <c r="C2853" s="57" t="n">
        <f aca="false">YEAR(B2853)</f>
        <v>2025</v>
      </c>
      <c r="D2853" s="57" t="n">
        <f aca="false">MONTH(B2853)</f>
        <v>12</v>
      </c>
      <c r="E2853" s="57" t="s">
        <v>712</v>
      </c>
      <c r="F2853" s="57" t="s">
        <v>78</v>
      </c>
      <c r="G2853" s="57" t="s">
        <v>40</v>
      </c>
      <c r="H2853" s="57" t="s">
        <v>41</v>
      </c>
      <c r="I2853" s="59" t="n">
        <v>1</v>
      </c>
      <c r="J2853" s="60" t="n">
        <v>46</v>
      </c>
      <c r="K2853" s="60" t="n">
        <v>16</v>
      </c>
      <c r="L2853" s="61" t="n">
        <f aca="false">I2853*J2853</f>
        <v>46</v>
      </c>
      <c r="M2853" s="61" t="n">
        <f aca="false">L2853-I2853*K2853</f>
        <v>30</v>
      </c>
      <c r="N2853" s="57" t="n">
        <f aca="false">IF(COUNTIFS(E$2:E2853,E2853,C$2:C2853,C2853)=1,1,0)</f>
        <v>0</v>
      </c>
      <c r="O2853" s="57" t="n">
        <f aca="false">IF(COUNTIFS(E$2:E2853,E2853,C$2:C2853,C2853,D$2:D2853,D2853)=1,1,0)</f>
        <v>1</v>
      </c>
      <c r="P2853" s="57" t="n">
        <f aca="false">IF(AND(C2853=Calc!$C$3,OR(Calc!$C$4=0,D2853=Calc!$C$4)),ROW(),0)</f>
        <v>2853</v>
      </c>
    </row>
    <row r="2854" customFormat="false" ht="15" hidden="false" customHeight="false" outlineLevel="0" collapsed="false">
      <c r="A2854" s="57" t="s">
        <v>3427</v>
      </c>
      <c r="B2854" s="58" t="n">
        <v>46021</v>
      </c>
      <c r="C2854" s="57" t="n">
        <f aca="false">YEAR(B2854)</f>
        <v>2025</v>
      </c>
      <c r="D2854" s="57" t="n">
        <f aca="false">MONTH(B2854)</f>
        <v>12</v>
      </c>
      <c r="E2854" s="57" t="s">
        <v>903</v>
      </c>
      <c r="F2854" s="57" t="s">
        <v>69</v>
      </c>
      <c r="G2854" s="57" t="s">
        <v>54</v>
      </c>
      <c r="H2854" s="57" t="s">
        <v>55</v>
      </c>
      <c r="I2854" s="59" t="n">
        <v>2</v>
      </c>
      <c r="J2854" s="60" t="n">
        <v>64</v>
      </c>
      <c r="K2854" s="60" t="n">
        <v>25</v>
      </c>
      <c r="L2854" s="61" t="n">
        <f aca="false">I2854*J2854</f>
        <v>128</v>
      </c>
      <c r="M2854" s="61" t="n">
        <f aca="false">L2854-I2854*K2854</f>
        <v>78</v>
      </c>
      <c r="N2854" s="57" t="n">
        <f aca="false">IF(COUNTIFS(E$2:E2854,E2854,C$2:C2854,C2854)=1,1,0)</f>
        <v>0</v>
      </c>
      <c r="O2854" s="57" t="n">
        <f aca="false">IF(COUNTIFS(E$2:E2854,E2854,C$2:C2854,C2854,D$2:D2854,D2854)=1,1,0)</f>
        <v>1</v>
      </c>
      <c r="P2854" s="57" t="n">
        <f aca="false">IF(AND(C2854=Calc!$C$3,OR(Calc!$C$4=0,D2854=Calc!$C$4)),ROW(),0)</f>
        <v>2854</v>
      </c>
    </row>
    <row r="2855" customFormat="false" ht="15" hidden="false" customHeight="false" outlineLevel="0" collapsed="false">
      <c r="A2855" s="57" t="s">
        <v>3428</v>
      </c>
      <c r="B2855" s="58" t="n">
        <v>46021</v>
      </c>
      <c r="C2855" s="57" t="n">
        <f aca="false">YEAR(B2855)</f>
        <v>2025</v>
      </c>
      <c r="D2855" s="57" t="n">
        <f aca="false">MONTH(B2855)</f>
        <v>12</v>
      </c>
      <c r="E2855" s="57" t="s">
        <v>1437</v>
      </c>
      <c r="F2855" s="57" t="s">
        <v>69</v>
      </c>
      <c r="G2855" s="57" t="s">
        <v>35</v>
      </c>
      <c r="H2855" s="57" t="s">
        <v>37</v>
      </c>
      <c r="I2855" s="59" t="n">
        <v>1</v>
      </c>
      <c r="J2855" s="60" t="n">
        <v>59</v>
      </c>
      <c r="K2855" s="60" t="n">
        <v>27</v>
      </c>
      <c r="L2855" s="61" t="n">
        <f aca="false">I2855*J2855</f>
        <v>59</v>
      </c>
      <c r="M2855" s="61" t="n">
        <f aca="false">L2855-I2855*K2855</f>
        <v>32</v>
      </c>
      <c r="N2855" s="57" t="n">
        <f aca="false">IF(COUNTIFS(E$2:E2855,E2855,C$2:C2855,C2855)=1,1,0)</f>
        <v>0</v>
      </c>
      <c r="O2855" s="57" t="n">
        <f aca="false">IF(COUNTIFS(E$2:E2855,E2855,C$2:C2855,C2855,D$2:D2855,D2855)=1,1,0)</f>
        <v>1</v>
      </c>
      <c r="P2855" s="57" t="n">
        <f aca="false">IF(AND(C2855=Calc!$C$3,OR(Calc!$C$4=0,D2855=Calc!$C$4)),ROW(),0)</f>
        <v>2855</v>
      </c>
    </row>
    <row r="2856" customFormat="false" ht="15" hidden="false" customHeight="false" outlineLevel="0" collapsed="false">
      <c r="A2856" s="57" t="s">
        <v>3429</v>
      </c>
      <c r="B2856" s="58" t="n">
        <v>46021</v>
      </c>
      <c r="C2856" s="57" t="n">
        <f aca="false">YEAR(B2856)</f>
        <v>2025</v>
      </c>
      <c r="D2856" s="57" t="n">
        <f aca="false">MONTH(B2856)</f>
        <v>12</v>
      </c>
      <c r="E2856" s="57" t="s">
        <v>461</v>
      </c>
      <c r="F2856" s="57" t="s">
        <v>78</v>
      </c>
      <c r="G2856" s="57" t="s">
        <v>35</v>
      </c>
      <c r="H2856" s="57" t="s">
        <v>38</v>
      </c>
      <c r="I2856" s="59" t="n">
        <v>2</v>
      </c>
      <c r="J2856" s="60" t="n">
        <v>49</v>
      </c>
      <c r="K2856" s="60" t="n">
        <v>22</v>
      </c>
      <c r="L2856" s="61" t="n">
        <f aca="false">I2856*J2856</f>
        <v>98</v>
      </c>
      <c r="M2856" s="61" t="n">
        <f aca="false">L2856-I2856*K2856</f>
        <v>54</v>
      </c>
      <c r="N2856" s="57" t="n">
        <f aca="false">IF(COUNTIFS(E$2:E2856,E2856,C$2:C2856,C2856)=1,1,0)</f>
        <v>0</v>
      </c>
      <c r="O2856" s="57" t="n">
        <f aca="false">IF(COUNTIFS(E$2:E2856,E2856,C$2:C2856,C2856,D$2:D2856,D2856)=1,1,0)</f>
        <v>0</v>
      </c>
      <c r="P2856" s="57" t="n">
        <f aca="false">IF(AND(C2856=Calc!$C$3,OR(Calc!$C$4=0,D2856=Calc!$C$4)),ROW(),0)</f>
        <v>2856</v>
      </c>
    </row>
    <row r="2857" customFormat="false" ht="15" hidden="false" customHeight="false" outlineLevel="0" collapsed="false">
      <c r="A2857" s="57" t="s">
        <v>3430</v>
      </c>
      <c r="B2857" s="58" t="n">
        <v>46021</v>
      </c>
      <c r="C2857" s="57" t="n">
        <f aca="false">YEAR(B2857)</f>
        <v>2025</v>
      </c>
      <c r="D2857" s="57" t="n">
        <f aca="false">MONTH(B2857)</f>
        <v>12</v>
      </c>
      <c r="E2857" s="57" t="s">
        <v>2086</v>
      </c>
      <c r="F2857" s="57" t="s">
        <v>75</v>
      </c>
      <c r="G2857" s="57" t="s">
        <v>35</v>
      </c>
      <c r="H2857" s="57" t="s">
        <v>36</v>
      </c>
      <c r="I2857" s="59" t="n">
        <v>2</v>
      </c>
      <c r="J2857" s="60" t="n">
        <v>179</v>
      </c>
      <c r="K2857" s="60" t="n">
        <v>92</v>
      </c>
      <c r="L2857" s="61" t="n">
        <f aca="false">I2857*J2857</f>
        <v>358</v>
      </c>
      <c r="M2857" s="61" t="n">
        <f aca="false">L2857-I2857*K2857</f>
        <v>174</v>
      </c>
      <c r="N2857" s="57" t="n">
        <f aca="false">IF(COUNTIFS(E$2:E2857,E2857,C$2:C2857,C2857)=1,1,0)</f>
        <v>0</v>
      </c>
      <c r="O2857" s="57" t="n">
        <f aca="false">IF(COUNTIFS(E$2:E2857,E2857,C$2:C2857,C2857,D$2:D2857,D2857)=1,1,0)</f>
        <v>1</v>
      </c>
      <c r="P2857" s="57" t="n">
        <f aca="false">IF(AND(C2857=Calc!$C$3,OR(Calc!$C$4=0,D2857=Calc!$C$4)),ROW(),0)</f>
        <v>2857</v>
      </c>
    </row>
    <row r="2858" customFormat="false" ht="15" hidden="false" customHeight="false" outlineLevel="0" collapsed="false">
      <c r="A2858" s="57" t="s">
        <v>3431</v>
      </c>
      <c r="B2858" s="58" t="n">
        <v>46021</v>
      </c>
      <c r="C2858" s="57" t="n">
        <f aca="false">YEAR(B2858)</f>
        <v>2025</v>
      </c>
      <c r="D2858" s="57" t="n">
        <f aca="false">MONTH(B2858)</f>
        <v>12</v>
      </c>
      <c r="E2858" s="57" t="s">
        <v>122</v>
      </c>
      <c r="F2858" s="57" t="s">
        <v>81</v>
      </c>
      <c r="G2858" s="57" t="s">
        <v>40</v>
      </c>
      <c r="H2858" s="57" t="s">
        <v>42</v>
      </c>
      <c r="I2858" s="59" t="n">
        <v>1</v>
      </c>
      <c r="J2858" s="60" t="n">
        <v>79</v>
      </c>
      <c r="K2858" s="60" t="n">
        <v>31</v>
      </c>
      <c r="L2858" s="61" t="n">
        <f aca="false">I2858*J2858</f>
        <v>79</v>
      </c>
      <c r="M2858" s="61" t="n">
        <f aca="false">L2858-I2858*K2858</f>
        <v>48</v>
      </c>
      <c r="N2858" s="57" t="n">
        <f aca="false">IF(COUNTIFS(E$2:E2858,E2858,C$2:C2858,C2858)=1,1,0)</f>
        <v>0</v>
      </c>
      <c r="O2858" s="57" t="n">
        <f aca="false">IF(COUNTIFS(E$2:E2858,E2858,C$2:C2858,C2858,D$2:D2858,D2858)=1,1,0)</f>
        <v>1</v>
      </c>
      <c r="P2858" s="57" t="n">
        <f aca="false">IF(AND(C2858=Calc!$C$3,OR(Calc!$C$4=0,D2858=Calc!$C$4)),ROW(),0)</f>
        <v>2858</v>
      </c>
    </row>
    <row r="2859" customFormat="false" ht="15" hidden="false" customHeight="false" outlineLevel="0" collapsed="false">
      <c r="A2859" s="57" t="s">
        <v>3432</v>
      </c>
      <c r="B2859" s="58" t="n">
        <v>46021</v>
      </c>
      <c r="C2859" s="57" t="n">
        <f aca="false">YEAR(B2859)</f>
        <v>2025</v>
      </c>
      <c r="D2859" s="57" t="n">
        <f aca="false">MONTH(B2859)</f>
        <v>12</v>
      </c>
      <c r="E2859" s="57" t="s">
        <v>1218</v>
      </c>
      <c r="F2859" s="57" t="s">
        <v>81</v>
      </c>
      <c r="G2859" s="57" t="s">
        <v>35</v>
      </c>
      <c r="H2859" s="57" t="s">
        <v>38</v>
      </c>
      <c r="I2859" s="59" t="n">
        <v>1</v>
      </c>
      <c r="J2859" s="60" t="n">
        <v>49</v>
      </c>
      <c r="K2859" s="60" t="n">
        <v>22</v>
      </c>
      <c r="L2859" s="61" t="n">
        <f aca="false">I2859*J2859</f>
        <v>49</v>
      </c>
      <c r="M2859" s="61" t="n">
        <f aca="false">L2859-I2859*K2859</f>
        <v>27</v>
      </c>
      <c r="N2859" s="57" t="n">
        <f aca="false">IF(COUNTIFS(E$2:E2859,E2859,C$2:C2859,C2859)=1,1,0)</f>
        <v>0</v>
      </c>
      <c r="O2859" s="57" t="n">
        <f aca="false">IF(COUNTIFS(E$2:E2859,E2859,C$2:C2859,C2859,D$2:D2859,D2859)=1,1,0)</f>
        <v>1</v>
      </c>
      <c r="P2859" s="57" t="n">
        <f aca="false">IF(AND(C2859=Calc!$C$3,OR(Calc!$C$4=0,D2859=Calc!$C$4)),ROW(),0)</f>
        <v>2859</v>
      </c>
    </row>
    <row r="2860" customFormat="false" ht="15" hidden="false" customHeight="false" outlineLevel="0" collapsed="false">
      <c r="A2860" s="57" t="s">
        <v>3433</v>
      </c>
      <c r="B2860" s="58" t="n">
        <v>46022</v>
      </c>
      <c r="C2860" s="57" t="n">
        <f aca="false">YEAR(B2860)</f>
        <v>2025</v>
      </c>
      <c r="D2860" s="57" t="n">
        <f aca="false">MONTH(B2860)</f>
        <v>12</v>
      </c>
      <c r="E2860" s="57" t="s">
        <v>470</v>
      </c>
      <c r="F2860" s="57" t="s">
        <v>75</v>
      </c>
      <c r="G2860" s="57" t="s">
        <v>35</v>
      </c>
      <c r="H2860" s="57" t="s">
        <v>34</v>
      </c>
      <c r="I2860" s="59" t="n">
        <v>2</v>
      </c>
      <c r="J2860" s="60" t="n">
        <v>89</v>
      </c>
      <c r="K2860" s="60" t="n">
        <v>41</v>
      </c>
      <c r="L2860" s="61" t="n">
        <f aca="false">I2860*J2860</f>
        <v>178</v>
      </c>
      <c r="M2860" s="61" t="n">
        <f aca="false">L2860-I2860*K2860</f>
        <v>96</v>
      </c>
      <c r="N2860" s="57" t="n">
        <f aca="false">IF(COUNTIFS(E$2:E2860,E2860,C$2:C2860,C2860)=1,1,0)</f>
        <v>0</v>
      </c>
      <c r="O2860" s="57" t="n">
        <f aca="false">IF(COUNTIFS(E$2:E2860,E2860,C$2:C2860,C2860,D$2:D2860,D2860)=1,1,0)</f>
        <v>1</v>
      </c>
      <c r="P2860" s="57" t="n">
        <f aca="false">IF(AND(C2860=Calc!$C$3,OR(Calc!$C$4=0,D2860=Calc!$C$4)),ROW(),0)</f>
        <v>2860</v>
      </c>
    </row>
    <row r="2861" customFormat="false" ht="15" hidden="false" customHeight="false" outlineLevel="0" collapsed="false">
      <c r="A2861" s="57" t="s">
        <v>3434</v>
      </c>
      <c r="B2861" s="58" t="n">
        <v>46022</v>
      </c>
      <c r="C2861" s="57" t="n">
        <f aca="false">YEAR(B2861)</f>
        <v>2025</v>
      </c>
      <c r="D2861" s="57" t="n">
        <f aca="false">MONTH(B2861)</f>
        <v>12</v>
      </c>
      <c r="E2861" s="57" t="s">
        <v>164</v>
      </c>
      <c r="F2861" s="57" t="s">
        <v>69</v>
      </c>
      <c r="G2861" s="57" t="s">
        <v>45</v>
      </c>
      <c r="H2861" s="57" t="s">
        <v>44</v>
      </c>
      <c r="I2861" s="59" t="n">
        <v>2</v>
      </c>
      <c r="J2861" s="60" t="n">
        <v>119</v>
      </c>
      <c r="K2861" s="60" t="n">
        <v>63</v>
      </c>
      <c r="L2861" s="61" t="n">
        <f aca="false">I2861*J2861</f>
        <v>238</v>
      </c>
      <c r="M2861" s="61" t="n">
        <f aca="false">L2861-I2861*K2861</f>
        <v>112</v>
      </c>
      <c r="N2861" s="57" t="n">
        <f aca="false">IF(COUNTIFS(E$2:E2861,E2861,C$2:C2861,C2861)=1,1,0)</f>
        <v>0</v>
      </c>
      <c r="O2861" s="57" t="n">
        <f aca="false">IF(COUNTIFS(E$2:E2861,E2861,C$2:C2861,C2861,D$2:D2861,D2861)=1,1,0)</f>
        <v>0</v>
      </c>
      <c r="P2861" s="57" t="n">
        <f aca="false">IF(AND(C2861=Calc!$C$3,OR(Calc!$C$4=0,D2861=Calc!$C$4)),ROW(),0)</f>
        <v>2861</v>
      </c>
    </row>
    <row r="2862" customFormat="false" ht="15" hidden="false" customHeight="false" outlineLevel="0" collapsed="false">
      <c r="A2862" s="57" t="s">
        <v>3435</v>
      </c>
      <c r="B2862" s="58" t="n">
        <v>46022</v>
      </c>
      <c r="C2862" s="57" t="n">
        <f aca="false">YEAR(B2862)</f>
        <v>2025</v>
      </c>
      <c r="D2862" s="57" t="n">
        <f aca="false">MONTH(B2862)</f>
        <v>12</v>
      </c>
      <c r="E2862" s="57" t="s">
        <v>728</v>
      </c>
      <c r="F2862" s="57" t="s">
        <v>78</v>
      </c>
      <c r="G2862" s="57" t="s">
        <v>40</v>
      </c>
      <c r="H2862" s="57" t="s">
        <v>39</v>
      </c>
      <c r="I2862" s="59" t="n">
        <v>1</v>
      </c>
      <c r="J2862" s="60" t="n">
        <v>54</v>
      </c>
      <c r="K2862" s="60" t="n">
        <v>19</v>
      </c>
      <c r="L2862" s="61" t="n">
        <f aca="false">I2862*J2862</f>
        <v>54</v>
      </c>
      <c r="M2862" s="61" t="n">
        <f aca="false">L2862-I2862*K2862</f>
        <v>35</v>
      </c>
      <c r="N2862" s="57" t="n">
        <f aca="false">IF(COUNTIFS(E$2:E2862,E2862,C$2:C2862,C2862)=1,1,0)</f>
        <v>0</v>
      </c>
      <c r="O2862" s="57" t="n">
        <f aca="false">IF(COUNTIFS(E$2:E2862,E2862,C$2:C2862,C2862,D$2:D2862,D2862)=1,1,0)</f>
        <v>1</v>
      </c>
      <c r="P2862" s="57" t="n">
        <f aca="false">IF(AND(C2862=Calc!$C$3,OR(Calc!$C$4=0,D2862=Calc!$C$4)),ROW(),0)</f>
        <v>2862</v>
      </c>
    </row>
    <row r="2863" customFormat="false" ht="15" hidden="false" customHeight="false" outlineLevel="0" collapsed="false">
      <c r="A2863" s="57" t="s">
        <v>3436</v>
      </c>
      <c r="B2863" s="58" t="n">
        <v>46022</v>
      </c>
      <c r="C2863" s="57" t="n">
        <f aca="false">YEAR(B2863)</f>
        <v>2025</v>
      </c>
      <c r="D2863" s="57" t="n">
        <f aca="false">MONTH(B2863)</f>
        <v>12</v>
      </c>
      <c r="E2863" s="57" t="s">
        <v>796</v>
      </c>
      <c r="F2863" s="57" t="s">
        <v>69</v>
      </c>
      <c r="G2863" s="57" t="s">
        <v>35</v>
      </c>
      <c r="H2863" s="57" t="s">
        <v>38</v>
      </c>
      <c r="I2863" s="59" t="n">
        <v>1</v>
      </c>
      <c r="J2863" s="60" t="n">
        <v>49</v>
      </c>
      <c r="K2863" s="60" t="n">
        <v>22</v>
      </c>
      <c r="L2863" s="61" t="n">
        <f aca="false">I2863*J2863</f>
        <v>49</v>
      </c>
      <c r="M2863" s="61" t="n">
        <f aca="false">L2863-I2863*K2863</f>
        <v>27</v>
      </c>
      <c r="N2863" s="57" t="n">
        <f aca="false">IF(COUNTIFS(E$2:E2863,E2863,C$2:C2863,C2863)=1,1,0)</f>
        <v>0</v>
      </c>
      <c r="O2863" s="57" t="n">
        <f aca="false">IF(COUNTIFS(E$2:E2863,E2863,C$2:C2863,C2863,D$2:D2863,D2863)=1,1,0)</f>
        <v>1</v>
      </c>
      <c r="P2863" s="57" t="n">
        <f aca="false">IF(AND(C2863=Calc!$C$3,OR(Calc!$C$4=0,D2863=Calc!$C$4)),ROW(),0)</f>
        <v>2863</v>
      </c>
    </row>
    <row r="2864" customFormat="false" ht="15" hidden="false" customHeight="false" outlineLevel="0" collapsed="false">
      <c r="A2864" s="57" t="s">
        <v>3437</v>
      </c>
      <c r="B2864" s="58" t="n">
        <v>46022</v>
      </c>
      <c r="C2864" s="57" t="n">
        <f aca="false">YEAR(B2864)</f>
        <v>2025</v>
      </c>
      <c r="D2864" s="57" t="n">
        <f aca="false">MONTH(B2864)</f>
        <v>12</v>
      </c>
      <c r="E2864" s="57" t="s">
        <v>996</v>
      </c>
      <c r="F2864" s="57" t="s">
        <v>75</v>
      </c>
      <c r="G2864" s="57" t="s">
        <v>35</v>
      </c>
      <c r="H2864" s="57" t="s">
        <v>38</v>
      </c>
      <c r="I2864" s="59" t="n">
        <v>1</v>
      </c>
      <c r="J2864" s="60" t="n">
        <v>49</v>
      </c>
      <c r="K2864" s="60" t="n">
        <v>22</v>
      </c>
      <c r="L2864" s="61" t="n">
        <f aca="false">I2864*J2864</f>
        <v>49</v>
      </c>
      <c r="M2864" s="61" t="n">
        <f aca="false">L2864-I2864*K2864</f>
        <v>27</v>
      </c>
      <c r="N2864" s="57" t="n">
        <f aca="false">IF(COUNTIFS(E$2:E2864,E2864,C$2:C2864,C2864)=1,1,0)</f>
        <v>0</v>
      </c>
      <c r="O2864" s="57" t="n">
        <f aca="false">IF(COUNTIFS(E$2:E2864,E2864,C$2:C2864,C2864,D$2:D2864,D2864)=1,1,0)</f>
        <v>1</v>
      </c>
      <c r="P2864" s="57" t="n">
        <f aca="false">IF(AND(C2864=Calc!$C$3,OR(Calc!$C$4=0,D2864=Calc!$C$4)),ROW(),0)</f>
        <v>2864</v>
      </c>
    </row>
  </sheetData>
  <hyperlinks>
    <hyperlink ref="R1" r:id="rId2" location="'Overview'!A1" display="◀ Back to Overvie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tableParts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M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10" min="10" style="0" width="22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62" t="s">
        <v>3438</v>
      </c>
    </row>
    <row r="3" customFormat="false" ht="15" hidden="false" customHeight="false" outlineLevel="0" collapsed="false">
      <c r="A3" s="57"/>
      <c r="B3" s="57" t="s">
        <v>2</v>
      </c>
      <c r="C3" s="57" t="n">
        <f aca="false">Overview!$N$2</f>
        <v>2025</v>
      </c>
      <c r="D3" s="57"/>
      <c r="E3" s="57"/>
      <c r="F3" s="57"/>
      <c r="G3" s="57"/>
      <c r="H3" s="57"/>
      <c r="I3" s="57"/>
      <c r="J3" s="57"/>
      <c r="K3" s="57"/>
      <c r="L3" s="57"/>
      <c r="M3" s="57"/>
    </row>
    <row r="4" customFormat="false" ht="15" hidden="false" customHeight="false" outlineLevel="0" collapsed="false">
      <c r="A4" s="57"/>
      <c r="B4" s="57" t="s">
        <v>3439</v>
      </c>
      <c r="C4" s="57" t="n">
        <f aca="false">IF(Overview!$Q$2="All",0,MATCH(Overview!$Q$2,Lists!$B$3:$B$14,0))</f>
        <v>0</v>
      </c>
      <c r="D4" s="57"/>
      <c r="E4" s="57"/>
      <c r="F4" s="57"/>
      <c r="G4" s="57"/>
      <c r="H4" s="57"/>
      <c r="I4" s="57"/>
      <c r="J4" s="57"/>
      <c r="K4" s="57"/>
      <c r="L4" s="57"/>
      <c r="M4" s="57"/>
    </row>
    <row r="5" customFormat="false" ht="15" hidden="false" customHeight="false" outlineLevel="0" collapsed="false">
      <c r="A5" s="57"/>
      <c r="B5" s="57" t="s">
        <v>3440</v>
      </c>
      <c r="C5" s="57" t="n">
        <f aca="false">IF($C$4=0,$C$3-1,IF($C$4=1,$C$3-1,$C$3))</f>
        <v>2024</v>
      </c>
      <c r="D5" s="57"/>
      <c r="E5" s="57"/>
      <c r="F5" s="57"/>
      <c r="G5" s="57"/>
      <c r="H5" s="57"/>
      <c r="I5" s="57"/>
      <c r="J5" s="57"/>
      <c r="K5" s="57"/>
      <c r="L5" s="57"/>
      <c r="M5" s="57"/>
    </row>
    <row r="6" customFormat="false" ht="15" hidden="false" customHeight="false" outlineLevel="0" collapsed="false">
      <c r="A6" s="57"/>
      <c r="B6" s="57" t="s">
        <v>3441</v>
      </c>
      <c r="C6" s="57" t="n">
        <f aca="false">IF($C$4=0,0,IF($C$4=1,12,$C$4-1))</f>
        <v>0</v>
      </c>
      <c r="D6" s="57"/>
      <c r="E6" s="57"/>
      <c r="F6" s="57"/>
      <c r="G6" s="57"/>
      <c r="H6" s="57"/>
      <c r="I6" s="57"/>
      <c r="J6" s="57"/>
      <c r="K6" s="57"/>
      <c r="L6" s="57"/>
      <c r="M6" s="57"/>
    </row>
    <row r="7" customFormat="false" ht="15" hidden="false" customHeight="false" outlineLevel="0" collapsed="false">
      <c r="A7" s="57"/>
      <c r="B7" s="57" t="s">
        <v>3442</v>
      </c>
      <c r="C7" s="57" t="n">
        <f aca="false">IF($C$4=0,$C$5,INDEX(Lists!$B$3:$B$14,$C$6)&amp;" "&amp;$C$5)</f>
        <v>2024</v>
      </c>
      <c r="D7" s="57"/>
      <c r="E7" s="57"/>
      <c r="F7" s="57"/>
      <c r="G7" s="57"/>
      <c r="H7" s="57"/>
      <c r="I7" s="57"/>
      <c r="J7" s="57"/>
      <c r="K7" s="57"/>
      <c r="L7" s="57"/>
      <c r="M7" s="57"/>
    </row>
    <row r="8" customFormat="false" ht="15" hidden="false" customHeight="false" outlineLevel="0" collapsed="false">
      <c r="A8" s="57"/>
      <c r="B8" s="57" t="s">
        <v>3443</v>
      </c>
      <c r="C8" s="57" t="str">
        <f aca="false">IF($C$4=0,"Full year "&amp;$C$3,INDEX(Lists!$B$3:$B$14,$C$4)&amp;" "&amp;$C$3)</f>
        <v>Full year 2025</v>
      </c>
      <c r="D8" s="57"/>
      <c r="E8" s="57"/>
      <c r="F8" s="57"/>
      <c r="G8" s="57"/>
      <c r="H8" s="57"/>
      <c r="I8" s="57"/>
      <c r="J8" s="57"/>
      <c r="K8" s="57"/>
      <c r="L8" s="57"/>
      <c r="M8" s="57"/>
    </row>
    <row r="9" customFormat="false" ht="15" hidden="false" customHeight="false" outlineLevel="0" collapsed="false">
      <c r="A9" s="57"/>
      <c r="B9" s="57" t="s">
        <v>3444</v>
      </c>
      <c r="C9" s="63" t="b">
        <f aca="false">COUNTIF(Orders!$C$2:$C$2864,$C$5)&gt;0</f>
        <v>1</v>
      </c>
      <c r="D9" s="57"/>
      <c r="E9" s="57"/>
      <c r="F9" s="57"/>
      <c r="G9" s="57"/>
      <c r="H9" s="57"/>
      <c r="I9" s="57"/>
      <c r="J9" s="57"/>
      <c r="K9" s="57"/>
      <c r="L9" s="57"/>
      <c r="M9" s="57"/>
    </row>
    <row r="10" customFormat="false" ht="15" hidden="false" customHeight="false" outlineLevel="0" collapsed="false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</row>
    <row r="11" customFormat="false" ht="15" hidden="false" customHeight="false" outlineLevel="0" collapsed="false">
      <c r="A11" s="62"/>
      <c r="B11" s="62" t="s">
        <v>3445</v>
      </c>
      <c r="C11" s="62" t="s">
        <v>3446</v>
      </c>
      <c r="D11" s="62" t="s">
        <v>3447</v>
      </c>
      <c r="E11" s="62"/>
      <c r="F11" s="62"/>
      <c r="G11" s="62"/>
      <c r="H11" s="62"/>
      <c r="I11" s="62"/>
      <c r="J11" s="62"/>
      <c r="K11" s="62"/>
      <c r="L11" s="62"/>
      <c r="M11" s="62"/>
    </row>
    <row r="12" customFormat="false" ht="15" hidden="false" customHeight="false" outlineLevel="0" collapsed="false">
      <c r="A12" s="57"/>
      <c r="B12" s="57" t="s">
        <v>3448</v>
      </c>
      <c r="C12" s="57" t="n">
        <f aca="false">SUMIFS(Orders!$L$2:$L$2864,Orders!$C$2:$C$2864,$C$3,Orders!$D$2:$D$2864,IF($C$4=0,"&gt;0",$C$4))</f>
        <v>146335</v>
      </c>
      <c r="D12" s="57" t="n">
        <f aca="false">SUMIFS(Orders!$L$2:$L$2864,Orders!$C$2:$C$2864,$C$5,Orders!$D$2:$D$2864,IF($C$6=0,"&gt;0",$C$6))</f>
        <v>134595</v>
      </c>
      <c r="E12" s="57"/>
      <c r="F12" s="57"/>
      <c r="G12" s="57"/>
      <c r="H12" s="57"/>
      <c r="I12" s="57"/>
      <c r="J12" s="57"/>
      <c r="K12" s="57"/>
      <c r="L12" s="57"/>
      <c r="M12" s="57"/>
    </row>
    <row r="13" customFormat="false" ht="15" hidden="false" customHeight="false" outlineLevel="0" collapsed="false">
      <c r="A13" s="57"/>
      <c r="B13" s="57" t="s">
        <v>3449</v>
      </c>
      <c r="C13" s="57" t="n">
        <f aca="false">SUMIFS(Orders!$M$2:$M$2864,Orders!$C$2:$C$2864,$C$3,Orders!$D$2:$D$2864,IF($C$4=0,"&gt;0",$C$4))</f>
        <v>81660</v>
      </c>
      <c r="D13" s="57" t="n">
        <f aca="false">SUMIFS(Orders!$M$2:$M$2864,Orders!$C$2:$C$2864,$C$5,Orders!$D$2:$D$2864,IF($C$6=0,"&gt;0",$C$6))</f>
        <v>74774</v>
      </c>
      <c r="E13" s="57"/>
      <c r="F13" s="57"/>
      <c r="G13" s="57"/>
      <c r="H13" s="57"/>
      <c r="I13" s="57"/>
      <c r="J13" s="57"/>
      <c r="K13" s="57"/>
      <c r="L13" s="57"/>
      <c r="M13" s="57"/>
    </row>
    <row r="14" customFormat="false" ht="15" hidden="false" customHeight="false" outlineLevel="0" collapsed="false">
      <c r="A14" s="57"/>
      <c r="B14" s="57" t="s">
        <v>3450</v>
      </c>
      <c r="C14" s="57" t="n">
        <f aca="false">COUNTIFS(Orders!$C$2:$C$2864,$C$3,Orders!$D$2:$D$2864,IF($C$4=0,"&gt;0",$C$4))</f>
        <v>1514</v>
      </c>
      <c r="D14" s="57" t="n">
        <f aca="false">COUNTIFS(Orders!$C$2:$C$2864,$C$5,Orders!$D$2:$D$2864,IF($C$6=0,"&gt;0",$C$6))</f>
        <v>1349</v>
      </c>
      <c r="E14" s="57"/>
      <c r="F14" s="57"/>
      <c r="G14" s="57"/>
      <c r="H14" s="57"/>
      <c r="I14" s="57"/>
      <c r="J14" s="57"/>
      <c r="K14" s="57"/>
      <c r="L14" s="57"/>
      <c r="M14" s="57"/>
    </row>
    <row r="15" customFormat="false" ht="15" hidden="false" customHeight="false" outlineLevel="0" collapsed="false">
      <c r="A15" s="57"/>
      <c r="B15" s="57" t="s">
        <v>3451</v>
      </c>
      <c r="C15" s="57" t="n">
        <f aca="false">IF($C$4=0,SUMIFS(Orders!$N$2:$N$2864,Orders!$C$2:$C$2864,$C$3),SUMIFS(Orders!$O$2:$O$2864,Orders!$C$2:$C$2864,$C$3,Orders!$D$2:$D$2864,$C$4))</f>
        <v>448</v>
      </c>
      <c r="D15" s="57" t="n">
        <f aca="false">IF($C$6=0,SUMIFS(Orders!$N$2:$N$2864,Orders!$C$2:$C$2864,$C$5),SUMIFS(Orders!$O$2:$O$2864,Orders!$C$2:$C$2864,$C$5,Orders!$D$2:$D$2864,$C$6))</f>
        <v>442</v>
      </c>
      <c r="E15" s="57"/>
      <c r="F15" s="57"/>
      <c r="G15" s="57"/>
      <c r="H15" s="57"/>
      <c r="I15" s="57"/>
      <c r="J15" s="57"/>
      <c r="K15" s="57"/>
      <c r="L15" s="57"/>
      <c r="M15" s="57"/>
    </row>
    <row r="16" customFormat="false" ht="15" hidden="false" customHeight="false" outlineLevel="0" collapsed="false">
      <c r="A16" s="57"/>
      <c r="B16" s="57" t="s">
        <v>3452</v>
      </c>
      <c r="C16" s="57" t="n">
        <f aca="false">IF(C12=0,0,C13/C12)</f>
        <v>0.558034646530222</v>
      </c>
      <c r="D16" s="57" t="n">
        <f aca="false">IF(D12=0,0,D13/D12)</f>
        <v>0.555548125859059</v>
      </c>
      <c r="E16" s="57"/>
      <c r="F16" s="57"/>
      <c r="G16" s="57"/>
      <c r="H16" s="57"/>
      <c r="I16" s="57"/>
      <c r="J16" s="57"/>
      <c r="K16" s="57"/>
      <c r="L16" s="57"/>
      <c r="M16" s="57"/>
    </row>
    <row r="17" customFormat="false" ht="15" hidden="false" customHeight="false" outlineLevel="0" collapsed="false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customFormat="false" ht="15" hidden="false" customHeight="false" outlineLevel="0" collapsed="false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 customFormat="false" ht="15" hidden="false" customHeight="false" outlineLevel="0" collapsed="false">
      <c r="A19" s="62"/>
      <c r="B19" s="62" t="s">
        <v>3</v>
      </c>
      <c r="C19" s="64" t="n">
        <f aca="false">$C$3</f>
        <v>2025</v>
      </c>
      <c r="D19" s="64" t="n">
        <f aca="false">$C$3-1</f>
        <v>2024</v>
      </c>
      <c r="E19" s="62" t="s">
        <v>3453</v>
      </c>
      <c r="F19" s="62" t="s">
        <v>27</v>
      </c>
      <c r="G19" s="62"/>
      <c r="H19" s="62" t="s">
        <v>31</v>
      </c>
      <c r="I19" s="62" t="s">
        <v>17</v>
      </c>
      <c r="J19" s="62"/>
      <c r="K19" s="62" t="s">
        <v>59</v>
      </c>
      <c r="L19" s="62" t="s">
        <v>17</v>
      </c>
      <c r="M19" s="62"/>
    </row>
    <row r="20" customFormat="false" ht="15" hidden="false" customHeight="false" outlineLevel="0" collapsed="false">
      <c r="A20" s="57"/>
      <c r="B20" s="57" t="s">
        <v>3454</v>
      </c>
      <c r="C20" s="57" t="n">
        <f aca="false">SUMIFS(Orders!$L$2:$L$2864,Orders!$C$2:$C$2864,$C$3,Orders!$D$2:$D$2864,1)</f>
        <v>10478</v>
      </c>
      <c r="D20" s="57" t="n">
        <f aca="false">SUMIFS(Orders!$L$2:$L$2864,Orders!$C$2:$C$2864,$C$3-1,Orders!$D$2:$D$2864,1)</f>
        <v>8752</v>
      </c>
      <c r="E20" s="57" t="n">
        <f aca="false">SUMIFS(Orders!$M$2:$M$2864,Orders!$C$2:$C$2864,$C$3,Orders!$D$2:$D$2864,1)</f>
        <v>5825</v>
      </c>
      <c r="F20" s="57" t="n">
        <f aca="false">COUNTIFS(Orders!$C$2:$C$2864,$C$3,Orders!$D$2:$D$2864,1)</f>
        <v>108</v>
      </c>
      <c r="G20" s="57"/>
      <c r="H20" s="57" t="s">
        <v>35</v>
      </c>
      <c r="I20" s="57" t="n">
        <f aca="false">SUMIFS(Orders!$L$2:$L$2864,Orders!$C$2:$C$2864,$C$3,Orders!$D$2:$D$2864,IF($C$4=0,"&gt;0",$C$4),Orders!$G$2:$G$2864,H20)</f>
        <v>69815</v>
      </c>
      <c r="J20" s="57"/>
      <c r="K20" s="57" t="s">
        <v>75</v>
      </c>
      <c r="L20" s="65" t="n">
        <f aca="false">SUMIFS(Orders!$L$2:$L$2864,Orders!$C$2:$C$2864,$C$3,Orders!$D$2:$D$2864,IF($C$4=0,"&gt;0",$C$4),Orders!$F$2:$F$2864,K20)</f>
        <v>35816</v>
      </c>
      <c r="M20" s="57"/>
    </row>
    <row r="21" customFormat="false" ht="15" hidden="false" customHeight="false" outlineLevel="0" collapsed="false">
      <c r="A21" s="57"/>
      <c r="B21" s="57" t="s">
        <v>3455</v>
      </c>
      <c r="C21" s="57" t="n">
        <f aca="false">SUMIFS(Orders!$L$2:$L$2864,Orders!$C$2:$C$2864,$C$3,Orders!$D$2:$D$2864,2)</f>
        <v>7012</v>
      </c>
      <c r="D21" s="57" t="n">
        <f aca="false">SUMIFS(Orders!$L$2:$L$2864,Orders!$C$2:$C$2864,$C$3-1,Orders!$D$2:$D$2864,2)</f>
        <v>6282</v>
      </c>
      <c r="E21" s="57" t="n">
        <f aca="false">SUMIFS(Orders!$M$2:$M$2864,Orders!$C$2:$C$2864,$C$3,Orders!$D$2:$D$2864,2)</f>
        <v>4035</v>
      </c>
      <c r="F21" s="57" t="n">
        <f aca="false">COUNTIFS(Orders!$C$2:$C$2864,$C$3,Orders!$D$2:$D$2864,2)</f>
        <v>79</v>
      </c>
      <c r="G21" s="57"/>
      <c r="H21" s="57" t="s">
        <v>40</v>
      </c>
      <c r="I21" s="57" t="n">
        <f aca="false">SUMIFS(Orders!$L$2:$L$2864,Orders!$C$2:$C$2864,$C$3,Orders!$D$2:$D$2864,IF($C$4=0,"&gt;0",$C$4),Orders!$G$2:$G$2864,H21)</f>
        <v>24000</v>
      </c>
      <c r="J21" s="57"/>
      <c r="K21" s="57" t="s">
        <v>69</v>
      </c>
      <c r="L21" s="65" t="n">
        <f aca="false">SUMIFS(Orders!$L$2:$L$2864,Orders!$C$2:$C$2864,$C$3,Orders!$D$2:$D$2864,IF($C$4=0,"&gt;0",$C$4),Orders!$F$2:$F$2864,K21)</f>
        <v>36753</v>
      </c>
      <c r="M21" s="57"/>
    </row>
    <row r="22" customFormat="false" ht="15" hidden="false" customHeight="false" outlineLevel="0" collapsed="false">
      <c r="A22" s="57"/>
      <c r="B22" s="57" t="s">
        <v>3456</v>
      </c>
      <c r="C22" s="57" t="n">
        <f aca="false">SUMIFS(Orders!$L$2:$L$2864,Orders!$C$2:$C$2864,$C$3,Orders!$D$2:$D$2864,3)</f>
        <v>9908</v>
      </c>
      <c r="D22" s="57" t="n">
        <f aca="false">SUMIFS(Orders!$L$2:$L$2864,Orders!$C$2:$C$2864,$C$3-1,Orders!$D$2:$D$2864,3)</f>
        <v>9882</v>
      </c>
      <c r="E22" s="57" t="n">
        <f aca="false">SUMIFS(Orders!$M$2:$M$2864,Orders!$C$2:$C$2864,$C$3,Orders!$D$2:$D$2864,3)</f>
        <v>5666</v>
      </c>
      <c r="F22" s="57" t="n">
        <f aca="false">COUNTIFS(Orders!$C$2:$C$2864,$C$3,Orders!$D$2:$D$2864,3)</f>
        <v>108</v>
      </c>
      <c r="G22" s="57"/>
      <c r="H22" s="57" t="s">
        <v>45</v>
      </c>
      <c r="I22" s="57" t="n">
        <f aca="false">SUMIFS(Orders!$L$2:$L$2864,Orders!$C$2:$C$2864,$C$3,Orders!$D$2:$D$2864,IF($C$4=0,"&gt;0",$C$4),Orders!$G$2:$G$2864,H22)</f>
        <v>38529</v>
      </c>
      <c r="J22" s="57"/>
      <c r="K22" s="57" t="s">
        <v>78</v>
      </c>
      <c r="L22" s="65" t="n">
        <f aca="false">SUMIFS(Orders!$L$2:$L$2864,Orders!$C$2:$C$2864,$C$3,Orders!$D$2:$D$2864,IF($C$4=0,"&gt;0",$C$4),Orders!$F$2:$F$2864,K22)</f>
        <v>36149</v>
      </c>
      <c r="M22" s="57"/>
    </row>
    <row r="23" customFormat="false" ht="15" hidden="false" customHeight="false" outlineLevel="0" collapsed="false">
      <c r="A23" s="57"/>
      <c r="B23" s="57" t="s">
        <v>3457</v>
      </c>
      <c r="C23" s="57" t="n">
        <f aca="false">SUMIFS(Orders!$L$2:$L$2864,Orders!$C$2:$C$2864,$C$3,Orders!$D$2:$D$2864,4)</f>
        <v>11615</v>
      </c>
      <c r="D23" s="57" t="n">
        <f aca="false">SUMIFS(Orders!$L$2:$L$2864,Orders!$C$2:$C$2864,$C$3-1,Orders!$D$2:$D$2864,4)</f>
        <v>9934</v>
      </c>
      <c r="E23" s="57" t="n">
        <f aca="false">SUMIFS(Orders!$M$2:$M$2864,Orders!$C$2:$C$2864,$C$3,Orders!$D$2:$D$2864,4)</f>
        <v>6432</v>
      </c>
      <c r="F23" s="57" t="n">
        <f aca="false">COUNTIFS(Orders!$C$2:$C$2864,$C$3,Orders!$D$2:$D$2864,4)</f>
        <v>117</v>
      </c>
      <c r="G23" s="57"/>
      <c r="H23" s="57" t="s">
        <v>50</v>
      </c>
      <c r="I23" s="57" t="n">
        <f aca="false">SUMIFS(Orders!$L$2:$L$2864,Orders!$C$2:$C$2864,$C$3,Orders!$D$2:$D$2864,IF($C$4=0,"&gt;0",$C$4),Orders!$G$2:$G$2864,H23)</f>
        <v>9542</v>
      </c>
      <c r="J23" s="57"/>
      <c r="K23" s="57" t="s">
        <v>72</v>
      </c>
      <c r="L23" s="65" t="n">
        <f aca="false">SUMIFS(Orders!$L$2:$L$2864,Orders!$C$2:$C$2864,$C$3,Orders!$D$2:$D$2864,IF($C$4=0,"&gt;0",$C$4),Orders!$F$2:$F$2864,K23)</f>
        <v>18737</v>
      </c>
      <c r="M23" s="57"/>
    </row>
    <row r="24" customFormat="false" ht="15" hidden="false" customHeight="false" outlineLevel="0" collapsed="false">
      <c r="A24" s="57"/>
      <c r="B24" s="57" t="s">
        <v>3458</v>
      </c>
      <c r="C24" s="57" t="n">
        <f aca="false">SUMIFS(Orders!$L$2:$L$2864,Orders!$C$2:$C$2864,$C$3,Orders!$D$2:$D$2864,5)</f>
        <v>13184</v>
      </c>
      <c r="D24" s="57" t="n">
        <f aca="false">SUMIFS(Orders!$L$2:$L$2864,Orders!$C$2:$C$2864,$C$3-1,Orders!$D$2:$D$2864,5)</f>
        <v>12553</v>
      </c>
      <c r="E24" s="57" t="n">
        <f aca="false">SUMIFS(Orders!$M$2:$M$2864,Orders!$C$2:$C$2864,$C$3,Orders!$D$2:$D$2864,5)</f>
        <v>7474</v>
      </c>
      <c r="F24" s="57" t="n">
        <f aca="false">COUNTIFS(Orders!$C$2:$C$2864,$C$3,Orders!$D$2:$D$2864,5)</f>
        <v>134</v>
      </c>
      <c r="G24" s="57"/>
      <c r="H24" s="57" t="s">
        <v>54</v>
      </c>
      <c r="I24" s="57" t="n">
        <f aca="false">SUMIFS(Orders!$L$2:$L$2864,Orders!$C$2:$C$2864,$C$3,Orders!$D$2:$D$2864,IF($C$4=0,"&gt;0",$C$4),Orders!$G$2:$G$2864,H24)</f>
        <v>4449</v>
      </c>
      <c r="J24" s="57"/>
      <c r="K24" s="57" t="s">
        <v>81</v>
      </c>
      <c r="L24" s="65" t="n">
        <f aca="false">SUMIFS(Orders!$L$2:$L$2864,Orders!$C$2:$C$2864,$C$3,Orders!$D$2:$D$2864,IF($C$4=0,"&gt;0",$C$4),Orders!$F$2:$F$2864,K24)</f>
        <v>18880</v>
      </c>
      <c r="M24" s="57"/>
    </row>
    <row r="25" customFormat="false" ht="15" hidden="false" customHeight="false" outlineLevel="0" collapsed="false">
      <c r="A25" s="57"/>
      <c r="B25" s="57" t="s">
        <v>3459</v>
      </c>
      <c r="C25" s="57" t="n">
        <f aca="false">SUMIFS(Orders!$L$2:$L$2864,Orders!$C$2:$C$2864,$C$3,Orders!$D$2:$D$2864,6)</f>
        <v>10831</v>
      </c>
      <c r="D25" s="57" t="n">
        <f aca="false">SUMIFS(Orders!$L$2:$L$2864,Orders!$C$2:$C$2864,$C$3-1,Orders!$D$2:$D$2864,6)</f>
        <v>9668</v>
      </c>
      <c r="E25" s="57" t="n">
        <f aca="false">SUMIFS(Orders!$M$2:$M$2864,Orders!$C$2:$C$2864,$C$3,Orders!$D$2:$D$2864,6)</f>
        <v>5983</v>
      </c>
      <c r="F25" s="57" t="n">
        <f aca="false">COUNTIFS(Orders!$C$2:$C$2864,$C$3,Orders!$D$2:$D$2864,6)</f>
        <v>113</v>
      </c>
      <c r="G25" s="57"/>
      <c r="H25" s="57"/>
      <c r="I25" s="57"/>
      <c r="J25" s="57"/>
      <c r="K25" s="57"/>
      <c r="L25" s="57"/>
      <c r="M25" s="57"/>
    </row>
    <row r="26" customFormat="false" ht="15" hidden="false" customHeight="false" outlineLevel="0" collapsed="false">
      <c r="A26" s="57"/>
      <c r="B26" s="57" t="s">
        <v>3460</v>
      </c>
      <c r="C26" s="57" t="n">
        <f aca="false">SUMIFS(Orders!$L$2:$L$2864,Orders!$C$2:$C$2864,$C$3,Orders!$D$2:$D$2864,7)</f>
        <v>12807</v>
      </c>
      <c r="D26" s="57" t="n">
        <f aca="false">SUMIFS(Orders!$L$2:$L$2864,Orders!$C$2:$C$2864,$C$3-1,Orders!$D$2:$D$2864,7)</f>
        <v>10537</v>
      </c>
      <c r="E26" s="57" t="n">
        <f aca="false">SUMIFS(Orders!$M$2:$M$2864,Orders!$C$2:$C$2864,$C$3,Orders!$D$2:$D$2864,7)</f>
        <v>7079</v>
      </c>
      <c r="F26" s="57" t="n">
        <f aca="false">COUNTIFS(Orders!$C$2:$C$2864,$C$3,Orders!$D$2:$D$2864,7)</f>
        <v>125</v>
      </c>
      <c r="G26" s="57"/>
      <c r="H26" s="57"/>
      <c r="I26" s="57"/>
      <c r="J26" s="57"/>
      <c r="K26" s="57"/>
      <c r="L26" s="57"/>
      <c r="M26" s="57"/>
    </row>
    <row r="27" customFormat="false" ht="15" hidden="false" customHeight="false" outlineLevel="0" collapsed="false">
      <c r="A27" s="57"/>
      <c r="B27" s="57" t="s">
        <v>3461</v>
      </c>
      <c r="C27" s="57" t="n">
        <f aca="false">SUMIFS(Orders!$L$2:$L$2864,Orders!$C$2:$C$2864,$C$3,Orders!$D$2:$D$2864,8)</f>
        <v>12764</v>
      </c>
      <c r="D27" s="57" t="n">
        <f aca="false">SUMIFS(Orders!$L$2:$L$2864,Orders!$C$2:$C$2864,$C$3-1,Orders!$D$2:$D$2864,8)</f>
        <v>10954</v>
      </c>
      <c r="E27" s="57" t="n">
        <f aca="false">SUMIFS(Orders!$M$2:$M$2864,Orders!$C$2:$C$2864,$C$3,Orders!$D$2:$D$2864,8)</f>
        <v>6954</v>
      </c>
      <c r="F27" s="57" t="n">
        <f aca="false">COUNTIFS(Orders!$C$2:$C$2864,$C$3,Orders!$D$2:$D$2864,8)</f>
        <v>126</v>
      </c>
      <c r="G27" s="57"/>
      <c r="H27" s="57"/>
      <c r="I27" s="57"/>
      <c r="J27" s="57"/>
      <c r="K27" s="57"/>
      <c r="L27" s="57"/>
      <c r="M27" s="57"/>
    </row>
    <row r="28" customFormat="false" ht="15" hidden="false" customHeight="false" outlineLevel="0" collapsed="false">
      <c r="A28" s="57"/>
      <c r="B28" s="57" t="s">
        <v>3462</v>
      </c>
      <c r="C28" s="57" t="n">
        <f aca="false">SUMIFS(Orders!$L$2:$L$2864,Orders!$C$2:$C$2864,$C$3,Orders!$D$2:$D$2864,9)</f>
        <v>10019</v>
      </c>
      <c r="D28" s="57" t="n">
        <f aca="false">SUMIFS(Orders!$L$2:$L$2864,Orders!$C$2:$C$2864,$C$3-1,Orders!$D$2:$D$2864,9)</f>
        <v>10759</v>
      </c>
      <c r="E28" s="57" t="n">
        <f aca="false">SUMIFS(Orders!$M$2:$M$2864,Orders!$C$2:$C$2864,$C$3,Orders!$D$2:$D$2864,9)</f>
        <v>5731</v>
      </c>
      <c r="F28" s="57" t="n">
        <f aca="false">COUNTIFS(Orders!$C$2:$C$2864,$C$3,Orders!$D$2:$D$2864,9)</f>
        <v>113</v>
      </c>
      <c r="G28" s="57"/>
      <c r="H28" s="57"/>
      <c r="I28" s="57"/>
      <c r="J28" s="57"/>
      <c r="K28" s="57"/>
      <c r="L28" s="57"/>
      <c r="M28" s="57"/>
    </row>
    <row r="29" customFormat="false" ht="15" hidden="false" customHeight="false" outlineLevel="0" collapsed="false">
      <c r="A29" s="57"/>
      <c r="B29" s="57" t="s">
        <v>3463</v>
      </c>
      <c r="C29" s="57" t="n">
        <f aca="false">SUMIFS(Orders!$L$2:$L$2864,Orders!$C$2:$C$2864,$C$3,Orders!$D$2:$D$2864,10)</f>
        <v>13036</v>
      </c>
      <c r="D29" s="57" t="n">
        <f aca="false">SUMIFS(Orders!$L$2:$L$2864,Orders!$C$2:$C$2864,$C$3-1,Orders!$D$2:$D$2864,10)</f>
        <v>11894</v>
      </c>
      <c r="E29" s="57" t="n">
        <f aca="false">SUMIFS(Orders!$M$2:$M$2864,Orders!$C$2:$C$2864,$C$3,Orders!$D$2:$D$2864,10)</f>
        <v>7207</v>
      </c>
      <c r="F29" s="57" t="n">
        <f aca="false">COUNTIFS(Orders!$C$2:$C$2864,$C$3,Orders!$D$2:$D$2864,10)</f>
        <v>133</v>
      </c>
      <c r="G29" s="57"/>
      <c r="H29" s="57"/>
      <c r="I29" s="57"/>
      <c r="J29" s="57"/>
      <c r="K29" s="57"/>
      <c r="L29" s="57"/>
      <c r="M29" s="57"/>
    </row>
    <row r="30" customFormat="false" ht="15" hidden="false" customHeight="false" outlineLevel="0" collapsed="false">
      <c r="A30" s="57"/>
      <c r="B30" s="57" t="s">
        <v>3464</v>
      </c>
      <c r="C30" s="57" t="n">
        <f aca="false">SUMIFS(Orders!$L$2:$L$2864,Orders!$C$2:$C$2864,$C$3,Orders!$D$2:$D$2864,11)</f>
        <v>16289</v>
      </c>
      <c r="D30" s="57" t="n">
        <f aca="false">SUMIFS(Orders!$L$2:$L$2864,Orders!$C$2:$C$2864,$C$3-1,Orders!$D$2:$D$2864,11)</f>
        <v>13765</v>
      </c>
      <c r="E30" s="57" t="n">
        <f aca="false">SUMIFS(Orders!$M$2:$M$2864,Orders!$C$2:$C$2864,$C$3,Orders!$D$2:$D$2864,11)</f>
        <v>9036</v>
      </c>
      <c r="F30" s="57" t="n">
        <f aca="false">COUNTIFS(Orders!$C$2:$C$2864,$C$3,Orders!$D$2:$D$2864,11)</f>
        <v>167</v>
      </c>
      <c r="G30" s="57"/>
      <c r="H30" s="57"/>
      <c r="I30" s="57"/>
      <c r="J30" s="57"/>
      <c r="K30" s="57"/>
      <c r="L30" s="57"/>
      <c r="M30" s="57"/>
    </row>
    <row r="31" customFormat="false" ht="15" hidden="false" customHeight="false" outlineLevel="0" collapsed="false">
      <c r="A31" s="57"/>
      <c r="B31" s="57" t="s">
        <v>3465</v>
      </c>
      <c r="C31" s="57" t="n">
        <f aca="false">SUMIFS(Orders!$L$2:$L$2864,Orders!$C$2:$C$2864,$C$3,Orders!$D$2:$D$2864,12)</f>
        <v>18392</v>
      </c>
      <c r="D31" s="57" t="n">
        <f aca="false">SUMIFS(Orders!$L$2:$L$2864,Orders!$C$2:$C$2864,$C$3-1,Orders!$D$2:$D$2864,12)</f>
        <v>19615</v>
      </c>
      <c r="E31" s="57" t="n">
        <f aca="false">SUMIFS(Orders!$M$2:$M$2864,Orders!$C$2:$C$2864,$C$3,Orders!$D$2:$D$2864,12)</f>
        <v>10238</v>
      </c>
      <c r="F31" s="57" t="n">
        <f aca="false">COUNTIFS(Orders!$C$2:$C$2864,$C$3,Orders!$D$2:$D$2864,12)</f>
        <v>191</v>
      </c>
      <c r="G31" s="57"/>
      <c r="H31" s="57"/>
      <c r="I31" s="57"/>
      <c r="J31" s="57"/>
      <c r="K31" s="57"/>
      <c r="L31" s="57"/>
      <c r="M31" s="57"/>
    </row>
    <row r="32" customFormat="false" ht="15" hidden="false" customHeight="false" outlineLevel="0" collapsed="false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customFormat="false" ht="15" hidden="false" customHeight="false" outlineLevel="0" collapsed="false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customFormat="false" ht="15" hidden="false" customHeight="false" outlineLevel="0" collapsed="false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</row>
    <row r="35" customFormat="false" ht="15" hidden="false" customHeight="false" outlineLevel="0" collapsed="false">
      <c r="A35" s="62"/>
      <c r="B35" s="62" t="s">
        <v>16</v>
      </c>
      <c r="C35" s="62" t="s">
        <v>17</v>
      </c>
      <c r="D35" s="62" t="s">
        <v>3466</v>
      </c>
      <c r="E35" s="62" t="s">
        <v>3453</v>
      </c>
      <c r="F35" s="62" t="s">
        <v>3467</v>
      </c>
      <c r="G35" s="62" t="s">
        <v>58</v>
      </c>
      <c r="H35" s="62"/>
      <c r="I35" s="62" t="s">
        <v>3468</v>
      </c>
      <c r="J35" s="62" t="s">
        <v>16</v>
      </c>
      <c r="K35" s="62" t="s">
        <v>17</v>
      </c>
      <c r="L35" s="62"/>
      <c r="M35" s="62"/>
    </row>
    <row r="36" customFormat="false" ht="15" hidden="false" customHeight="false" outlineLevel="0" collapsed="false">
      <c r="A36" s="57"/>
      <c r="B36" s="57" t="s">
        <v>34</v>
      </c>
      <c r="C36" s="57" t="n">
        <f aca="false">SUMIFS(Orders!$L$2:$L$2864,Orders!$C$2:$C$2864,$C$3,Orders!$D$2:$D$2864,IF($C$4=0,"&gt;0",$C$4),Orders!$H$2:$H$2864,B36)</f>
        <v>17622</v>
      </c>
      <c r="D36" s="57" t="n">
        <f aca="false">SUMIFS(Orders!$I$2:$I$2864,Orders!$C$2:$C$2864,$C$3,Orders!$D$2:$D$2864,IF($C$4=0,"&gt;0",$C$4),Orders!$H$2:$H$2864,B36)</f>
        <v>198</v>
      </c>
      <c r="E36" s="57" t="n">
        <f aca="false">SUMIFS(Orders!$M$2:$M$2864,Orders!$C$2:$C$2864,$C$3,Orders!$D$2:$D$2864,IF($C$4=0,"&gt;0",$C$4),Orders!$H$2:$H$2864,B36)</f>
        <v>9504</v>
      </c>
      <c r="F36" s="57" t="n">
        <f aca="false">C36+ROW()/1000</f>
        <v>17622.036</v>
      </c>
      <c r="G36" s="57" t="n">
        <f aca="false">RANK(F36,$F$36:$F$53)</f>
        <v>2</v>
      </c>
      <c r="H36" s="57"/>
      <c r="I36" s="57" t="n">
        <v>1</v>
      </c>
      <c r="J36" s="57" t="str">
        <f aca="false">INDEX($B$36:$B$53,MATCH(I36,$G$36:$G$53,0))</f>
        <v>Smart Watch S2</v>
      </c>
      <c r="K36" s="57" t="n">
        <f aca="false">INDEX($C$36:$C$53,MATCH(I36,$G$36:$G$53,0))</f>
        <v>31683</v>
      </c>
      <c r="L36" s="57"/>
      <c r="M36" s="57"/>
    </row>
    <row r="37" customFormat="false" ht="15" hidden="false" customHeight="false" outlineLevel="0" collapsed="false">
      <c r="A37" s="57"/>
      <c r="B37" s="57" t="s">
        <v>36</v>
      </c>
      <c r="C37" s="57" t="n">
        <f aca="false">SUMIFS(Orders!$L$2:$L$2864,Orders!$C$2:$C$2864,$C$3,Orders!$D$2:$D$2864,IF($C$4=0,"&gt;0",$C$4),Orders!$H$2:$H$2864,B37)</f>
        <v>31683</v>
      </c>
      <c r="D37" s="57" t="n">
        <f aca="false">SUMIFS(Orders!$I$2:$I$2864,Orders!$C$2:$C$2864,$C$3,Orders!$D$2:$D$2864,IF($C$4=0,"&gt;0",$C$4),Orders!$H$2:$H$2864,B37)</f>
        <v>177</v>
      </c>
      <c r="E37" s="57" t="n">
        <f aca="false">SUMIFS(Orders!$M$2:$M$2864,Orders!$C$2:$C$2864,$C$3,Orders!$D$2:$D$2864,IF($C$4=0,"&gt;0",$C$4),Orders!$H$2:$H$2864,B37)</f>
        <v>15399</v>
      </c>
      <c r="F37" s="57" t="n">
        <f aca="false">C37+ROW()/1000</f>
        <v>31683.037</v>
      </c>
      <c r="G37" s="57" t="n">
        <f aca="false">RANK(F37,$F$36:$F$53)</f>
        <v>1</v>
      </c>
      <c r="H37" s="57"/>
      <c r="I37" s="57" t="n">
        <v>2</v>
      </c>
      <c r="J37" s="57" t="str">
        <f aca="false">INDEX($B$36:$B$53,MATCH(I37,$G$36:$G$53,0))</f>
        <v>Wireless Earbuds Pro</v>
      </c>
      <c r="K37" s="57" t="n">
        <f aca="false">INDEX($C$36:$C$53,MATCH(I37,$G$36:$G$53,0))</f>
        <v>17622</v>
      </c>
      <c r="L37" s="57"/>
      <c r="M37" s="57"/>
    </row>
    <row r="38" customFormat="false" ht="15" hidden="false" customHeight="false" outlineLevel="0" collapsed="false">
      <c r="A38" s="57"/>
      <c r="B38" s="57" t="s">
        <v>37</v>
      </c>
      <c r="C38" s="57" t="n">
        <f aca="false">SUMIFS(Orders!$L$2:$L$2864,Orders!$C$2:$C$2864,$C$3,Orders!$D$2:$D$2864,IF($C$4=0,"&gt;0",$C$4),Orders!$H$2:$H$2864,B38)</f>
        <v>11151</v>
      </c>
      <c r="D38" s="57" t="n">
        <f aca="false">SUMIFS(Orders!$I$2:$I$2864,Orders!$C$2:$C$2864,$C$3,Orders!$D$2:$D$2864,IF($C$4=0,"&gt;0",$C$4),Orders!$H$2:$H$2864,B38)</f>
        <v>189</v>
      </c>
      <c r="E38" s="57" t="n">
        <f aca="false">SUMIFS(Orders!$M$2:$M$2864,Orders!$C$2:$C$2864,$C$3,Orders!$D$2:$D$2864,IF($C$4=0,"&gt;0",$C$4),Orders!$H$2:$H$2864,B38)</f>
        <v>6048</v>
      </c>
      <c r="F38" s="57" t="n">
        <f aca="false">C38+ROW()/1000</f>
        <v>11151.038</v>
      </c>
      <c r="G38" s="57" t="n">
        <f aca="false">RANK(F38,$F$36:$F$53)</f>
        <v>5</v>
      </c>
      <c r="H38" s="57"/>
      <c r="I38" s="57" t="n">
        <v>3</v>
      </c>
      <c r="J38" s="57" t="str">
        <f aca="false">INDEX($B$36:$B$53,MATCH(I38,$G$36:$G$53,0))</f>
        <v>Ceramic Cookware Set</v>
      </c>
      <c r="K38" s="57" t="n">
        <f aca="false">INDEX($C$36:$C$53,MATCH(I38,$G$36:$G$53,0))</f>
        <v>13410</v>
      </c>
      <c r="L38" s="57"/>
      <c r="M38" s="57"/>
    </row>
    <row r="39" customFormat="false" ht="15" hidden="false" customHeight="false" outlineLevel="0" collapsed="false">
      <c r="A39" s="57"/>
      <c r="B39" s="57" t="s">
        <v>38</v>
      </c>
      <c r="C39" s="57" t="n">
        <f aca="false">SUMIFS(Orders!$L$2:$L$2864,Orders!$C$2:$C$2864,$C$3,Orders!$D$2:$D$2864,IF($C$4=0,"&gt;0",$C$4),Orders!$H$2:$H$2864,B39)</f>
        <v>9359</v>
      </c>
      <c r="D39" s="57" t="n">
        <f aca="false">SUMIFS(Orders!$I$2:$I$2864,Orders!$C$2:$C$2864,$C$3,Orders!$D$2:$D$2864,IF($C$4=0,"&gt;0",$C$4),Orders!$H$2:$H$2864,B39)</f>
        <v>191</v>
      </c>
      <c r="E39" s="57" t="n">
        <f aca="false">SUMIFS(Orders!$M$2:$M$2864,Orders!$C$2:$C$2864,$C$3,Orders!$D$2:$D$2864,IF($C$4=0,"&gt;0",$C$4),Orders!$H$2:$H$2864,B39)</f>
        <v>5157</v>
      </c>
      <c r="F39" s="57" t="n">
        <f aca="false">C39+ROW()/1000</f>
        <v>9359.039</v>
      </c>
      <c r="G39" s="57" t="n">
        <f aca="false">RANK(F39,$F$36:$F$53)</f>
        <v>6</v>
      </c>
      <c r="H39" s="57"/>
      <c r="I39" s="57" t="n">
        <v>4</v>
      </c>
      <c r="J39" s="57" t="str">
        <f aca="false">INDEX($B$36:$B$53,MATCH(I39,$G$36:$G$53,0))</f>
        <v>Air Fryer 5L</v>
      </c>
      <c r="K39" s="57" t="n">
        <f aca="false">INDEX($C$36:$C$53,MATCH(I39,$G$36:$G$53,0))</f>
        <v>11186</v>
      </c>
      <c r="L39" s="57"/>
      <c r="M39" s="57"/>
    </row>
    <row r="40" customFormat="false" ht="15" hidden="false" customHeight="false" outlineLevel="0" collapsed="false">
      <c r="A40" s="57"/>
      <c r="B40" s="57" t="s">
        <v>39</v>
      </c>
      <c r="C40" s="57" t="n">
        <f aca="false">SUMIFS(Orders!$L$2:$L$2864,Orders!$C$2:$C$2864,$C$3,Orders!$D$2:$D$2864,IF($C$4=0,"&gt;0",$C$4),Orders!$H$2:$H$2864,B40)</f>
        <v>6156</v>
      </c>
      <c r="D40" s="57" t="n">
        <f aca="false">SUMIFS(Orders!$I$2:$I$2864,Orders!$C$2:$C$2864,$C$3,Orders!$D$2:$D$2864,IF($C$4=0,"&gt;0",$C$4),Orders!$H$2:$H$2864,B40)</f>
        <v>114</v>
      </c>
      <c r="E40" s="57" t="n">
        <f aca="false">SUMIFS(Orders!$M$2:$M$2864,Orders!$C$2:$C$2864,$C$3,Orders!$D$2:$D$2864,IF($C$4=0,"&gt;0",$C$4),Orders!$H$2:$H$2864,B40)</f>
        <v>3990</v>
      </c>
      <c r="F40" s="57" t="n">
        <f aca="false">C40+ROW()/1000</f>
        <v>6156.04</v>
      </c>
      <c r="G40" s="57" t="n">
        <f aca="false">RANK(F40,$F$36:$F$53)</f>
        <v>9</v>
      </c>
      <c r="H40" s="57"/>
      <c r="I40" s="57" t="n">
        <v>5</v>
      </c>
      <c r="J40" s="57" t="str">
        <f aca="false">INDEX($B$36:$B$53,MATCH(I40,$G$36:$G$53,0))</f>
        <v>Bluetooth Speaker</v>
      </c>
      <c r="K40" s="57" t="n">
        <f aca="false">INDEX($C$36:$C$53,MATCH(I40,$G$36:$G$53,0))</f>
        <v>11151</v>
      </c>
      <c r="L40" s="57"/>
      <c r="M40" s="57"/>
    </row>
    <row r="41" customFormat="false" ht="15" hidden="false" customHeight="false" outlineLevel="0" collapsed="false">
      <c r="A41" s="57"/>
      <c r="B41" s="57" t="s">
        <v>41</v>
      </c>
      <c r="C41" s="57" t="n">
        <f aca="false">SUMIFS(Orders!$L$2:$L$2864,Orders!$C$2:$C$2864,$C$3,Orders!$D$2:$D$2864,IF($C$4=0,"&gt;0",$C$4),Orders!$H$2:$H$2864,B41)</f>
        <v>5934</v>
      </c>
      <c r="D41" s="57" t="n">
        <f aca="false">SUMIFS(Orders!$I$2:$I$2864,Orders!$C$2:$C$2864,$C$3,Orders!$D$2:$D$2864,IF($C$4=0,"&gt;0",$C$4),Orders!$H$2:$H$2864,B41)</f>
        <v>129</v>
      </c>
      <c r="E41" s="57" t="n">
        <f aca="false">SUMIFS(Orders!$M$2:$M$2864,Orders!$C$2:$C$2864,$C$3,Orders!$D$2:$D$2864,IF($C$4=0,"&gt;0",$C$4),Orders!$H$2:$H$2864,B41)</f>
        <v>3870</v>
      </c>
      <c r="F41" s="57" t="n">
        <f aca="false">C41+ROW()/1000</f>
        <v>5934.041</v>
      </c>
      <c r="G41" s="57" t="n">
        <f aca="false">RANK(F41,$F$36:$F$53)</f>
        <v>10</v>
      </c>
      <c r="H41" s="57"/>
      <c r="I41" s="57"/>
      <c r="J41" s="57"/>
      <c r="K41" s="57"/>
      <c r="L41" s="57"/>
      <c r="M41" s="57"/>
    </row>
    <row r="42" customFormat="false" ht="15" hidden="false" customHeight="false" outlineLevel="0" collapsed="false">
      <c r="A42" s="57"/>
      <c r="B42" s="57" t="s">
        <v>42</v>
      </c>
      <c r="C42" s="57" t="n">
        <f aca="false">SUMIFS(Orders!$L$2:$L$2864,Orders!$C$2:$C$2864,$C$3,Orders!$D$2:$D$2864,IF($C$4=0,"&gt;0",$C$4),Orders!$H$2:$H$2864,B42)</f>
        <v>7821</v>
      </c>
      <c r="D42" s="57" t="n">
        <f aca="false">SUMIFS(Orders!$I$2:$I$2864,Orders!$C$2:$C$2864,$C$3,Orders!$D$2:$D$2864,IF($C$4=0,"&gt;0",$C$4),Orders!$H$2:$H$2864,B42)</f>
        <v>99</v>
      </c>
      <c r="E42" s="57" t="n">
        <f aca="false">SUMIFS(Orders!$M$2:$M$2864,Orders!$C$2:$C$2864,$C$3,Orders!$D$2:$D$2864,IF($C$4=0,"&gt;0",$C$4),Orders!$H$2:$H$2864,B42)</f>
        <v>4752</v>
      </c>
      <c r="F42" s="57" t="n">
        <f aca="false">C42+ROW()/1000</f>
        <v>7821.042</v>
      </c>
      <c r="G42" s="57" t="n">
        <f aca="false">RANK(F42,$F$36:$F$53)</f>
        <v>8</v>
      </c>
      <c r="H42" s="57"/>
      <c r="I42" s="57"/>
      <c r="J42" s="57"/>
      <c r="K42" s="57"/>
      <c r="L42" s="57"/>
      <c r="M42" s="57"/>
    </row>
    <row r="43" customFormat="false" ht="15" hidden="false" customHeight="false" outlineLevel="0" collapsed="false">
      <c r="A43" s="62"/>
      <c r="B43" s="62" t="s">
        <v>43</v>
      </c>
      <c r="C43" s="62" t="n">
        <f aca="false">SUMIFS(Orders!$L$2:$L$2864,Orders!$C$2:$C$2864,$C$3,Orders!$D$2:$D$2864,IF($C$4=0,"&gt;0",$C$4),Orders!$H$2:$H$2864,B43)</f>
        <v>4089</v>
      </c>
      <c r="D43" s="62" t="n">
        <f aca="false">SUMIFS(Orders!$I$2:$I$2864,Orders!$C$2:$C$2864,$C$3,Orders!$D$2:$D$2864,IF($C$4=0,"&gt;0",$C$4),Orders!$H$2:$H$2864,B43)</f>
        <v>141</v>
      </c>
      <c r="E43" s="62" t="n">
        <f aca="false">SUMIFS(Orders!$M$2:$M$2864,Orders!$C$2:$C$2864,$C$3,Orders!$D$2:$D$2864,IF($C$4=0,"&gt;0",$C$4),Orders!$H$2:$H$2864,B43)</f>
        <v>2820</v>
      </c>
      <c r="F43" s="62" t="n">
        <f aca="false">C43+ROW()/1000</f>
        <v>4089.043</v>
      </c>
      <c r="G43" s="62" t="n">
        <f aca="false">RANK(F43,$F$36:$F$53)</f>
        <v>13</v>
      </c>
      <c r="H43" s="62"/>
      <c r="I43" s="62" t="s">
        <v>3469</v>
      </c>
      <c r="J43" s="62" t="s">
        <v>3470</v>
      </c>
      <c r="K43" s="62" t="s">
        <v>18</v>
      </c>
      <c r="L43" s="62" t="s">
        <v>19</v>
      </c>
      <c r="M43" s="62" t="s">
        <v>20</v>
      </c>
    </row>
    <row r="44" customFormat="false" ht="15" hidden="false" customHeight="false" outlineLevel="0" collapsed="false">
      <c r="A44" s="57"/>
      <c r="B44" s="57" t="s">
        <v>44</v>
      </c>
      <c r="C44" s="57" t="n">
        <f aca="false">SUMIFS(Orders!$L$2:$L$2864,Orders!$C$2:$C$2864,$C$3,Orders!$D$2:$D$2864,IF($C$4=0,"&gt;0",$C$4),Orders!$H$2:$H$2864,B44)</f>
        <v>11186</v>
      </c>
      <c r="D44" s="57" t="n">
        <f aca="false">SUMIFS(Orders!$I$2:$I$2864,Orders!$C$2:$C$2864,$C$3,Orders!$D$2:$D$2864,IF($C$4=0,"&gt;0",$C$4),Orders!$H$2:$H$2864,B44)</f>
        <v>94</v>
      </c>
      <c r="E44" s="57" t="n">
        <f aca="false">SUMIFS(Orders!$M$2:$M$2864,Orders!$C$2:$C$2864,$C$3,Orders!$D$2:$D$2864,IF($C$4=0,"&gt;0",$C$4),Orders!$H$2:$H$2864,B44)</f>
        <v>5264</v>
      </c>
      <c r="F44" s="57" t="n">
        <f aca="false">C44+ROW()/1000</f>
        <v>11186.044</v>
      </c>
      <c r="G44" s="57" t="n">
        <f aca="false">RANK(F44,$F$36:$F$53)</f>
        <v>4</v>
      </c>
      <c r="H44" s="57"/>
      <c r="I44" s="57" t="n">
        <v>1</v>
      </c>
      <c r="J44" s="57" t="n">
        <f aca="false">LARGE(Orders!$P$2:$P$2864,I44)</f>
        <v>2864</v>
      </c>
      <c r="K44" s="57" t="str">
        <f aca="false">IF(J44=0,"",INDEX(Orders!$E:$E,J44))</f>
        <v>Ryan Wilson</v>
      </c>
      <c r="L44" s="58" t="n">
        <f aca="false">IF(J44=0,"",INDEX(Orders!$B:$B,J44))</f>
        <v>46022</v>
      </c>
      <c r="M44" s="61" t="n">
        <f aca="false">IF(J44=0,"",INDEX(Orders!$L:$L,J44))</f>
        <v>49</v>
      </c>
    </row>
    <row r="45" customFormat="false" ht="15" hidden="false" customHeight="false" outlineLevel="0" collapsed="false">
      <c r="A45" s="57"/>
      <c r="B45" s="57" t="s">
        <v>46</v>
      </c>
      <c r="C45" s="57" t="n">
        <f aca="false">SUMIFS(Orders!$L$2:$L$2864,Orders!$C$2:$C$2864,$C$3,Orders!$D$2:$D$2864,IF($C$4=0,"&gt;0",$C$4),Orders!$H$2:$H$2864,B45)</f>
        <v>13410</v>
      </c>
      <c r="D45" s="57" t="n">
        <f aca="false">SUMIFS(Orders!$I$2:$I$2864,Orders!$C$2:$C$2864,$C$3,Orders!$D$2:$D$2864,IF($C$4=0,"&gt;0",$C$4),Orders!$H$2:$H$2864,B45)</f>
        <v>90</v>
      </c>
      <c r="E45" s="57" t="n">
        <f aca="false">SUMIFS(Orders!$M$2:$M$2864,Orders!$C$2:$C$2864,$C$3,Orders!$D$2:$D$2864,IF($C$4=0,"&gt;0",$C$4),Orders!$H$2:$H$2864,B45)</f>
        <v>7020</v>
      </c>
      <c r="F45" s="57" t="n">
        <f aca="false">C45+ROW()/1000</f>
        <v>13410.045</v>
      </c>
      <c r="G45" s="57" t="n">
        <f aca="false">RANK(F45,$F$36:$F$53)</f>
        <v>3</v>
      </c>
      <c r="H45" s="57"/>
      <c r="I45" s="57" t="n">
        <v>2</v>
      </c>
      <c r="J45" s="57" t="n">
        <f aca="false">LARGE(Orders!$P$2:$P$2864,I45)</f>
        <v>2863</v>
      </c>
      <c r="K45" s="57" t="str">
        <f aca="false">IF(J45=0,"",INDEX(Orders!$E:$E,J45))</f>
        <v>Owen Martin</v>
      </c>
      <c r="L45" s="58" t="n">
        <f aca="false">IF(J45=0,"",INDEX(Orders!$B:$B,J45))</f>
        <v>46022</v>
      </c>
      <c r="M45" s="61" t="n">
        <f aca="false">IF(J45=0,"",INDEX(Orders!$L:$L,J45))</f>
        <v>49</v>
      </c>
    </row>
    <row r="46" customFormat="false" ht="15" hidden="false" customHeight="false" outlineLevel="0" collapsed="false">
      <c r="A46" s="57"/>
      <c r="B46" s="57" t="s">
        <v>47</v>
      </c>
      <c r="C46" s="57" t="n">
        <f aca="false">SUMIFS(Orders!$L$2:$L$2864,Orders!$C$2:$C$2864,$C$3,Orders!$D$2:$D$2864,IF($C$4=0,"&gt;0",$C$4),Orders!$H$2:$H$2864,B46)</f>
        <v>4726</v>
      </c>
      <c r="D46" s="57" t="n">
        <f aca="false">SUMIFS(Orders!$I$2:$I$2864,Orders!$C$2:$C$2864,$C$3,Orders!$D$2:$D$2864,IF($C$4=0,"&gt;0",$C$4),Orders!$H$2:$H$2864,B46)</f>
        <v>139</v>
      </c>
      <c r="E46" s="57" t="n">
        <f aca="false">SUMIFS(Orders!$M$2:$M$2864,Orders!$C$2:$C$2864,$C$3,Orders!$D$2:$D$2864,IF($C$4=0,"&gt;0",$C$4),Orders!$H$2:$H$2864,B46)</f>
        <v>3058</v>
      </c>
      <c r="F46" s="57" t="n">
        <f aca="false">C46+ROW()/1000</f>
        <v>4726.046</v>
      </c>
      <c r="G46" s="57" t="n">
        <f aca="false">RANK(F46,$F$36:$F$53)</f>
        <v>11</v>
      </c>
      <c r="H46" s="57"/>
      <c r="I46" s="57" t="n">
        <v>3</v>
      </c>
      <c r="J46" s="57" t="n">
        <f aca="false">LARGE(Orders!$P$2:$P$2864,I46)</f>
        <v>2862</v>
      </c>
      <c r="K46" s="57" t="str">
        <f aca="false">IF(J46=0,"",INDEX(Orders!$E:$E,J46))</f>
        <v>Chloe Wright</v>
      </c>
      <c r="L46" s="58" t="n">
        <f aca="false">IF(J46=0,"",INDEX(Orders!$B:$B,J46))</f>
        <v>46022</v>
      </c>
      <c r="M46" s="61" t="n">
        <f aca="false">IF(J46=0,"",INDEX(Orders!$L:$L,J46))</f>
        <v>54</v>
      </c>
    </row>
    <row r="47" customFormat="false" ht="15" hidden="false" customHeight="false" outlineLevel="0" collapsed="false">
      <c r="A47" s="57"/>
      <c r="B47" s="57" t="s">
        <v>48</v>
      </c>
      <c r="C47" s="57" t="n">
        <f aca="false">SUMIFS(Orders!$L$2:$L$2864,Orders!$C$2:$C$2864,$C$3,Orders!$D$2:$D$2864,IF($C$4=0,"&gt;0",$C$4),Orders!$H$2:$H$2864,B47)</f>
        <v>9207</v>
      </c>
      <c r="D47" s="57" t="n">
        <f aca="false">SUMIFS(Orders!$I$2:$I$2864,Orders!$C$2:$C$2864,$C$3,Orders!$D$2:$D$2864,IF($C$4=0,"&gt;0",$C$4),Orders!$H$2:$H$2864,B47)</f>
        <v>93</v>
      </c>
      <c r="E47" s="57" t="n">
        <f aca="false">SUMIFS(Orders!$M$2:$M$2864,Orders!$C$2:$C$2864,$C$3,Orders!$D$2:$D$2864,IF($C$4=0,"&gt;0",$C$4),Orders!$H$2:$H$2864,B47)</f>
        <v>5673</v>
      </c>
      <c r="F47" s="57" t="n">
        <f aca="false">C47+ROW()/1000</f>
        <v>9207.047</v>
      </c>
      <c r="G47" s="57" t="n">
        <f aca="false">RANK(F47,$F$36:$F$53)</f>
        <v>7</v>
      </c>
      <c r="H47" s="57"/>
      <c r="I47" s="57" t="n">
        <v>4</v>
      </c>
      <c r="J47" s="57" t="n">
        <f aca="false">LARGE(Orders!$P$2:$P$2864,I47)</f>
        <v>2861</v>
      </c>
      <c r="K47" s="57" t="str">
        <f aca="false">IF(J47=0,"",INDEX(Orders!$E:$E,J47))</f>
        <v>Emma King</v>
      </c>
      <c r="L47" s="58" t="n">
        <f aca="false">IF(J47=0,"",INDEX(Orders!$B:$B,J47))</f>
        <v>46022</v>
      </c>
      <c r="M47" s="61" t="n">
        <f aca="false">IF(J47=0,"",INDEX(Orders!$L:$L,J47))</f>
        <v>238</v>
      </c>
    </row>
    <row r="48" customFormat="false" ht="15" hidden="false" customHeight="false" outlineLevel="0" collapsed="false">
      <c r="A48" s="57"/>
      <c r="B48" s="57" t="s">
        <v>49</v>
      </c>
      <c r="C48" s="57" t="n">
        <f aca="false">SUMIFS(Orders!$L$2:$L$2864,Orders!$C$2:$C$2864,$C$3,Orders!$D$2:$D$2864,IF($C$4=0,"&gt;0",$C$4),Orders!$H$2:$H$2864,B48)</f>
        <v>2432</v>
      </c>
      <c r="D48" s="57" t="n">
        <f aca="false">SUMIFS(Orders!$I$2:$I$2864,Orders!$C$2:$C$2864,$C$3,Orders!$D$2:$D$2864,IF($C$4=0,"&gt;0",$C$4),Orders!$H$2:$H$2864,B48)</f>
        <v>76</v>
      </c>
      <c r="E48" s="57" t="n">
        <f aca="false">SUMIFS(Orders!$M$2:$M$2864,Orders!$C$2:$C$2864,$C$3,Orders!$D$2:$D$2864,IF($C$4=0,"&gt;0",$C$4),Orders!$H$2:$H$2864,B48)</f>
        <v>1900</v>
      </c>
      <c r="F48" s="57" t="n">
        <f aca="false">C48+ROW()/1000</f>
        <v>2432.048</v>
      </c>
      <c r="G48" s="57" t="n">
        <f aca="false">RANK(F48,$F$36:$F$53)</f>
        <v>15</v>
      </c>
      <c r="H48" s="57"/>
      <c r="I48" s="57" t="n">
        <v>5</v>
      </c>
      <c r="J48" s="57" t="n">
        <f aca="false">LARGE(Orders!$P$2:$P$2864,I48)</f>
        <v>2860</v>
      </c>
      <c r="K48" s="57" t="str">
        <f aca="false">IF(J48=0,"",INDEX(Orders!$E:$E,J48))</f>
        <v>Liam Clark</v>
      </c>
      <c r="L48" s="58" t="n">
        <f aca="false">IF(J48=0,"",INDEX(Orders!$B:$B,J48))</f>
        <v>46022</v>
      </c>
      <c r="M48" s="61" t="n">
        <f aca="false">IF(J48=0,"",INDEX(Orders!$L:$L,J48))</f>
        <v>178</v>
      </c>
    </row>
    <row r="49" customFormat="false" ht="15" hidden="false" customHeight="false" outlineLevel="0" collapsed="false">
      <c r="A49" s="57"/>
      <c r="B49" s="57" t="s">
        <v>51</v>
      </c>
      <c r="C49" s="57" t="n">
        <f aca="false">SUMIFS(Orders!$L$2:$L$2864,Orders!$C$2:$C$2864,$C$3,Orders!$D$2:$D$2864,IF($C$4=0,"&gt;0",$C$4),Orders!$H$2:$H$2864,B49)</f>
        <v>4140</v>
      </c>
      <c r="D49" s="57" t="n">
        <f aca="false">SUMIFS(Orders!$I$2:$I$2864,Orders!$C$2:$C$2864,$C$3,Orders!$D$2:$D$2864,IF($C$4=0,"&gt;0",$C$4),Orders!$H$2:$H$2864,B49)</f>
        <v>60</v>
      </c>
      <c r="E49" s="57" t="n">
        <f aca="false">SUMIFS(Orders!$M$2:$M$2864,Orders!$C$2:$C$2864,$C$3,Orders!$D$2:$D$2864,IF($C$4=0,"&gt;0",$C$4),Orders!$H$2:$H$2864,B49)</f>
        <v>2400</v>
      </c>
      <c r="F49" s="57" t="n">
        <f aca="false">C49+ROW()/1000</f>
        <v>4140.049</v>
      </c>
      <c r="G49" s="57" t="n">
        <f aca="false">RANK(F49,$F$36:$F$53)</f>
        <v>12</v>
      </c>
      <c r="H49" s="57"/>
      <c r="I49" s="57"/>
      <c r="J49" s="57"/>
      <c r="K49" s="57"/>
      <c r="L49" s="57"/>
      <c r="M49" s="57"/>
    </row>
    <row r="50" customFormat="false" ht="15" hidden="false" customHeight="false" outlineLevel="0" collapsed="false">
      <c r="A50" s="57"/>
      <c r="B50" s="57" t="s">
        <v>52</v>
      </c>
      <c r="C50" s="57" t="n">
        <f aca="false">SUMIFS(Orders!$L$2:$L$2864,Orders!$C$2:$C$2864,$C$3,Orders!$D$2:$D$2864,IF($C$4=0,"&gt;0",$C$4),Orders!$H$2:$H$2864,B50)</f>
        <v>2970</v>
      </c>
      <c r="D50" s="57" t="n">
        <f aca="false">SUMIFS(Orders!$I$2:$I$2864,Orders!$C$2:$C$2864,$C$3,Orders!$D$2:$D$2864,IF($C$4=0,"&gt;0",$C$4),Orders!$H$2:$H$2864,B50)</f>
        <v>66</v>
      </c>
      <c r="E50" s="57" t="n">
        <f aca="false">SUMIFS(Orders!$M$2:$M$2864,Orders!$C$2:$C$2864,$C$3,Orders!$D$2:$D$2864,IF($C$4=0,"&gt;0",$C$4),Orders!$H$2:$H$2864,B50)</f>
        <v>2046</v>
      </c>
      <c r="F50" s="57" t="n">
        <f aca="false">C50+ROW()/1000</f>
        <v>2970.05</v>
      </c>
      <c r="G50" s="57" t="n">
        <f aca="false">RANK(F50,$F$36:$F$53)</f>
        <v>14</v>
      </c>
      <c r="H50" s="57"/>
      <c r="I50" s="57"/>
      <c r="J50" s="57"/>
      <c r="K50" s="57"/>
      <c r="L50" s="57"/>
      <c r="M50" s="57"/>
    </row>
    <row r="51" customFormat="false" ht="15" hidden="false" customHeight="false" outlineLevel="0" collapsed="false">
      <c r="A51" s="57"/>
      <c r="B51" s="57" t="s">
        <v>53</v>
      </c>
      <c r="C51" s="57" t="n">
        <f aca="false">SUMIFS(Orders!$L$2:$L$2864,Orders!$C$2:$C$2864,$C$3,Orders!$D$2:$D$2864,IF($C$4=0,"&gt;0",$C$4),Orders!$H$2:$H$2864,B51)</f>
        <v>1209</v>
      </c>
      <c r="D51" s="57" t="n">
        <f aca="false">SUMIFS(Orders!$I$2:$I$2864,Orders!$C$2:$C$2864,$C$3,Orders!$D$2:$D$2864,IF($C$4=0,"&gt;0",$C$4),Orders!$H$2:$H$2864,B51)</f>
        <v>31</v>
      </c>
      <c r="E51" s="57" t="n">
        <f aca="false">SUMIFS(Orders!$M$2:$M$2864,Orders!$C$2:$C$2864,$C$3,Orders!$D$2:$D$2864,IF($C$4=0,"&gt;0",$C$4),Orders!$H$2:$H$2864,B51)</f>
        <v>806</v>
      </c>
      <c r="F51" s="57" t="n">
        <f aca="false">C51+ROW()/1000</f>
        <v>1209.051</v>
      </c>
      <c r="G51" s="57" t="n">
        <f aca="false">RANK(F51,$F$36:$F$53)</f>
        <v>18</v>
      </c>
      <c r="H51" s="57"/>
      <c r="I51" s="57"/>
      <c r="J51" s="57"/>
      <c r="K51" s="57"/>
      <c r="L51" s="57"/>
      <c r="M51" s="57"/>
    </row>
    <row r="52" customFormat="false" ht="15" hidden="false" customHeight="false" outlineLevel="0" collapsed="false">
      <c r="A52" s="57"/>
      <c r="B52" s="57" t="s">
        <v>55</v>
      </c>
      <c r="C52" s="57" t="n">
        <f aca="false">SUMIFS(Orders!$L$2:$L$2864,Orders!$C$2:$C$2864,$C$3,Orders!$D$2:$D$2864,IF($C$4=0,"&gt;0",$C$4),Orders!$H$2:$H$2864,B52)</f>
        <v>1728</v>
      </c>
      <c r="D52" s="57" t="n">
        <f aca="false">SUMIFS(Orders!$I$2:$I$2864,Orders!$C$2:$C$2864,$C$3,Orders!$D$2:$D$2864,IF($C$4=0,"&gt;0",$C$4),Orders!$H$2:$H$2864,B52)</f>
        <v>27</v>
      </c>
      <c r="E52" s="57" t="n">
        <f aca="false">SUMIFS(Orders!$M$2:$M$2864,Orders!$C$2:$C$2864,$C$3,Orders!$D$2:$D$2864,IF($C$4=0,"&gt;0",$C$4),Orders!$H$2:$H$2864,B52)</f>
        <v>1053</v>
      </c>
      <c r="F52" s="57" t="n">
        <f aca="false">C52+ROW()/1000</f>
        <v>1728.052</v>
      </c>
      <c r="G52" s="57" t="n">
        <f aca="false">RANK(F52,$F$36:$F$53)</f>
        <v>16</v>
      </c>
      <c r="H52" s="57"/>
      <c r="I52" s="57"/>
      <c r="J52" s="57"/>
      <c r="K52" s="57"/>
      <c r="L52" s="57"/>
      <c r="M52" s="57"/>
    </row>
    <row r="53" customFormat="false" ht="15" hidden="false" customHeight="false" outlineLevel="0" collapsed="false">
      <c r="A53" s="57"/>
      <c r="B53" s="57" t="s">
        <v>56</v>
      </c>
      <c r="C53" s="57" t="n">
        <f aca="false">SUMIFS(Orders!$L$2:$L$2864,Orders!$C$2:$C$2864,$C$3,Orders!$D$2:$D$2864,IF($C$4=0,"&gt;0",$C$4),Orders!$H$2:$H$2864,B53)</f>
        <v>1512</v>
      </c>
      <c r="D53" s="57" t="n">
        <f aca="false">SUMIFS(Orders!$I$2:$I$2864,Orders!$C$2:$C$2864,$C$3,Orders!$D$2:$D$2864,IF($C$4=0,"&gt;0",$C$4),Orders!$H$2:$H$2864,B53)</f>
        <v>36</v>
      </c>
      <c r="E53" s="57" t="n">
        <f aca="false">SUMIFS(Orders!$M$2:$M$2864,Orders!$C$2:$C$2864,$C$3,Orders!$D$2:$D$2864,IF($C$4=0,"&gt;0",$C$4),Orders!$H$2:$H$2864,B53)</f>
        <v>900</v>
      </c>
      <c r="F53" s="57" t="n">
        <f aca="false">C53+ROW()/1000</f>
        <v>1512.053</v>
      </c>
      <c r="G53" s="57" t="n">
        <f aca="false">RANK(F53,$F$36:$F$53)</f>
        <v>17</v>
      </c>
      <c r="H53" s="57"/>
      <c r="I53" s="57"/>
      <c r="J53" s="57"/>
      <c r="K53" s="57"/>
      <c r="L53" s="57"/>
      <c r="M53" s="57"/>
    </row>
    <row r="60" customFormat="false" ht="15" hidden="false" customHeight="false" outlineLevel="0" collapsed="false">
      <c r="B60" s="0" t="s">
        <v>18</v>
      </c>
      <c r="C60" s="0" t="s">
        <v>59</v>
      </c>
      <c r="D60" s="0" t="s">
        <v>17</v>
      </c>
      <c r="E60" s="0" t="s">
        <v>27</v>
      </c>
      <c r="F60" s="0" t="s">
        <v>3467</v>
      </c>
      <c r="G60" s="0" t="s">
        <v>58</v>
      </c>
    </row>
    <row r="61" customFormat="false" ht="15" hidden="false" customHeight="false" outlineLevel="0" collapsed="false">
      <c r="B61" s="0" t="s">
        <v>110</v>
      </c>
      <c r="C61" s="0" t="s">
        <v>78</v>
      </c>
      <c r="D61" s="0" t="n">
        <f aca="false">SUMIFS(Orders!$L$2:$L$2864,Orders!$C$2:$C$2864,$C$3,Orders!$D$2:$D$2864,IF($C$4=0,"&gt;0",$C$4),Orders!$E$2:$E$2864,B61)</f>
        <v>297</v>
      </c>
      <c r="E61" s="0" t="n">
        <f aca="false">COUNTIFS(Orders!$C$2:$C$2864,$C$3,Orders!$D$2:$D$2864,IF($C$4=0,"&gt;0",$C$4),Orders!$E$2:$E$2864,B61)</f>
        <v>3</v>
      </c>
      <c r="F61" s="0" t="n">
        <f aca="false">D61+ROW()/100000</f>
        <v>297.00061</v>
      </c>
      <c r="G61" s="0" t="n">
        <f aca="false">RANK(F61,$F$61:$F$580)</f>
        <v>175</v>
      </c>
    </row>
    <row r="62" customFormat="false" ht="15" hidden="false" customHeight="false" outlineLevel="0" collapsed="false">
      <c r="B62" s="0" t="s">
        <v>973</v>
      </c>
      <c r="C62" s="0" t="s">
        <v>78</v>
      </c>
      <c r="D62" s="0" t="n">
        <f aca="false">SUMIFS(Orders!$L$2:$L$2864,Orders!$C$2:$C$2864,$C$3,Orders!$D$2:$D$2864,IF($C$4=0,"&gt;0",$C$4),Orders!$E$2:$E$2864,B62)</f>
        <v>434</v>
      </c>
      <c r="E62" s="0" t="n">
        <f aca="false">COUNTIFS(Orders!$C$2:$C$2864,$C$3,Orders!$D$2:$D$2864,IF($C$4=0,"&gt;0",$C$4),Orders!$E$2:$E$2864,B62)</f>
        <v>6</v>
      </c>
      <c r="F62" s="0" t="n">
        <f aca="false">D62+ROW()/100000</f>
        <v>434.00062</v>
      </c>
      <c r="G62" s="0" t="n">
        <f aca="false">RANK(F62,$F$61:$F$580)</f>
        <v>119</v>
      </c>
    </row>
    <row r="63" customFormat="false" ht="15" hidden="false" customHeight="false" outlineLevel="0" collapsed="false">
      <c r="B63" s="0" t="s">
        <v>77</v>
      </c>
      <c r="C63" s="0" t="s">
        <v>78</v>
      </c>
      <c r="D63" s="0" t="n">
        <f aca="false">SUMIFS(Orders!$L$2:$L$2864,Orders!$C$2:$C$2864,$C$3,Orders!$D$2:$D$2864,IF($C$4=0,"&gt;0",$C$4),Orders!$E$2:$E$2864,B63)</f>
        <v>654</v>
      </c>
      <c r="E63" s="0" t="n">
        <f aca="false">COUNTIFS(Orders!$C$2:$C$2864,$C$3,Orders!$D$2:$D$2864,IF($C$4=0,"&gt;0",$C$4),Orders!$E$2:$E$2864,B63)</f>
        <v>9</v>
      </c>
      <c r="F63" s="0" t="n">
        <f aca="false">D63+ROW()/100000</f>
        <v>654.00063</v>
      </c>
      <c r="G63" s="0" t="n">
        <f aca="false">RANK(F63,$F$61:$F$580)</f>
        <v>60</v>
      </c>
    </row>
    <row r="64" customFormat="false" ht="15" hidden="false" customHeight="false" outlineLevel="0" collapsed="false">
      <c r="B64" s="0" t="s">
        <v>395</v>
      </c>
      <c r="C64" s="0" t="s">
        <v>69</v>
      </c>
      <c r="D64" s="0" t="n">
        <f aca="false">SUMIFS(Orders!$L$2:$L$2864,Orders!$C$2:$C$2864,$C$3,Orders!$D$2:$D$2864,IF($C$4=0,"&gt;0",$C$4),Orders!$E$2:$E$2864,B64)</f>
        <v>1131</v>
      </c>
      <c r="E64" s="0" t="n">
        <f aca="false">COUNTIFS(Orders!$C$2:$C$2864,$C$3,Orders!$D$2:$D$2864,IF($C$4=0,"&gt;0",$C$4),Orders!$E$2:$E$2864,B64)</f>
        <v>8</v>
      </c>
      <c r="F64" s="0" t="n">
        <f aca="false">D64+ROW()/100000</f>
        <v>1131.00064</v>
      </c>
      <c r="G64" s="0" t="n">
        <f aca="false">RANK(F64,$F$61:$F$580)</f>
        <v>10</v>
      </c>
    </row>
    <row r="65" customFormat="false" ht="15" hidden="false" customHeight="false" outlineLevel="0" collapsed="false">
      <c r="B65" s="0" t="s">
        <v>390</v>
      </c>
      <c r="C65" s="0" t="s">
        <v>72</v>
      </c>
      <c r="D65" s="0" t="n">
        <f aca="false">SUMIFS(Orders!$L$2:$L$2864,Orders!$C$2:$C$2864,$C$3,Orders!$D$2:$D$2864,IF($C$4=0,"&gt;0",$C$4),Orders!$E$2:$E$2864,B65)</f>
        <v>642</v>
      </c>
      <c r="E65" s="0" t="n">
        <f aca="false">COUNTIFS(Orders!$C$2:$C$2864,$C$3,Orders!$D$2:$D$2864,IF($C$4=0,"&gt;0",$C$4),Orders!$E$2:$E$2864,B65)</f>
        <v>6</v>
      </c>
      <c r="F65" s="0" t="n">
        <f aca="false">D65+ROW()/100000</f>
        <v>642.00065</v>
      </c>
      <c r="G65" s="0" t="n">
        <f aca="false">RANK(F65,$F$61:$F$580)</f>
        <v>63</v>
      </c>
    </row>
    <row r="66" customFormat="false" ht="15" hidden="false" customHeight="false" outlineLevel="0" collapsed="false">
      <c r="B66" s="0" t="s">
        <v>357</v>
      </c>
      <c r="C66" s="0" t="s">
        <v>69</v>
      </c>
      <c r="D66" s="0" t="n">
        <f aca="false">SUMIFS(Orders!$L$2:$L$2864,Orders!$C$2:$C$2864,$C$3,Orders!$D$2:$D$2864,IF($C$4=0,"&gt;0",$C$4),Orders!$E$2:$E$2864,B66)</f>
        <v>270</v>
      </c>
      <c r="E66" s="0" t="n">
        <f aca="false">COUNTIFS(Orders!$C$2:$C$2864,$C$3,Orders!$D$2:$D$2864,IF($C$4=0,"&gt;0",$C$4),Orders!$E$2:$E$2864,B66)</f>
        <v>4</v>
      </c>
      <c r="F66" s="0" t="n">
        <f aca="false">D66+ROW()/100000</f>
        <v>270.00066</v>
      </c>
      <c r="G66" s="0" t="n">
        <f aca="false">RANK(F66,$F$61:$F$580)</f>
        <v>194</v>
      </c>
    </row>
    <row r="67" customFormat="false" ht="15" hidden="false" customHeight="false" outlineLevel="0" collapsed="false">
      <c r="B67" s="0" t="s">
        <v>506</v>
      </c>
      <c r="C67" s="0" t="s">
        <v>78</v>
      </c>
      <c r="D67" s="0" t="n">
        <f aca="false">SUMIFS(Orders!$L$2:$L$2864,Orders!$C$2:$C$2864,$C$3,Orders!$D$2:$D$2864,IF($C$4=0,"&gt;0",$C$4),Orders!$E$2:$E$2864,B67)</f>
        <v>927</v>
      </c>
      <c r="E67" s="0" t="n">
        <f aca="false">COUNTIFS(Orders!$C$2:$C$2864,$C$3,Orders!$D$2:$D$2864,IF($C$4=0,"&gt;0",$C$4),Orders!$E$2:$E$2864,B67)</f>
        <v>8</v>
      </c>
      <c r="F67" s="0" t="n">
        <f aca="false">D67+ROW()/100000</f>
        <v>927.00067</v>
      </c>
      <c r="G67" s="0" t="n">
        <f aca="false">RANK(F67,$F$61:$F$580)</f>
        <v>19</v>
      </c>
    </row>
    <row r="68" customFormat="false" ht="15" hidden="false" customHeight="false" outlineLevel="0" collapsed="false">
      <c r="B68" s="0" t="s">
        <v>500</v>
      </c>
      <c r="C68" s="0" t="s">
        <v>72</v>
      </c>
      <c r="D68" s="0" t="n">
        <f aca="false">SUMIFS(Orders!$L$2:$L$2864,Orders!$C$2:$C$2864,$C$3,Orders!$D$2:$D$2864,IF($C$4=0,"&gt;0",$C$4),Orders!$E$2:$E$2864,B68)</f>
        <v>1075</v>
      </c>
      <c r="E68" s="0" t="n">
        <f aca="false">COUNTIFS(Orders!$C$2:$C$2864,$C$3,Orders!$D$2:$D$2864,IF($C$4=0,"&gt;0",$C$4),Orders!$E$2:$E$2864,B68)</f>
        <v>9</v>
      </c>
      <c r="F68" s="0" t="n">
        <f aca="false">D68+ROW()/100000</f>
        <v>1075.00068</v>
      </c>
      <c r="G68" s="0" t="n">
        <f aca="false">RANK(F68,$F$61:$F$580)</f>
        <v>13</v>
      </c>
    </row>
    <row r="69" customFormat="false" ht="15" hidden="false" customHeight="false" outlineLevel="0" collapsed="false">
      <c r="B69" s="0" t="s">
        <v>646</v>
      </c>
      <c r="C69" s="0" t="s">
        <v>81</v>
      </c>
      <c r="D69" s="0" t="n">
        <f aca="false">SUMIFS(Orders!$L$2:$L$2864,Orders!$C$2:$C$2864,$C$3,Orders!$D$2:$D$2864,IF($C$4=0,"&gt;0",$C$4),Orders!$E$2:$E$2864,B69)</f>
        <v>218</v>
      </c>
      <c r="E69" s="0" t="n">
        <f aca="false">COUNTIFS(Orders!$C$2:$C$2864,$C$3,Orders!$D$2:$D$2864,IF($C$4=0,"&gt;0",$C$4),Orders!$E$2:$E$2864,B69)</f>
        <v>2</v>
      </c>
      <c r="F69" s="0" t="n">
        <f aca="false">D69+ROW()/100000</f>
        <v>218.00069</v>
      </c>
      <c r="G69" s="0" t="n">
        <f aca="false">RANK(F69,$F$61:$F$580)</f>
        <v>233</v>
      </c>
    </row>
    <row r="70" customFormat="false" ht="15" hidden="false" customHeight="false" outlineLevel="0" collapsed="false">
      <c r="B70" s="0" t="s">
        <v>168</v>
      </c>
      <c r="C70" s="0" t="s">
        <v>81</v>
      </c>
      <c r="D70" s="0" t="n">
        <f aca="false">SUMIFS(Orders!$L$2:$L$2864,Orders!$C$2:$C$2864,$C$3,Orders!$D$2:$D$2864,IF($C$4=0,"&gt;0",$C$4),Orders!$E$2:$E$2864,B70)</f>
        <v>800</v>
      </c>
      <c r="E70" s="0" t="n">
        <f aca="false">COUNTIFS(Orders!$C$2:$C$2864,$C$3,Orders!$D$2:$D$2864,IF($C$4=0,"&gt;0",$C$4),Orders!$E$2:$E$2864,B70)</f>
        <v>8</v>
      </c>
      <c r="F70" s="0" t="n">
        <f aca="false">D70+ROW()/100000</f>
        <v>800.0007</v>
      </c>
      <c r="G70" s="0" t="n">
        <f aca="false">RANK(F70,$F$61:$F$580)</f>
        <v>33</v>
      </c>
    </row>
    <row r="71" customFormat="false" ht="15" hidden="false" customHeight="false" outlineLevel="0" collapsed="false">
      <c r="B71" s="0" t="s">
        <v>89</v>
      </c>
      <c r="C71" s="0" t="s">
        <v>81</v>
      </c>
      <c r="D71" s="0" t="n">
        <f aca="false">SUMIFS(Orders!$L$2:$L$2864,Orders!$C$2:$C$2864,$C$3,Orders!$D$2:$D$2864,IF($C$4=0,"&gt;0",$C$4),Orders!$E$2:$E$2864,B71)</f>
        <v>667</v>
      </c>
      <c r="E71" s="0" t="n">
        <f aca="false">COUNTIFS(Orders!$C$2:$C$2864,$C$3,Orders!$D$2:$D$2864,IF($C$4=0,"&gt;0",$C$4),Orders!$E$2:$E$2864,B71)</f>
        <v>7</v>
      </c>
      <c r="F71" s="0" t="n">
        <f aca="false">D71+ROW()/100000</f>
        <v>667.00071</v>
      </c>
      <c r="G71" s="0" t="n">
        <f aca="false">RANK(F71,$F$61:$F$580)</f>
        <v>58</v>
      </c>
    </row>
    <row r="72" customFormat="false" ht="15" hidden="false" customHeight="false" outlineLevel="0" collapsed="false">
      <c r="B72" s="0" t="s">
        <v>428</v>
      </c>
      <c r="C72" s="0" t="s">
        <v>78</v>
      </c>
      <c r="D72" s="0" t="n">
        <f aca="false">SUMIFS(Orders!$L$2:$L$2864,Orders!$C$2:$C$2864,$C$3,Orders!$D$2:$D$2864,IF($C$4=0,"&gt;0",$C$4),Orders!$E$2:$E$2864,B72)</f>
        <v>246</v>
      </c>
      <c r="E72" s="0" t="n">
        <f aca="false">COUNTIFS(Orders!$C$2:$C$2864,$C$3,Orders!$D$2:$D$2864,IF($C$4=0,"&gt;0",$C$4),Orders!$E$2:$E$2864,B72)</f>
        <v>4</v>
      </c>
      <c r="F72" s="0" t="n">
        <f aca="false">D72+ROW()/100000</f>
        <v>246.00072</v>
      </c>
      <c r="G72" s="0" t="n">
        <f aca="false">RANK(F72,$F$61:$F$580)</f>
        <v>211</v>
      </c>
    </row>
    <row r="73" customFormat="false" ht="15" hidden="false" customHeight="false" outlineLevel="0" collapsed="false">
      <c r="B73" s="0" t="s">
        <v>256</v>
      </c>
      <c r="C73" s="0" t="s">
        <v>69</v>
      </c>
      <c r="D73" s="0" t="n">
        <f aca="false">SUMIFS(Orders!$L$2:$L$2864,Orders!$C$2:$C$2864,$C$3,Orders!$D$2:$D$2864,IF($C$4=0,"&gt;0",$C$4),Orders!$E$2:$E$2864,B73)</f>
        <v>481</v>
      </c>
      <c r="E73" s="0" t="n">
        <f aca="false">COUNTIFS(Orders!$C$2:$C$2864,$C$3,Orders!$D$2:$D$2864,IF($C$4=0,"&gt;0",$C$4),Orders!$E$2:$E$2864,B73)</f>
        <v>5</v>
      </c>
      <c r="F73" s="0" t="n">
        <f aca="false">D73+ROW()/100000</f>
        <v>481.00073</v>
      </c>
      <c r="G73" s="0" t="n">
        <f aca="false">RANK(F73,$F$61:$F$580)</f>
        <v>105</v>
      </c>
    </row>
    <row r="74" customFormat="false" ht="15" hidden="false" customHeight="false" outlineLevel="0" collapsed="false">
      <c r="B74" s="0" t="s">
        <v>440</v>
      </c>
      <c r="C74" s="0" t="s">
        <v>78</v>
      </c>
      <c r="D74" s="0" t="n">
        <f aca="false">SUMIFS(Orders!$L$2:$L$2864,Orders!$C$2:$C$2864,$C$3,Orders!$D$2:$D$2864,IF($C$4=0,"&gt;0",$C$4),Orders!$E$2:$E$2864,B74)</f>
        <v>888</v>
      </c>
      <c r="E74" s="0" t="n">
        <f aca="false">COUNTIFS(Orders!$C$2:$C$2864,$C$3,Orders!$D$2:$D$2864,IF($C$4=0,"&gt;0",$C$4),Orders!$E$2:$E$2864,B74)</f>
        <v>8</v>
      </c>
      <c r="F74" s="0" t="n">
        <f aca="false">D74+ROW()/100000</f>
        <v>888.00074</v>
      </c>
      <c r="G74" s="0" t="n">
        <f aca="false">RANK(F74,$F$61:$F$580)</f>
        <v>23</v>
      </c>
    </row>
    <row r="75" customFormat="false" ht="15" hidden="false" customHeight="false" outlineLevel="0" collapsed="false">
      <c r="B75" s="0" t="s">
        <v>112</v>
      </c>
      <c r="C75" s="0" t="s">
        <v>81</v>
      </c>
      <c r="D75" s="0" t="n">
        <f aca="false">SUMIFS(Orders!$L$2:$L$2864,Orders!$C$2:$C$2864,$C$3,Orders!$D$2:$D$2864,IF($C$4=0,"&gt;0",$C$4),Orders!$E$2:$E$2864,B75)</f>
        <v>289</v>
      </c>
      <c r="E75" s="0" t="n">
        <f aca="false">COUNTIFS(Orders!$C$2:$C$2864,$C$3,Orders!$D$2:$D$2864,IF($C$4=0,"&gt;0",$C$4),Orders!$E$2:$E$2864,B75)</f>
        <v>3</v>
      </c>
      <c r="F75" s="0" t="n">
        <f aca="false">D75+ROW()/100000</f>
        <v>289.00075</v>
      </c>
      <c r="G75" s="0" t="n">
        <f aca="false">RANK(F75,$F$61:$F$580)</f>
        <v>178</v>
      </c>
    </row>
    <row r="76" customFormat="false" ht="15" hidden="false" customHeight="false" outlineLevel="0" collapsed="false">
      <c r="B76" s="0" t="s">
        <v>304</v>
      </c>
      <c r="C76" s="0" t="s">
        <v>69</v>
      </c>
      <c r="D76" s="0" t="n">
        <f aca="false">SUMIFS(Orders!$L$2:$L$2864,Orders!$C$2:$C$2864,$C$3,Orders!$D$2:$D$2864,IF($C$4=0,"&gt;0",$C$4),Orders!$E$2:$E$2864,B76)</f>
        <v>319</v>
      </c>
      <c r="E76" s="0" t="n">
        <f aca="false">COUNTIFS(Orders!$C$2:$C$2864,$C$3,Orders!$D$2:$D$2864,IF($C$4=0,"&gt;0",$C$4),Orders!$E$2:$E$2864,B76)</f>
        <v>5</v>
      </c>
      <c r="F76" s="0" t="n">
        <f aca="false">D76+ROW()/100000</f>
        <v>319.00076</v>
      </c>
      <c r="G76" s="0" t="n">
        <f aca="false">RANK(F76,$F$61:$F$580)</f>
        <v>160</v>
      </c>
    </row>
    <row r="77" customFormat="false" ht="15" hidden="false" customHeight="false" outlineLevel="0" collapsed="false">
      <c r="B77" s="0" t="s">
        <v>87</v>
      </c>
      <c r="C77" s="0" t="s">
        <v>72</v>
      </c>
      <c r="D77" s="0" t="n">
        <f aca="false">SUMIFS(Orders!$L$2:$L$2864,Orders!$C$2:$C$2864,$C$3,Orders!$D$2:$D$2864,IF($C$4=0,"&gt;0",$C$4),Orders!$E$2:$E$2864,B77)</f>
        <v>214</v>
      </c>
      <c r="E77" s="0" t="n">
        <f aca="false">COUNTIFS(Orders!$C$2:$C$2864,$C$3,Orders!$D$2:$D$2864,IF($C$4=0,"&gt;0",$C$4),Orders!$E$2:$E$2864,B77)</f>
        <v>3</v>
      </c>
      <c r="F77" s="0" t="n">
        <f aca="false">D77+ROW()/100000</f>
        <v>214.00077</v>
      </c>
      <c r="G77" s="0" t="n">
        <f aca="false">RANK(F77,$F$61:$F$580)</f>
        <v>235</v>
      </c>
    </row>
    <row r="78" customFormat="false" ht="15" hidden="false" customHeight="false" outlineLevel="0" collapsed="false">
      <c r="B78" s="0" t="s">
        <v>91</v>
      </c>
      <c r="C78" s="0" t="s">
        <v>69</v>
      </c>
      <c r="D78" s="0" t="n">
        <f aca="false">SUMIFS(Orders!$L$2:$L$2864,Orders!$C$2:$C$2864,$C$3,Orders!$D$2:$D$2864,IF($C$4=0,"&gt;0",$C$4),Orders!$E$2:$E$2864,B78)</f>
        <v>966</v>
      </c>
      <c r="E78" s="0" t="n">
        <f aca="false">COUNTIFS(Orders!$C$2:$C$2864,$C$3,Orders!$D$2:$D$2864,IF($C$4=0,"&gt;0",$C$4),Orders!$E$2:$E$2864,B78)</f>
        <v>7</v>
      </c>
      <c r="F78" s="0" t="n">
        <f aca="false">D78+ROW()/100000</f>
        <v>966.00078</v>
      </c>
      <c r="G78" s="0" t="n">
        <f aca="false">RANK(F78,$F$61:$F$580)</f>
        <v>17</v>
      </c>
    </row>
    <row r="79" customFormat="false" ht="15" hidden="false" customHeight="false" outlineLevel="0" collapsed="false">
      <c r="B79" s="0" t="s">
        <v>488</v>
      </c>
      <c r="C79" s="0" t="s">
        <v>69</v>
      </c>
      <c r="D79" s="0" t="n">
        <f aca="false">SUMIFS(Orders!$L$2:$L$2864,Orders!$C$2:$C$2864,$C$3,Orders!$D$2:$D$2864,IF($C$4=0,"&gt;0",$C$4),Orders!$E$2:$E$2864,B79)</f>
        <v>812</v>
      </c>
      <c r="E79" s="0" t="n">
        <f aca="false">COUNTIFS(Orders!$C$2:$C$2864,$C$3,Orders!$D$2:$D$2864,IF($C$4=0,"&gt;0",$C$4),Orders!$E$2:$E$2864,B79)</f>
        <v>9</v>
      </c>
      <c r="F79" s="0" t="n">
        <f aca="false">D79+ROW()/100000</f>
        <v>812.00079</v>
      </c>
      <c r="G79" s="0" t="n">
        <f aca="false">RANK(F79,$F$61:$F$580)</f>
        <v>32</v>
      </c>
    </row>
    <row r="80" customFormat="false" ht="15" hidden="false" customHeight="false" outlineLevel="0" collapsed="false">
      <c r="B80" s="0" t="s">
        <v>196</v>
      </c>
      <c r="C80" s="0" t="s">
        <v>69</v>
      </c>
      <c r="D80" s="0" t="n">
        <f aca="false">SUMIFS(Orders!$L$2:$L$2864,Orders!$C$2:$C$2864,$C$3,Orders!$D$2:$D$2864,IF($C$4=0,"&gt;0",$C$4),Orders!$E$2:$E$2864,B80)</f>
        <v>1372</v>
      </c>
      <c r="E80" s="0" t="n">
        <f aca="false">COUNTIFS(Orders!$C$2:$C$2864,$C$3,Orders!$D$2:$D$2864,IF($C$4=0,"&gt;0",$C$4),Orders!$E$2:$E$2864,B80)</f>
        <v>10</v>
      </c>
      <c r="F80" s="0" t="n">
        <f aca="false">D80+ROW()/100000</f>
        <v>1372.0008</v>
      </c>
      <c r="G80" s="0" t="n">
        <f aca="false">RANK(F80,$F$61:$F$580)</f>
        <v>4</v>
      </c>
    </row>
    <row r="81" customFormat="false" ht="15" hidden="false" customHeight="false" outlineLevel="0" collapsed="false">
      <c r="B81" s="0" t="s">
        <v>696</v>
      </c>
      <c r="C81" s="0" t="s">
        <v>72</v>
      </c>
      <c r="D81" s="0" t="n">
        <f aca="false">SUMIFS(Orders!$L$2:$L$2864,Orders!$C$2:$C$2864,$C$3,Orders!$D$2:$D$2864,IF($C$4=0,"&gt;0",$C$4),Orders!$E$2:$E$2864,B81)</f>
        <v>224</v>
      </c>
      <c r="E81" s="0" t="n">
        <f aca="false">COUNTIFS(Orders!$C$2:$C$2864,$C$3,Orders!$D$2:$D$2864,IF($C$4=0,"&gt;0",$C$4),Orders!$E$2:$E$2864,B81)</f>
        <v>3</v>
      </c>
      <c r="F81" s="0" t="n">
        <f aca="false">D81+ROW()/100000</f>
        <v>224.00081</v>
      </c>
      <c r="G81" s="0" t="n">
        <f aca="false">RANK(F81,$F$61:$F$580)</f>
        <v>229</v>
      </c>
    </row>
    <row r="82" customFormat="false" ht="15" hidden="false" customHeight="false" outlineLevel="0" collapsed="false">
      <c r="B82" s="0" t="s">
        <v>181</v>
      </c>
      <c r="C82" s="0" t="s">
        <v>69</v>
      </c>
      <c r="D82" s="0" t="n">
        <f aca="false">SUMIFS(Orders!$L$2:$L$2864,Orders!$C$2:$C$2864,$C$3,Orders!$D$2:$D$2864,IF($C$4=0,"&gt;0",$C$4),Orders!$E$2:$E$2864,B82)</f>
        <v>540</v>
      </c>
      <c r="E82" s="0" t="n">
        <f aca="false">COUNTIFS(Orders!$C$2:$C$2864,$C$3,Orders!$D$2:$D$2864,IF($C$4=0,"&gt;0",$C$4),Orders!$E$2:$E$2864,B82)</f>
        <v>8</v>
      </c>
      <c r="F82" s="0" t="n">
        <f aca="false">D82+ROW()/100000</f>
        <v>540.00082</v>
      </c>
      <c r="G82" s="0" t="n">
        <f aca="false">RANK(F82,$F$61:$F$580)</f>
        <v>91</v>
      </c>
    </row>
    <row r="83" customFormat="false" ht="15" hidden="false" customHeight="false" outlineLevel="0" collapsed="false">
      <c r="B83" s="0" t="s">
        <v>434</v>
      </c>
      <c r="C83" s="0" t="s">
        <v>78</v>
      </c>
      <c r="D83" s="0" t="n">
        <f aca="false">SUMIFS(Orders!$L$2:$L$2864,Orders!$C$2:$C$2864,$C$3,Orders!$D$2:$D$2864,IF($C$4=0,"&gt;0",$C$4),Orders!$E$2:$E$2864,B83)</f>
        <v>277</v>
      </c>
      <c r="E83" s="0" t="n">
        <f aca="false">COUNTIFS(Orders!$C$2:$C$2864,$C$3,Orders!$D$2:$D$2864,IF($C$4=0,"&gt;0",$C$4),Orders!$E$2:$E$2864,B83)</f>
        <v>3</v>
      </c>
      <c r="F83" s="0" t="n">
        <f aca="false">D83+ROW()/100000</f>
        <v>277.00083</v>
      </c>
      <c r="G83" s="0" t="n">
        <f aca="false">RANK(F83,$F$61:$F$580)</f>
        <v>188</v>
      </c>
    </row>
    <row r="84" customFormat="false" ht="15" hidden="false" customHeight="false" outlineLevel="0" collapsed="false">
      <c r="B84" s="0" t="s">
        <v>594</v>
      </c>
      <c r="C84" s="0" t="s">
        <v>81</v>
      </c>
      <c r="D84" s="0" t="n">
        <f aca="false">SUMIFS(Orders!$L$2:$L$2864,Orders!$C$2:$C$2864,$C$3,Orders!$D$2:$D$2864,IF($C$4=0,"&gt;0",$C$4),Orders!$E$2:$E$2864,B84)</f>
        <v>1076</v>
      </c>
      <c r="E84" s="0" t="n">
        <f aca="false">COUNTIFS(Orders!$C$2:$C$2864,$C$3,Orders!$D$2:$D$2864,IF($C$4=0,"&gt;0",$C$4),Orders!$E$2:$E$2864,B84)</f>
        <v>7</v>
      </c>
      <c r="F84" s="0" t="n">
        <f aca="false">D84+ROW()/100000</f>
        <v>1076.00084</v>
      </c>
      <c r="G84" s="0" t="n">
        <f aca="false">RANK(F84,$F$61:$F$580)</f>
        <v>12</v>
      </c>
    </row>
    <row r="85" customFormat="false" ht="15" hidden="false" customHeight="false" outlineLevel="0" collapsed="false">
      <c r="B85" s="0" t="s">
        <v>1728</v>
      </c>
      <c r="C85" s="0" t="s">
        <v>75</v>
      </c>
      <c r="D85" s="0" t="n">
        <f aca="false">SUMIFS(Orders!$L$2:$L$2864,Orders!$C$2:$C$2864,$C$3,Orders!$D$2:$D$2864,IF($C$4=0,"&gt;0",$C$4),Orders!$E$2:$E$2864,B85)</f>
        <v>1113</v>
      </c>
      <c r="E85" s="0" t="n">
        <f aca="false">COUNTIFS(Orders!$C$2:$C$2864,$C$3,Orders!$D$2:$D$2864,IF($C$4=0,"&gt;0",$C$4),Orders!$E$2:$E$2864,B85)</f>
        <v>12</v>
      </c>
      <c r="F85" s="0" t="n">
        <f aca="false">D85+ROW()/100000</f>
        <v>1113.00085</v>
      </c>
      <c r="G85" s="0" t="n">
        <f aca="false">RANK(F85,$F$61:$F$580)</f>
        <v>11</v>
      </c>
    </row>
    <row r="86" customFormat="false" ht="15" hidden="false" customHeight="false" outlineLevel="0" collapsed="false">
      <c r="B86" s="0" t="s">
        <v>386</v>
      </c>
      <c r="C86" s="0" t="s">
        <v>78</v>
      </c>
      <c r="D86" s="0" t="n">
        <f aca="false">SUMIFS(Orders!$L$2:$L$2864,Orders!$C$2:$C$2864,$C$3,Orders!$D$2:$D$2864,IF($C$4=0,"&gt;0",$C$4),Orders!$E$2:$E$2864,B86)</f>
        <v>676</v>
      </c>
      <c r="E86" s="0" t="n">
        <f aca="false">COUNTIFS(Orders!$C$2:$C$2864,$C$3,Orders!$D$2:$D$2864,IF($C$4=0,"&gt;0",$C$4),Orders!$E$2:$E$2864,B86)</f>
        <v>8</v>
      </c>
      <c r="F86" s="0" t="n">
        <f aca="false">D86+ROW()/100000</f>
        <v>676.00086</v>
      </c>
      <c r="G86" s="0" t="n">
        <f aca="false">RANK(F86,$F$61:$F$580)</f>
        <v>55</v>
      </c>
    </row>
    <row r="87" customFormat="false" ht="15" hidden="false" customHeight="false" outlineLevel="0" collapsed="false">
      <c r="B87" s="0" t="s">
        <v>996</v>
      </c>
      <c r="C87" s="0" t="s">
        <v>75</v>
      </c>
      <c r="D87" s="0" t="n">
        <f aca="false">SUMIFS(Orders!$L$2:$L$2864,Orders!$C$2:$C$2864,$C$3,Orders!$D$2:$D$2864,IF($C$4=0,"&gt;0",$C$4),Orders!$E$2:$E$2864,B87)</f>
        <v>305</v>
      </c>
      <c r="E87" s="0" t="n">
        <f aca="false">COUNTIFS(Orders!$C$2:$C$2864,$C$3,Orders!$D$2:$D$2864,IF($C$4=0,"&gt;0",$C$4),Orders!$E$2:$E$2864,B87)</f>
        <v>4</v>
      </c>
      <c r="F87" s="0" t="n">
        <f aca="false">D87+ROW()/100000</f>
        <v>305.00087</v>
      </c>
      <c r="G87" s="0" t="n">
        <f aca="false">RANK(F87,$F$61:$F$580)</f>
        <v>164</v>
      </c>
    </row>
    <row r="88" customFormat="false" ht="15" hidden="false" customHeight="false" outlineLevel="0" collapsed="false">
      <c r="B88" s="0" t="s">
        <v>97</v>
      </c>
      <c r="C88" s="0" t="s">
        <v>78</v>
      </c>
      <c r="D88" s="0" t="n">
        <f aca="false">SUMIFS(Orders!$L$2:$L$2864,Orders!$C$2:$C$2864,$C$3,Orders!$D$2:$D$2864,IF($C$4=0,"&gt;0",$C$4),Orders!$E$2:$E$2864,B88)</f>
        <v>624</v>
      </c>
      <c r="E88" s="0" t="n">
        <f aca="false">COUNTIFS(Orders!$C$2:$C$2864,$C$3,Orders!$D$2:$D$2864,IF($C$4=0,"&gt;0",$C$4),Orders!$E$2:$E$2864,B88)</f>
        <v>4</v>
      </c>
      <c r="F88" s="0" t="n">
        <f aca="false">D88+ROW()/100000</f>
        <v>624.00088</v>
      </c>
      <c r="G88" s="0" t="n">
        <f aca="false">RANK(F88,$F$61:$F$580)</f>
        <v>69</v>
      </c>
    </row>
    <row r="89" customFormat="false" ht="15" hidden="false" customHeight="false" outlineLevel="0" collapsed="false">
      <c r="B89" s="0" t="s">
        <v>601</v>
      </c>
      <c r="C89" s="0" t="s">
        <v>78</v>
      </c>
      <c r="D89" s="0" t="n">
        <f aca="false">SUMIFS(Orders!$L$2:$L$2864,Orders!$C$2:$C$2864,$C$3,Orders!$D$2:$D$2864,IF($C$4=0,"&gt;0",$C$4),Orders!$E$2:$E$2864,B89)</f>
        <v>415</v>
      </c>
      <c r="E89" s="0" t="n">
        <f aca="false">COUNTIFS(Orders!$C$2:$C$2864,$C$3,Orders!$D$2:$D$2864,IF($C$4=0,"&gt;0",$C$4),Orders!$E$2:$E$2864,B89)</f>
        <v>5</v>
      </c>
      <c r="F89" s="0" t="n">
        <f aca="false">D89+ROW()/100000</f>
        <v>415.00089</v>
      </c>
      <c r="G89" s="0" t="n">
        <f aca="false">RANK(F89,$F$61:$F$580)</f>
        <v>125</v>
      </c>
    </row>
    <row r="90" customFormat="false" ht="15" hidden="false" customHeight="false" outlineLevel="0" collapsed="false">
      <c r="B90" s="0" t="s">
        <v>122</v>
      </c>
      <c r="C90" s="0" t="s">
        <v>81</v>
      </c>
      <c r="D90" s="0" t="n">
        <f aca="false">SUMIFS(Orders!$L$2:$L$2864,Orders!$C$2:$C$2864,$C$3,Orders!$D$2:$D$2864,IF($C$4=0,"&gt;0",$C$4),Orders!$E$2:$E$2864,B90)</f>
        <v>780</v>
      </c>
      <c r="E90" s="0" t="n">
        <f aca="false">COUNTIFS(Orders!$C$2:$C$2864,$C$3,Orders!$D$2:$D$2864,IF($C$4=0,"&gt;0",$C$4),Orders!$E$2:$E$2864,B90)</f>
        <v>7</v>
      </c>
      <c r="F90" s="0" t="n">
        <f aca="false">D90+ROW()/100000</f>
        <v>780.0009</v>
      </c>
      <c r="G90" s="0" t="n">
        <f aca="false">RANK(F90,$F$61:$F$580)</f>
        <v>36</v>
      </c>
    </row>
    <row r="91" customFormat="false" ht="15" hidden="false" customHeight="false" outlineLevel="0" collapsed="false">
      <c r="B91" s="0" t="s">
        <v>1145</v>
      </c>
      <c r="C91" s="0" t="s">
        <v>78</v>
      </c>
      <c r="D91" s="0" t="n">
        <f aca="false">SUMIFS(Orders!$L$2:$L$2864,Orders!$C$2:$C$2864,$C$3,Orders!$D$2:$D$2864,IF($C$4=0,"&gt;0",$C$4),Orders!$E$2:$E$2864,B91)</f>
        <v>325</v>
      </c>
      <c r="E91" s="0" t="n">
        <f aca="false">COUNTIFS(Orders!$C$2:$C$2864,$C$3,Orders!$D$2:$D$2864,IF($C$4=0,"&gt;0",$C$4),Orders!$E$2:$E$2864,B91)</f>
        <v>4</v>
      </c>
      <c r="F91" s="0" t="n">
        <f aca="false">D91+ROW()/100000</f>
        <v>325.00091</v>
      </c>
      <c r="G91" s="0" t="n">
        <f aca="false">RANK(F91,$F$61:$F$580)</f>
        <v>158</v>
      </c>
    </row>
    <row r="92" customFormat="false" ht="15" hidden="false" customHeight="false" outlineLevel="0" collapsed="false">
      <c r="B92" s="0" t="s">
        <v>743</v>
      </c>
      <c r="C92" s="0" t="s">
        <v>69</v>
      </c>
      <c r="D92" s="0" t="n">
        <f aca="false">SUMIFS(Orders!$L$2:$L$2864,Orders!$C$2:$C$2864,$C$3,Orders!$D$2:$D$2864,IF($C$4=0,"&gt;0",$C$4),Orders!$E$2:$E$2864,B92)</f>
        <v>521</v>
      </c>
      <c r="E92" s="0" t="n">
        <f aca="false">COUNTIFS(Orders!$C$2:$C$2864,$C$3,Orders!$D$2:$D$2864,IF($C$4=0,"&gt;0",$C$4),Orders!$E$2:$E$2864,B92)</f>
        <v>6</v>
      </c>
      <c r="F92" s="0" t="n">
        <f aca="false">D92+ROW()/100000</f>
        <v>521.00092</v>
      </c>
      <c r="G92" s="0" t="n">
        <f aca="false">RANK(F92,$F$61:$F$580)</f>
        <v>94</v>
      </c>
    </row>
    <row r="93" customFormat="false" ht="15" hidden="false" customHeight="false" outlineLevel="0" collapsed="false">
      <c r="B93" s="0" t="s">
        <v>108</v>
      </c>
      <c r="C93" s="0" t="s">
        <v>75</v>
      </c>
      <c r="D93" s="0" t="n">
        <f aca="false">SUMIFS(Orders!$L$2:$L$2864,Orders!$C$2:$C$2864,$C$3,Orders!$D$2:$D$2864,IF($C$4=0,"&gt;0",$C$4),Orders!$E$2:$E$2864,B93)</f>
        <v>297</v>
      </c>
      <c r="E93" s="0" t="n">
        <f aca="false">COUNTIFS(Orders!$C$2:$C$2864,$C$3,Orders!$D$2:$D$2864,IF($C$4=0,"&gt;0",$C$4),Orders!$E$2:$E$2864,B93)</f>
        <v>4</v>
      </c>
      <c r="F93" s="0" t="n">
        <f aca="false">D93+ROW()/100000</f>
        <v>297.00093</v>
      </c>
      <c r="G93" s="0" t="n">
        <f aca="false">RANK(F93,$F$61:$F$580)</f>
        <v>174</v>
      </c>
    </row>
    <row r="94" customFormat="false" ht="15" hidden="false" customHeight="false" outlineLevel="0" collapsed="false">
      <c r="B94" s="0" t="s">
        <v>326</v>
      </c>
      <c r="C94" s="0" t="s">
        <v>78</v>
      </c>
      <c r="D94" s="0" t="n">
        <f aca="false">SUMIFS(Orders!$L$2:$L$2864,Orders!$C$2:$C$2864,$C$3,Orders!$D$2:$D$2864,IF($C$4=0,"&gt;0",$C$4),Orders!$E$2:$E$2864,B94)</f>
        <v>341</v>
      </c>
      <c r="E94" s="0" t="n">
        <f aca="false">COUNTIFS(Orders!$C$2:$C$2864,$C$3,Orders!$D$2:$D$2864,IF($C$4=0,"&gt;0",$C$4),Orders!$E$2:$E$2864,B94)</f>
        <v>5</v>
      </c>
      <c r="F94" s="0" t="n">
        <f aca="false">D94+ROW()/100000</f>
        <v>341.00094</v>
      </c>
      <c r="G94" s="0" t="n">
        <f aca="false">RANK(F94,$F$61:$F$580)</f>
        <v>151</v>
      </c>
    </row>
    <row r="95" customFormat="false" ht="15" hidden="false" customHeight="false" outlineLevel="0" collapsed="false">
      <c r="B95" s="0" t="s">
        <v>914</v>
      </c>
      <c r="C95" s="0" t="s">
        <v>75</v>
      </c>
      <c r="D95" s="0" t="n">
        <f aca="false">SUMIFS(Orders!$L$2:$L$2864,Orders!$C$2:$C$2864,$C$3,Orders!$D$2:$D$2864,IF($C$4=0,"&gt;0",$C$4),Orders!$E$2:$E$2864,B95)</f>
        <v>317</v>
      </c>
      <c r="E95" s="0" t="n">
        <f aca="false">COUNTIFS(Orders!$C$2:$C$2864,$C$3,Orders!$D$2:$D$2864,IF($C$4=0,"&gt;0",$C$4),Orders!$E$2:$E$2864,B95)</f>
        <v>5</v>
      </c>
      <c r="F95" s="0" t="n">
        <f aca="false">D95+ROW()/100000</f>
        <v>317.00095</v>
      </c>
      <c r="G95" s="0" t="n">
        <f aca="false">RANK(F95,$F$61:$F$580)</f>
        <v>161</v>
      </c>
    </row>
    <row r="96" customFormat="false" ht="15" hidden="false" customHeight="false" outlineLevel="0" collapsed="false">
      <c r="B96" s="0" t="s">
        <v>698</v>
      </c>
      <c r="C96" s="0" t="s">
        <v>75</v>
      </c>
      <c r="D96" s="0" t="n">
        <f aca="false">SUMIFS(Orders!$L$2:$L$2864,Orders!$C$2:$C$2864,$C$3,Orders!$D$2:$D$2864,IF($C$4=0,"&gt;0",$C$4),Orders!$E$2:$E$2864,B96)</f>
        <v>445</v>
      </c>
      <c r="E96" s="0" t="n">
        <f aca="false">COUNTIFS(Orders!$C$2:$C$2864,$C$3,Orders!$D$2:$D$2864,IF($C$4=0,"&gt;0",$C$4),Orders!$E$2:$E$2864,B96)</f>
        <v>6</v>
      </c>
      <c r="F96" s="0" t="n">
        <f aca="false">D96+ROW()/100000</f>
        <v>445.00096</v>
      </c>
      <c r="G96" s="0" t="n">
        <f aca="false">RANK(F96,$F$61:$F$580)</f>
        <v>116</v>
      </c>
    </row>
    <row r="97" customFormat="false" ht="15" hidden="false" customHeight="false" outlineLevel="0" collapsed="false">
      <c r="B97" s="0" t="s">
        <v>613</v>
      </c>
      <c r="C97" s="0" t="s">
        <v>72</v>
      </c>
      <c r="D97" s="0" t="n">
        <f aca="false">SUMIFS(Orders!$L$2:$L$2864,Orders!$C$2:$C$2864,$C$3,Orders!$D$2:$D$2864,IF($C$4=0,"&gt;0",$C$4),Orders!$E$2:$E$2864,B97)</f>
        <v>573</v>
      </c>
      <c r="E97" s="0" t="n">
        <f aca="false">COUNTIFS(Orders!$C$2:$C$2864,$C$3,Orders!$D$2:$D$2864,IF($C$4=0,"&gt;0",$C$4),Orders!$E$2:$E$2864,B97)</f>
        <v>6</v>
      </c>
      <c r="F97" s="0" t="n">
        <f aca="false">D97+ROW()/100000</f>
        <v>573.00097</v>
      </c>
      <c r="G97" s="0" t="n">
        <f aca="false">RANK(F97,$F$61:$F$580)</f>
        <v>80</v>
      </c>
    </row>
    <row r="98" customFormat="false" ht="15" hidden="false" customHeight="false" outlineLevel="0" collapsed="false">
      <c r="B98" s="0" t="s">
        <v>294</v>
      </c>
      <c r="C98" s="0" t="s">
        <v>69</v>
      </c>
      <c r="D98" s="0" t="n">
        <f aca="false">SUMIFS(Orders!$L$2:$L$2864,Orders!$C$2:$C$2864,$C$3,Orders!$D$2:$D$2864,IF($C$4=0,"&gt;0",$C$4),Orders!$E$2:$E$2864,B98)</f>
        <v>347</v>
      </c>
      <c r="E98" s="0" t="n">
        <f aca="false">COUNTIFS(Orders!$C$2:$C$2864,$C$3,Orders!$D$2:$D$2864,IF($C$4=0,"&gt;0",$C$4),Orders!$E$2:$E$2864,B98)</f>
        <v>5</v>
      </c>
      <c r="F98" s="0" t="n">
        <f aca="false">D98+ROW()/100000</f>
        <v>347.00098</v>
      </c>
      <c r="G98" s="0" t="n">
        <f aca="false">RANK(F98,$F$61:$F$580)</f>
        <v>146</v>
      </c>
    </row>
    <row r="99" customFormat="false" ht="15" hidden="false" customHeight="false" outlineLevel="0" collapsed="false">
      <c r="B99" s="0" t="s">
        <v>547</v>
      </c>
      <c r="C99" s="0" t="s">
        <v>72</v>
      </c>
      <c r="D99" s="0" t="n">
        <f aca="false">SUMIFS(Orders!$L$2:$L$2864,Orders!$C$2:$C$2864,$C$3,Orders!$D$2:$D$2864,IF($C$4=0,"&gt;0",$C$4),Orders!$E$2:$E$2864,B99)</f>
        <v>580</v>
      </c>
      <c r="E99" s="0" t="n">
        <f aca="false">COUNTIFS(Orders!$C$2:$C$2864,$C$3,Orders!$D$2:$D$2864,IF($C$4=0,"&gt;0",$C$4),Orders!$E$2:$E$2864,B99)</f>
        <v>7</v>
      </c>
      <c r="F99" s="0" t="n">
        <f aca="false">D99+ROW()/100000</f>
        <v>580.00099</v>
      </c>
      <c r="G99" s="0" t="n">
        <f aca="false">RANK(F99,$F$61:$F$580)</f>
        <v>78</v>
      </c>
    </row>
    <row r="100" customFormat="false" ht="15" hidden="false" customHeight="false" outlineLevel="0" collapsed="false">
      <c r="B100" s="0" t="s">
        <v>229</v>
      </c>
      <c r="C100" s="0" t="s">
        <v>81</v>
      </c>
      <c r="D100" s="0" t="n">
        <f aca="false">SUMIFS(Orders!$L$2:$L$2864,Orders!$C$2:$C$2864,$C$3,Orders!$D$2:$D$2864,IF($C$4=0,"&gt;0",$C$4),Orders!$E$2:$E$2864,B100)</f>
        <v>503</v>
      </c>
      <c r="E100" s="0" t="n">
        <f aca="false">COUNTIFS(Orders!$C$2:$C$2864,$C$3,Orders!$D$2:$D$2864,IF($C$4=0,"&gt;0",$C$4),Orders!$E$2:$E$2864,B100)</f>
        <v>5</v>
      </c>
      <c r="F100" s="0" t="n">
        <f aca="false">D100+ROW()/100000</f>
        <v>503.001</v>
      </c>
      <c r="G100" s="0" t="n">
        <f aca="false">RANK(F100,$F$61:$F$580)</f>
        <v>102</v>
      </c>
    </row>
    <row r="101" customFormat="false" ht="15" hidden="false" customHeight="false" outlineLevel="0" collapsed="false">
      <c r="B101" s="0" t="s">
        <v>466</v>
      </c>
      <c r="C101" s="0" t="s">
        <v>72</v>
      </c>
      <c r="D101" s="0" t="n">
        <f aca="false">SUMIFS(Orders!$L$2:$L$2864,Orders!$C$2:$C$2864,$C$3,Orders!$D$2:$D$2864,IF($C$4=0,"&gt;0",$C$4),Orders!$E$2:$E$2864,B101)</f>
        <v>581</v>
      </c>
      <c r="E101" s="0" t="n">
        <f aca="false">COUNTIFS(Orders!$C$2:$C$2864,$C$3,Orders!$D$2:$D$2864,IF($C$4=0,"&gt;0",$C$4),Orders!$E$2:$E$2864,B101)</f>
        <v>7</v>
      </c>
      <c r="F101" s="0" t="n">
        <f aca="false">D101+ROW()/100000</f>
        <v>581.00101</v>
      </c>
      <c r="G101" s="0" t="n">
        <f aca="false">RANK(F101,$F$61:$F$580)</f>
        <v>77</v>
      </c>
    </row>
    <row r="102" customFormat="false" ht="15" hidden="false" customHeight="false" outlineLevel="0" collapsed="false">
      <c r="B102" s="0" t="s">
        <v>116</v>
      </c>
      <c r="C102" s="0" t="s">
        <v>75</v>
      </c>
      <c r="D102" s="0" t="n">
        <f aca="false">SUMIFS(Orders!$L$2:$L$2864,Orders!$C$2:$C$2864,$C$3,Orders!$D$2:$D$2864,IF($C$4=0,"&gt;0",$C$4),Orders!$E$2:$E$2864,B102)</f>
        <v>513</v>
      </c>
      <c r="E102" s="0" t="n">
        <f aca="false">COUNTIFS(Orders!$C$2:$C$2864,$C$3,Orders!$D$2:$D$2864,IF($C$4=0,"&gt;0",$C$4),Orders!$E$2:$E$2864,B102)</f>
        <v>6</v>
      </c>
      <c r="F102" s="0" t="n">
        <f aca="false">D102+ROW()/100000</f>
        <v>513.00102</v>
      </c>
      <c r="G102" s="0" t="n">
        <f aca="false">RANK(F102,$F$61:$F$580)</f>
        <v>99</v>
      </c>
    </row>
    <row r="103" customFormat="false" ht="15" hidden="false" customHeight="false" outlineLevel="0" collapsed="false">
      <c r="B103" s="0" t="s">
        <v>328</v>
      </c>
      <c r="C103" s="0" t="s">
        <v>69</v>
      </c>
      <c r="D103" s="0" t="n">
        <f aca="false">SUMIFS(Orders!$L$2:$L$2864,Orders!$C$2:$C$2864,$C$3,Orders!$D$2:$D$2864,IF($C$4=0,"&gt;0",$C$4),Orders!$E$2:$E$2864,B103)</f>
        <v>98</v>
      </c>
      <c r="E103" s="0" t="n">
        <f aca="false">COUNTIFS(Orders!$C$2:$C$2864,$C$3,Orders!$D$2:$D$2864,IF($C$4=0,"&gt;0",$C$4),Orders!$E$2:$E$2864,B103)</f>
        <v>2</v>
      </c>
      <c r="F103" s="0" t="n">
        <f aca="false">D103+ROW()/100000</f>
        <v>98.00103</v>
      </c>
      <c r="G103" s="0" t="n">
        <f aca="false">RANK(F103,$F$61:$F$580)</f>
        <v>362</v>
      </c>
    </row>
    <row r="104" customFormat="false" ht="15" hidden="false" customHeight="false" outlineLevel="0" collapsed="false">
      <c r="B104" s="0" t="s">
        <v>199</v>
      </c>
      <c r="C104" s="0" t="s">
        <v>72</v>
      </c>
      <c r="D104" s="0" t="n">
        <f aca="false">SUMIFS(Orders!$L$2:$L$2864,Orders!$C$2:$C$2864,$C$3,Orders!$D$2:$D$2864,IF($C$4=0,"&gt;0",$C$4),Orders!$E$2:$E$2864,B104)</f>
        <v>619</v>
      </c>
      <c r="E104" s="0" t="n">
        <f aca="false">COUNTIFS(Orders!$C$2:$C$2864,$C$3,Orders!$D$2:$D$2864,IF($C$4=0,"&gt;0",$C$4),Orders!$E$2:$E$2864,B104)</f>
        <v>4</v>
      </c>
      <c r="F104" s="0" t="n">
        <f aca="false">D104+ROW()/100000</f>
        <v>619.00104</v>
      </c>
      <c r="G104" s="0" t="n">
        <f aca="false">RANK(F104,$F$61:$F$580)</f>
        <v>73</v>
      </c>
    </row>
    <row r="105" customFormat="false" ht="15" hidden="false" customHeight="false" outlineLevel="0" collapsed="false">
      <c r="B105" s="0" t="s">
        <v>104</v>
      </c>
      <c r="C105" s="0" t="s">
        <v>78</v>
      </c>
      <c r="D105" s="0" t="n">
        <f aca="false">SUMIFS(Orders!$L$2:$L$2864,Orders!$C$2:$C$2864,$C$3,Orders!$D$2:$D$2864,IF($C$4=0,"&gt;0",$C$4),Orders!$E$2:$E$2864,B105)</f>
        <v>734</v>
      </c>
      <c r="E105" s="0" t="n">
        <f aca="false">COUNTIFS(Orders!$C$2:$C$2864,$C$3,Orders!$D$2:$D$2864,IF($C$4=0,"&gt;0",$C$4),Orders!$E$2:$E$2864,B105)</f>
        <v>8</v>
      </c>
      <c r="F105" s="0" t="n">
        <f aca="false">D105+ROW()/100000</f>
        <v>734.00105</v>
      </c>
      <c r="G105" s="0" t="n">
        <f aca="false">RANK(F105,$F$61:$F$580)</f>
        <v>45</v>
      </c>
    </row>
    <row r="106" customFormat="false" ht="15" hidden="false" customHeight="false" outlineLevel="0" collapsed="false">
      <c r="B106" s="0" t="s">
        <v>152</v>
      </c>
      <c r="C106" s="0" t="s">
        <v>72</v>
      </c>
      <c r="D106" s="0" t="n">
        <f aca="false">SUMIFS(Orders!$L$2:$L$2864,Orders!$C$2:$C$2864,$C$3,Orders!$D$2:$D$2864,IF($C$4=0,"&gt;0",$C$4),Orders!$E$2:$E$2864,B106)</f>
        <v>699</v>
      </c>
      <c r="E106" s="0" t="n">
        <f aca="false">COUNTIFS(Orders!$C$2:$C$2864,$C$3,Orders!$D$2:$D$2864,IF($C$4=0,"&gt;0",$C$4),Orders!$E$2:$E$2864,B106)</f>
        <v>10</v>
      </c>
      <c r="F106" s="0" t="n">
        <f aca="false">D106+ROW()/100000</f>
        <v>699.00106</v>
      </c>
      <c r="G106" s="0" t="n">
        <f aca="false">RANK(F106,$F$61:$F$580)</f>
        <v>51</v>
      </c>
    </row>
    <row r="107" customFormat="false" ht="15" hidden="false" customHeight="false" outlineLevel="0" collapsed="false">
      <c r="B107" s="0" t="s">
        <v>1014</v>
      </c>
      <c r="C107" s="0" t="s">
        <v>69</v>
      </c>
      <c r="D107" s="0" t="n">
        <f aca="false">SUMIFS(Orders!$L$2:$L$2864,Orders!$C$2:$C$2864,$C$3,Orders!$D$2:$D$2864,IF($C$4=0,"&gt;0",$C$4),Orders!$E$2:$E$2864,B107)</f>
        <v>863</v>
      </c>
      <c r="E107" s="0" t="n">
        <f aca="false">COUNTIFS(Orders!$C$2:$C$2864,$C$3,Orders!$D$2:$D$2864,IF($C$4=0,"&gt;0",$C$4),Orders!$E$2:$E$2864,B107)</f>
        <v>12</v>
      </c>
      <c r="F107" s="0" t="n">
        <f aca="false">D107+ROW()/100000</f>
        <v>863.00107</v>
      </c>
      <c r="G107" s="0" t="n">
        <f aca="false">RANK(F107,$F$61:$F$580)</f>
        <v>25</v>
      </c>
    </row>
    <row r="108" customFormat="false" ht="15" hidden="false" customHeight="false" outlineLevel="0" collapsed="false">
      <c r="B108" s="0" t="s">
        <v>399</v>
      </c>
      <c r="C108" s="0" t="s">
        <v>69</v>
      </c>
      <c r="D108" s="0" t="n">
        <f aca="false">SUMIFS(Orders!$L$2:$L$2864,Orders!$C$2:$C$2864,$C$3,Orders!$D$2:$D$2864,IF($C$4=0,"&gt;0",$C$4),Orders!$E$2:$E$2864,B108)</f>
        <v>203</v>
      </c>
      <c r="E108" s="0" t="n">
        <f aca="false">COUNTIFS(Orders!$C$2:$C$2864,$C$3,Orders!$D$2:$D$2864,IF($C$4=0,"&gt;0",$C$4),Orders!$E$2:$E$2864,B108)</f>
        <v>2</v>
      </c>
      <c r="F108" s="0" t="n">
        <f aca="false">D108+ROW()/100000</f>
        <v>203.00108</v>
      </c>
      <c r="G108" s="0" t="n">
        <f aca="false">RANK(F108,$F$61:$F$580)</f>
        <v>254</v>
      </c>
    </row>
    <row r="109" customFormat="false" ht="15" hidden="false" customHeight="false" outlineLevel="0" collapsed="false">
      <c r="B109" s="0" t="s">
        <v>361</v>
      </c>
      <c r="C109" s="0" t="s">
        <v>69</v>
      </c>
      <c r="D109" s="0" t="n">
        <f aca="false">SUMIFS(Orders!$L$2:$L$2864,Orders!$C$2:$C$2864,$C$3,Orders!$D$2:$D$2864,IF($C$4=0,"&gt;0",$C$4),Orders!$E$2:$E$2864,B109)</f>
        <v>1193</v>
      </c>
      <c r="E109" s="0" t="n">
        <f aca="false">COUNTIFS(Orders!$C$2:$C$2864,$C$3,Orders!$D$2:$D$2864,IF($C$4=0,"&gt;0",$C$4),Orders!$E$2:$E$2864,B109)</f>
        <v>12</v>
      </c>
      <c r="F109" s="0" t="n">
        <f aca="false">D109+ROW()/100000</f>
        <v>1193.00109</v>
      </c>
      <c r="G109" s="0" t="n">
        <f aca="false">RANK(F109,$F$61:$F$580)</f>
        <v>7</v>
      </c>
    </row>
    <row r="110" customFormat="false" ht="15" hidden="false" customHeight="false" outlineLevel="0" collapsed="false">
      <c r="B110" s="0" t="s">
        <v>219</v>
      </c>
      <c r="C110" s="0" t="s">
        <v>78</v>
      </c>
      <c r="D110" s="0" t="n">
        <f aca="false">SUMIFS(Orders!$L$2:$L$2864,Orders!$C$2:$C$2864,$C$3,Orders!$D$2:$D$2864,IF($C$4=0,"&gt;0",$C$4),Orders!$E$2:$E$2864,B110)</f>
        <v>791</v>
      </c>
      <c r="E110" s="0" t="n">
        <f aca="false">COUNTIFS(Orders!$C$2:$C$2864,$C$3,Orders!$D$2:$D$2864,IF($C$4=0,"&gt;0",$C$4),Orders!$E$2:$E$2864,B110)</f>
        <v>6</v>
      </c>
      <c r="F110" s="0" t="n">
        <f aca="false">D110+ROW()/100000</f>
        <v>791.0011</v>
      </c>
      <c r="G110" s="0" t="n">
        <f aca="false">RANK(F110,$F$61:$F$580)</f>
        <v>34</v>
      </c>
    </row>
    <row r="111" customFormat="false" ht="15" hidden="false" customHeight="false" outlineLevel="0" collapsed="false">
      <c r="B111" s="0" t="s">
        <v>307</v>
      </c>
      <c r="C111" s="0" t="s">
        <v>69</v>
      </c>
      <c r="D111" s="0" t="n">
        <f aca="false">SUMIFS(Orders!$L$2:$L$2864,Orders!$C$2:$C$2864,$C$3,Orders!$D$2:$D$2864,IF($C$4=0,"&gt;0",$C$4),Orders!$E$2:$E$2864,B111)</f>
        <v>668</v>
      </c>
      <c r="E111" s="0" t="n">
        <f aca="false">COUNTIFS(Orders!$C$2:$C$2864,$C$3,Orders!$D$2:$D$2864,IF($C$4=0,"&gt;0",$C$4),Orders!$E$2:$E$2864,B111)</f>
        <v>5</v>
      </c>
      <c r="F111" s="0" t="n">
        <f aca="false">D111+ROW()/100000</f>
        <v>668.00111</v>
      </c>
      <c r="G111" s="0" t="n">
        <f aca="false">RANK(F111,$F$61:$F$580)</f>
        <v>57</v>
      </c>
    </row>
    <row r="112" customFormat="false" ht="15" hidden="false" customHeight="false" outlineLevel="0" collapsed="false">
      <c r="B112" s="0" t="s">
        <v>183</v>
      </c>
      <c r="C112" s="0" t="s">
        <v>72</v>
      </c>
      <c r="D112" s="0" t="n">
        <f aca="false">SUMIFS(Orders!$L$2:$L$2864,Orders!$C$2:$C$2864,$C$3,Orders!$D$2:$D$2864,IF($C$4=0,"&gt;0",$C$4),Orders!$E$2:$E$2864,B112)</f>
        <v>638</v>
      </c>
      <c r="E112" s="0" t="n">
        <f aca="false">COUNTIFS(Orders!$C$2:$C$2864,$C$3,Orders!$D$2:$D$2864,IF($C$4=0,"&gt;0",$C$4),Orders!$E$2:$E$2864,B112)</f>
        <v>5</v>
      </c>
      <c r="F112" s="0" t="n">
        <f aca="false">D112+ROW()/100000</f>
        <v>638.00112</v>
      </c>
      <c r="G112" s="0" t="n">
        <f aca="false">RANK(F112,$F$61:$F$580)</f>
        <v>65</v>
      </c>
    </row>
    <row r="113" customFormat="false" ht="15" hidden="false" customHeight="false" outlineLevel="0" collapsed="false">
      <c r="B113" s="0" t="s">
        <v>275</v>
      </c>
      <c r="C113" s="0" t="s">
        <v>75</v>
      </c>
      <c r="D113" s="0" t="n">
        <f aca="false">SUMIFS(Orders!$L$2:$L$2864,Orders!$C$2:$C$2864,$C$3,Orders!$D$2:$D$2864,IF($C$4=0,"&gt;0",$C$4),Orders!$E$2:$E$2864,B113)</f>
        <v>2070</v>
      </c>
      <c r="E113" s="0" t="n">
        <f aca="false">COUNTIFS(Orders!$C$2:$C$2864,$C$3,Orders!$D$2:$D$2864,IF($C$4=0,"&gt;0",$C$4),Orders!$E$2:$E$2864,B113)</f>
        <v>18</v>
      </c>
      <c r="F113" s="0" t="n">
        <f aca="false">D113+ROW()/100000</f>
        <v>2070.00113</v>
      </c>
      <c r="G113" s="0" t="n">
        <f aca="false">RANK(F113,$F$61:$F$580)</f>
        <v>1</v>
      </c>
    </row>
    <row r="114" customFormat="false" ht="15" hidden="false" customHeight="false" outlineLevel="0" collapsed="false">
      <c r="B114" s="0" t="s">
        <v>206</v>
      </c>
      <c r="C114" s="0" t="s">
        <v>78</v>
      </c>
      <c r="D114" s="0" t="n">
        <f aca="false">SUMIFS(Orders!$L$2:$L$2864,Orders!$C$2:$C$2864,$C$3,Orders!$D$2:$D$2864,IF($C$4=0,"&gt;0",$C$4),Orders!$E$2:$E$2864,B114)</f>
        <v>707</v>
      </c>
      <c r="E114" s="0" t="n">
        <f aca="false">COUNTIFS(Orders!$C$2:$C$2864,$C$3,Orders!$D$2:$D$2864,IF($C$4=0,"&gt;0",$C$4),Orders!$E$2:$E$2864,B114)</f>
        <v>7</v>
      </c>
      <c r="F114" s="0" t="n">
        <f aca="false">D114+ROW()/100000</f>
        <v>707.00114</v>
      </c>
      <c r="G114" s="0" t="n">
        <f aca="false">RANK(F114,$F$61:$F$580)</f>
        <v>50</v>
      </c>
    </row>
    <row r="115" customFormat="false" ht="15" hidden="false" customHeight="false" outlineLevel="0" collapsed="false">
      <c r="B115" s="0" t="s">
        <v>525</v>
      </c>
      <c r="C115" s="0" t="s">
        <v>78</v>
      </c>
      <c r="D115" s="0" t="n">
        <f aca="false">SUMIFS(Orders!$L$2:$L$2864,Orders!$C$2:$C$2864,$C$3,Orders!$D$2:$D$2864,IF($C$4=0,"&gt;0",$C$4),Orders!$E$2:$E$2864,B115)</f>
        <v>260</v>
      </c>
      <c r="E115" s="0" t="n">
        <f aca="false">COUNTIFS(Orders!$C$2:$C$2864,$C$3,Orders!$D$2:$D$2864,IF($C$4=0,"&gt;0",$C$4),Orders!$E$2:$E$2864,B115)</f>
        <v>3</v>
      </c>
      <c r="F115" s="0" t="n">
        <f aca="false">D115+ROW()/100000</f>
        <v>260.00115</v>
      </c>
      <c r="G115" s="0" t="n">
        <f aca="false">RANK(F115,$F$61:$F$580)</f>
        <v>199</v>
      </c>
    </row>
    <row r="116" customFormat="false" ht="15" hidden="false" customHeight="false" outlineLevel="0" collapsed="false">
      <c r="B116" s="0" t="s">
        <v>836</v>
      </c>
      <c r="C116" s="0" t="s">
        <v>69</v>
      </c>
      <c r="D116" s="0" t="n">
        <f aca="false">SUMIFS(Orders!$L$2:$L$2864,Orders!$C$2:$C$2864,$C$3,Orders!$D$2:$D$2864,IF($C$4=0,"&gt;0",$C$4),Orders!$E$2:$E$2864,B116)</f>
        <v>441</v>
      </c>
      <c r="E116" s="0" t="n">
        <f aca="false">COUNTIFS(Orders!$C$2:$C$2864,$C$3,Orders!$D$2:$D$2864,IF($C$4=0,"&gt;0",$C$4),Orders!$E$2:$E$2864,B116)</f>
        <v>6</v>
      </c>
      <c r="F116" s="0" t="n">
        <f aca="false">D116+ROW()/100000</f>
        <v>441.00116</v>
      </c>
      <c r="G116" s="0" t="n">
        <f aca="false">RANK(F116,$F$61:$F$580)</f>
        <v>118</v>
      </c>
    </row>
    <row r="117" customFormat="false" ht="15" hidden="false" customHeight="false" outlineLevel="0" collapsed="false">
      <c r="B117" s="0" t="s">
        <v>580</v>
      </c>
      <c r="C117" s="0" t="s">
        <v>75</v>
      </c>
      <c r="D117" s="0" t="n">
        <f aca="false">SUMIFS(Orders!$L$2:$L$2864,Orders!$C$2:$C$2864,$C$3,Orders!$D$2:$D$2864,IF($C$4=0,"&gt;0",$C$4),Orders!$E$2:$E$2864,B117)</f>
        <v>783</v>
      </c>
      <c r="E117" s="0" t="n">
        <f aca="false">COUNTIFS(Orders!$C$2:$C$2864,$C$3,Orders!$D$2:$D$2864,IF($C$4=0,"&gt;0",$C$4),Orders!$E$2:$E$2864,B117)</f>
        <v>8</v>
      </c>
      <c r="F117" s="0" t="n">
        <f aca="false">D117+ROW()/100000</f>
        <v>783.00117</v>
      </c>
      <c r="G117" s="0" t="n">
        <f aca="false">RANK(F117,$F$61:$F$580)</f>
        <v>35</v>
      </c>
    </row>
    <row r="118" customFormat="false" ht="15" hidden="false" customHeight="false" outlineLevel="0" collapsed="false">
      <c r="B118" s="0" t="s">
        <v>323</v>
      </c>
      <c r="C118" s="0" t="s">
        <v>75</v>
      </c>
      <c r="D118" s="0" t="n">
        <f aca="false">SUMIFS(Orders!$L$2:$L$2864,Orders!$C$2:$C$2864,$C$3,Orders!$D$2:$D$2864,IF($C$4=0,"&gt;0",$C$4),Orders!$E$2:$E$2864,B118)</f>
        <v>913</v>
      </c>
      <c r="E118" s="0" t="n">
        <f aca="false">COUNTIFS(Orders!$C$2:$C$2864,$C$3,Orders!$D$2:$D$2864,IF($C$4=0,"&gt;0",$C$4),Orders!$E$2:$E$2864,B118)</f>
        <v>9</v>
      </c>
      <c r="F118" s="0" t="n">
        <f aca="false">D118+ROW()/100000</f>
        <v>913.00118</v>
      </c>
      <c r="G118" s="0" t="n">
        <f aca="false">RANK(F118,$F$61:$F$580)</f>
        <v>22</v>
      </c>
    </row>
    <row r="119" customFormat="false" ht="15" hidden="false" customHeight="false" outlineLevel="0" collapsed="false">
      <c r="B119" s="0" t="s">
        <v>510</v>
      </c>
      <c r="C119" s="0" t="s">
        <v>78</v>
      </c>
      <c r="D119" s="0" t="n">
        <f aca="false">SUMIFS(Orders!$L$2:$L$2864,Orders!$C$2:$C$2864,$C$3,Orders!$D$2:$D$2864,IF($C$4=0,"&gt;0",$C$4),Orders!$E$2:$E$2864,B119)</f>
        <v>813</v>
      </c>
      <c r="E119" s="0" t="n">
        <f aca="false">COUNTIFS(Orders!$C$2:$C$2864,$C$3,Orders!$D$2:$D$2864,IF($C$4=0,"&gt;0",$C$4),Orders!$E$2:$E$2864,B119)</f>
        <v>9</v>
      </c>
      <c r="F119" s="0" t="n">
        <f aca="false">D119+ROW()/100000</f>
        <v>813.00119</v>
      </c>
      <c r="G119" s="0" t="n">
        <f aca="false">RANK(F119,$F$61:$F$580)</f>
        <v>31</v>
      </c>
    </row>
    <row r="120" customFormat="false" ht="15" hidden="false" customHeight="false" outlineLevel="0" collapsed="false">
      <c r="B120" s="0" t="s">
        <v>409</v>
      </c>
      <c r="C120" s="0" t="s">
        <v>75</v>
      </c>
      <c r="D120" s="0" t="n">
        <f aca="false">SUMIFS(Orders!$L$2:$L$2864,Orders!$C$2:$C$2864,$C$3,Orders!$D$2:$D$2864,IF($C$4=0,"&gt;0",$C$4),Orders!$E$2:$E$2864,B120)</f>
        <v>519</v>
      </c>
      <c r="E120" s="0" t="n">
        <f aca="false">COUNTIFS(Orders!$C$2:$C$2864,$C$3,Orders!$D$2:$D$2864,IF($C$4=0,"&gt;0",$C$4),Orders!$E$2:$E$2864,B120)</f>
        <v>8</v>
      </c>
      <c r="F120" s="0" t="n">
        <f aca="false">D120+ROW()/100000</f>
        <v>519.0012</v>
      </c>
      <c r="G120" s="0" t="n">
        <f aca="false">RANK(F120,$F$61:$F$580)</f>
        <v>97</v>
      </c>
    </row>
    <row r="121" customFormat="false" ht="15" hidden="false" customHeight="false" outlineLevel="0" collapsed="false">
      <c r="B121" s="0" t="s">
        <v>725</v>
      </c>
      <c r="C121" s="0" t="s">
        <v>69</v>
      </c>
      <c r="D121" s="0" t="n">
        <f aca="false">SUMIFS(Orders!$L$2:$L$2864,Orders!$C$2:$C$2864,$C$3,Orders!$D$2:$D$2864,IF($C$4=0,"&gt;0",$C$4),Orders!$E$2:$E$2864,B121)</f>
        <v>832</v>
      </c>
      <c r="E121" s="0" t="n">
        <f aca="false">COUNTIFS(Orders!$C$2:$C$2864,$C$3,Orders!$D$2:$D$2864,IF($C$4=0,"&gt;0",$C$4),Orders!$E$2:$E$2864,B121)</f>
        <v>5</v>
      </c>
      <c r="F121" s="0" t="n">
        <f aca="false">D121+ROW()/100000</f>
        <v>832.00121</v>
      </c>
      <c r="G121" s="0" t="n">
        <f aca="false">RANK(F121,$F$61:$F$580)</f>
        <v>27</v>
      </c>
    </row>
    <row r="122" customFormat="false" ht="15" hidden="false" customHeight="false" outlineLevel="0" collapsed="false">
      <c r="B122" s="0" t="s">
        <v>238</v>
      </c>
      <c r="C122" s="0" t="s">
        <v>78</v>
      </c>
      <c r="D122" s="0" t="n">
        <f aca="false">SUMIFS(Orders!$L$2:$L$2864,Orders!$C$2:$C$2864,$C$3,Orders!$D$2:$D$2864,IF($C$4=0,"&gt;0",$C$4),Orders!$E$2:$E$2864,B122)</f>
        <v>747</v>
      </c>
      <c r="E122" s="0" t="n">
        <f aca="false">COUNTIFS(Orders!$C$2:$C$2864,$C$3,Orders!$D$2:$D$2864,IF($C$4=0,"&gt;0",$C$4),Orders!$E$2:$E$2864,B122)</f>
        <v>6</v>
      </c>
      <c r="F122" s="0" t="n">
        <f aca="false">D122+ROW()/100000</f>
        <v>747.00122</v>
      </c>
      <c r="G122" s="0" t="n">
        <f aca="false">RANK(F122,$F$61:$F$580)</f>
        <v>43</v>
      </c>
    </row>
    <row r="123" customFormat="false" ht="15" hidden="false" customHeight="false" outlineLevel="0" collapsed="false">
      <c r="B123" s="0" t="s">
        <v>382</v>
      </c>
      <c r="C123" s="0" t="s">
        <v>69</v>
      </c>
      <c r="D123" s="0" t="n">
        <f aca="false">SUMIFS(Orders!$L$2:$L$2864,Orders!$C$2:$C$2864,$C$3,Orders!$D$2:$D$2864,IF($C$4=0,"&gt;0",$C$4),Orders!$E$2:$E$2864,B123)</f>
        <v>401</v>
      </c>
      <c r="E123" s="0" t="n">
        <f aca="false">COUNTIFS(Orders!$C$2:$C$2864,$C$3,Orders!$D$2:$D$2864,IF($C$4=0,"&gt;0",$C$4),Orders!$E$2:$E$2864,B123)</f>
        <v>5</v>
      </c>
      <c r="F123" s="0" t="n">
        <f aca="false">D123+ROW()/100000</f>
        <v>401.00123</v>
      </c>
      <c r="G123" s="0" t="n">
        <f aca="false">RANK(F123,$F$61:$F$580)</f>
        <v>132</v>
      </c>
    </row>
    <row r="124" customFormat="false" ht="15" hidden="false" customHeight="false" outlineLevel="0" collapsed="false">
      <c r="B124" s="0" t="s">
        <v>355</v>
      </c>
      <c r="C124" s="0" t="s">
        <v>78</v>
      </c>
      <c r="D124" s="0" t="n">
        <f aca="false">SUMIFS(Orders!$L$2:$L$2864,Orders!$C$2:$C$2864,$C$3,Orders!$D$2:$D$2864,IF($C$4=0,"&gt;0",$C$4),Orders!$E$2:$E$2864,B124)</f>
        <v>310</v>
      </c>
      <c r="E124" s="0" t="n">
        <f aca="false">COUNTIFS(Orders!$C$2:$C$2864,$C$3,Orders!$D$2:$D$2864,IF($C$4=0,"&gt;0",$C$4),Orders!$E$2:$E$2864,B124)</f>
        <v>6</v>
      </c>
      <c r="F124" s="0" t="n">
        <f aca="false">D124+ROW()/100000</f>
        <v>310.00124</v>
      </c>
      <c r="G124" s="0" t="n">
        <f aca="false">RANK(F124,$F$61:$F$580)</f>
        <v>162</v>
      </c>
    </row>
    <row r="125" customFormat="false" ht="15" hidden="false" customHeight="false" outlineLevel="0" collapsed="false">
      <c r="B125" s="0" t="s">
        <v>687</v>
      </c>
      <c r="C125" s="0" t="s">
        <v>75</v>
      </c>
      <c r="D125" s="0" t="n">
        <f aca="false">SUMIFS(Orders!$L$2:$L$2864,Orders!$C$2:$C$2864,$C$3,Orders!$D$2:$D$2864,IF($C$4=0,"&gt;0",$C$4),Orders!$E$2:$E$2864,B125)</f>
        <v>820</v>
      </c>
      <c r="E125" s="0" t="n">
        <f aca="false">COUNTIFS(Orders!$C$2:$C$2864,$C$3,Orders!$D$2:$D$2864,IF($C$4=0,"&gt;0",$C$4),Orders!$E$2:$E$2864,B125)</f>
        <v>7</v>
      </c>
      <c r="F125" s="0" t="n">
        <f aca="false">D125+ROW()/100000</f>
        <v>820.00125</v>
      </c>
      <c r="G125" s="0" t="n">
        <f aca="false">RANK(F125,$F$61:$F$580)</f>
        <v>29</v>
      </c>
    </row>
    <row r="126" customFormat="false" ht="15" hidden="false" customHeight="false" outlineLevel="0" collapsed="false">
      <c r="B126" s="0" t="s">
        <v>424</v>
      </c>
      <c r="C126" s="0" t="s">
        <v>78</v>
      </c>
      <c r="D126" s="0" t="n">
        <f aca="false">SUMIFS(Orders!$L$2:$L$2864,Orders!$C$2:$C$2864,$C$3,Orders!$D$2:$D$2864,IF($C$4=0,"&gt;0",$C$4),Orders!$E$2:$E$2864,B126)</f>
        <v>728</v>
      </c>
      <c r="E126" s="0" t="n">
        <f aca="false">COUNTIFS(Orders!$C$2:$C$2864,$C$3,Orders!$D$2:$D$2864,IF($C$4=0,"&gt;0",$C$4),Orders!$E$2:$E$2864,B126)</f>
        <v>8</v>
      </c>
      <c r="F126" s="0" t="n">
        <f aca="false">D126+ROW()/100000</f>
        <v>728.00126</v>
      </c>
      <c r="G126" s="0" t="n">
        <f aca="false">RANK(F126,$F$61:$F$580)</f>
        <v>46</v>
      </c>
    </row>
    <row r="127" customFormat="false" ht="15" hidden="false" customHeight="false" outlineLevel="0" collapsed="false">
      <c r="B127" s="0" t="s">
        <v>133</v>
      </c>
      <c r="C127" s="0" t="s">
        <v>72</v>
      </c>
      <c r="D127" s="0" t="n">
        <f aca="false">SUMIFS(Orders!$L$2:$L$2864,Orders!$C$2:$C$2864,$C$3,Orders!$D$2:$D$2864,IF($C$4=0,"&gt;0",$C$4),Orders!$E$2:$E$2864,B127)</f>
        <v>207</v>
      </c>
      <c r="E127" s="0" t="n">
        <f aca="false">COUNTIFS(Orders!$C$2:$C$2864,$C$3,Orders!$D$2:$D$2864,IF($C$4=0,"&gt;0",$C$4),Orders!$E$2:$E$2864,B127)</f>
        <v>2</v>
      </c>
      <c r="F127" s="0" t="n">
        <f aca="false">D127+ROW()/100000</f>
        <v>207.00127</v>
      </c>
      <c r="G127" s="0" t="n">
        <f aca="false">RANK(F127,$F$61:$F$580)</f>
        <v>250</v>
      </c>
    </row>
    <row r="128" customFormat="false" ht="15" hidden="false" customHeight="false" outlineLevel="0" collapsed="false">
      <c r="B128" s="0" t="s">
        <v>265</v>
      </c>
      <c r="C128" s="0" t="s">
        <v>78</v>
      </c>
      <c r="D128" s="0" t="n">
        <f aca="false">SUMIFS(Orders!$L$2:$L$2864,Orders!$C$2:$C$2864,$C$3,Orders!$D$2:$D$2864,IF($C$4=0,"&gt;0",$C$4),Orders!$E$2:$E$2864,B128)</f>
        <v>1301</v>
      </c>
      <c r="E128" s="0" t="n">
        <f aca="false">COUNTIFS(Orders!$C$2:$C$2864,$C$3,Orders!$D$2:$D$2864,IF($C$4=0,"&gt;0",$C$4),Orders!$E$2:$E$2864,B128)</f>
        <v>11</v>
      </c>
      <c r="F128" s="0" t="n">
        <f aca="false">D128+ROW()/100000</f>
        <v>1301.00128</v>
      </c>
      <c r="G128" s="0" t="n">
        <f aca="false">RANK(F128,$F$61:$F$580)</f>
        <v>5</v>
      </c>
    </row>
    <row r="129" customFormat="false" ht="15" hidden="false" customHeight="false" outlineLevel="0" collapsed="false">
      <c r="B129" s="0" t="s">
        <v>292</v>
      </c>
      <c r="C129" s="0" t="s">
        <v>72</v>
      </c>
      <c r="D129" s="0" t="n">
        <f aca="false">SUMIFS(Orders!$L$2:$L$2864,Orders!$C$2:$C$2864,$C$3,Orders!$D$2:$D$2864,IF($C$4=0,"&gt;0",$C$4),Orders!$E$2:$E$2864,B129)</f>
        <v>442</v>
      </c>
      <c r="E129" s="0" t="n">
        <f aca="false">COUNTIFS(Orders!$C$2:$C$2864,$C$3,Orders!$D$2:$D$2864,IF($C$4=0,"&gt;0",$C$4),Orders!$E$2:$E$2864,B129)</f>
        <v>6</v>
      </c>
      <c r="F129" s="0" t="n">
        <f aca="false">D129+ROW()/100000</f>
        <v>442.00129</v>
      </c>
      <c r="G129" s="0" t="n">
        <f aca="false">RANK(F129,$F$61:$F$580)</f>
        <v>117</v>
      </c>
    </row>
    <row r="130" customFormat="false" ht="15" hidden="false" customHeight="false" outlineLevel="0" collapsed="false">
      <c r="B130" s="0" t="s">
        <v>558</v>
      </c>
      <c r="C130" s="0" t="s">
        <v>81</v>
      </c>
      <c r="D130" s="0" t="n">
        <f aca="false">SUMIFS(Orders!$L$2:$L$2864,Orders!$C$2:$C$2864,$C$3,Orders!$D$2:$D$2864,IF($C$4=0,"&gt;0",$C$4),Orders!$E$2:$E$2864,B130)</f>
        <v>290</v>
      </c>
      <c r="E130" s="0" t="n">
        <f aca="false">COUNTIFS(Orders!$C$2:$C$2864,$C$3,Orders!$D$2:$D$2864,IF($C$4=0,"&gt;0",$C$4),Orders!$E$2:$E$2864,B130)</f>
        <v>4</v>
      </c>
      <c r="F130" s="0" t="n">
        <f aca="false">D130+ROW()/100000</f>
        <v>290.0013</v>
      </c>
      <c r="G130" s="0" t="n">
        <f aca="false">RANK(F130,$F$61:$F$580)</f>
        <v>177</v>
      </c>
    </row>
    <row r="131" customFormat="false" ht="15" hidden="false" customHeight="false" outlineLevel="0" collapsed="false">
      <c r="B131" s="0" t="s">
        <v>248</v>
      </c>
      <c r="C131" s="0" t="s">
        <v>81</v>
      </c>
      <c r="D131" s="0" t="n">
        <f aca="false">SUMIFS(Orders!$L$2:$L$2864,Orders!$C$2:$C$2864,$C$3,Orders!$D$2:$D$2864,IF($C$4=0,"&gt;0",$C$4),Orders!$E$2:$E$2864,B131)</f>
        <v>205</v>
      </c>
      <c r="E131" s="0" t="n">
        <f aca="false">COUNTIFS(Orders!$C$2:$C$2864,$C$3,Orders!$D$2:$D$2864,IF($C$4=0,"&gt;0",$C$4),Orders!$E$2:$E$2864,B131)</f>
        <v>3</v>
      </c>
      <c r="F131" s="0" t="n">
        <f aca="false">D131+ROW()/100000</f>
        <v>205.00131</v>
      </c>
      <c r="G131" s="0" t="n">
        <f aca="false">RANK(F131,$F$61:$F$580)</f>
        <v>253</v>
      </c>
    </row>
    <row r="132" customFormat="false" ht="15" hidden="false" customHeight="false" outlineLevel="0" collapsed="false">
      <c r="B132" s="0" t="s">
        <v>363</v>
      </c>
      <c r="C132" s="0" t="s">
        <v>81</v>
      </c>
      <c r="D132" s="0" t="n">
        <f aca="false">SUMIFS(Orders!$L$2:$L$2864,Orders!$C$2:$C$2864,$C$3,Orders!$D$2:$D$2864,IF($C$4=0,"&gt;0",$C$4),Orders!$E$2:$E$2864,B132)</f>
        <v>200</v>
      </c>
      <c r="E132" s="0" t="n">
        <f aca="false">COUNTIFS(Orders!$C$2:$C$2864,$C$3,Orders!$D$2:$D$2864,IF($C$4=0,"&gt;0",$C$4),Orders!$E$2:$E$2864,B132)</f>
        <v>3</v>
      </c>
      <c r="F132" s="0" t="n">
        <f aca="false">D132+ROW()/100000</f>
        <v>200.00132</v>
      </c>
      <c r="G132" s="0" t="n">
        <f aca="false">RANK(F132,$F$61:$F$580)</f>
        <v>257</v>
      </c>
    </row>
    <row r="133" customFormat="false" ht="15" hidden="false" customHeight="false" outlineLevel="0" collapsed="false">
      <c r="B133" s="0" t="s">
        <v>193</v>
      </c>
      <c r="C133" s="0" t="s">
        <v>78</v>
      </c>
      <c r="D133" s="0" t="n">
        <f aca="false">SUMIFS(Orders!$L$2:$L$2864,Orders!$C$2:$C$2864,$C$3,Orders!$D$2:$D$2864,IF($C$4=0,"&gt;0",$C$4),Orders!$E$2:$E$2864,B133)</f>
        <v>464</v>
      </c>
      <c r="E133" s="0" t="n">
        <f aca="false">COUNTIFS(Orders!$C$2:$C$2864,$C$3,Orders!$D$2:$D$2864,IF($C$4=0,"&gt;0",$C$4),Orders!$E$2:$E$2864,B133)</f>
        <v>6</v>
      </c>
      <c r="F133" s="0" t="n">
        <f aca="false">D133+ROW()/100000</f>
        <v>464.00133</v>
      </c>
      <c r="G133" s="0" t="n">
        <f aca="false">RANK(F133,$F$61:$F$580)</f>
        <v>110</v>
      </c>
    </row>
    <row r="134" customFormat="false" ht="15" hidden="false" customHeight="false" outlineLevel="0" collapsed="false">
      <c r="B134" s="0" t="s">
        <v>235</v>
      </c>
      <c r="C134" s="0" t="s">
        <v>69</v>
      </c>
      <c r="D134" s="0" t="n">
        <f aca="false">SUMIFS(Orders!$L$2:$L$2864,Orders!$C$2:$C$2864,$C$3,Orders!$D$2:$D$2864,IF($C$4=0,"&gt;0",$C$4),Orders!$E$2:$E$2864,B134)</f>
        <v>573</v>
      </c>
      <c r="E134" s="0" t="n">
        <f aca="false">COUNTIFS(Orders!$C$2:$C$2864,$C$3,Orders!$D$2:$D$2864,IF($C$4=0,"&gt;0",$C$4),Orders!$E$2:$E$2864,B134)</f>
        <v>8</v>
      </c>
      <c r="F134" s="0" t="n">
        <f aca="false">D134+ROW()/100000</f>
        <v>573.00134</v>
      </c>
      <c r="G134" s="0" t="n">
        <f aca="false">RANK(F134,$F$61:$F$580)</f>
        <v>79</v>
      </c>
    </row>
    <row r="135" customFormat="false" ht="15" hidden="false" customHeight="false" outlineLevel="0" collapsed="false">
      <c r="B135" s="0" t="s">
        <v>148</v>
      </c>
      <c r="C135" s="0" t="s">
        <v>78</v>
      </c>
      <c r="D135" s="0" t="n">
        <f aca="false">SUMIFS(Orders!$L$2:$L$2864,Orders!$C$2:$C$2864,$C$3,Orders!$D$2:$D$2864,IF($C$4=0,"&gt;0",$C$4),Orders!$E$2:$E$2864,B135)</f>
        <v>178</v>
      </c>
      <c r="E135" s="0" t="n">
        <f aca="false">COUNTIFS(Orders!$C$2:$C$2864,$C$3,Orders!$D$2:$D$2864,IF($C$4=0,"&gt;0",$C$4),Orders!$E$2:$E$2864,B135)</f>
        <v>3</v>
      </c>
      <c r="F135" s="0" t="n">
        <f aca="false">D135+ROW()/100000</f>
        <v>178.00135</v>
      </c>
      <c r="G135" s="0" t="n">
        <f aca="false">RANK(F135,$F$61:$F$580)</f>
        <v>283</v>
      </c>
    </row>
    <row r="136" customFormat="false" ht="15" hidden="false" customHeight="false" outlineLevel="0" collapsed="false">
      <c r="B136" s="0" t="s">
        <v>512</v>
      </c>
      <c r="C136" s="0" t="s">
        <v>75</v>
      </c>
      <c r="D136" s="0" t="n">
        <f aca="false">SUMIFS(Orders!$L$2:$L$2864,Orders!$C$2:$C$2864,$C$3,Orders!$D$2:$D$2864,IF($C$4=0,"&gt;0",$C$4),Orders!$E$2:$E$2864,B136)</f>
        <v>642</v>
      </c>
      <c r="E136" s="0" t="n">
        <f aca="false">COUNTIFS(Orders!$C$2:$C$2864,$C$3,Orders!$D$2:$D$2864,IF($C$4=0,"&gt;0",$C$4),Orders!$E$2:$E$2864,B136)</f>
        <v>5</v>
      </c>
      <c r="F136" s="0" t="n">
        <f aca="false">D136+ROW()/100000</f>
        <v>642.00136</v>
      </c>
      <c r="G136" s="0" t="n">
        <f aca="false">RANK(F136,$F$61:$F$580)</f>
        <v>62</v>
      </c>
    </row>
    <row r="137" customFormat="false" ht="15" hidden="false" customHeight="false" outlineLevel="0" collapsed="false">
      <c r="B137" s="0" t="s">
        <v>446</v>
      </c>
      <c r="C137" s="0" t="s">
        <v>75</v>
      </c>
      <c r="D137" s="0" t="n">
        <f aca="false">SUMIFS(Orders!$L$2:$L$2864,Orders!$C$2:$C$2864,$C$3,Orders!$D$2:$D$2864,IF($C$4=0,"&gt;0",$C$4),Orders!$E$2:$E$2864,B137)</f>
        <v>711</v>
      </c>
      <c r="E137" s="0" t="n">
        <f aca="false">COUNTIFS(Orders!$C$2:$C$2864,$C$3,Orders!$D$2:$D$2864,IF($C$4=0,"&gt;0",$C$4),Orders!$E$2:$E$2864,B137)</f>
        <v>8</v>
      </c>
      <c r="F137" s="0" t="n">
        <f aca="false">D137+ROW()/100000</f>
        <v>711.00137</v>
      </c>
      <c r="G137" s="0" t="n">
        <f aca="false">RANK(F137,$F$61:$F$580)</f>
        <v>48</v>
      </c>
    </row>
    <row r="138" customFormat="false" ht="15" hidden="false" customHeight="false" outlineLevel="0" collapsed="false">
      <c r="B138" s="0" t="s">
        <v>231</v>
      </c>
      <c r="C138" s="0" t="s">
        <v>72</v>
      </c>
      <c r="D138" s="0" t="n">
        <f aca="false">SUMIFS(Orders!$L$2:$L$2864,Orders!$C$2:$C$2864,$C$3,Orders!$D$2:$D$2864,IF($C$4=0,"&gt;0",$C$4),Orders!$E$2:$E$2864,B138)</f>
        <v>183</v>
      </c>
      <c r="E138" s="0" t="n">
        <f aca="false">COUNTIFS(Orders!$C$2:$C$2864,$C$3,Orders!$D$2:$D$2864,IF($C$4=0,"&gt;0",$C$4),Orders!$E$2:$E$2864,B138)</f>
        <v>3</v>
      </c>
      <c r="F138" s="0" t="n">
        <f aca="false">D138+ROW()/100000</f>
        <v>183.00138</v>
      </c>
      <c r="G138" s="0" t="n">
        <f aca="false">RANK(F138,$F$61:$F$580)</f>
        <v>267</v>
      </c>
    </row>
    <row r="139" customFormat="false" ht="15" hidden="false" customHeight="false" outlineLevel="0" collapsed="false">
      <c r="B139" s="0" t="s">
        <v>380</v>
      </c>
      <c r="C139" s="0" t="s">
        <v>69</v>
      </c>
      <c r="D139" s="0" t="n">
        <f aca="false">SUMIFS(Orders!$L$2:$L$2864,Orders!$C$2:$C$2864,$C$3,Orders!$D$2:$D$2864,IF($C$4=0,"&gt;0",$C$4),Orders!$E$2:$E$2864,B139)</f>
        <v>517</v>
      </c>
      <c r="E139" s="0" t="n">
        <f aca="false">COUNTIFS(Orders!$C$2:$C$2864,$C$3,Orders!$D$2:$D$2864,IF($C$4=0,"&gt;0",$C$4),Orders!$E$2:$E$2864,B139)</f>
        <v>7</v>
      </c>
      <c r="F139" s="0" t="n">
        <f aca="false">D139+ROW()/100000</f>
        <v>517.00139</v>
      </c>
      <c r="G139" s="0" t="n">
        <f aca="false">RANK(F139,$F$61:$F$580)</f>
        <v>98</v>
      </c>
    </row>
    <row r="140" customFormat="false" ht="15" hidden="false" customHeight="false" outlineLevel="0" collapsed="false">
      <c r="B140" s="0" t="s">
        <v>261</v>
      </c>
      <c r="C140" s="0" t="s">
        <v>75</v>
      </c>
      <c r="D140" s="0" t="n">
        <f aca="false">SUMIFS(Orders!$L$2:$L$2864,Orders!$C$2:$C$2864,$C$3,Orders!$D$2:$D$2864,IF($C$4=0,"&gt;0",$C$4),Orders!$E$2:$E$2864,B140)</f>
        <v>216</v>
      </c>
      <c r="E140" s="0" t="n">
        <f aca="false">COUNTIFS(Orders!$C$2:$C$2864,$C$3,Orders!$D$2:$D$2864,IF($C$4=0,"&gt;0",$C$4),Orders!$E$2:$E$2864,B140)</f>
        <v>4</v>
      </c>
      <c r="F140" s="0" t="n">
        <f aca="false">D140+ROW()/100000</f>
        <v>216.0014</v>
      </c>
      <c r="G140" s="0" t="n">
        <f aca="false">RANK(F140,$F$61:$F$580)</f>
        <v>234</v>
      </c>
    </row>
    <row r="141" customFormat="false" ht="15" hidden="false" customHeight="false" outlineLevel="0" collapsed="false">
      <c r="B141" s="0" t="s">
        <v>114</v>
      </c>
      <c r="C141" s="0" t="s">
        <v>69</v>
      </c>
      <c r="D141" s="0" t="n">
        <f aca="false">SUMIFS(Orders!$L$2:$L$2864,Orders!$C$2:$C$2864,$C$3,Orders!$D$2:$D$2864,IF($C$4=0,"&gt;0",$C$4),Orders!$E$2:$E$2864,B141)</f>
        <v>546</v>
      </c>
      <c r="E141" s="0" t="n">
        <f aca="false">COUNTIFS(Orders!$C$2:$C$2864,$C$3,Orders!$D$2:$D$2864,IF($C$4=0,"&gt;0",$C$4),Orders!$E$2:$E$2864,B141)</f>
        <v>7</v>
      </c>
      <c r="F141" s="0" t="n">
        <f aca="false">D141+ROW()/100000</f>
        <v>546.00141</v>
      </c>
      <c r="G141" s="0" t="n">
        <f aca="false">RANK(F141,$F$61:$F$580)</f>
        <v>89</v>
      </c>
    </row>
    <row r="142" customFormat="false" ht="15" hidden="false" customHeight="false" outlineLevel="0" collapsed="false">
      <c r="B142" s="0" t="s">
        <v>309</v>
      </c>
      <c r="C142" s="0" t="s">
        <v>81</v>
      </c>
      <c r="D142" s="0" t="n">
        <f aca="false">SUMIFS(Orders!$L$2:$L$2864,Orders!$C$2:$C$2864,$C$3,Orders!$D$2:$D$2864,IF($C$4=0,"&gt;0",$C$4),Orders!$E$2:$E$2864,B142)</f>
        <v>635</v>
      </c>
      <c r="E142" s="0" t="n">
        <f aca="false">COUNTIFS(Orders!$C$2:$C$2864,$C$3,Orders!$D$2:$D$2864,IF($C$4=0,"&gt;0",$C$4),Orders!$E$2:$E$2864,B142)</f>
        <v>4</v>
      </c>
      <c r="F142" s="0" t="n">
        <f aca="false">D142+ROW()/100000</f>
        <v>635.00142</v>
      </c>
      <c r="G142" s="0" t="n">
        <f aca="false">RANK(F142,$F$61:$F$580)</f>
        <v>66</v>
      </c>
    </row>
    <row r="143" customFormat="false" ht="15" hidden="false" customHeight="false" outlineLevel="0" collapsed="false">
      <c r="B143" s="0" t="s">
        <v>1475</v>
      </c>
      <c r="C143" s="0" t="s">
        <v>78</v>
      </c>
      <c r="D143" s="0" t="n">
        <f aca="false">SUMIFS(Orders!$L$2:$L$2864,Orders!$C$2:$C$2864,$C$3,Orders!$D$2:$D$2864,IF($C$4=0,"&gt;0",$C$4),Orders!$E$2:$E$2864,B143)</f>
        <v>207</v>
      </c>
      <c r="E143" s="0" t="n">
        <f aca="false">COUNTIFS(Orders!$C$2:$C$2864,$C$3,Orders!$D$2:$D$2864,IF($C$4=0,"&gt;0",$C$4),Orders!$E$2:$E$2864,B143)</f>
        <v>3</v>
      </c>
      <c r="F143" s="0" t="n">
        <f aca="false">D143+ROW()/100000</f>
        <v>207.00143</v>
      </c>
      <c r="G143" s="0" t="n">
        <f aca="false">RANK(F143,$F$61:$F$580)</f>
        <v>249</v>
      </c>
    </row>
    <row r="144" customFormat="false" ht="15" hidden="false" customHeight="false" outlineLevel="0" collapsed="false">
      <c r="B144" s="0" t="s">
        <v>983</v>
      </c>
      <c r="C144" s="0" t="s">
        <v>72</v>
      </c>
      <c r="D144" s="0" t="n">
        <f aca="false">SUMIFS(Orders!$L$2:$L$2864,Orders!$C$2:$C$2864,$C$3,Orders!$D$2:$D$2864,IF($C$4=0,"&gt;0",$C$4),Orders!$E$2:$E$2864,B144)</f>
        <v>989</v>
      </c>
      <c r="E144" s="0" t="n">
        <f aca="false">COUNTIFS(Orders!$C$2:$C$2864,$C$3,Orders!$D$2:$D$2864,IF($C$4=0,"&gt;0",$C$4),Orders!$E$2:$E$2864,B144)</f>
        <v>10</v>
      </c>
      <c r="F144" s="0" t="n">
        <f aca="false">D144+ROW()/100000</f>
        <v>989.00144</v>
      </c>
      <c r="G144" s="0" t="n">
        <f aca="false">RANK(F144,$F$61:$F$580)</f>
        <v>16</v>
      </c>
    </row>
    <row r="145" customFormat="false" ht="15" hidden="false" customHeight="false" outlineLevel="0" collapsed="false">
      <c r="B145" s="0" t="s">
        <v>384</v>
      </c>
      <c r="C145" s="0" t="s">
        <v>72</v>
      </c>
      <c r="D145" s="0" t="n">
        <f aca="false">SUMIFS(Orders!$L$2:$L$2864,Orders!$C$2:$C$2864,$C$3,Orders!$D$2:$D$2864,IF($C$4=0,"&gt;0",$C$4),Orders!$E$2:$E$2864,B145)</f>
        <v>449</v>
      </c>
      <c r="E145" s="0" t="n">
        <f aca="false">COUNTIFS(Orders!$C$2:$C$2864,$C$3,Orders!$D$2:$D$2864,IF($C$4=0,"&gt;0",$C$4),Orders!$E$2:$E$2864,B145)</f>
        <v>5</v>
      </c>
      <c r="F145" s="0" t="n">
        <f aca="false">D145+ROW()/100000</f>
        <v>449.00145</v>
      </c>
      <c r="G145" s="0" t="n">
        <f aca="false">RANK(F145,$F$61:$F$580)</f>
        <v>114</v>
      </c>
    </row>
    <row r="146" customFormat="false" ht="15" hidden="false" customHeight="false" outlineLevel="0" collapsed="false">
      <c r="B146" s="0" t="s">
        <v>342</v>
      </c>
      <c r="C146" s="0" t="s">
        <v>78</v>
      </c>
      <c r="D146" s="0" t="n">
        <f aca="false">SUMIFS(Orders!$L$2:$L$2864,Orders!$C$2:$C$2864,$C$3,Orders!$D$2:$D$2864,IF($C$4=0,"&gt;0",$C$4),Orders!$E$2:$E$2864,B146)</f>
        <v>304</v>
      </c>
      <c r="E146" s="0" t="n">
        <f aca="false">COUNTIFS(Orders!$C$2:$C$2864,$C$3,Orders!$D$2:$D$2864,IF($C$4=0,"&gt;0",$C$4),Orders!$E$2:$E$2864,B146)</f>
        <v>4</v>
      </c>
      <c r="F146" s="0" t="n">
        <f aca="false">D146+ROW()/100000</f>
        <v>304.00146</v>
      </c>
      <c r="G146" s="0" t="n">
        <f aca="false">RANK(F146,$F$61:$F$580)</f>
        <v>167</v>
      </c>
    </row>
    <row r="147" customFormat="false" ht="15" hidden="false" customHeight="false" outlineLevel="0" collapsed="false">
      <c r="B147" s="0" t="s">
        <v>1218</v>
      </c>
      <c r="C147" s="0" t="s">
        <v>81</v>
      </c>
      <c r="D147" s="0" t="n">
        <f aca="false">SUMIFS(Orders!$L$2:$L$2864,Orders!$C$2:$C$2864,$C$3,Orders!$D$2:$D$2864,IF($C$4=0,"&gt;0",$C$4),Orders!$E$2:$E$2864,B147)</f>
        <v>485</v>
      </c>
      <c r="E147" s="0" t="n">
        <f aca="false">COUNTIFS(Orders!$C$2:$C$2864,$C$3,Orders!$D$2:$D$2864,IF($C$4=0,"&gt;0",$C$4),Orders!$E$2:$E$2864,B147)</f>
        <v>8</v>
      </c>
      <c r="F147" s="0" t="n">
        <f aca="false">D147+ROW()/100000</f>
        <v>485.00147</v>
      </c>
      <c r="G147" s="0" t="n">
        <f aca="false">RANK(F147,$F$61:$F$580)</f>
        <v>103</v>
      </c>
    </row>
    <row r="148" customFormat="false" ht="15" hidden="false" customHeight="false" outlineLevel="0" collapsed="false">
      <c r="B148" s="0" t="s">
        <v>146</v>
      </c>
      <c r="C148" s="0" t="s">
        <v>78</v>
      </c>
      <c r="D148" s="0" t="n">
        <f aca="false">SUMIFS(Orders!$L$2:$L$2864,Orders!$C$2:$C$2864,$C$3,Orders!$D$2:$D$2864,IF($C$4=0,"&gt;0",$C$4),Orders!$E$2:$E$2864,B148)</f>
        <v>275</v>
      </c>
      <c r="E148" s="0" t="n">
        <f aca="false">COUNTIFS(Orders!$C$2:$C$2864,$C$3,Orders!$D$2:$D$2864,IF($C$4=0,"&gt;0",$C$4),Orders!$E$2:$E$2864,B148)</f>
        <v>4</v>
      </c>
      <c r="F148" s="0" t="n">
        <f aca="false">D148+ROW()/100000</f>
        <v>275.00148</v>
      </c>
      <c r="G148" s="0" t="n">
        <f aca="false">RANK(F148,$F$61:$F$580)</f>
        <v>191</v>
      </c>
    </row>
    <row r="149" customFormat="false" ht="15" hidden="false" customHeight="false" outlineLevel="0" collapsed="false">
      <c r="B149" s="0" t="s">
        <v>530</v>
      </c>
      <c r="C149" s="0" t="s">
        <v>72</v>
      </c>
      <c r="D149" s="0" t="n">
        <f aca="false">SUMIFS(Orders!$L$2:$L$2864,Orders!$C$2:$C$2864,$C$3,Orders!$D$2:$D$2864,IF($C$4=0,"&gt;0",$C$4),Orders!$E$2:$E$2864,B149)</f>
        <v>407</v>
      </c>
      <c r="E149" s="0" t="n">
        <f aca="false">COUNTIFS(Orders!$C$2:$C$2864,$C$3,Orders!$D$2:$D$2864,IF($C$4=0,"&gt;0",$C$4),Orders!$E$2:$E$2864,B149)</f>
        <v>4</v>
      </c>
      <c r="F149" s="0" t="n">
        <f aca="false">D149+ROW()/100000</f>
        <v>407.00149</v>
      </c>
      <c r="G149" s="0" t="n">
        <f aca="false">RANK(F149,$F$61:$F$580)</f>
        <v>127</v>
      </c>
    </row>
    <row r="150" customFormat="false" ht="15" hidden="false" customHeight="false" outlineLevel="0" collapsed="false">
      <c r="B150" s="0" t="s">
        <v>83</v>
      </c>
      <c r="C150" s="0" t="s">
        <v>75</v>
      </c>
      <c r="D150" s="0" t="n">
        <f aca="false">SUMIFS(Orders!$L$2:$L$2864,Orders!$C$2:$C$2864,$C$3,Orders!$D$2:$D$2864,IF($C$4=0,"&gt;0",$C$4),Orders!$E$2:$E$2864,B150)</f>
        <v>540</v>
      </c>
      <c r="E150" s="0" t="n">
        <f aca="false">COUNTIFS(Orders!$C$2:$C$2864,$C$3,Orders!$D$2:$D$2864,IF($C$4=0,"&gt;0",$C$4),Orders!$E$2:$E$2864,B150)</f>
        <v>5</v>
      </c>
      <c r="F150" s="0" t="n">
        <f aca="false">D150+ROW()/100000</f>
        <v>540.0015</v>
      </c>
      <c r="G150" s="0" t="n">
        <f aca="false">RANK(F150,$F$61:$F$580)</f>
        <v>90</v>
      </c>
    </row>
    <row r="151" customFormat="false" ht="15" hidden="false" customHeight="false" outlineLevel="0" collapsed="false">
      <c r="B151" s="0" t="s">
        <v>170</v>
      </c>
      <c r="C151" s="0" t="s">
        <v>69</v>
      </c>
      <c r="D151" s="0" t="n">
        <f aca="false">SUMIFS(Orders!$L$2:$L$2864,Orders!$C$2:$C$2864,$C$3,Orders!$D$2:$D$2864,IF($C$4=0,"&gt;0",$C$4),Orders!$E$2:$E$2864,B151)</f>
        <v>1650</v>
      </c>
      <c r="E151" s="0" t="n">
        <f aca="false">COUNTIFS(Orders!$C$2:$C$2864,$C$3,Orders!$D$2:$D$2864,IF($C$4=0,"&gt;0",$C$4),Orders!$E$2:$E$2864,B151)</f>
        <v>10</v>
      </c>
      <c r="F151" s="0" t="n">
        <f aca="false">D151+ROW()/100000</f>
        <v>1650.00151</v>
      </c>
      <c r="G151" s="0" t="n">
        <f aca="false">RANK(F151,$F$61:$F$580)</f>
        <v>2</v>
      </c>
    </row>
    <row r="152" customFormat="false" ht="15" hidden="false" customHeight="false" outlineLevel="0" collapsed="false">
      <c r="B152" s="0" t="s">
        <v>140</v>
      </c>
      <c r="C152" s="0" t="s">
        <v>75</v>
      </c>
      <c r="D152" s="0" t="n">
        <f aca="false">SUMIFS(Orders!$L$2:$L$2864,Orders!$C$2:$C$2864,$C$3,Orders!$D$2:$D$2864,IF($C$4=0,"&gt;0",$C$4),Orders!$E$2:$E$2864,B152)</f>
        <v>390</v>
      </c>
      <c r="E152" s="0" t="n">
        <f aca="false">COUNTIFS(Orders!$C$2:$C$2864,$C$3,Orders!$D$2:$D$2864,IF($C$4=0,"&gt;0",$C$4),Orders!$E$2:$E$2864,B152)</f>
        <v>6</v>
      </c>
      <c r="F152" s="0" t="n">
        <f aca="false">D152+ROW()/100000</f>
        <v>390.00152</v>
      </c>
      <c r="G152" s="0" t="n">
        <f aca="false">RANK(F152,$F$61:$F$580)</f>
        <v>135</v>
      </c>
    </row>
    <row r="153" customFormat="false" ht="15" hidden="false" customHeight="false" outlineLevel="0" collapsed="false">
      <c r="B153" s="0" t="s">
        <v>1114</v>
      </c>
      <c r="C153" s="0" t="s">
        <v>75</v>
      </c>
      <c r="D153" s="0" t="n">
        <f aca="false">SUMIFS(Orders!$L$2:$L$2864,Orders!$C$2:$C$2864,$C$3,Orders!$D$2:$D$2864,IF($C$4=0,"&gt;0",$C$4),Orders!$E$2:$E$2864,B153)</f>
        <v>553</v>
      </c>
      <c r="E153" s="0" t="n">
        <f aca="false">COUNTIFS(Orders!$C$2:$C$2864,$C$3,Orders!$D$2:$D$2864,IF($C$4=0,"&gt;0",$C$4),Orders!$E$2:$E$2864,B153)</f>
        <v>7</v>
      </c>
      <c r="F153" s="0" t="n">
        <f aca="false">D153+ROW()/100000</f>
        <v>553.00153</v>
      </c>
      <c r="G153" s="0" t="n">
        <f aca="false">RANK(F153,$F$61:$F$580)</f>
        <v>86</v>
      </c>
    </row>
    <row r="154" customFormat="false" ht="15" hidden="false" customHeight="false" outlineLevel="0" collapsed="false">
      <c r="B154" s="0" t="s">
        <v>85</v>
      </c>
      <c r="C154" s="0" t="s">
        <v>69</v>
      </c>
      <c r="D154" s="0" t="n">
        <f aca="false">SUMIFS(Orders!$L$2:$L$2864,Orders!$C$2:$C$2864,$C$3,Orders!$D$2:$D$2864,IF($C$4=0,"&gt;0",$C$4),Orders!$E$2:$E$2864,B154)</f>
        <v>879</v>
      </c>
      <c r="E154" s="0" t="n">
        <f aca="false">COUNTIFS(Orders!$C$2:$C$2864,$C$3,Orders!$D$2:$D$2864,IF($C$4=0,"&gt;0",$C$4),Orders!$E$2:$E$2864,B154)</f>
        <v>6</v>
      </c>
      <c r="F154" s="0" t="n">
        <f aca="false">D154+ROW()/100000</f>
        <v>879.00154</v>
      </c>
      <c r="G154" s="0" t="n">
        <f aca="false">RANK(F154,$F$61:$F$580)</f>
        <v>24</v>
      </c>
    </row>
    <row r="155" customFormat="false" ht="15" hidden="false" customHeight="false" outlineLevel="0" collapsed="false">
      <c r="B155" s="0" t="s">
        <v>125</v>
      </c>
      <c r="C155" s="0" t="s">
        <v>69</v>
      </c>
      <c r="D155" s="0" t="n">
        <f aca="false">SUMIFS(Orders!$L$2:$L$2864,Orders!$C$2:$C$2864,$C$3,Orders!$D$2:$D$2864,IF($C$4=0,"&gt;0",$C$4),Orders!$E$2:$E$2864,B155)</f>
        <v>557</v>
      </c>
      <c r="E155" s="0" t="n">
        <f aca="false">COUNTIFS(Orders!$C$2:$C$2864,$C$3,Orders!$D$2:$D$2864,IF($C$4=0,"&gt;0",$C$4),Orders!$E$2:$E$2864,B155)</f>
        <v>8</v>
      </c>
      <c r="F155" s="0" t="n">
        <f aca="false">D155+ROW()/100000</f>
        <v>557.00155</v>
      </c>
      <c r="G155" s="0" t="n">
        <f aca="false">RANK(F155,$F$61:$F$580)</f>
        <v>84</v>
      </c>
    </row>
    <row r="156" customFormat="false" ht="15" hidden="false" customHeight="false" outlineLevel="0" collapsed="false">
      <c r="B156" s="0" t="s">
        <v>1124</v>
      </c>
      <c r="C156" s="0" t="s">
        <v>75</v>
      </c>
      <c r="D156" s="0" t="n">
        <f aca="false">SUMIFS(Orders!$L$2:$L$2864,Orders!$C$2:$C$2864,$C$3,Orders!$D$2:$D$2864,IF($C$4=0,"&gt;0",$C$4),Orders!$E$2:$E$2864,B156)</f>
        <v>710</v>
      </c>
      <c r="E156" s="0" t="n">
        <f aca="false">COUNTIFS(Orders!$C$2:$C$2864,$C$3,Orders!$D$2:$D$2864,IF($C$4=0,"&gt;0",$C$4),Orders!$E$2:$E$2864,B156)</f>
        <v>6</v>
      </c>
      <c r="F156" s="0" t="n">
        <f aca="false">D156+ROW()/100000</f>
        <v>710.00156</v>
      </c>
      <c r="G156" s="0" t="n">
        <f aca="false">RANK(F156,$F$61:$F$580)</f>
        <v>49</v>
      </c>
    </row>
    <row r="157" customFormat="false" ht="15" hidden="false" customHeight="false" outlineLevel="0" collapsed="false">
      <c r="B157" s="0" t="s">
        <v>100</v>
      </c>
      <c r="C157" s="0" t="s">
        <v>81</v>
      </c>
      <c r="D157" s="0" t="n">
        <f aca="false">SUMIFS(Orders!$L$2:$L$2864,Orders!$C$2:$C$2864,$C$3,Orders!$D$2:$D$2864,IF($C$4=0,"&gt;0",$C$4),Orders!$E$2:$E$2864,B157)</f>
        <v>0</v>
      </c>
      <c r="E157" s="0" t="n">
        <f aca="false">COUNTIFS(Orders!$C$2:$C$2864,$C$3,Orders!$D$2:$D$2864,IF($C$4=0,"&gt;0",$C$4),Orders!$E$2:$E$2864,B157)</f>
        <v>0</v>
      </c>
      <c r="F157" s="0" t="n">
        <f aca="false">D157+ROW()/100000</f>
        <v>0.00157</v>
      </c>
      <c r="G157" s="0" t="n">
        <f aca="false">RANK(F157,$F$61:$F$580)</f>
        <v>520</v>
      </c>
    </row>
    <row r="158" customFormat="false" ht="15" hidden="false" customHeight="false" outlineLevel="0" collapsed="false">
      <c r="B158" s="0" t="s">
        <v>569</v>
      </c>
      <c r="C158" s="0" t="s">
        <v>72</v>
      </c>
      <c r="D158" s="0" t="n">
        <f aca="false">SUMIFS(Orders!$L$2:$L$2864,Orders!$C$2:$C$2864,$C$3,Orders!$D$2:$D$2864,IF($C$4=0,"&gt;0",$C$4),Orders!$E$2:$E$2864,B158)</f>
        <v>0</v>
      </c>
      <c r="E158" s="0" t="n">
        <f aca="false">COUNTIFS(Orders!$C$2:$C$2864,$C$3,Orders!$D$2:$D$2864,IF($C$4=0,"&gt;0",$C$4),Orders!$E$2:$E$2864,B158)</f>
        <v>0</v>
      </c>
      <c r="F158" s="0" t="n">
        <f aca="false">D158+ROW()/100000</f>
        <v>0.00158</v>
      </c>
      <c r="G158" s="0" t="n">
        <f aca="false">RANK(F158,$F$61:$F$580)</f>
        <v>519</v>
      </c>
    </row>
    <row r="159" customFormat="false" ht="15" hidden="false" customHeight="false" outlineLevel="0" collapsed="false">
      <c r="B159" s="0" t="s">
        <v>240</v>
      </c>
      <c r="C159" s="0" t="s">
        <v>75</v>
      </c>
      <c r="D159" s="0" t="n">
        <f aca="false">SUMIFS(Orders!$L$2:$L$2864,Orders!$C$2:$C$2864,$C$3,Orders!$D$2:$D$2864,IF($C$4=0,"&gt;0",$C$4),Orders!$E$2:$E$2864,B159)</f>
        <v>419</v>
      </c>
      <c r="E159" s="0" t="n">
        <f aca="false">COUNTIFS(Orders!$C$2:$C$2864,$C$3,Orders!$D$2:$D$2864,IF($C$4=0,"&gt;0",$C$4),Orders!$E$2:$E$2864,B159)</f>
        <v>8</v>
      </c>
      <c r="F159" s="0" t="n">
        <f aca="false">D159+ROW()/100000</f>
        <v>419.00159</v>
      </c>
      <c r="G159" s="0" t="n">
        <f aca="false">RANK(F159,$F$61:$F$580)</f>
        <v>122</v>
      </c>
    </row>
    <row r="160" customFormat="false" ht="15" hidden="false" customHeight="false" outlineLevel="0" collapsed="false">
      <c r="B160" s="0" t="s">
        <v>761</v>
      </c>
      <c r="C160" s="0" t="s">
        <v>75</v>
      </c>
      <c r="D160" s="0" t="n">
        <f aca="false">SUMIFS(Orders!$L$2:$L$2864,Orders!$C$2:$C$2864,$C$3,Orders!$D$2:$D$2864,IF($C$4=0,"&gt;0",$C$4),Orders!$E$2:$E$2864,B160)</f>
        <v>446</v>
      </c>
      <c r="E160" s="0" t="n">
        <f aca="false">COUNTIFS(Orders!$C$2:$C$2864,$C$3,Orders!$D$2:$D$2864,IF($C$4=0,"&gt;0",$C$4),Orders!$E$2:$E$2864,B160)</f>
        <v>8</v>
      </c>
      <c r="F160" s="0" t="n">
        <f aca="false">D160+ROW()/100000</f>
        <v>446.0016</v>
      </c>
      <c r="G160" s="0" t="n">
        <f aca="false">RANK(F160,$F$61:$F$580)</f>
        <v>115</v>
      </c>
    </row>
    <row r="161" customFormat="false" ht="15" hidden="false" customHeight="false" outlineLevel="0" collapsed="false">
      <c r="B161" s="0" t="s">
        <v>494</v>
      </c>
      <c r="C161" s="0" t="s">
        <v>78</v>
      </c>
      <c r="D161" s="0" t="n">
        <f aca="false">SUMIFS(Orders!$L$2:$L$2864,Orders!$C$2:$C$2864,$C$3,Orders!$D$2:$D$2864,IF($C$4=0,"&gt;0",$C$4),Orders!$E$2:$E$2864,B161)</f>
        <v>469</v>
      </c>
      <c r="E161" s="0" t="n">
        <f aca="false">COUNTIFS(Orders!$C$2:$C$2864,$C$3,Orders!$D$2:$D$2864,IF($C$4=0,"&gt;0",$C$4),Orders!$E$2:$E$2864,B161)</f>
        <v>6</v>
      </c>
      <c r="F161" s="0" t="n">
        <f aca="false">D161+ROW()/100000</f>
        <v>469.00161</v>
      </c>
      <c r="G161" s="0" t="n">
        <f aca="false">RANK(F161,$F$61:$F$580)</f>
        <v>108</v>
      </c>
    </row>
    <row r="162" customFormat="false" ht="15" hidden="false" customHeight="false" outlineLevel="0" collapsed="false">
      <c r="B162" s="0" t="s">
        <v>486</v>
      </c>
      <c r="C162" s="0" t="s">
        <v>75</v>
      </c>
      <c r="D162" s="0" t="n">
        <f aca="false">SUMIFS(Orders!$L$2:$L$2864,Orders!$C$2:$C$2864,$C$3,Orders!$D$2:$D$2864,IF($C$4=0,"&gt;0",$C$4),Orders!$E$2:$E$2864,B162)</f>
        <v>156</v>
      </c>
      <c r="E162" s="0" t="n">
        <f aca="false">COUNTIFS(Orders!$C$2:$C$2864,$C$3,Orders!$D$2:$D$2864,IF($C$4=0,"&gt;0",$C$4),Orders!$E$2:$E$2864,B162)</f>
        <v>3</v>
      </c>
      <c r="F162" s="0" t="n">
        <f aca="false">D162+ROW()/100000</f>
        <v>156.00162</v>
      </c>
      <c r="G162" s="0" t="n">
        <f aca="false">RANK(F162,$F$61:$F$580)</f>
        <v>296</v>
      </c>
    </row>
    <row r="163" customFormat="false" ht="15" hidden="false" customHeight="false" outlineLevel="0" collapsed="false">
      <c r="B163" s="0" t="s">
        <v>1022</v>
      </c>
      <c r="C163" s="0" t="s">
        <v>75</v>
      </c>
      <c r="D163" s="0" t="n">
        <f aca="false">SUMIFS(Orders!$L$2:$L$2864,Orders!$C$2:$C$2864,$C$3,Orders!$D$2:$D$2864,IF($C$4=0,"&gt;0",$C$4),Orders!$E$2:$E$2864,B163)</f>
        <v>519</v>
      </c>
      <c r="E163" s="0" t="n">
        <f aca="false">COUNTIFS(Orders!$C$2:$C$2864,$C$3,Orders!$D$2:$D$2864,IF($C$4=0,"&gt;0",$C$4),Orders!$E$2:$E$2864,B163)</f>
        <v>7</v>
      </c>
      <c r="F163" s="0" t="n">
        <f aca="false">D163+ROW()/100000</f>
        <v>519.00163</v>
      </c>
      <c r="G163" s="0" t="n">
        <f aca="false">RANK(F163,$F$61:$F$580)</f>
        <v>96</v>
      </c>
    </row>
    <row r="164" customFormat="false" ht="15" hidden="false" customHeight="false" outlineLevel="0" collapsed="false">
      <c r="B164" s="0" t="s">
        <v>71</v>
      </c>
      <c r="C164" s="0" t="s">
        <v>72</v>
      </c>
      <c r="D164" s="0" t="n">
        <f aca="false">SUMIFS(Orders!$L$2:$L$2864,Orders!$C$2:$C$2864,$C$3,Orders!$D$2:$D$2864,IF($C$4=0,"&gt;0",$C$4),Orders!$E$2:$E$2864,B164)</f>
        <v>470</v>
      </c>
      <c r="E164" s="0" t="n">
        <f aca="false">COUNTIFS(Orders!$C$2:$C$2864,$C$3,Orders!$D$2:$D$2864,IF($C$4=0,"&gt;0",$C$4),Orders!$E$2:$E$2864,B164)</f>
        <v>6</v>
      </c>
      <c r="F164" s="0" t="n">
        <f aca="false">D164+ROW()/100000</f>
        <v>470.00164</v>
      </c>
      <c r="G164" s="0" t="n">
        <f aca="false">RANK(F164,$F$61:$F$580)</f>
        <v>107</v>
      </c>
    </row>
    <row r="165" customFormat="false" ht="15" hidden="false" customHeight="false" outlineLevel="0" collapsed="false">
      <c r="B165" s="0" t="s">
        <v>95</v>
      </c>
      <c r="C165" s="0" t="s">
        <v>75</v>
      </c>
      <c r="D165" s="0" t="n">
        <f aca="false">SUMIFS(Orders!$L$2:$L$2864,Orders!$C$2:$C$2864,$C$3,Orders!$D$2:$D$2864,IF($C$4=0,"&gt;0",$C$4),Orders!$E$2:$E$2864,B165)</f>
        <v>552</v>
      </c>
      <c r="E165" s="0" t="n">
        <f aca="false">COUNTIFS(Orders!$C$2:$C$2864,$C$3,Orders!$D$2:$D$2864,IF($C$4=0,"&gt;0",$C$4),Orders!$E$2:$E$2864,B165)</f>
        <v>8</v>
      </c>
      <c r="F165" s="0" t="n">
        <f aca="false">D165+ROW()/100000</f>
        <v>552.00165</v>
      </c>
      <c r="G165" s="0" t="n">
        <f aca="false">RANK(F165,$F$61:$F$580)</f>
        <v>87</v>
      </c>
    </row>
    <row r="166" customFormat="false" ht="15" hidden="false" customHeight="false" outlineLevel="0" collapsed="false">
      <c r="B166" s="0" t="s">
        <v>142</v>
      </c>
      <c r="C166" s="0" t="s">
        <v>78</v>
      </c>
      <c r="D166" s="0" t="n">
        <f aca="false">SUMIFS(Orders!$L$2:$L$2864,Orders!$C$2:$C$2864,$C$3,Orders!$D$2:$D$2864,IF($C$4=0,"&gt;0",$C$4),Orders!$E$2:$E$2864,B166)</f>
        <v>210</v>
      </c>
      <c r="E166" s="0" t="n">
        <f aca="false">COUNTIFS(Orders!$C$2:$C$2864,$C$3,Orders!$D$2:$D$2864,IF($C$4=0,"&gt;0",$C$4),Orders!$E$2:$E$2864,B166)</f>
        <v>4</v>
      </c>
      <c r="F166" s="0" t="n">
        <f aca="false">D166+ROW()/100000</f>
        <v>210.00166</v>
      </c>
      <c r="G166" s="0" t="n">
        <f aca="false">RANK(F166,$F$61:$F$580)</f>
        <v>244</v>
      </c>
    </row>
    <row r="167" customFormat="false" ht="15" hidden="false" customHeight="false" outlineLevel="0" collapsed="false">
      <c r="B167" s="0" t="s">
        <v>843</v>
      </c>
      <c r="C167" s="0" t="s">
        <v>75</v>
      </c>
      <c r="D167" s="0" t="n">
        <f aca="false">SUMIFS(Orders!$L$2:$L$2864,Orders!$C$2:$C$2864,$C$3,Orders!$D$2:$D$2864,IF($C$4=0,"&gt;0",$C$4),Orders!$E$2:$E$2864,B167)</f>
        <v>1426</v>
      </c>
      <c r="E167" s="0" t="n">
        <f aca="false">COUNTIFS(Orders!$C$2:$C$2864,$C$3,Orders!$D$2:$D$2864,IF($C$4=0,"&gt;0",$C$4),Orders!$E$2:$E$2864,B167)</f>
        <v>10</v>
      </c>
      <c r="F167" s="0" t="n">
        <f aca="false">D167+ROW()/100000</f>
        <v>1426.00167</v>
      </c>
      <c r="G167" s="0" t="n">
        <f aca="false">RANK(F167,$F$61:$F$580)</f>
        <v>3</v>
      </c>
    </row>
    <row r="168" customFormat="false" ht="15" hidden="false" customHeight="false" outlineLevel="0" collapsed="false">
      <c r="B168" s="0" t="s">
        <v>393</v>
      </c>
      <c r="C168" s="0" t="s">
        <v>78</v>
      </c>
      <c r="D168" s="0" t="n">
        <f aca="false">SUMIFS(Orders!$L$2:$L$2864,Orders!$C$2:$C$2864,$C$3,Orders!$D$2:$D$2864,IF($C$4=0,"&gt;0",$C$4),Orders!$E$2:$E$2864,B168)</f>
        <v>534</v>
      </c>
      <c r="E168" s="0" t="n">
        <f aca="false">COUNTIFS(Orders!$C$2:$C$2864,$C$3,Orders!$D$2:$D$2864,IF($C$4=0,"&gt;0",$C$4),Orders!$E$2:$E$2864,B168)</f>
        <v>5</v>
      </c>
      <c r="F168" s="0" t="n">
        <f aca="false">D168+ROW()/100000</f>
        <v>534.00168</v>
      </c>
      <c r="G168" s="0" t="n">
        <f aca="false">RANK(F168,$F$61:$F$580)</f>
        <v>92</v>
      </c>
    </row>
    <row r="169" customFormat="false" ht="15" hidden="false" customHeight="false" outlineLevel="0" collapsed="false">
      <c r="B169" s="0" t="s">
        <v>986</v>
      </c>
      <c r="C169" s="0" t="s">
        <v>75</v>
      </c>
      <c r="D169" s="0" t="n">
        <f aca="false">SUMIFS(Orders!$L$2:$L$2864,Orders!$C$2:$C$2864,$C$3,Orders!$D$2:$D$2864,IF($C$4=0,"&gt;0",$C$4),Orders!$E$2:$E$2864,B169)</f>
        <v>277</v>
      </c>
      <c r="E169" s="0" t="n">
        <f aca="false">COUNTIFS(Orders!$C$2:$C$2864,$C$3,Orders!$D$2:$D$2864,IF($C$4=0,"&gt;0",$C$4),Orders!$E$2:$E$2864,B169)</f>
        <v>3</v>
      </c>
      <c r="F169" s="0" t="n">
        <f aca="false">D169+ROW()/100000</f>
        <v>277.00169</v>
      </c>
      <c r="G169" s="0" t="n">
        <f aca="false">RANK(F169,$F$61:$F$580)</f>
        <v>187</v>
      </c>
    </row>
    <row r="170" customFormat="false" ht="15" hidden="false" customHeight="false" outlineLevel="0" collapsed="false">
      <c r="B170" s="0" t="s">
        <v>93</v>
      </c>
      <c r="C170" s="0" t="s">
        <v>81</v>
      </c>
      <c r="D170" s="0" t="n">
        <f aca="false">SUMIFS(Orders!$L$2:$L$2864,Orders!$C$2:$C$2864,$C$3,Orders!$D$2:$D$2864,IF($C$4=0,"&gt;0",$C$4),Orders!$E$2:$E$2864,B170)</f>
        <v>625</v>
      </c>
      <c r="E170" s="0" t="n">
        <f aca="false">COUNTIFS(Orders!$C$2:$C$2864,$C$3,Orders!$D$2:$D$2864,IF($C$4=0,"&gt;0",$C$4),Orders!$E$2:$E$2864,B170)</f>
        <v>6</v>
      </c>
      <c r="F170" s="0" t="n">
        <f aca="false">D170+ROW()/100000</f>
        <v>625.0017</v>
      </c>
      <c r="G170" s="0" t="n">
        <f aca="false">RANK(F170,$F$61:$F$580)</f>
        <v>68</v>
      </c>
    </row>
    <row r="171" customFormat="false" ht="15" hidden="false" customHeight="false" outlineLevel="0" collapsed="false">
      <c r="B171" s="0" t="s">
        <v>430</v>
      </c>
      <c r="C171" s="0" t="s">
        <v>72</v>
      </c>
      <c r="D171" s="0" t="n">
        <f aca="false">SUMIFS(Orders!$L$2:$L$2864,Orders!$C$2:$C$2864,$C$3,Orders!$D$2:$D$2864,IF($C$4=0,"&gt;0",$C$4),Orders!$E$2:$E$2864,B171)</f>
        <v>200</v>
      </c>
      <c r="E171" s="0" t="n">
        <f aca="false">COUNTIFS(Orders!$C$2:$C$2864,$C$3,Orders!$D$2:$D$2864,IF($C$4=0,"&gt;0",$C$4),Orders!$E$2:$E$2864,B171)</f>
        <v>3</v>
      </c>
      <c r="F171" s="0" t="n">
        <f aca="false">D171+ROW()/100000</f>
        <v>200.00171</v>
      </c>
      <c r="G171" s="0" t="n">
        <f aca="false">RANK(F171,$F$61:$F$580)</f>
        <v>256</v>
      </c>
    </row>
    <row r="172" customFormat="false" ht="15" hidden="false" customHeight="false" outlineLevel="0" collapsed="false">
      <c r="B172" s="0" t="s">
        <v>611</v>
      </c>
      <c r="C172" s="0" t="s">
        <v>78</v>
      </c>
      <c r="D172" s="0" t="n">
        <f aca="false">SUMIFS(Orders!$L$2:$L$2864,Orders!$C$2:$C$2864,$C$3,Orders!$D$2:$D$2864,IF($C$4=0,"&gt;0",$C$4),Orders!$E$2:$E$2864,B172)</f>
        <v>623</v>
      </c>
      <c r="E172" s="0" t="n">
        <f aca="false">COUNTIFS(Orders!$C$2:$C$2864,$C$3,Orders!$D$2:$D$2864,IF($C$4=0,"&gt;0",$C$4),Orders!$E$2:$E$2864,B172)</f>
        <v>4</v>
      </c>
      <c r="F172" s="0" t="n">
        <f aca="false">D172+ROW()/100000</f>
        <v>623.00172</v>
      </c>
      <c r="G172" s="0" t="n">
        <f aca="false">RANK(F172,$F$61:$F$580)</f>
        <v>71</v>
      </c>
    </row>
    <row r="173" customFormat="false" ht="15" hidden="false" customHeight="false" outlineLevel="0" collapsed="false">
      <c r="B173" s="0" t="s">
        <v>1491</v>
      </c>
      <c r="C173" s="0" t="s">
        <v>69</v>
      </c>
      <c r="D173" s="0" t="n">
        <f aca="false">SUMIFS(Orders!$L$2:$L$2864,Orders!$C$2:$C$2864,$C$3,Orders!$D$2:$D$2864,IF($C$4=0,"&gt;0",$C$4),Orders!$E$2:$E$2864,B173)</f>
        <v>611</v>
      </c>
      <c r="E173" s="0" t="n">
        <f aca="false">COUNTIFS(Orders!$C$2:$C$2864,$C$3,Orders!$D$2:$D$2864,IF($C$4=0,"&gt;0",$C$4),Orders!$E$2:$E$2864,B173)</f>
        <v>5</v>
      </c>
      <c r="F173" s="0" t="n">
        <f aca="false">D173+ROW()/100000</f>
        <v>611.00173</v>
      </c>
      <c r="G173" s="0" t="n">
        <f aca="false">RANK(F173,$F$61:$F$580)</f>
        <v>75</v>
      </c>
    </row>
    <row r="174" customFormat="false" ht="15" hidden="false" customHeight="false" outlineLevel="0" collapsed="false">
      <c r="B174" s="0" t="s">
        <v>311</v>
      </c>
      <c r="C174" s="0" t="s">
        <v>69</v>
      </c>
      <c r="D174" s="0" t="n">
        <f aca="false">SUMIFS(Orders!$L$2:$L$2864,Orders!$C$2:$C$2864,$C$3,Orders!$D$2:$D$2864,IF($C$4=0,"&gt;0",$C$4),Orders!$E$2:$E$2864,B174)</f>
        <v>755</v>
      </c>
      <c r="E174" s="0" t="n">
        <f aca="false">COUNTIFS(Orders!$C$2:$C$2864,$C$3,Orders!$D$2:$D$2864,IF($C$4=0,"&gt;0",$C$4),Orders!$E$2:$E$2864,B174)</f>
        <v>6</v>
      </c>
      <c r="F174" s="0" t="n">
        <f aca="false">D174+ROW()/100000</f>
        <v>755.00174</v>
      </c>
      <c r="G174" s="0" t="n">
        <f aca="false">RANK(F174,$F$61:$F$580)</f>
        <v>40</v>
      </c>
    </row>
    <row r="175" customFormat="false" ht="15" hidden="false" customHeight="false" outlineLevel="0" collapsed="false">
      <c r="B175" s="0" t="s">
        <v>156</v>
      </c>
      <c r="C175" s="0" t="s">
        <v>75</v>
      </c>
      <c r="D175" s="0" t="n">
        <f aca="false">SUMIFS(Orders!$L$2:$L$2864,Orders!$C$2:$C$2864,$C$3,Orders!$D$2:$D$2864,IF($C$4=0,"&gt;0",$C$4),Orders!$E$2:$E$2864,B175)</f>
        <v>918</v>
      </c>
      <c r="E175" s="0" t="n">
        <f aca="false">COUNTIFS(Orders!$C$2:$C$2864,$C$3,Orders!$D$2:$D$2864,IF($C$4=0,"&gt;0",$C$4),Orders!$E$2:$E$2864,B175)</f>
        <v>8</v>
      </c>
      <c r="F175" s="0" t="n">
        <f aca="false">D175+ROW()/100000</f>
        <v>918.00175</v>
      </c>
      <c r="G175" s="0" t="n">
        <f aca="false">RANK(F175,$F$61:$F$580)</f>
        <v>20</v>
      </c>
    </row>
    <row r="176" customFormat="false" ht="15" hidden="false" customHeight="false" outlineLevel="0" collapsed="false">
      <c r="B176" s="0" t="s">
        <v>376</v>
      </c>
      <c r="C176" s="0" t="s">
        <v>78</v>
      </c>
      <c r="D176" s="0" t="n">
        <f aca="false">SUMIFS(Orders!$L$2:$L$2864,Orders!$C$2:$C$2864,$C$3,Orders!$D$2:$D$2864,IF($C$4=0,"&gt;0",$C$4),Orders!$E$2:$E$2864,B176)</f>
        <v>1159</v>
      </c>
      <c r="E176" s="0" t="n">
        <f aca="false">COUNTIFS(Orders!$C$2:$C$2864,$C$3,Orders!$D$2:$D$2864,IF($C$4=0,"&gt;0",$C$4),Orders!$E$2:$E$2864,B176)</f>
        <v>9</v>
      </c>
      <c r="F176" s="0" t="n">
        <f aca="false">D176+ROW()/100000</f>
        <v>1159.00176</v>
      </c>
      <c r="G176" s="0" t="n">
        <f aca="false">RANK(F176,$F$61:$F$580)</f>
        <v>9</v>
      </c>
    </row>
    <row r="177" customFormat="false" ht="15" hidden="false" customHeight="false" outlineLevel="0" collapsed="false">
      <c r="B177" s="0" t="s">
        <v>285</v>
      </c>
      <c r="C177" s="0" t="s">
        <v>75</v>
      </c>
      <c r="D177" s="0" t="n">
        <f aca="false">SUMIFS(Orders!$L$2:$L$2864,Orders!$C$2:$C$2864,$C$3,Orders!$D$2:$D$2864,IF($C$4=0,"&gt;0",$C$4),Orders!$E$2:$E$2864,B177)</f>
        <v>688</v>
      </c>
      <c r="E177" s="0" t="n">
        <f aca="false">COUNTIFS(Orders!$C$2:$C$2864,$C$3,Orders!$D$2:$D$2864,IF($C$4=0,"&gt;0",$C$4),Orders!$E$2:$E$2864,B177)</f>
        <v>8</v>
      </c>
      <c r="F177" s="0" t="n">
        <f aca="false">D177+ROW()/100000</f>
        <v>688.00177</v>
      </c>
      <c r="G177" s="0" t="n">
        <f aca="false">RANK(F177,$F$61:$F$580)</f>
        <v>54</v>
      </c>
    </row>
    <row r="178" customFormat="false" ht="15" hidden="false" customHeight="false" outlineLevel="0" collapsed="false">
      <c r="B178" s="0" t="s">
        <v>374</v>
      </c>
      <c r="C178" s="0" t="s">
        <v>69</v>
      </c>
      <c r="D178" s="0" t="n">
        <f aca="false">SUMIFS(Orders!$L$2:$L$2864,Orders!$C$2:$C$2864,$C$3,Orders!$D$2:$D$2864,IF($C$4=0,"&gt;0",$C$4),Orders!$E$2:$E$2864,B178)</f>
        <v>373</v>
      </c>
      <c r="E178" s="0" t="n">
        <f aca="false">COUNTIFS(Orders!$C$2:$C$2864,$C$3,Orders!$D$2:$D$2864,IF($C$4=0,"&gt;0",$C$4),Orders!$E$2:$E$2864,B178)</f>
        <v>4</v>
      </c>
      <c r="F178" s="0" t="n">
        <f aca="false">D178+ROW()/100000</f>
        <v>373.00178</v>
      </c>
      <c r="G178" s="0" t="n">
        <f aca="false">RANK(F178,$F$61:$F$580)</f>
        <v>137</v>
      </c>
    </row>
    <row r="179" customFormat="false" ht="15" hidden="false" customHeight="false" outlineLevel="0" collapsed="false">
      <c r="B179" s="0" t="s">
        <v>347</v>
      </c>
      <c r="C179" s="0" t="s">
        <v>72</v>
      </c>
      <c r="D179" s="0" t="n">
        <f aca="false">SUMIFS(Orders!$L$2:$L$2864,Orders!$C$2:$C$2864,$C$3,Orders!$D$2:$D$2864,IF($C$4=0,"&gt;0",$C$4),Orders!$E$2:$E$2864,B179)</f>
        <v>381</v>
      </c>
      <c r="E179" s="0" t="n">
        <f aca="false">COUNTIFS(Orders!$C$2:$C$2864,$C$3,Orders!$D$2:$D$2864,IF($C$4=0,"&gt;0",$C$4),Orders!$E$2:$E$2864,B179)</f>
        <v>3</v>
      </c>
      <c r="F179" s="0" t="n">
        <f aca="false">D179+ROW()/100000</f>
        <v>381.00179</v>
      </c>
      <c r="G179" s="0" t="n">
        <f aca="false">RANK(F179,$F$61:$F$580)</f>
        <v>136</v>
      </c>
    </row>
    <row r="180" customFormat="false" ht="15" hidden="false" customHeight="false" outlineLevel="0" collapsed="false">
      <c r="B180" s="0" t="s">
        <v>208</v>
      </c>
      <c r="C180" s="0" t="s">
        <v>81</v>
      </c>
      <c r="D180" s="0" t="n">
        <f aca="false">SUMIFS(Orders!$L$2:$L$2864,Orders!$C$2:$C$2864,$C$3,Orders!$D$2:$D$2864,IF($C$4=0,"&gt;0",$C$4),Orders!$E$2:$E$2864,B180)</f>
        <v>474</v>
      </c>
      <c r="E180" s="0" t="n">
        <f aca="false">COUNTIFS(Orders!$C$2:$C$2864,$C$3,Orders!$D$2:$D$2864,IF($C$4=0,"&gt;0",$C$4),Orders!$E$2:$E$2864,B180)</f>
        <v>4</v>
      </c>
      <c r="F180" s="0" t="n">
        <f aca="false">D180+ROW()/100000</f>
        <v>474.0018</v>
      </c>
      <c r="G180" s="0" t="n">
        <f aca="false">RANK(F180,$F$61:$F$580)</f>
        <v>106</v>
      </c>
    </row>
    <row r="181" customFormat="false" ht="15" hidden="false" customHeight="false" outlineLevel="0" collapsed="false">
      <c r="B181" s="0" t="s">
        <v>344</v>
      </c>
      <c r="C181" s="0" t="s">
        <v>81</v>
      </c>
      <c r="D181" s="0" t="n">
        <f aca="false">SUMIFS(Orders!$L$2:$L$2864,Orders!$C$2:$C$2864,$C$3,Orders!$D$2:$D$2864,IF($C$4=0,"&gt;0",$C$4),Orders!$E$2:$E$2864,B181)</f>
        <v>775</v>
      </c>
      <c r="E181" s="0" t="n">
        <f aca="false">COUNTIFS(Orders!$C$2:$C$2864,$C$3,Orders!$D$2:$D$2864,IF($C$4=0,"&gt;0",$C$4),Orders!$E$2:$E$2864,B181)</f>
        <v>8</v>
      </c>
      <c r="F181" s="0" t="n">
        <f aca="false">D181+ROW()/100000</f>
        <v>775.00181</v>
      </c>
      <c r="G181" s="0" t="n">
        <f aca="false">RANK(F181,$F$61:$F$580)</f>
        <v>37</v>
      </c>
    </row>
    <row r="182" customFormat="false" ht="15" hidden="false" customHeight="false" outlineLevel="0" collapsed="false">
      <c r="B182" s="0" t="s">
        <v>277</v>
      </c>
      <c r="C182" s="0" t="s">
        <v>75</v>
      </c>
      <c r="D182" s="0" t="n">
        <f aca="false">SUMIFS(Orders!$L$2:$L$2864,Orders!$C$2:$C$2864,$C$3,Orders!$D$2:$D$2864,IF($C$4=0,"&gt;0",$C$4),Orders!$E$2:$E$2864,B182)</f>
        <v>669</v>
      </c>
      <c r="E182" s="0" t="n">
        <f aca="false">COUNTIFS(Orders!$C$2:$C$2864,$C$3,Orders!$D$2:$D$2864,IF($C$4=0,"&gt;0",$C$4),Orders!$E$2:$E$2864,B182)</f>
        <v>8</v>
      </c>
      <c r="F182" s="0" t="n">
        <f aca="false">D182+ROW()/100000</f>
        <v>669.00182</v>
      </c>
      <c r="G182" s="0" t="n">
        <f aca="false">RANK(F182,$F$61:$F$580)</f>
        <v>56</v>
      </c>
    </row>
    <row r="183" customFormat="false" ht="15" hidden="false" customHeight="false" outlineLevel="0" collapsed="false">
      <c r="B183" s="0" t="s">
        <v>372</v>
      </c>
      <c r="C183" s="0" t="s">
        <v>81</v>
      </c>
      <c r="D183" s="0" t="n">
        <f aca="false">SUMIFS(Orders!$L$2:$L$2864,Orders!$C$2:$C$2864,$C$3,Orders!$D$2:$D$2864,IF($C$4=0,"&gt;0",$C$4),Orders!$E$2:$E$2864,B183)</f>
        <v>735</v>
      </c>
      <c r="E183" s="0" t="n">
        <f aca="false">COUNTIFS(Orders!$C$2:$C$2864,$C$3,Orders!$D$2:$D$2864,IF($C$4=0,"&gt;0",$C$4),Orders!$E$2:$E$2864,B183)</f>
        <v>9</v>
      </c>
      <c r="F183" s="0" t="n">
        <f aca="false">D183+ROW()/100000</f>
        <v>735.00183</v>
      </c>
      <c r="G183" s="0" t="n">
        <f aca="false">RANK(F183,$F$61:$F$580)</f>
        <v>44</v>
      </c>
    </row>
    <row r="184" customFormat="false" ht="15" hidden="false" customHeight="false" outlineLevel="0" collapsed="false">
      <c r="B184" s="0" t="s">
        <v>461</v>
      </c>
      <c r="C184" s="0" t="s">
        <v>78</v>
      </c>
      <c r="D184" s="0" t="n">
        <f aca="false">SUMIFS(Orders!$L$2:$L$2864,Orders!$C$2:$C$2864,$C$3,Orders!$D$2:$D$2864,IF($C$4=0,"&gt;0",$C$4),Orders!$E$2:$E$2864,B184)</f>
        <v>1007</v>
      </c>
      <c r="E184" s="0" t="n">
        <f aca="false">COUNTIFS(Orders!$C$2:$C$2864,$C$3,Orders!$D$2:$D$2864,IF($C$4=0,"&gt;0",$C$4),Orders!$E$2:$E$2864,B184)</f>
        <v>8</v>
      </c>
      <c r="F184" s="0" t="n">
        <f aca="false">D184+ROW()/100000</f>
        <v>1007.00184</v>
      </c>
      <c r="G184" s="0" t="n">
        <f aca="false">RANK(F184,$F$61:$F$580)</f>
        <v>15</v>
      </c>
    </row>
    <row r="185" customFormat="false" ht="15" hidden="false" customHeight="false" outlineLevel="0" collapsed="false">
      <c r="B185" s="0" t="s">
        <v>185</v>
      </c>
      <c r="C185" s="0" t="s">
        <v>81</v>
      </c>
      <c r="D185" s="0" t="n">
        <f aca="false">SUMIFS(Orders!$L$2:$L$2864,Orders!$C$2:$C$2864,$C$3,Orders!$D$2:$D$2864,IF($C$4=0,"&gt;0",$C$4),Orders!$E$2:$E$2864,B185)</f>
        <v>764</v>
      </c>
      <c r="E185" s="0" t="n">
        <f aca="false">COUNTIFS(Orders!$C$2:$C$2864,$C$3,Orders!$D$2:$D$2864,IF($C$4=0,"&gt;0",$C$4),Orders!$E$2:$E$2864,B185)</f>
        <v>6</v>
      </c>
      <c r="F185" s="0" t="n">
        <f aca="false">D185+ROW()/100000</f>
        <v>764.00185</v>
      </c>
      <c r="G185" s="0" t="n">
        <f aca="false">RANK(F185,$F$61:$F$580)</f>
        <v>38</v>
      </c>
    </row>
    <row r="186" customFormat="false" ht="15" hidden="false" customHeight="false" outlineLevel="0" collapsed="false">
      <c r="B186" s="0" t="s">
        <v>338</v>
      </c>
      <c r="C186" s="0" t="s">
        <v>78</v>
      </c>
      <c r="D186" s="0" t="n">
        <f aca="false">SUMIFS(Orders!$L$2:$L$2864,Orders!$C$2:$C$2864,$C$3,Orders!$D$2:$D$2864,IF($C$4=0,"&gt;0",$C$4),Orders!$E$2:$E$2864,B186)</f>
        <v>1068</v>
      </c>
      <c r="E186" s="0" t="n">
        <f aca="false">COUNTIFS(Orders!$C$2:$C$2864,$C$3,Orders!$D$2:$D$2864,IF($C$4=0,"&gt;0",$C$4),Orders!$E$2:$E$2864,B186)</f>
        <v>8</v>
      </c>
      <c r="F186" s="0" t="n">
        <f aca="false">D186+ROW()/100000</f>
        <v>1068.00186</v>
      </c>
      <c r="G186" s="0" t="n">
        <f aca="false">RANK(F186,$F$61:$F$580)</f>
        <v>14</v>
      </c>
    </row>
    <row r="187" customFormat="false" ht="15" hidden="false" customHeight="false" outlineLevel="0" collapsed="false">
      <c r="B187" s="0" t="s">
        <v>164</v>
      </c>
      <c r="C187" s="0" t="s">
        <v>69</v>
      </c>
      <c r="D187" s="0" t="n">
        <f aca="false">SUMIFS(Orders!$L$2:$L$2864,Orders!$C$2:$C$2864,$C$3,Orders!$D$2:$D$2864,IF($C$4=0,"&gt;0",$C$4),Orders!$E$2:$E$2864,B187)</f>
        <v>945</v>
      </c>
      <c r="E187" s="0" t="n">
        <f aca="false">COUNTIFS(Orders!$C$2:$C$2864,$C$3,Orders!$D$2:$D$2864,IF($C$4=0,"&gt;0",$C$4),Orders!$E$2:$E$2864,B187)</f>
        <v>7</v>
      </c>
      <c r="F187" s="0" t="n">
        <f aca="false">D187+ROW()/100000</f>
        <v>945.00187</v>
      </c>
      <c r="G187" s="0" t="n">
        <f aca="false">RANK(F187,$F$61:$F$580)</f>
        <v>18</v>
      </c>
    </row>
    <row r="188" customFormat="false" ht="15" hidden="false" customHeight="false" outlineLevel="0" collapsed="false">
      <c r="B188" s="0" t="s">
        <v>1046</v>
      </c>
      <c r="C188" s="0" t="s">
        <v>69</v>
      </c>
      <c r="D188" s="0" t="n">
        <f aca="false">SUMIFS(Orders!$L$2:$L$2864,Orders!$C$2:$C$2864,$C$3,Orders!$D$2:$D$2864,IF($C$4=0,"&gt;0",$C$4),Orders!$E$2:$E$2864,B188)</f>
        <v>431</v>
      </c>
      <c r="E188" s="0" t="n">
        <f aca="false">COUNTIFS(Orders!$C$2:$C$2864,$C$3,Orders!$D$2:$D$2864,IF($C$4=0,"&gt;0",$C$4),Orders!$E$2:$E$2864,B188)</f>
        <v>7</v>
      </c>
      <c r="F188" s="0" t="n">
        <f aca="false">D188+ROW()/100000</f>
        <v>431.00188</v>
      </c>
      <c r="G188" s="0" t="n">
        <f aca="false">RANK(F188,$F$61:$F$580)</f>
        <v>120</v>
      </c>
    </row>
    <row r="189" customFormat="false" ht="15" hidden="false" customHeight="false" outlineLevel="0" collapsed="false">
      <c r="B189" s="0" t="s">
        <v>173</v>
      </c>
      <c r="C189" s="0" t="s">
        <v>69</v>
      </c>
      <c r="D189" s="0" t="n">
        <f aca="false">SUMIFS(Orders!$L$2:$L$2864,Orders!$C$2:$C$2864,$C$3,Orders!$D$2:$D$2864,IF($C$4=0,"&gt;0",$C$4),Orders!$E$2:$E$2864,B189)</f>
        <v>548</v>
      </c>
      <c r="E189" s="0" t="n">
        <f aca="false">COUNTIFS(Orders!$C$2:$C$2864,$C$3,Orders!$D$2:$D$2864,IF($C$4=0,"&gt;0",$C$4),Orders!$E$2:$E$2864,B189)</f>
        <v>4</v>
      </c>
      <c r="F189" s="0" t="n">
        <f aca="false">D189+ROW()/100000</f>
        <v>548.00189</v>
      </c>
      <c r="G189" s="0" t="n">
        <f aca="false">RANK(F189,$F$61:$F$580)</f>
        <v>88</v>
      </c>
    </row>
    <row r="190" customFormat="false" ht="15" hidden="false" customHeight="false" outlineLevel="0" collapsed="false">
      <c r="B190" s="0" t="s">
        <v>120</v>
      </c>
      <c r="C190" s="0" t="s">
        <v>78</v>
      </c>
      <c r="D190" s="0" t="n">
        <f aca="false">SUMIFS(Orders!$L$2:$L$2864,Orders!$C$2:$C$2864,$C$3,Orders!$D$2:$D$2864,IF($C$4=0,"&gt;0",$C$4),Orders!$E$2:$E$2864,B190)</f>
        <v>620</v>
      </c>
      <c r="E190" s="0" t="n">
        <f aca="false">COUNTIFS(Orders!$C$2:$C$2864,$C$3,Orders!$D$2:$D$2864,IF($C$4=0,"&gt;0",$C$4),Orders!$E$2:$E$2864,B190)</f>
        <v>9</v>
      </c>
      <c r="F190" s="0" t="n">
        <f aca="false">D190+ROW()/100000</f>
        <v>620.0019</v>
      </c>
      <c r="G190" s="0" t="n">
        <f aca="false">RANK(F190,$F$61:$F$580)</f>
        <v>72</v>
      </c>
    </row>
    <row r="191" customFormat="false" ht="15" hidden="false" customHeight="false" outlineLevel="0" collapsed="false">
      <c r="B191" s="0" t="s">
        <v>80</v>
      </c>
      <c r="C191" s="0" t="s">
        <v>81</v>
      </c>
      <c r="D191" s="0" t="n">
        <f aca="false">SUMIFS(Orders!$L$2:$L$2864,Orders!$C$2:$C$2864,$C$3,Orders!$D$2:$D$2864,IF($C$4=0,"&gt;0",$C$4),Orders!$E$2:$E$2864,B191)</f>
        <v>354</v>
      </c>
      <c r="E191" s="0" t="n">
        <f aca="false">COUNTIFS(Orders!$C$2:$C$2864,$C$3,Orders!$D$2:$D$2864,IF($C$4=0,"&gt;0",$C$4),Orders!$E$2:$E$2864,B191)</f>
        <v>6</v>
      </c>
      <c r="F191" s="0" t="n">
        <f aca="false">D191+ROW()/100000</f>
        <v>354.00191</v>
      </c>
      <c r="G191" s="0" t="n">
        <f aca="false">RANK(F191,$F$61:$F$580)</f>
        <v>144</v>
      </c>
    </row>
    <row r="192" customFormat="false" ht="15" hidden="false" customHeight="false" outlineLevel="0" collapsed="false">
      <c r="B192" s="0" t="s">
        <v>508</v>
      </c>
      <c r="C192" s="0" t="s">
        <v>81</v>
      </c>
      <c r="D192" s="0" t="n">
        <f aca="false">SUMIFS(Orders!$L$2:$L$2864,Orders!$C$2:$C$2864,$C$3,Orders!$D$2:$D$2864,IF($C$4=0,"&gt;0",$C$4),Orders!$E$2:$E$2864,B192)</f>
        <v>165</v>
      </c>
      <c r="E192" s="0" t="n">
        <f aca="false">COUNTIFS(Orders!$C$2:$C$2864,$C$3,Orders!$D$2:$D$2864,IF($C$4=0,"&gt;0",$C$4),Orders!$E$2:$E$2864,B192)</f>
        <v>3</v>
      </c>
      <c r="F192" s="0" t="n">
        <f aca="false">D192+ROW()/100000</f>
        <v>165.00192</v>
      </c>
      <c r="G192" s="0" t="n">
        <f aca="false">RANK(F192,$F$61:$F$580)</f>
        <v>291</v>
      </c>
    </row>
    <row r="193" customFormat="false" ht="15" hidden="false" customHeight="false" outlineLevel="0" collapsed="false">
      <c r="B193" s="0" t="s">
        <v>477</v>
      </c>
      <c r="C193" s="0" t="s">
        <v>78</v>
      </c>
      <c r="D193" s="0" t="n">
        <f aca="false">SUMIFS(Orders!$L$2:$L$2864,Orders!$C$2:$C$2864,$C$3,Orders!$D$2:$D$2864,IF($C$4=0,"&gt;0",$C$4),Orders!$E$2:$E$2864,B193)</f>
        <v>698</v>
      </c>
      <c r="E193" s="0" t="n">
        <f aca="false">COUNTIFS(Orders!$C$2:$C$2864,$C$3,Orders!$D$2:$D$2864,IF($C$4=0,"&gt;0",$C$4),Orders!$E$2:$E$2864,B193)</f>
        <v>10</v>
      </c>
      <c r="F193" s="0" t="n">
        <f aca="false">D193+ROW()/100000</f>
        <v>698.00193</v>
      </c>
      <c r="G193" s="0" t="n">
        <f aca="false">RANK(F193,$F$61:$F$580)</f>
        <v>52</v>
      </c>
    </row>
    <row r="194" customFormat="false" ht="15" hidden="false" customHeight="false" outlineLevel="0" collapsed="false">
      <c r="B194" s="0" t="s">
        <v>203</v>
      </c>
      <c r="C194" s="0" t="s">
        <v>78</v>
      </c>
      <c r="D194" s="0" t="n">
        <f aca="false">SUMIFS(Orders!$L$2:$L$2864,Orders!$C$2:$C$2864,$C$3,Orders!$D$2:$D$2864,IF($C$4=0,"&gt;0",$C$4),Orders!$E$2:$E$2864,B194)</f>
        <v>509</v>
      </c>
      <c r="E194" s="0" t="n">
        <f aca="false">COUNTIFS(Orders!$C$2:$C$2864,$C$3,Orders!$D$2:$D$2864,IF($C$4=0,"&gt;0",$C$4),Orders!$E$2:$E$2864,B194)</f>
        <v>8</v>
      </c>
      <c r="F194" s="0" t="n">
        <f aca="false">D194+ROW()/100000</f>
        <v>509.00194</v>
      </c>
      <c r="G194" s="0" t="n">
        <f aca="false">RANK(F194,$F$61:$F$580)</f>
        <v>100</v>
      </c>
    </row>
    <row r="195" customFormat="false" ht="15" hidden="false" customHeight="false" outlineLevel="0" collapsed="false">
      <c r="B195" s="0" t="s">
        <v>368</v>
      </c>
      <c r="C195" s="0" t="s">
        <v>69</v>
      </c>
      <c r="D195" s="0" t="n">
        <f aca="false">SUMIFS(Orders!$L$2:$L$2864,Orders!$C$2:$C$2864,$C$3,Orders!$D$2:$D$2864,IF($C$4=0,"&gt;0",$C$4),Orders!$E$2:$E$2864,B195)</f>
        <v>406</v>
      </c>
      <c r="E195" s="0" t="n">
        <f aca="false">COUNTIFS(Orders!$C$2:$C$2864,$C$3,Orders!$D$2:$D$2864,IF($C$4=0,"&gt;0",$C$4),Orders!$E$2:$E$2864,B195)</f>
        <v>6</v>
      </c>
      <c r="F195" s="0" t="n">
        <f aca="false">D195+ROW()/100000</f>
        <v>406.00195</v>
      </c>
      <c r="G195" s="0" t="n">
        <f aca="false">RANK(F195,$F$61:$F$580)</f>
        <v>128</v>
      </c>
    </row>
    <row r="196" customFormat="false" ht="15" hidden="false" customHeight="false" outlineLevel="0" collapsed="false">
      <c r="B196" s="0" t="s">
        <v>313</v>
      </c>
      <c r="C196" s="0" t="s">
        <v>75</v>
      </c>
      <c r="D196" s="0" t="n">
        <f aca="false">SUMIFS(Orders!$L$2:$L$2864,Orders!$C$2:$C$2864,$C$3,Orders!$D$2:$D$2864,IF($C$4=0,"&gt;0",$C$4),Orders!$E$2:$E$2864,B196)</f>
        <v>1169</v>
      </c>
      <c r="E196" s="0" t="n">
        <f aca="false">COUNTIFS(Orders!$C$2:$C$2864,$C$3,Orders!$D$2:$D$2864,IF($C$4=0,"&gt;0",$C$4),Orders!$E$2:$E$2864,B196)</f>
        <v>10</v>
      </c>
      <c r="F196" s="0" t="n">
        <f aca="false">D196+ROW()/100000</f>
        <v>1169.00196</v>
      </c>
      <c r="G196" s="0" t="n">
        <f aca="false">RANK(F196,$F$61:$F$580)</f>
        <v>8</v>
      </c>
    </row>
    <row r="197" customFormat="false" ht="15" hidden="false" customHeight="false" outlineLevel="0" collapsed="false">
      <c r="B197" s="0" t="s">
        <v>1304</v>
      </c>
      <c r="C197" s="0" t="s">
        <v>78</v>
      </c>
      <c r="D197" s="0" t="n">
        <f aca="false">SUMIFS(Orders!$L$2:$L$2864,Orders!$C$2:$C$2864,$C$3,Orders!$D$2:$D$2864,IF($C$4=0,"&gt;0",$C$4),Orders!$E$2:$E$2864,B197)</f>
        <v>759</v>
      </c>
      <c r="E197" s="0" t="n">
        <f aca="false">COUNTIFS(Orders!$C$2:$C$2864,$C$3,Orders!$D$2:$D$2864,IF($C$4=0,"&gt;0",$C$4),Orders!$E$2:$E$2864,B197)</f>
        <v>12</v>
      </c>
      <c r="F197" s="0" t="n">
        <f aca="false">D197+ROW()/100000</f>
        <v>759.00197</v>
      </c>
      <c r="G197" s="0" t="n">
        <f aca="false">RANK(F197,$F$61:$F$580)</f>
        <v>39</v>
      </c>
    </row>
    <row r="198" customFormat="false" ht="15" hidden="false" customHeight="false" outlineLevel="0" collapsed="false">
      <c r="B198" s="0" t="s">
        <v>68</v>
      </c>
      <c r="C198" s="0" t="s">
        <v>69</v>
      </c>
      <c r="D198" s="0" t="n">
        <f aca="false">SUMIFS(Orders!$L$2:$L$2864,Orders!$C$2:$C$2864,$C$3,Orders!$D$2:$D$2864,IF($C$4=0,"&gt;0",$C$4),Orders!$E$2:$E$2864,B198)</f>
        <v>1297</v>
      </c>
      <c r="E198" s="0" t="n">
        <f aca="false">COUNTIFS(Orders!$C$2:$C$2864,$C$3,Orders!$D$2:$D$2864,IF($C$4=0,"&gt;0",$C$4),Orders!$E$2:$E$2864,B198)</f>
        <v>12</v>
      </c>
      <c r="F198" s="0" t="n">
        <f aca="false">D198+ROW()/100000</f>
        <v>1297.00198</v>
      </c>
      <c r="G198" s="0" t="n">
        <f aca="false">RANK(F198,$F$61:$F$580)</f>
        <v>6</v>
      </c>
    </row>
    <row r="199" customFormat="false" ht="15" hidden="false" customHeight="false" outlineLevel="0" collapsed="false">
      <c r="B199" s="0" t="s">
        <v>335</v>
      </c>
      <c r="C199" s="0" t="s">
        <v>81</v>
      </c>
      <c r="D199" s="0" t="n">
        <f aca="false">SUMIFS(Orders!$L$2:$L$2864,Orders!$C$2:$C$2864,$C$3,Orders!$D$2:$D$2864,IF($C$4=0,"&gt;0",$C$4),Orders!$E$2:$E$2864,B199)</f>
        <v>594</v>
      </c>
      <c r="E199" s="0" t="n">
        <f aca="false">COUNTIFS(Orders!$C$2:$C$2864,$C$3,Orders!$D$2:$D$2864,IF($C$4=0,"&gt;0",$C$4),Orders!$E$2:$E$2864,B199)</f>
        <v>6</v>
      </c>
      <c r="F199" s="0" t="n">
        <f aca="false">D199+ROW()/100000</f>
        <v>594.00199</v>
      </c>
      <c r="G199" s="0" t="n">
        <f aca="false">RANK(F199,$F$61:$F$580)</f>
        <v>76</v>
      </c>
    </row>
    <row r="200" customFormat="false" ht="15" hidden="false" customHeight="false" outlineLevel="0" collapsed="false">
      <c r="B200" s="0" t="s">
        <v>479</v>
      </c>
      <c r="C200" s="0" t="s">
        <v>72</v>
      </c>
      <c r="D200" s="0" t="n">
        <f aca="false">SUMIFS(Orders!$L$2:$L$2864,Orders!$C$2:$C$2864,$C$3,Orders!$D$2:$D$2864,IF($C$4=0,"&gt;0",$C$4),Orders!$E$2:$E$2864,B200)</f>
        <v>614</v>
      </c>
      <c r="E200" s="0" t="n">
        <f aca="false">COUNTIFS(Orders!$C$2:$C$2864,$C$3,Orders!$D$2:$D$2864,IF($C$4=0,"&gt;0",$C$4),Orders!$E$2:$E$2864,B200)</f>
        <v>5</v>
      </c>
      <c r="F200" s="0" t="n">
        <f aca="false">D200+ROW()/100000</f>
        <v>614.002</v>
      </c>
      <c r="G200" s="0" t="n">
        <f aca="false">RANK(F200,$F$61:$F$580)</f>
        <v>74</v>
      </c>
    </row>
    <row r="201" customFormat="false" ht="15" hidden="false" customHeight="false" outlineLevel="0" collapsed="false">
      <c r="B201" s="0" t="s">
        <v>829</v>
      </c>
      <c r="C201" s="0" t="s">
        <v>81</v>
      </c>
      <c r="D201" s="0" t="n">
        <f aca="false">SUMIFS(Orders!$L$2:$L$2864,Orders!$C$2:$C$2864,$C$3,Orders!$D$2:$D$2864,IF($C$4=0,"&gt;0",$C$4),Orders!$E$2:$E$2864,B201)</f>
        <v>99</v>
      </c>
      <c r="E201" s="0" t="n">
        <f aca="false">COUNTIFS(Orders!$C$2:$C$2864,$C$3,Orders!$D$2:$D$2864,IF($C$4=0,"&gt;0",$C$4),Orders!$E$2:$E$2864,B201)</f>
        <v>1</v>
      </c>
      <c r="F201" s="0" t="n">
        <f aca="false">D201+ROW()/100000</f>
        <v>99.00201</v>
      </c>
      <c r="G201" s="0" t="n">
        <f aca="false">RANK(F201,$F$61:$F$580)</f>
        <v>356</v>
      </c>
    </row>
    <row r="202" customFormat="false" ht="15" hidden="false" customHeight="false" outlineLevel="0" collapsed="false">
      <c r="B202" s="0" t="s">
        <v>719</v>
      </c>
      <c r="C202" s="0" t="s">
        <v>81</v>
      </c>
      <c r="D202" s="0" t="n">
        <f aca="false">SUMIFS(Orders!$L$2:$L$2864,Orders!$C$2:$C$2864,$C$3,Orders!$D$2:$D$2864,IF($C$4=0,"&gt;0",$C$4),Orders!$E$2:$E$2864,B202)</f>
        <v>119</v>
      </c>
      <c r="E202" s="0" t="n">
        <f aca="false">COUNTIFS(Orders!$C$2:$C$2864,$C$3,Orders!$D$2:$D$2864,IF($C$4=0,"&gt;0",$C$4),Orders!$E$2:$E$2864,B202)</f>
        <v>1</v>
      </c>
      <c r="F202" s="0" t="n">
        <f aca="false">D202+ROW()/100000</f>
        <v>119.00202</v>
      </c>
      <c r="G202" s="0" t="n">
        <f aca="false">RANK(F202,$F$61:$F$580)</f>
        <v>327</v>
      </c>
    </row>
    <row r="203" customFormat="false" ht="15" hidden="false" customHeight="false" outlineLevel="0" collapsed="false">
      <c r="B203" s="0" t="s">
        <v>2760</v>
      </c>
      <c r="C203" s="0" t="s">
        <v>81</v>
      </c>
      <c r="D203" s="0" t="n">
        <f aca="false">SUMIFS(Orders!$L$2:$L$2864,Orders!$C$2:$C$2864,$C$3,Orders!$D$2:$D$2864,IF($C$4=0,"&gt;0",$C$4),Orders!$E$2:$E$2864,B203)</f>
        <v>179</v>
      </c>
      <c r="E203" s="0" t="n">
        <f aca="false">COUNTIFS(Orders!$C$2:$C$2864,$C$3,Orders!$D$2:$D$2864,IF($C$4=0,"&gt;0",$C$4),Orders!$E$2:$E$2864,B203)</f>
        <v>1</v>
      </c>
      <c r="F203" s="0" t="n">
        <f aca="false">D203+ROW()/100000</f>
        <v>179.00203</v>
      </c>
      <c r="G203" s="0" t="n">
        <f aca="false">RANK(F203,$F$61:$F$580)</f>
        <v>276</v>
      </c>
    </row>
    <row r="204" customFormat="false" ht="15" hidden="false" customHeight="false" outlineLevel="0" collapsed="false">
      <c r="B204" s="0" t="s">
        <v>935</v>
      </c>
      <c r="C204" s="0" t="s">
        <v>72</v>
      </c>
      <c r="D204" s="0" t="n">
        <f aca="false">SUMIFS(Orders!$L$2:$L$2864,Orders!$C$2:$C$2864,$C$3,Orders!$D$2:$D$2864,IF($C$4=0,"&gt;0",$C$4),Orders!$E$2:$E$2864,B204)</f>
        <v>0</v>
      </c>
      <c r="E204" s="0" t="n">
        <f aca="false">COUNTIFS(Orders!$C$2:$C$2864,$C$3,Orders!$D$2:$D$2864,IF($C$4=0,"&gt;0",$C$4),Orders!$E$2:$E$2864,B204)</f>
        <v>0</v>
      </c>
      <c r="F204" s="0" t="n">
        <f aca="false">D204+ROW()/100000</f>
        <v>0.00204</v>
      </c>
      <c r="G204" s="0" t="n">
        <f aca="false">RANK(F204,$F$61:$F$580)</f>
        <v>518</v>
      </c>
    </row>
    <row r="205" customFormat="false" ht="15" hidden="false" customHeight="false" outlineLevel="0" collapsed="false">
      <c r="B205" s="0" t="s">
        <v>796</v>
      </c>
      <c r="C205" s="0" t="s">
        <v>69</v>
      </c>
      <c r="D205" s="0" t="n">
        <f aca="false">SUMIFS(Orders!$L$2:$L$2864,Orders!$C$2:$C$2864,$C$3,Orders!$D$2:$D$2864,IF($C$4=0,"&gt;0",$C$4),Orders!$E$2:$E$2864,B205)</f>
        <v>301</v>
      </c>
      <c r="E205" s="0" t="n">
        <f aca="false">COUNTIFS(Orders!$C$2:$C$2864,$C$3,Orders!$D$2:$D$2864,IF($C$4=0,"&gt;0",$C$4),Orders!$E$2:$E$2864,B205)</f>
        <v>4</v>
      </c>
      <c r="F205" s="0" t="n">
        <f aca="false">D205+ROW()/100000</f>
        <v>301.00205</v>
      </c>
      <c r="G205" s="0" t="n">
        <f aca="false">RANK(F205,$F$61:$F$580)</f>
        <v>168</v>
      </c>
    </row>
    <row r="206" customFormat="false" ht="15" hidden="false" customHeight="false" outlineLevel="0" collapsed="false">
      <c r="B206" s="0" t="s">
        <v>2003</v>
      </c>
      <c r="C206" s="0" t="s">
        <v>78</v>
      </c>
      <c r="D206" s="0" t="n">
        <f aca="false">SUMIFS(Orders!$L$2:$L$2864,Orders!$C$2:$C$2864,$C$3,Orders!$D$2:$D$2864,IF($C$4=0,"&gt;0",$C$4),Orders!$E$2:$E$2864,B206)</f>
        <v>163</v>
      </c>
      <c r="E206" s="0" t="n">
        <f aca="false">COUNTIFS(Orders!$C$2:$C$2864,$C$3,Orders!$D$2:$D$2864,IF($C$4=0,"&gt;0",$C$4),Orders!$E$2:$E$2864,B206)</f>
        <v>3</v>
      </c>
      <c r="F206" s="0" t="n">
        <f aca="false">D206+ROW()/100000</f>
        <v>163.00206</v>
      </c>
      <c r="G206" s="0" t="n">
        <f aca="false">RANK(F206,$F$61:$F$580)</f>
        <v>292</v>
      </c>
    </row>
    <row r="207" customFormat="false" ht="15" hidden="false" customHeight="false" outlineLevel="0" collapsed="false">
      <c r="B207" s="0" t="s">
        <v>1523</v>
      </c>
      <c r="C207" s="0" t="s">
        <v>69</v>
      </c>
      <c r="D207" s="0" t="n">
        <f aca="false">SUMIFS(Orders!$L$2:$L$2864,Orders!$C$2:$C$2864,$C$3,Orders!$D$2:$D$2864,IF($C$4=0,"&gt;0",$C$4),Orders!$E$2:$E$2864,B207)</f>
        <v>280</v>
      </c>
      <c r="E207" s="0" t="n">
        <f aca="false">COUNTIFS(Orders!$C$2:$C$2864,$C$3,Orders!$D$2:$D$2864,IF($C$4=0,"&gt;0",$C$4),Orders!$E$2:$E$2864,B207)</f>
        <v>4</v>
      </c>
      <c r="F207" s="0" t="n">
        <f aca="false">D207+ROW()/100000</f>
        <v>280.00207</v>
      </c>
      <c r="G207" s="0" t="n">
        <f aca="false">RANK(F207,$F$61:$F$580)</f>
        <v>183</v>
      </c>
    </row>
    <row r="208" customFormat="false" ht="15" hidden="false" customHeight="false" outlineLevel="0" collapsed="false">
      <c r="B208" s="0" t="s">
        <v>1650</v>
      </c>
      <c r="C208" s="0" t="s">
        <v>72</v>
      </c>
      <c r="D208" s="0" t="n">
        <f aca="false">SUMIFS(Orders!$L$2:$L$2864,Orders!$C$2:$C$2864,$C$3,Orders!$D$2:$D$2864,IF($C$4=0,"&gt;0",$C$4),Orders!$E$2:$E$2864,B208)</f>
        <v>142</v>
      </c>
      <c r="E208" s="0" t="n">
        <f aca="false">COUNTIFS(Orders!$C$2:$C$2864,$C$3,Orders!$D$2:$D$2864,IF($C$4=0,"&gt;0",$C$4),Orders!$E$2:$E$2864,B208)</f>
        <v>2</v>
      </c>
      <c r="F208" s="0" t="n">
        <f aca="false">D208+ROW()/100000</f>
        <v>142.00208</v>
      </c>
      <c r="G208" s="0" t="n">
        <f aca="false">RANK(F208,$F$61:$F$580)</f>
        <v>310</v>
      </c>
    </row>
    <row r="209" customFormat="false" ht="15" hidden="false" customHeight="false" outlineLevel="0" collapsed="false">
      <c r="B209" s="0" t="s">
        <v>1589</v>
      </c>
      <c r="C209" s="0" t="s">
        <v>78</v>
      </c>
      <c r="D209" s="0" t="n">
        <f aca="false">SUMIFS(Orders!$L$2:$L$2864,Orders!$C$2:$C$2864,$C$3,Orders!$D$2:$D$2864,IF($C$4=0,"&gt;0",$C$4),Orders!$E$2:$E$2864,B209)</f>
        <v>0</v>
      </c>
      <c r="E209" s="0" t="n">
        <f aca="false">COUNTIFS(Orders!$C$2:$C$2864,$C$3,Orders!$D$2:$D$2864,IF($C$4=0,"&gt;0",$C$4),Orders!$E$2:$E$2864,B209)</f>
        <v>0</v>
      </c>
      <c r="F209" s="0" t="n">
        <f aca="false">D209+ROW()/100000</f>
        <v>0.00209</v>
      </c>
      <c r="G209" s="0" t="n">
        <f aca="false">RANK(F209,$F$61:$F$580)</f>
        <v>517</v>
      </c>
    </row>
    <row r="210" customFormat="false" ht="15" hidden="false" customHeight="false" outlineLevel="0" collapsed="false">
      <c r="B210" s="0" t="s">
        <v>2252</v>
      </c>
      <c r="C210" s="0" t="s">
        <v>72</v>
      </c>
      <c r="D210" s="0" t="n">
        <f aca="false">SUMIFS(Orders!$L$2:$L$2864,Orders!$C$2:$C$2864,$C$3,Orders!$D$2:$D$2864,IF($C$4=0,"&gt;0",$C$4),Orders!$E$2:$E$2864,B210)</f>
        <v>207</v>
      </c>
      <c r="E210" s="0" t="n">
        <f aca="false">COUNTIFS(Orders!$C$2:$C$2864,$C$3,Orders!$D$2:$D$2864,IF($C$4=0,"&gt;0",$C$4),Orders!$E$2:$E$2864,B210)</f>
        <v>3</v>
      </c>
      <c r="F210" s="0" t="n">
        <f aca="false">D210+ROW()/100000</f>
        <v>207.0021</v>
      </c>
      <c r="G210" s="0" t="n">
        <f aca="false">RANK(F210,$F$61:$F$580)</f>
        <v>248</v>
      </c>
    </row>
    <row r="211" customFormat="false" ht="15" hidden="false" customHeight="false" outlineLevel="0" collapsed="false">
      <c r="B211" s="0" t="s">
        <v>903</v>
      </c>
      <c r="C211" s="0" t="s">
        <v>69</v>
      </c>
      <c r="D211" s="0" t="n">
        <f aca="false">SUMIFS(Orders!$L$2:$L$2864,Orders!$C$2:$C$2864,$C$3,Orders!$D$2:$D$2864,IF($C$4=0,"&gt;0",$C$4),Orders!$E$2:$E$2864,B211)</f>
        <v>304</v>
      </c>
      <c r="E211" s="0" t="n">
        <f aca="false">COUNTIFS(Orders!$C$2:$C$2864,$C$3,Orders!$D$2:$D$2864,IF($C$4=0,"&gt;0",$C$4),Orders!$E$2:$E$2864,B211)</f>
        <v>3</v>
      </c>
      <c r="F211" s="0" t="n">
        <f aca="false">D211+ROW()/100000</f>
        <v>304.00211</v>
      </c>
      <c r="G211" s="0" t="n">
        <f aca="false">RANK(F211,$F$61:$F$580)</f>
        <v>166</v>
      </c>
    </row>
    <row r="212" customFormat="false" ht="15" hidden="false" customHeight="false" outlineLevel="0" collapsed="false">
      <c r="B212" s="0" t="s">
        <v>970</v>
      </c>
      <c r="C212" s="0" t="s">
        <v>75</v>
      </c>
      <c r="D212" s="0" t="n">
        <f aca="false">SUMIFS(Orders!$L$2:$L$2864,Orders!$C$2:$C$2864,$C$3,Orders!$D$2:$D$2864,IF($C$4=0,"&gt;0",$C$4),Orders!$E$2:$E$2864,B212)</f>
        <v>0</v>
      </c>
      <c r="E212" s="0" t="n">
        <f aca="false">COUNTIFS(Orders!$C$2:$C$2864,$C$3,Orders!$D$2:$D$2864,IF($C$4=0,"&gt;0",$C$4),Orders!$E$2:$E$2864,B212)</f>
        <v>0</v>
      </c>
      <c r="F212" s="0" t="n">
        <f aca="false">D212+ROW()/100000</f>
        <v>0.00212</v>
      </c>
      <c r="G212" s="0" t="n">
        <f aca="false">RANK(F212,$F$61:$F$580)</f>
        <v>516</v>
      </c>
    </row>
    <row r="213" customFormat="false" ht="15" hidden="false" customHeight="false" outlineLevel="0" collapsed="false">
      <c r="B213" s="0" t="s">
        <v>2050</v>
      </c>
      <c r="C213" s="0" t="s">
        <v>72</v>
      </c>
      <c r="D213" s="0" t="n">
        <f aca="false">SUMIFS(Orders!$L$2:$L$2864,Orders!$C$2:$C$2864,$C$3,Orders!$D$2:$D$2864,IF($C$4=0,"&gt;0",$C$4),Orders!$E$2:$E$2864,B213)</f>
        <v>238</v>
      </c>
      <c r="E213" s="0" t="n">
        <f aca="false">COUNTIFS(Orders!$C$2:$C$2864,$C$3,Orders!$D$2:$D$2864,IF($C$4=0,"&gt;0",$C$4),Orders!$E$2:$E$2864,B213)</f>
        <v>2</v>
      </c>
      <c r="F213" s="0" t="n">
        <f aca="false">D213+ROW()/100000</f>
        <v>238.00213</v>
      </c>
      <c r="G213" s="0" t="n">
        <f aca="false">RANK(F213,$F$61:$F$580)</f>
        <v>219</v>
      </c>
    </row>
    <row r="214" customFormat="false" ht="15" hidden="false" customHeight="false" outlineLevel="0" collapsed="false">
      <c r="B214" s="0" t="s">
        <v>1638</v>
      </c>
      <c r="C214" s="0" t="s">
        <v>78</v>
      </c>
      <c r="D214" s="0" t="n">
        <f aca="false">SUMIFS(Orders!$L$2:$L$2864,Orders!$C$2:$C$2864,$C$3,Orders!$D$2:$D$2864,IF($C$4=0,"&gt;0",$C$4),Orders!$E$2:$E$2864,B214)</f>
        <v>39</v>
      </c>
      <c r="E214" s="0" t="n">
        <f aca="false">COUNTIFS(Orders!$C$2:$C$2864,$C$3,Orders!$D$2:$D$2864,IF($C$4=0,"&gt;0",$C$4),Orders!$E$2:$E$2864,B214)</f>
        <v>1</v>
      </c>
      <c r="F214" s="0" t="n">
        <f aca="false">D214+ROW()/100000</f>
        <v>39.00214</v>
      </c>
      <c r="G214" s="0" t="n">
        <f aca="false">RANK(F214,$F$61:$F$580)</f>
        <v>441</v>
      </c>
    </row>
    <row r="215" customFormat="false" ht="15" hidden="false" customHeight="false" outlineLevel="0" collapsed="false">
      <c r="B215" s="0" t="s">
        <v>924</v>
      </c>
      <c r="C215" s="0" t="s">
        <v>72</v>
      </c>
      <c r="D215" s="0" t="n">
        <f aca="false">SUMIFS(Orders!$L$2:$L$2864,Orders!$C$2:$C$2864,$C$3,Orders!$D$2:$D$2864,IF($C$4=0,"&gt;0",$C$4),Orders!$E$2:$E$2864,B215)</f>
        <v>240</v>
      </c>
      <c r="E215" s="0" t="n">
        <f aca="false">COUNTIFS(Orders!$C$2:$C$2864,$C$3,Orders!$D$2:$D$2864,IF($C$4=0,"&gt;0",$C$4),Orders!$E$2:$E$2864,B215)</f>
        <v>4</v>
      </c>
      <c r="F215" s="0" t="n">
        <f aca="false">D215+ROW()/100000</f>
        <v>240.00215</v>
      </c>
      <c r="G215" s="0" t="n">
        <f aca="false">RANK(F215,$F$61:$F$580)</f>
        <v>213</v>
      </c>
    </row>
    <row r="216" customFormat="false" ht="15" hidden="false" customHeight="false" outlineLevel="0" collapsed="false">
      <c r="B216" s="0" t="s">
        <v>712</v>
      </c>
      <c r="C216" s="0" t="s">
        <v>78</v>
      </c>
      <c r="D216" s="0" t="n">
        <f aca="false">SUMIFS(Orders!$L$2:$L$2864,Orders!$C$2:$C$2864,$C$3,Orders!$D$2:$D$2864,IF($C$4=0,"&gt;0",$C$4),Orders!$E$2:$E$2864,B216)</f>
        <v>80</v>
      </c>
      <c r="E216" s="0" t="n">
        <f aca="false">COUNTIFS(Orders!$C$2:$C$2864,$C$3,Orders!$D$2:$D$2864,IF($C$4=0,"&gt;0",$C$4),Orders!$E$2:$E$2864,B216)</f>
        <v>2</v>
      </c>
      <c r="F216" s="0" t="n">
        <f aca="false">D216+ROW()/100000</f>
        <v>80.00216</v>
      </c>
      <c r="G216" s="0" t="n">
        <f aca="false">RANK(F216,$F$61:$F$580)</f>
        <v>391</v>
      </c>
    </row>
    <row r="217" customFormat="false" ht="15" hidden="false" customHeight="false" outlineLevel="0" collapsed="false">
      <c r="B217" s="0" t="s">
        <v>2788</v>
      </c>
      <c r="C217" s="0" t="s">
        <v>75</v>
      </c>
      <c r="D217" s="0" t="n">
        <f aca="false">SUMIFS(Orders!$L$2:$L$2864,Orders!$C$2:$C$2864,$C$3,Orders!$D$2:$D$2864,IF($C$4=0,"&gt;0",$C$4),Orders!$E$2:$E$2864,B217)</f>
        <v>90</v>
      </c>
      <c r="E217" s="0" t="n">
        <f aca="false">COUNTIFS(Orders!$C$2:$C$2864,$C$3,Orders!$D$2:$D$2864,IF($C$4=0,"&gt;0",$C$4),Orders!$E$2:$E$2864,B217)</f>
        <v>1</v>
      </c>
      <c r="F217" s="0" t="n">
        <f aca="false">D217+ROW()/100000</f>
        <v>90.00217</v>
      </c>
      <c r="G217" s="0" t="n">
        <f aca="false">RANK(F217,$F$61:$F$580)</f>
        <v>371</v>
      </c>
    </row>
    <row r="218" customFormat="false" ht="15" hidden="false" customHeight="false" outlineLevel="0" collapsed="false">
      <c r="B218" s="0" t="s">
        <v>908</v>
      </c>
      <c r="C218" s="0" t="s">
        <v>72</v>
      </c>
      <c r="D218" s="0" t="n">
        <f aca="false">SUMIFS(Orders!$L$2:$L$2864,Orders!$C$2:$C$2864,$C$3,Orders!$D$2:$D$2864,IF($C$4=0,"&gt;0",$C$4),Orders!$E$2:$E$2864,B218)</f>
        <v>275</v>
      </c>
      <c r="E218" s="0" t="n">
        <f aca="false">COUNTIFS(Orders!$C$2:$C$2864,$C$3,Orders!$D$2:$D$2864,IF($C$4=0,"&gt;0",$C$4),Orders!$E$2:$E$2864,B218)</f>
        <v>3</v>
      </c>
      <c r="F218" s="0" t="n">
        <f aca="false">D218+ROW()/100000</f>
        <v>275.00218</v>
      </c>
      <c r="G218" s="0" t="n">
        <f aca="false">RANK(F218,$F$61:$F$580)</f>
        <v>190</v>
      </c>
    </row>
    <row r="219" customFormat="false" ht="15" hidden="false" customHeight="false" outlineLevel="0" collapsed="false">
      <c r="B219" s="0" t="s">
        <v>162</v>
      </c>
      <c r="C219" s="0" t="s">
        <v>78</v>
      </c>
      <c r="D219" s="0" t="n">
        <f aca="false">SUMIFS(Orders!$L$2:$L$2864,Orders!$C$2:$C$2864,$C$3,Orders!$D$2:$D$2864,IF($C$4=0,"&gt;0",$C$4),Orders!$E$2:$E$2864,B219)</f>
        <v>46</v>
      </c>
      <c r="E219" s="0" t="n">
        <f aca="false">COUNTIFS(Orders!$C$2:$C$2864,$C$3,Orders!$D$2:$D$2864,IF($C$4=0,"&gt;0",$C$4),Orders!$E$2:$E$2864,B219)</f>
        <v>1</v>
      </c>
      <c r="F219" s="0" t="n">
        <f aca="false">D219+ROW()/100000</f>
        <v>46.00219</v>
      </c>
      <c r="G219" s="0" t="n">
        <f aca="false">RANK(F219,$F$61:$F$580)</f>
        <v>434</v>
      </c>
    </row>
    <row r="220" customFormat="false" ht="15" hidden="false" customHeight="false" outlineLevel="0" collapsed="false">
      <c r="B220" s="0" t="s">
        <v>906</v>
      </c>
      <c r="C220" s="0" t="s">
        <v>78</v>
      </c>
      <c r="D220" s="0" t="n">
        <f aca="false">SUMIFS(Orders!$L$2:$L$2864,Orders!$C$2:$C$2864,$C$3,Orders!$D$2:$D$2864,IF($C$4=0,"&gt;0",$C$4),Orders!$E$2:$E$2864,B220)</f>
        <v>119</v>
      </c>
      <c r="E220" s="0" t="n">
        <f aca="false">COUNTIFS(Orders!$C$2:$C$2864,$C$3,Orders!$D$2:$D$2864,IF($C$4=0,"&gt;0",$C$4),Orders!$E$2:$E$2864,B220)</f>
        <v>1</v>
      </c>
      <c r="F220" s="0" t="n">
        <f aca="false">D220+ROW()/100000</f>
        <v>119.0022</v>
      </c>
      <c r="G220" s="0" t="n">
        <f aca="false">RANK(F220,$F$61:$F$580)</f>
        <v>326</v>
      </c>
    </row>
    <row r="221" customFormat="false" ht="15" hidden="false" customHeight="false" outlineLevel="0" collapsed="false">
      <c r="B221" s="0" t="s">
        <v>1070</v>
      </c>
      <c r="C221" s="0" t="s">
        <v>69</v>
      </c>
      <c r="D221" s="0" t="n">
        <f aca="false">SUMIFS(Orders!$L$2:$L$2864,Orders!$C$2:$C$2864,$C$3,Orders!$D$2:$D$2864,IF($C$4=0,"&gt;0",$C$4),Orders!$E$2:$E$2864,B221)</f>
        <v>403</v>
      </c>
      <c r="E221" s="0" t="n">
        <f aca="false">COUNTIFS(Orders!$C$2:$C$2864,$C$3,Orders!$D$2:$D$2864,IF($C$4=0,"&gt;0",$C$4),Orders!$E$2:$E$2864,B221)</f>
        <v>2</v>
      </c>
      <c r="F221" s="0" t="n">
        <f aca="false">D221+ROW()/100000</f>
        <v>403.00221</v>
      </c>
      <c r="G221" s="0" t="n">
        <f aca="false">RANK(F221,$F$61:$F$580)</f>
        <v>130</v>
      </c>
    </row>
    <row r="222" customFormat="false" ht="15" hidden="false" customHeight="false" outlineLevel="0" collapsed="false">
      <c r="B222" s="0" t="s">
        <v>1977</v>
      </c>
      <c r="C222" s="0" t="s">
        <v>69</v>
      </c>
      <c r="D222" s="0" t="n">
        <f aca="false">SUMIFS(Orders!$L$2:$L$2864,Orders!$C$2:$C$2864,$C$3,Orders!$D$2:$D$2864,IF($C$4=0,"&gt;0",$C$4),Orders!$E$2:$E$2864,B222)</f>
        <v>304</v>
      </c>
      <c r="E222" s="0" t="n">
        <f aca="false">COUNTIFS(Orders!$C$2:$C$2864,$C$3,Orders!$D$2:$D$2864,IF($C$4=0,"&gt;0",$C$4),Orders!$E$2:$E$2864,B222)</f>
        <v>3</v>
      </c>
      <c r="F222" s="0" t="n">
        <f aca="false">D222+ROW()/100000</f>
        <v>304.00222</v>
      </c>
      <c r="G222" s="0" t="n">
        <f aca="false">RANK(F222,$F$61:$F$580)</f>
        <v>165</v>
      </c>
    </row>
    <row r="223" customFormat="false" ht="15" hidden="false" customHeight="false" outlineLevel="0" collapsed="false">
      <c r="B223" s="0" t="s">
        <v>418</v>
      </c>
      <c r="C223" s="0" t="s">
        <v>78</v>
      </c>
      <c r="D223" s="0" t="n">
        <f aca="false">SUMIFS(Orders!$L$2:$L$2864,Orders!$C$2:$C$2864,$C$3,Orders!$D$2:$D$2864,IF($C$4=0,"&gt;0",$C$4),Orders!$E$2:$E$2864,B223)</f>
        <v>407</v>
      </c>
      <c r="E223" s="0" t="n">
        <f aca="false">COUNTIFS(Orders!$C$2:$C$2864,$C$3,Orders!$D$2:$D$2864,IF($C$4=0,"&gt;0",$C$4),Orders!$E$2:$E$2864,B223)</f>
        <v>2</v>
      </c>
      <c r="F223" s="0" t="n">
        <f aca="false">D223+ROW()/100000</f>
        <v>407.00223</v>
      </c>
      <c r="G223" s="0" t="n">
        <f aca="false">RANK(F223,$F$61:$F$580)</f>
        <v>126</v>
      </c>
    </row>
    <row r="224" customFormat="false" ht="15" hidden="false" customHeight="false" outlineLevel="0" collapsed="false">
      <c r="B224" s="0" t="s">
        <v>269</v>
      </c>
      <c r="C224" s="0" t="s">
        <v>81</v>
      </c>
      <c r="D224" s="0" t="n">
        <f aca="false">SUMIFS(Orders!$L$2:$L$2864,Orders!$C$2:$C$2864,$C$3,Orders!$D$2:$D$2864,IF($C$4=0,"&gt;0",$C$4),Orders!$E$2:$E$2864,B224)</f>
        <v>247</v>
      </c>
      <c r="E224" s="0" t="n">
        <f aca="false">COUNTIFS(Orders!$C$2:$C$2864,$C$3,Orders!$D$2:$D$2864,IF($C$4=0,"&gt;0",$C$4),Orders!$E$2:$E$2864,B224)</f>
        <v>2</v>
      </c>
      <c r="F224" s="0" t="n">
        <f aca="false">D224+ROW()/100000</f>
        <v>247.00224</v>
      </c>
      <c r="G224" s="0" t="n">
        <f aca="false">RANK(F224,$F$61:$F$580)</f>
        <v>210</v>
      </c>
    </row>
    <row r="225" customFormat="false" ht="15" hidden="false" customHeight="false" outlineLevel="0" collapsed="false">
      <c r="B225" s="0" t="s">
        <v>1813</v>
      </c>
      <c r="C225" s="0" t="s">
        <v>78</v>
      </c>
      <c r="D225" s="0" t="n">
        <f aca="false">SUMIFS(Orders!$L$2:$L$2864,Orders!$C$2:$C$2864,$C$3,Orders!$D$2:$D$2864,IF($C$4=0,"&gt;0",$C$4),Orders!$E$2:$E$2864,B225)</f>
        <v>89</v>
      </c>
      <c r="E225" s="0" t="n">
        <f aca="false">COUNTIFS(Orders!$C$2:$C$2864,$C$3,Orders!$D$2:$D$2864,IF($C$4=0,"&gt;0",$C$4),Orders!$E$2:$E$2864,B225)</f>
        <v>1</v>
      </c>
      <c r="F225" s="0" t="n">
        <f aca="false">D225+ROW()/100000</f>
        <v>89.00225</v>
      </c>
      <c r="G225" s="0" t="n">
        <f aca="false">RANK(F225,$F$61:$F$580)</f>
        <v>382</v>
      </c>
    </row>
    <row r="226" customFormat="false" ht="15" hidden="false" customHeight="false" outlineLevel="0" collapsed="false">
      <c r="B226" s="0" t="s">
        <v>223</v>
      </c>
      <c r="C226" s="0" t="s">
        <v>69</v>
      </c>
      <c r="D226" s="0" t="n">
        <f aca="false">SUMIFS(Orders!$L$2:$L$2864,Orders!$C$2:$C$2864,$C$3,Orders!$D$2:$D$2864,IF($C$4=0,"&gt;0",$C$4),Orders!$E$2:$E$2864,B226)</f>
        <v>286</v>
      </c>
      <c r="E226" s="0" t="n">
        <f aca="false">COUNTIFS(Orders!$C$2:$C$2864,$C$3,Orders!$D$2:$D$2864,IF($C$4=0,"&gt;0",$C$4),Orders!$E$2:$E$2864,B226)</f>
        <v>3</v>
      </c>
      <c r="F226" s="0" t="n">
        <f aca="false">D226+ROW()/100000</f>
        <v>286.00226</v>
      </c>
      <c r="G226" s="0" t="n">
        <f aca="false">RANK(F226,$F$61:$F$580)</f>
        <v>180</v>
      </c>
    </row>
    <row r="227" customFormat="false" ht="15" hidden="false" customHeight="false" outlineLevel="0" collapsed="false">
      <c r="B227" s="0" t="s">
        <v>106</v>
      </c>
      <c r="C227" s="0" t="s">
        <v>72</v>
      </c>
      <c r="D227" s="0" t="n">
        <f aca="false">SUMIFS(Orders!$L$2:$L$2864,Orders!$C$2:$C$2864,$C$3,Orders!$D$2:$D$2864,IF($C$4=0,"&gt;0",$C$4),Orders!$E$2:$E$2864,B227)</f>
        <v>79</v>
      </c>
      <c r="E227" s="0" t="n">
        <f aca="false">COUNTIFS(Orders!$C$2:$C$2864,$C$3,Orders!$D$2:$D$2864,IF($C$4=0,"&gt;0",$C$4),Orders!$E$2:$E$2864,B227)</f>
        <v>1</v>
      </c>
      <c r="F227" s="0" t="n">
        <f aca="false">D227+ROW()/100000</f>
        <v>79.00227</v>
      </c>
      <c r="G227" s="0" t="n">
        <f aca="false">RANK(F227,$F$61:$F$580)</f>
        <v>398</v>
      </c>
    </row>
    <row r="228" customFormat="false" ht="15" hidden="false" customHeight="false" outlineLevel="0" collapsed="false">
      <c r="B228" s="0" t="s">
        <v>443</v>
      </c>
      <c r="C228" s="0" t="s">
        <v>75</v>
      </c>
      <c r="D228" s="0" t="n">
        <f aca="false">SUMIFS(Orders!$L$2:$L$2864,Orders!$C$2:$C$2864,$C$3,Orders!$D$2:$D$2864,IF($C$4=0,"&gt;0",$C$4),Orders!$E$2:$E$2864,B228)</f>
        <v>238</v>
      </c>
      <c r="E228" s="0" t="n">
        <f aca="false">COUNTIFS(Orders!$C$2:$C$2864,$C$3,Orders!$D$2:$D$2864,IF($C$4=0,"&gt;0",$C$4),Orders!$E$2:$E$2864,B228)</f>
        <v>2</v>
      </c>
      <c r="F228" s="0" t="n">
        <f aca="false">D228+ROW()/100000</f>
        <v>238.00228</v>
      </c>
      <c r="G228" s="0" t="n">
        <f aca="false">RANK(F228,$F$61:$F$580)</f>
        <v>218</v>
      </c>
    </row>
    <row r="229" customFormat="false" ht="15" hidden="false" customHeight="false" outlineLevel="0" collapsed="false">
      <c r="B229" s="0" t="s">
        <v>2083</v>
      </c>
      <c r="C229" s="0" t="s">
        <v>75</v>
      </c>
      <c r="D229" s="0" t="n">
        <f aca="false">SUMIFS(Orders!$L$2:$L$2864,Orders!$C$2:$C$2864,$C$3,Orders!$D$2:$D$2864,IF($C$4=0,"&gt;0",$C$4),Orders!$E$2:$E$2864,B229)</f>
        <v>149</v>
      </c>
      <c r="E229" s="0" t="n">
        <f aca="false">COUNTIFS(Orders!$C$2:$C$2864,$C$3,Orders!$D$2:$D$2864,IF($C$4=0,"&gt;0",$C$4),Orders!$E$2:$E$2864,B229)</f>
        <v>1</v>
      </c>
      <c r="F229" s="0" t="n">
        <f aca="false">D229+ROW()/100000</f>
        <v>149.00229</v>
      </c>
      <c r="G229" s="0" t="n">
        <f aca="false">RANK(F229,$F$61:$F$580)</f>
        <v>304</v>
      </c>
    </row>
    <row r="230" customFormat="false" ht="15" hidden="false" customHeight="false" outlineLevel="0" collapsed="false">
      <c r="B230" s="0" t="s">
        <v>175</v>
      </c>
      <c r="C230" s="0" t="s">
        <v>75</v>
      </c>
      <c r="D230" s="0" t="n">
        <f aca="false">SUMIFS(Orders!$L$2:$L$2864,Orders!$C$2:$C$2864,$C$3,Orders!$D$2:$D$2864,IF($C$4=0,"&gt;0",$C$4),Orders!$E$2:$E$2864,B230)</f>
        <v>505</v>
      </c>
      <c r="E230" s="0" t="n">
        <f aca="false">COUNTIFS(Orders!$C$2:$C$2864,$C$3,Orders!$D$2:$D$2864,IF($C$4=0,"&gt;0",$C$4),Orders!$E$2:$E$2864,B230)</f>
        <v>3</v>
      </c>
      <c r="F230" s="0" t="n">
        <f aca="false">D230+ROW()/100000</f>
        <v>505.0023</v>
      </c>
      <c r="G230" s="0" t="n">
        <f aca="false">RANK(F230,$F$61:$F$580)</f>
        <v>101</v>
      </c>
    </row>
    <row r="231" customFormat="false" ht="15" hidden="false" customHeight="false" outlineLevel="0" collapsed="false">
      <c r="B231" s="0" t="s">
        <v>1884</v>
      </c>
      <c r="C231" s="0" t="s">
        <v>78</v>
      </c>
      <c r="D231" s="0" t="n">
        <f aca="false">SUMIFS(Orders!$L$2:$L$2864,Orders!$C$2:$C$2864,$C$3,Orders!$D$2:$D$2864,IF($C$4=0,"&gt;0",$C$4),Orders!$E$2:$E$2864,B231)</f>
        <v>206</v>
      </c>
      <c r="E231" s="0" t="n">
        <f aca="false">COUNTIFS(Orders!$C$2:$C$2864,$C$3,Orders!$D$2:$D$2864,IF($C$4=0,"&gt;0",$C$4),Orders!$E$2:$E$2864,B231)</f>
        <v>3</v>
      </c>
      <c r="F231" s="0" t="n">
        <f aca="false">D231+ROW()/100000</f>
        <v>206.00231</v>
      </c>
      <c r="G231" s="0" t="n">
        <f aca="false">RANK(F231,$F$61:$F$580)</f>
        <v>252</v>
      </c>
    </row>
    <row r="232" customFormat="false" ht="15" hidden="false" customHeight="false" outlineLevel="0" collapsed="false">
      <c r="B232" s="0" t="s">
        <v>1849</v>
      </c>
      <c r="C232" s="0" t="s">
        <v>69</v>
      </c>
      <c r="D232" s="0" t="n">
        <f aca="false">SUMIFS(Orders!$L$2:$L$2864,Orders!$C$2:$C$2864,$C$3,Orders!$D$2:$D$2864,IF($C$4=0,"&gt;0",$C$4),Orders!$E$2:$E$2864,B232)</f>
        <v>59</v>
      </c>
      <c r="E232" s="0" t="n">
        <f aca="false">COUNTIFS(Orders!$C$2:$C$2864,$C$3,Orders!$D$2:$D$2864,IF($C$4=0,"&gt;0",$C$4),Orders!$E$2:$E$2864,B232)</f>
        <v>1</v>
      </c>
      <c r="F232" s="0" t="n">
        <f aca="false">D232+ROW()/100000</f>
        <v>59.00232</v>
      </c>
      <c r="G232" s="0" t="n">
        <f aca="false">RANK(F232,$F$61:$F$580)</f>
        <v>412</v>
      </c>
    </row>
    <row r="233" customFormat="false" ht="15" hidden="false" customHeight="false" outlineLevel="0" collapsed="false">
      <c r="B233" s="0" t="s">
        <v>818</v>
      </c>
      <c r="C233" s="0" t="s">
        <v>69</v>
      </c>
      <c r="D233" s="0" t="n">
        <f aca="false">SUMIFS(Orders!$L$2:$L$2864,Orders!$C$2:$C$2864,$C$3,Orders!$D$2:$D$2864,IF($C$4=0,"&gt;0",$C$4),Orders!$E$2:$E$2864,B233)</f>
        <v>297</v>
      </c>
      <c r="E233" s="0" t="n">
        <f aca="false">COUNTIFS(Orders!$C$2:$C$2864,$C$3,Orders!$D$2:$D$2864,IF($C$4=0,"&gt;0",$C$4),Orders!$E$2:$E$2864,B233)</f>
        <v>2</v>
      </c>
      <c r="F233" s="0" t="n">
        <f aca="false">D233+ROW()/100000</f>
        <v>297.00233</v>
      </c>
      <c r="G233" s="0" t="n">
        <f aca="false">RANK(F233,$F$61:$F$580)</f>
        <v>173</v>
      </c>
    </row>
    <row r="234" customFormat="false" ht="15" hidden="false" customHeight="false" outlineLevel="0" collapsed="false">
      <c r="B234" s="0" t="s">
        <v>2499</v>
      </c>
      <c r="C234" s="0" t="s">
        <v>78</v>
      </c>
      <c r="D234" s="0" t="n">
        <f aca="false">SUMIFS(Orders!$L$2:$L$2864,Orders!$C$2:$C$2864,$C$3,Orders!$D$2:$D$2864,IF($C$4=0,"&gt;0",$C$4),Orders!$E$2:$E$2864,B234)</f>
        <v>167</v>
      </c>
      <c r="E234" s="0" t="n">
        <f aca="false">COUNTIFS(Orders!$C$2:$C$2864,$C$3,Orders!$D$2:$D$2864,IF($C$4=0,"&gt;0",$C$4),Orders!$E$2:$E$2864,B234)</f>
        <v>2</v>
      </c>
      <c r="F234" s="0" t="n">
        <f aca="false">D234+ROW()/100000</f>
        <v>167.00234</v>
      </c>
      <c r="G234" s="0" t="n">
        <f aca="false">RANK(F234,$F$61:$F$580)</f>
        <v>290</v>
      </c>
    </row>
    <row r="235" customFormat="false" ht="15" hidden="false" customHeight="false" outlineLevel="0" collapsed="false">
      <c r="B235" s="0" t="s">
        <v>556</v>
      </c>
      <c r="C235" s="0" t="s">
        <v>78</v>
      </c>
      <c r="D235" s="0" t="n">
        <f aca="false">SUMIFS(Orders!$L$2:$L$2864,Orders!$C$2:$C$2864,$C$3,Orders!$D$2:$D$2864,IF($C$4=0,"&gt;0",$C$4),Orders!$E$2:$E$2864,B235)</f>
        <v>244</v>
      </c>
      <c r="E235" s="0" t="n">
        <f aca="false">COUNTIFS(Orders!$C$2:$C$2864,$C$3,Orders!$D$2:$D$2864,IF($C$4=0,"&gt;0",$C$4),Orders!$E$2:$E$2864,B235)</f>
        <v>2</v>
      </c>
      <c r="F235" s="0" t="n">
        <f aca="false">D235+ROW()/100000</f>
        <v>244.00235</v>
      </c>
      <c r="G235" s="0" t="n">
        <f aca="false">RANK(F235,$F$61:$F$580)</f>
        <v>212</v>
      </c>
    </row>
    <row r="236" customFormat="false" ht="15" hidden="false" customHeight="false" outlineLevel="0" collapsed="false">
      <c r="B236" s="0" t="s">
        <v>135</v>
      </c>
      <c r="C236" s="0" t="s">
        <v>69</v>
      </c>
      <c r="D236" s="0" t="n">
        <f aca="false">SUMIFS(Orders!$L$2:$L$2864,Orders!$C$2:$C$2864,$C$3,Orders!$D$2:$D$2864,IF($C$4=0,"&gt;0",$C$4),Orders!$E$2:$E$2864,B236)</f>
        <v>118</v>
      </c>
      <c r="E236" s="0" t="n">
        <f aca="false">COUNTIFS(Orders!$C$2:$C$2864,$C$3,Orders!$D$2:$D$2864,IF($C$4=0,"&gt;0",$C$4),Orders!$E$2:$E$2864,B236)</f>
        <v>1</v>
      </c>
      <c r="F236" s="0" t="n">
        <f aca="false">D236+ROW()/100000</f>
        <v>118.00236</v>
      </c>
      <c r="G236" s="0" t="n">
        <f aca="false">RANK(F236,$F$61:$F$580)</f>
        <v>335</v>
      </c>
    </row>
    <row r="237" customFormat="false" ht="15" hidden="false" customHeight="false" outlineLevel="0" collapsed="false">
      <c r="B237" s="0" t="s">
        <v>3471</v>
      </c>
      <c r="C237" s="0" t="s">
        <v>75</v>
      </c>
      <c r="D237" s="0" t="n">
        <f aca="false">SUMIFS(Orders!$L$2:$L$2864,Orders!$C$2:$C$2864,$C$3,Orders!$D$2:$D$2864,IF($C$4=0,"&gt;0",$C$4),Orders!$E$2:$E$2864,B237)</f>
        <v>0</v>
      </c>
      <c r="E237" s="0" t="n">
        <f aca="false">COUNTIFS(Orders!$C$2:$C$2864,$C$3,Orders!$D$2:$D$2864,IF($C$4=0,"&gt;0",$C$4),Orders!$E$2:$E$2864,B237)</f>
        <v>0</v>
      </c>
      <c r="F237" s="0" t="n">
        <f aca="false">D237+ROW()/100000</f>
        <v>0.00237</v>
      </c>
      <c r="G237" s="0" t="n">
        <f aca="false">RANK(F237,$F$61:$F$580)</f>
        <v>515</v>
      </c>
    </row>
    <row r="238" customFormat="false" ht="15" hidden="false" customHeight="false" outlineLevel="0" collapsed="false">
      <c r="B238" s="0" t="s">
        <v>340</v>
      </c>
      <c r="C238" s="0" t="s">
        <v>69</v>
      </c>
      <c r="D238" s="0" t="n">
        <f aca="false">SUMIFS(Orders!$L$2:$L$2864,Orders!$C$2:$C$2864,$C$3,Orders!$D$2:$D$2864,IF($C$4=0,"&gt;0",$C$4),Orders!$E$2:$E$2864,B238)</f>
        <v>149</v>
      </c>
      <c r="E238" s="0" t="n">
        <f aca="false">COUNTIFS(Orders!$C$2:$C$2864,$C$3,Orders!$D$2:$D$2864,IF($C$4=0,"&gt;0",$C$4),Orders!$E$2:$E$2864,B238)</f>
        <v>1</v>
      </c>
      <c r="F238" s="0" t="n">
        <f aca="false">D238+ROW()/100000</f>
        <v>149.00238</v>
      </c>
      <c r="G238" s="0" t="n">
        <f aca="false">RANK(F238,$F$61:$F$580)</f>
        <v>303</v>
      </c>
    </row>
    <row r="239" customFormat="false" ht="15" hidden="false" customHeight="false" outlineLevel="0" collapsed="false">
      <c r="B239" s="0" t="s">
        <v>750</v>
      </c>
      <c r="C239" s="0" t="s">
        <v>72</v>
      </c>
      <c r="D239" s="0" t="n">
        <f aca="false">SUMIFS(Orders!$L$2:$L$2864,Orders!$C$2:$C$2864,$C$3,Orders!$D$2:$D$2864,IF($C$4=0,"&gt;0",$C$4),Orders!$E$2:$E$2864,B239)</f>
        <v>0</v>
      </c>
      <c r="E239" s="0" t="n">
        <f aca="false">COUNTIFS(Orders!$C$2:$C$2864,$C$3,Orders!$D$2:$D$2864,IF($C$4=0,"&gt;0",$C$4),Orders!$E$2:$E$2864,B239)</f>
        <v>0</v>
      </c>
      <c r="F239" s="0" t="n">
        <f aca="false">D239+ROW()/100000</f>
        <v>0.00239</v>
      </c>
      <c r="G239" s="0" t="n">
        <f aca="false">RANK(F239,$F$61:$F$580)</f>
        <v>514</v>
      </c>
    </row>
    <row r="240" customFormat="false" ht="15" hidden="false" customHeight="false" outlineLevel="0" collapsed="false">
      <c r="B240" s="0" t="s">
        <v>402</v>
      </c>
      <c r="C240" s="0" t="s">
        <v>75</v>
      </c>
      <c r="D240" s="0" t="n">
        <f aca="false">SUMIFS(Orders!$L$2:$L$2864,Orders!$C$2:$C$2864,$C$3,Orders!$D$2:$D$2864,IF($C$4=0,"&gt;0",$C$4),Orders!$E$2:$E$2864,B240)</f>
        <v>625</v>
      </c>
      <c r="E240" s="0" t="n">
        <f aca="false">COUNTIFS(Orders!$C$2:$C$2864,$C$3,Orders!$D$2:$D$2864,IF($C$4=0,"&gt;0",$C$4),Orders!$E$2:$E$2864,B240)</f>
        <v>2</v>
      </c>
      <c r="F240" s="0" t="n">
        <f aca="false">D240+ROW()/100000</f>
        <v>625.0024</v>
      </c>
      <c r="G240" s="0" t="n">
        <f aca="false">RANK(F240,$F$61:$F$580)</f>
        <v>67</v>
      </c>
    </row>
    <row r="241" customFormat="false" ht="15" hidden="false" customHeight="false" outlineLevel="0" collapsed="false">
      <c r="B241" s="0" t="s">
        <v>1792</v>
      </c>
      <c r="C241" s="0" t="s">
        <v>75</v>
      </c>
      <c r="D241" s="0" t="n">
        <f aca="false">SUMIFS(Orders!$L$2:$L$2864,Orders!$C$2:$C$2864,$C$3,Orders!$D$2:$D$2864,IF($C$4=0,"&gt;0",$C$4),Orders!$E$2:$E$2864,B241)</f>
        <v>822</v>
      </c>
      <c r="E241" s="0" t="n">
        <f aca="false">COUNTIFS(Orders!$C$2:$C$2864,$C$3,Orders!$D$2:$D$2864,IF($C$4=0,"&gt;0",$C$4),Orders!$E$2:$E$2864,B241)</f>
        <v>5</v>
      </c>
      <c r="F241" s="0" t="n">
        <f aca="false">D241+ROW()/100000</f>
        <v>822.00241</v>
      </c>
      <c r="G241" s="0" t="n">
        <f aca="false">RANK(F241,$F$61:$F$580)</f>
        <v>28</v>
      </c>
    </row>
    <row r="242" customFormat="false" ht="15" hidden="false" customHeight="false" outlineLevel="0" collapsed="false">
      <c r="B242" s="0" t="s">
        <v>1747</v>
      </c>
      <c r="C242" s="0" t="s">
        <v>72</v>
      </c>
      <c r="D242" s="0" t="n">
        <f aca="false">SUMIFS(Orders!$L$2:$L$2864,Orders!$C$2:$C$2864,$C$3,Orders!$D$2:$D$2864,IF($C$4=0,"&gt;0",$C$4),Orders!$E$2:$E$2864,B242)</f>
        <v>34</v>
      </c>
      <c r="E242" s="0" t="n">
        <f aca="false">COUNTIFS(Orders!$C$2:$C$2864,$C$3,Orders!$D$2:$D$2864,IF($C$4=0,"&gt;0",$C$4),Orders!$E$2:$E$2864,B242)</f>
        <v>1</v>
      </c>
      <c r="F242" s="0" t="n">
        <f aca="false">D242+ROW()/100000</f>
        <v>34.00242</v>
      </c>
      <c r="G242" s="0" t="n">
        <f aca="false">RANK(F242,$F$61:$F$580)</f>
        <v>445</v>
      </c>
    </row>
    <row r="243" customFormat="false" ht="15" hidden="false" customHeight="false" outlineLevel="0" collapsed="false">
      <c r="B243" s="0" t="s">
        <v>458</v>
      </c>
      <c r="C243" s="0" t="s">
        <v>81</v>
      </c>
      <c r="D243" s="0" t="n">
        <f aca="false">SUMIFS(Orders!$L$2:$L$2864,Orders!$C$2:$C$2864,$C$3,Orders!$D$2:$D$2864,IF($C$4=0,"&gt;0",$C$4),Orders!$E$2:$E$2864,B243)</f>
        <v>99</v>
      </c>
      <c r="E243" s="0" t="n">
        <f aca="false">COUNTIFS(Orders!$C$2:$C$2864,$C$3,Orders!$D$2:$D$2864,IF($C$4=0,"&gt;0",$C$4),Orders!$E$2:$E$2864,B243)</f>
        <v>1</v>
      </c>
      <c r="F243" s="0" t="n">
        <f aca="false">D243+ROW()/100000</f>
        <v>99.00243</v>
      </c>
      <c r="G243" s="0" t="n">
        <f aca="false">RANK(F243,$F$61:$F$580)</f>
        <v>355</v>
      </c>
    </row>
    <row r="244" customFormat="false" ht="15" hidden="false" customHeight="false" outlineLevel="0" collapsed="false">
      <c r="B244" s="0" t="s">
        <v>603</v>
      </c>
      <c r="C244" s="0" t="s">
        <v>81</v>
      </c>
      <c r="D244" s="0" t="n">
        <f aca="false">SUMIFS(Orders!$L$2:$L$2864,Orders!$C$2:$C$2864,$C$3,Orders!$D$2:$D$2864,IF($C$4=0,"&gt;0",$C$4),Orders!$E$2:$E$2864,B244)</f>
        <v>0</v>
      </c>
      <c r="E244" s="0" t="n">
        <f aca="false">COUNTIFS(Orders!$C$2:$C$2864,$C$3,Orders!$D$2:$D$2864,IF($C$4=0,"&gt;0",$C$4),Orders!$E$2:$E$2864,B244)</f>
        <v>0</v>
      </c>
      <c r="F244" s="0" t="n">
        <f aca="false">D244+ROW()/100000</f>
        <v>0.00244</v>
      </c>
      <c r="G244" s="0" t="n">
        <f aca="false">RANK(F244,$F$61:$F$580)</f>
        <v>513</v>
      </c>
    </row>
    <row r="245" customFormat="false" ht="15" hidden="false" customHeight="false" outlineLevel="0" collapsed="false">
      <c r="B245" s="0" t="s">
        <v>137</v>
      </c>
      <c r="C245" s="0" t="s">
        <v>75</v>
      </c>
      <c r="D245" s="0" t="n">
        <f aca="false">SUMIFS(Orders!$L$2:$L$2864,Orders!$C$2:$C$2864,$C$3,Orders!$D$2:$D$2864,IF($C$4=0,"&gt;0",$C$4),Orders!$E$2:$E$2864,B245)</f>
        <v>179</v>
      </c>
      <c r="E245" s="0" t="n">
        <f aca="false">COUNTIFS(Orders!$C$2:$C$2864,$C$3,Orders!$D$2:$D$2864,IF($C$4=0,"&gt;0",$C$4),Orders!$E$2:$E$2864,B245)</f>
        <v>1</v>
      </c>
      <c r="F245" s="0" t="n">
        <f aca="false">D245+ROW()/100000</f>
        <v>179.00245</v>
      </c>
      <c r="G245" s="0" t="n">
        <f aca="false">RANK(F245,$F$61:$F$580)</f>
        <v>275</v>
      </c>
    </row>
    <row r="246" customFormat="false" ht="15" hidden="false" customHeight="false" outlineLevel="0" collapsed="false">
      <c r="B246" s="0" t="s">
        <v>847</v>
      </c>
      <c r="C246" s="0" t="s">
        <v>75</v>
      </c>
      <c r="D246" s="0" t="n">
        <f aca="false">SUMIFS(Orders!$L$2:$L$2864,Orders!$C$2:$C$2864,$C$3,Orders!$D$2:$D$2864,IF($C$4=0,"&gt;0",$C$4),Orders!$E$2:$E$2864,B246)</f>
        <v>45</v>
      </c>
      <c r="E246" s="0" t="n">
        <f aca="false">COUNTIFS(Orders!$C$2:$C$2864,$C$3,Orders!$D$2:$D$2864,IF($C$4=0,"&gt;0",$C$4),Orders!$E$2:$E$2864,B246)</f>
        <v>1</v>
      </c>
      <c r="F246" s="0" t="n">
        <f aca="false">D246+ROW()/100000</f>
        <v>45.00246</v>
      </c>
      <c r="G246" s="0" t="n">
        <f aca="false">RANK(F246,$F$61:$F$580)</f>
        <v>437</v>
      </c>
    </row>
    <row r="247" customFormat="false" ht="15" hidden="false" customHeight="false" outlineLevel="0" collapsed="false">
      <c r="B247" s="0" t="s">
        <v>315</v>
      </c>
      <c r="C247" s="0" t="s">
        <v>69</v>
      </c>
      <c r="D247" s="0" t="n">
        <f aca="false">SUMIFS(Orders!$L$2:$L$2864,Orders!$C$2:$C$2864,$C$3,Orders!$D$2:$D$2864,IF($C$4=0,"&gt;0",$C$4),Orders!$E$2:$E$2864,B247)</f>
        <v>177</v>
      </c>
      <c r="E247" s="0" t="n">
        <f aca="false">COUNTIFS(Orders!$C$2:$C$2864,$C$3,Orders!$D$2:$D$2864,IF($C$4=0,"&gt;0",$C$4),Orders!$E$2:$E$2864,B247)</f>
        <v>1</v>
      </c>
      <c r="F247" s="0" t="n">
        <f aca="false">D247+ROW()/100000</f>
        <v>177.00247</v>
      </c>
      <c r="G247" s="0" t="n">
        <f aca="false">RANK(F247,$F$61:$F$580)</f>
        <v>286</v>
      </c>
    </row>
    <row r="248" customFormat="false" ht="15" hidden="false" customHeight="false" outlineLevel="0" collapsed="false">
      <c r="B248" s="0" t="s">
        <v>2147</v>
      </c>
      <c r="C248" s="0" t="s">
        <v>81</v>
      </c>
      <c r="D248" s="0" t="n">
        <f aca="false">SUMIFS(Orders!$L$2:$L$2864,Orders!$C$2:$C$2864,$C$3,Orders!$D$2:$D$2864,IF($C$4=0,"&gt;0",$C$4),Orders!$E$2:$E$2864,B248)</f>
        <v>336</v>
      </c>
      <c r="E248" s="0" t="n">
        <f aca="false">COUNTIFS(Orders!$C$2:$C$2864,$C$3,Orders!$D$2:$D$2864,IF($C$4=0,"&gt;0",$C$4),Orders!$E$2:$E$2864,B248)</f>
        <v>2</v>
      </c>
      <c r="F248" s="0" t="n">
        <f aca="false">D248+ROW()/100000</f>
        <v>336.00248</v>
      </c>
      <c r="G248" s="0" t="n">
        <f aca="false">RANK(F248,$F$61:$F$580)</f>
        <v>153</v>
      </c>
    </row>
    <row r="249" customFormat="false" ht="15" hidden="false" customHeight="false" outlineLevel="0" collapsed="false">
      <c r="B249" s="0" t="s">
        <v>1342</v>
      </c>
      <c r="C249" s="0" t="s">
        <v>72</v>
      </c>
      <c r="D249" s="0" t="n">
        <f aca="false">SUMIFS(Orders!$L$2:$L$2864,Orders!$C$2:$C$2864,$C$3,Orders!$D$2:$D$2864,IF($C$4=0,"&gt;0",$C$4),Orders!$E$2:$E$2864,B249)</f>
        <v>118</v>
      </c>
      <c r="E249" s="0" t="n">
        <f aca="false">COUNTIFS(Orders!$C$2:$C$2864,$C$3,Orders!$D$2:$D$2864,IF($C$4=0,"&gt;0",$C$4),Orders!$E$2:$E$2864,B249)</f>
        <v>2</v>
      </c>
      <c r="F249" s="0" t="n">
        <f aca="false">D249+ROW()/100000</f>
        <v>118.00249</v>
      </c>
      <c r="G249" s="0" t="n">
        <f aca="false">RANK(F249,$F$61:$F$580)</f>
        <v>334</v>
      </c>
    </row>
    <row r="250" customFormat="false" ht="15" hidden="false" customHeight="false" outlineLevel="0" collapsed="false">
      <c r="B250" s="0" t="s">
        <v>1080</v>
      </c>
      <c r="C250" s="0" t="s">
        <v>75</v>
      </c>
      <c r="D250" s="0" t="n">
        <f aca="false">SUMIFS(Orders!$L$2:$L$2864,Orders!$C$2:$C$2864,$C$3,Orders!$D$2:$D$2864,IF($C$4=0,"&gt;0",$C$4),Orders!$E$2:$E$2864,B250)</f>
        <v>133</v>
      </c>
      <c r="E250" s="0" t="n">
        <f aca="false">COUNTIFS(Orders!$C$2:$C$2864,$C$3,Orders!$D$2:$D$2864,IF($C$4=0,"&gt;0",$C$4),Orders!$E$2:$E$2864,B250)</f>
        <v>2</v>
      </c>
      <c r="F250" s="0" t="n">
        <f aca="false">D250+ROW()/100000</f>
        <v>133.0025</v>
      </c>
      <c r="G250" s="0" t="n">
        <f aca="false">RANK(F250,$F$61:$F$580)</f>
        <v>318</v>
      </c>
    </row>
    <row r="251" customFormat="false" ht="15" hidden="false" customHeight="false" outlineLevel="0" collapsed="false">
      <c r="B251" s="0" t="s">
        <v>154</v>
      </c>
      <c r="C251" s="0" t="s">
        <v>69</v>
      </c>
      <c r="D251" s="0" t="n">
        <f aca="false">SUMIFS(Orders!$L$2:$L$2864,Orders!$C$2:$C$2864,$C$3,Orders!$D$2:$D$2864,IF($C$4=0,"&gt;0",$C$4),Orders!$E$2:$E$2864,B251)</f>
        <v>118</v>
      </c>
      <c r="E251" s="0" t="n">
        <f aca="false">COUNTIFS(Orders!$C$2:$C$2864,$C$3,Orders!$D$2:$D$2864,IF($C$4=0,"&gt;0",$C$4),Orders!$E$2:$E$2864,B251)</f>
        <v>1</v>
      </c>
      <c r="F251" s="0" t="n">
        <f aca="false">D251+ROW()/100000</f>
        <v>118.00251</v>
      </c>
      <c r="G251" s="0" t="n">
        <f aca="false">RANK(F251,$F$61:$F$580)</f>
        <v>333</v>
      </c>
    </row>
    <row r="252" customFormat="false" ht="15" hidden="false" customHeight="false" outlineLevel="0" collapsed="false">
      <c r="B252" s="0" t="s">
        <v>267</v>
      </c>
      <c r="C252" s="0" t="s">
        <v>69</v>
      </c>
      <c r="D252" s="0" t="n">
        <f aca="false">SUMIFS(Orders!$L$2:$L$2864,Orders!$C$2:$C$2864,$C$3,Orders!$D$2:$D$2864,IF($C$4=0,"&gt;0",$C$4),Orders!$E$2:$E$2864,B252)</f>
        <v>78</v>
      </c>
      <c r="E252" s="0" t="n">
        <f aca="false">COUNTIFS(Orders!$C$2:$C$2864,$C$3,Orders!$D$2:$D$2864,IF($C$4=0,"&gt;0",$C$4),Orders!$E$2:$E$2864,B252)</f>
        <v>2</v>
      </c>
      <c r="F252" s="0" t="n">
        <f aca="false">D252+ROW()/100000</f>
        <v>78.00252</v>
      </c>
      <c r="G252" s="0" t="n">
        <f aca="false">RANK(F252,$F$61:$F$580)</f>
        <v>400</v>
      </c>
    </row>
    <row r="253" customFormat="false" ht="15" hidden="false" customHeight="false" outlineLevel="0" collapsed="false">
      <c r="B253" s="0" t="s">
        <v>378</v>
      </c>
      <c r="C253" s="0" t="s">
        <v>75</v>
      </c>
      <c r="D253" s="0" t="n">
        <f aca="false">SUMIFS(Orders!$L$2:$L$2864,Orders!$C$2:$C$2864,$C$3,Orders!$D$2:$D$2864,IF($C$4=0,"&gt;0",$C$4),Orders!$E$2:$E$2864,B253)</f>
        <v>46</v>
      </c>
      <c r="E253" s="0" t="n">
        <f aca="false">COUNTIFS(Orders!$C$2:$C$2864,$C$3,Orders!$D$2:$D$2864,IF($C$4=0,"&gt;0",$C$4),Orders!$E$2:$E$2864,B253)</f>
        <v>1</v>
      </c>
      <c r="F253" s="0" t="n">
        <f aca="false">D253+ROW()/100000</f>
        <v>46.00253</v>
      </c>
      <c r="G253" s="0" t="n">
        <f aca="false">RANK(F253,$F$61:$F$580)</f>
        <v>433</v>
      </c>
    </row>
    <row r="254" customFormat="false" ht="15" hidden="false" customHeight="false" outlineLevel="0" collapsed="false">
      <c r="B254" s="0" t="s">
        <v>250</v>
      </c>
      <c r="C254" s="0" t="s">
        <v>78</v>
      </c>
      <c r="D254" s="0" t="n">
        <f aca="false">SUMIFS(Orders!$L$2:$L$2864,Orders!$C$2:$C$2864,$C$3,Orders!$D$2:$D$2864,IF($C$4=0,"&gt;0",$C$4),Orders!$E$2:$E$2864,B254)</f>
        <v>99</v>
      </c>
      <c r="E254" s="0" t="n">
        <f aca="false">COUNTIFS(Orders!$C$2:$C$2864,$C$3,Orders!$D$2:$D$2864,IF($C$4=0,"&gt;0",$C$4),Orders!$E$2:$E$2864,B254)</f>
        <v>1</v>
      </c>
      <c r="F254" s="0" t="n">
        <f aca="false">D254+ROW()/100000</f>
        <v>99.00254</v>
      </c>
      <c r="G254" s="0" t="n">
        <f aca="false">RANK(F254,$F$61:$F$580)</f>
        <v>354</v>
      </c>
    </row>
    <row r="255" customFormat="false" ht="15" hidden="false" customHeight="false" outlineLevel="0" collapsed="false">
      <c r="B255" s="0" t="s">
        <v>756</v>
      </c>
      <c r="C255" s="0" t="s">
        <v>69</v>
      </c>
      <c r="D255" s="0" t="n">
        <f aca="false">SUMIFS(Orders!$L$2:$L$2864,Orders!$C$2:$C$2864,$C$3,Orders!$D$2:$D$2864,IF($C$4=0,"&gt;0",$C$4),Orders!$E$2:$E$2864,B255)</f>
        <v>0</v>
      </c>
      <c r="E255" s="0" t="n">
        <f aca="false">COUNTIFS(Orders!$C$2:$C$2864,$C$3,Orders!$D$2:$D$2864,IF($C$4=0,"&gt;0",$C$4),Orders!$E$2:$E$2864,B255)</f>
        <v>0</v>
      </c>
      <c r="F255" s="0" t="n">
        <f aca="false">D255+ROW()/100000</f>
        <v>0.00255</v>
      </c>
      <c r="G255" s="0" t="n">
        <f aca="false">RANK(F255,$F$61:$F$580)</f>
        <v>512</v>
      </c>
    </row>
    <row r="256" customFormat="false" ht="15" hidden="false" customHeight="false" outlineLevel="0" collapsed="false">
      <c r="B256" s="0" t="s">
        <v>589</v>
      </c>
      <c r="C256" s="0" t="s">
        <v>75</v>
      </c>
      <c r="D256" s="0" t="n">
        <f aca="false">SUMIFS(Orders!$L$2:$L$2864,Orders!$C$2:$C$2864,$C$3,Orders!$D$2:$D$2864,IF($C$4=0,"&gt;0",$C$4),Orders!$E$2:$E$2864,B256)</f>
        <v>118</v>
      </c>
      <c r="E256" s="0" t="n">
        <f aca="false">COUNTIFS(Orders!$C$2:$C$2864,$C$3,Orders!$D$2:$D$2864,IF($C$4=0,"&gt;0",$C$4),Orders!$E$2:$E$2864,B256)</f>
        <v>2</v>
      </c>
      <c r="F256" s="0" t="n">
        <f aca="false">D256+ROW()/100000</f>
        <v>118.00256</v>
      </c>
      <c r="G256" s="0" t="n">
        <f aca="false">RANK(F256,$F$61:$F$580)</f>
        <v>332</v>
      </c>
    </row>
    <row r="257" customFormat="false" ht="15" hidden="false" customHeight="false" outlineLevel="0" collapsed="false">
      <c r="B257" s="0" t="s">
        <v>225</v>
      </c>
      <c r="C257" s="0" t="s">
        <v>72</v>
      </c>
      <c r="D257" s="0" t="n">
        <f aca="false">SUMIFS(Orders!$L$2:$L$2864,Orders!$C$2:$C$2864,$C$3,Orders!$D$2:$D$2864,IF($C$4=0,"&gt;0",$C$4),Orders!$E$2:$E$2864,B257)</f>
        <v>81</v>
      </c>
      <c r="E257" s="0" t="n">
        <f aca="false">COUNTIFS(Orders!$C$2:$C$2864,$C$3,Orders!$D$2:$D$2864,IF($C$4=0,"&gt;0",$C$4),Orders!$E$2:$E$2864,B257)</f>
        <v>2</v>
      </c>
      <c r="F257" s="0" t="n">
        <f aca="false">D257+ROW()/100000</f>
        <v>81.00257</v>
      </c>
      <c r="G257" s="0" t="n">
        <f aca="false">RANK(F257,$F$61:$F$580)</f>
        <v>390</v>
      </c>
    </row>
    <row r="258" customFormat="false" ht="15" hidden="false" customHeight="false" outlineLevel="0" collapsed="false">
      <c r="B258" s="0" t="s">
        <v>3472</v>
      </c>
      <c r="C258" s="0" t="s">
        <v>72</v>
      </c>
      <c r="D258" s="0" t="n">
        <f aca="false">SUMIFS(Orders!$L$2:$L$2864,Orders!$C$2:$C$2864,$C$3,Orders!$D$2:$D$2864,IF($C$4=0,"&gt;0",$C$4),Orders!$E$2:$E$2864,B258)</f>
        <v>0</v>
      </c>
      <c r="E258" s="0" t="n">
        <f aca="false">COUNTIFS(Orders!$C$2:$C$2864,$C$3,Orders!$D$2:$D$2864,IF($C$4=0,"&gt;0",$C$4),Orders!$E$2:$E$2864,B258)</f>
        <v>0</v>
      </c>
      <c r="F258" s="0" t="n">
        <f aca="false">D258+ROW()/100000</f>
        <v>0.00258</v>
      </c>
      <c r="G258" s="0" t="n">
        <f aca="false">RANK(F258,$F$61:$F$580)</f>
        <v>511</v>
      </c>
    </row>
    <row r="259" customFormat="false" ht="15" hidden="false" customHeight="false" outlineLevel="0" collapsed="false">
      <c r="B259" s="0" t="s">
        <v>1825</v>
      </c>
      <c r="C259" s="0" t="s">
        <v>78</v>
      </c>
      <c r="D259" s="0" t="n">
        <f aca="false">SUMIFS(Orders!$L$2:$L$2864,Orders!$C$2:$C$2864,$C$3,Orders!$D$2:$D$2864,IF($C$4=0,"&gt;0",$C$4),Orders!$E$2:$E$2864,B259)</f>
        <v>148</v>
      </c>
      <c r="E259" s="0" t="n">
        <f aca="false">COUNTIFS(Orders!$C$2:$C$2864,$C$3,Orders!$D$2:$D$2864,IF($C$4=0,"&gt;0",$C$4),Orders!$E$2:$E$2864,B259)</f>
        <v>2</v>
      </c>
      <c r="F259" s="0" t="n">
        <f aca="false">D259+ROW()/100000</f>
        <v>148.00259</v>
      </c>
      <c r="G259" s="0" t="n">
        <f aca="false">RANK(F259,$F$61:$F$580)</f>
        <v>306</v>
      </c>
    </row>
    <row r="260" customFormat="false" ht="15" hidden="false" customHeight="false" outlineLevel="0" collapsed="false">
      <c r="B260" s="0" t="s">
        <v>3473</v>
      </c>
      <c r="C260" s="0" t="s">
        <v>75</v>
      </c>
      <c r="D260" s="0" t="n">
        <f aca="false">SUMIFS(Orders!$L$2:$L$2864,Orders!$C$2:$C$2864,$C$3,Orders!$D$2:$D$2864,IF($C$4=0,"&gt;0",$C$4),Orders!$E$2:$E$2864,B260)</f>
        <v>0</v>
      </c>
      <c r="E260" s="0" t="n">
        <f aca="false">COUNTIFS(Orders!$C$2:$C$2864,$C$3,Orders!$D$2:$D$2864,IF($C$4=0,"&gt;0",$C$4),Orders!$E$2:$E$2864,B260)</f>
        <v>0</v>
      </c>
      <c r="F260" s="0" t="n">
        <f aca="false">D260+ROW()/100000</f>
        <v>0.0026</v>
      </c>
      <c r="G260" s="0" t="n">
        <f aca="false">RANK(F260,$F$61:$F$580)</f>
        <v>510</v>
      </c>
    </row>
    <row r="261" customFormat="false" ht="15" hidden="false" customHeight="false" outlineLevel="0" collapsed="false">
      <c r="B261" s="0" t="s">
        <v>1413</v>
      </c>
      <c r="C261" s="0" t="s">
        <v>75</v>
      </c>
      <c r="D261" s="0" t="n">
        <f aca="false">SUMIFS(Orders!$L$2:$L$2864,Orders!$C$2:$C$2864,$C$3,Orders!$D$2:$D$2864,IF($C$4=0,"&gt;0",$C$4),Orders!$E$2:$E$2864,B261)</f>
        <v>148</v>
      </c>
      <c r="E261" s="0" t="n">
        <f aca="false">COUNTIFS(Orders!$C$2:$C$2864,$C$3,Orders!$D$2:$D$2864,IF($C$4=0,"&gt;0",$C$4),Orders!$E$2:$E$2864,B261)</f>
        <v>2</v>
      </c>
      <c r="F261" s="0" t="n">
        <f aca="false">D261+ROW()/100000</f>
        <v>148.00261</v>
      </c>
      <c r="G261" s="0" t="n">
        <f aca="false">RANK(F261,$F$61:$F$580)</f>
        <v>305</v>
      </c>
    </row>
    <row r="262" customFormat="false" ht="15" hidden="false" customHeight="false" outlineLevel="0" collapsed="false">
      <c r="B262" s="0" t="s">
        <v>626</v>
      </c>
      <c r="C262" s="0" t="s">
        <v>69</v>
      </c>
      <c r="D262" s="0" t="n">
        <f aca="false">SUMIFS(Orders!$L$2:$L$2864,Orders!$C$2:$C$2864,$C$3,Orders!$D$2:$D$2864,IF($C$4=0,"&gt;0",$C$4),Orders!$E$2:$E$2864,B262)</f>
        <v>149</v>
      </c>
      <c r="E262" s="0" t="n">
        <f aca="false">COUNTIFS(Orders!$C$2:$C$2864,$C$3,Orders!$D$2:$D$2864,IF($C$4=0,"&gt;0",$C$4),Orders!$E$2:$E$2864,B262)</f>
        <v>1</v>
      </c>
      <c r="F262" s="0" t="n">
        <f aca="false">D262+ROW()/100000</f>
        <v>149.00262</v>
      </c>
      <c r="G262" s="0" t="n">
        <f aca="false">RANK(F262,$F$61:$F$580)</f>
        <v>302</v>
      </c>
    </row>
    <row r="263" customFormat="false" ht="15" hidden="false" customHeight="false" outlineLevel="0" collapsed="false">
      <c r="B263" s="0" t="s">
        <v>629</v>
      </c>
      <c r="C263" s="0" t="s">
        <v>78</v>
      </c>
      <c r="D263" s="0" t="n">
        <f aca="false">SUMIFS(Orders!$L$2:$L$2864,Orders!$C$2:$C$2864,$C$3,Orders!$D$2:$D$2864,IF($C$4=0,"&gt;0",$C$4),Orders!$E$2:$E$2864,B263)</f>
        <v>284</v>
      </c>
      <c r="E263" s="0" t="n">
        <f aca="false">COUNTIFS(Orders!$C$2:$C$2864,$C$3,Orders!$D$2:$D$2864,IF($C$4=0,"&gt;0",$C$4),Orders!$E$2:$E$2864,B263)</f>
        <v>3</v>
      </c>
      <c r="F263" s="0" t="n">
        <f aca="false">D263+ROW()/100000</f>
        <v>284.00263</v>
      </c>
      <c r="G263" s="0" t="n">
        <f aca="false">RANK(F263,$F$61:$F$580)</f>
        <v>182</v>
      </c>
    </row>
    <row r="264" customFormat="false" ht="15" hidden="false" customHeight="false" outlineLevel="0" collapsed="false">
      <c r="B264" s="0" t="s">
        <v>605</v>
      </c>
      <c r="C264" s="0" t="s">
        <v>78</v>
      </c>
      <c r="D264" s="0" t="n">
        <f aca="false">SUMIFS(Orders!$L$2:$L$2864,Orders!$C$2:$C$2864,$C$3,Orders!$D$2:$D$2864,IF($C$4=0,"&gt;0",$C$4),Orders!$E$2:$E$2864,B264)</f>
        <v>90</v>
      </c>
      <c r="E264" s="0" t="n">
        <f aca="false">COUNTIFS(Orders!$C$2:$C$2864,$C$3,Orders!$D$2:$D$2864,IF($C$4=0,"&gt;0",$C$4),Orders!$E$2:$E$2864,B264)</f>
        <v>1</v>
      </c>
      <c r="F264" s="0" t="n">
        <f aca="false">D264+ROW()/100000</f>
        <v>90.00264</v>
      </c>
      <c r="G264" s="0" t="n">
        <f aca="false">RANK(F264,$F$61:$F$580)</f>
        <v>370</v>
      </c>
    </row>
    <row r="265" customFormat="false" ht="15" hidden="false" customHeight="false" outlineLevel="0" collapsed="false">
      <c r="B265" s="0" t="s">
        <v>452</v>
      </c>
      <c r="C265" s="0" t="s">
        <v>75</v>
      </c>
      <c r="D265" s="0" t="n">
        <f aca="false">SUMIFS(Orders!$L$2:$L$2864,Orders!$C$2:$C$2864,$C$3,Orders!$D$2:$D$2864,IF($C$4=0,"&gt;0",$C$4),Orders!$E$2:$E$2864,B265)</f>
        <v>89</v>
      </c>
      <c r="E265" s="0" t="n">
        <f aca="false">COUNTIFS(Orders!$C$2:$C$2864,$C$3,Orders!$D$2:$D$2864,IF($C$4=0,"&gt;0",$C$4),Orders!$E$2:$E$2864,B265)</f>
        <v>1</v>
      </c>
      <c r="F265" s="0" t="n">
        <f aca="false">D265+ROW()/100000</f>
        <v>89.00265</v>
      </c>
      <c r="G265" s="0" t="n">
        <f aca="false">RANK(F265,$F$61:$F$580)</f>
        <v>381</v>
      </c>
    </row>
    <row r="266" customFormat="false" ht="15" hidden="false" customHeight="false" outlineLevel="0" collapsed="false">
      <c r="B266" s="0" t="s">
        <v>3197</v>
      </c>
      <c r="C266" s="0" t="s">
        <v>78</v>
      </c>
      <c r="D266" s="0" t="n">
        <f aca="false">SUMIFS(Orders!$L$2:$L$2864,Orders!$C$2:$C$2864,$C$3,Orders!$D$2:$D$2864,IF($C$4=0,"&gt;0",$C$4),Orders!$E$2:$E$2864,B266)</f>
        <v>64</v>
      </c>
      <c r="E266" s="0" t="n">
        <f aca="false">COUNTIFS(Orders!$C$2:$C$2864,$C$3,Orders!$D$2:$D$2864,IF($C$4=0,"&gt;0",$C$4),Orders!$E$2:$E$2864,B266)</f>
        <v>1</v>
      </c>
      <c r="F266" s="0" t="n">
        <f aca="false">D266+ROW()/100000</f>
        <v>64.00266</v>
      </c>
      <c r="G266" s="0" t="n">
        <f aca="false">RANK(F266,$F$61:$F$580)</f>
        <v>405</v>
      </c>
    </row>
    <row r="267" customFormat="false" ht="15" hidden="false" customHeight="false" outlineLevel="0" collapsed="false">
      <c r="B267" s="0" t="s">
        <v>245</v>
      </c>
      <c r="C267" s="0" t="s">
        <v>72</v>
      </c>
      <c r="D267" s="0" t="n">
        <f aca="false">SUMIFS(Orders!$L$2:$L$2864,Orders!$C$2:$C$2864,$C$3,Orders!$D$2:$D$2864,IF($C$4=0,"&gt;0",$C$4),Orders!$E$2:$E$2864,B267)</f>
        <v>278</v>
      </c>
      <c r="E267" s="0" t="n">
        <f aca="false">COUNTIFS(Orders!$C$2:$C$2864,$C$3,Orders!$D$2:$D$2864,IF($C$4=0,"&gt;0",$C$4),Orders!$E$2:$E$2864,B267)</f>
        <v>2</v>
      </c>
      <c r="F267" s="0" t="n">
        <f aca="false">D267+ROW()/100000</f>
        <v>278.00267</v>
      </c>
      <c r="G267" s="0" t="n">
        <f aca="false">RANK(F267,$F$61:$F$580)</f>
        <v>186</v>
      </c>
    </row>
    <row r="268" customFormat="false" ht="15" hidden="false" customHeight="false" outlineLevel="0" collapsed="false">
      <c r="B268" s="0" t="s">
        <v>2220</v>
      </c>
      <c r="C268" s="0" t="s">
        <v>72</v>
      </c>
      <c r="D268" s="0" t="n">
        <f aca="false">SUMIFS(Orders!$L$2:$L$2864,Orders!$C$2:$C$2864,$C$3,Orders!$D$2:$D$2864,IF($C$4=0,"&gt;0",$C$4),Orders!$E$2:$E$2864,B268)</f>
        <v>98</v>
      </c>
      <c r="E268" s="0" t="n">
        <f aca="false">COUNTIFS(Orders!$C$2:$C$2864,$C$3,Orders!$D$2:$D$2864,IF($C$4=0,"&gt;0",$C$4),Orders!$E$2:$E$2864,B268)</f>
        <v>1</v>
      </c>
      <c r="F268" s="0" t="n">
        <f aca="false">D268+ROW()/100000</f>
        <v>98.00268</v>
      </c>
      <c r="G268" s="0" t="n">
        <f aca="false">RANK(F268,$F$61:$F$580)</f>
        <v>361</v>
      </c>
    </row>
    <row r="269" customFormat="false" ht="15" hidden="false" customHeight="false" outlineLevel="0" collapsed="false">
      <c r="B269" s="0" t="s">
        <v>660</v>
      </c>
      <c r="C269" s="0" t="s">
        <v>78</v>
      </c>
      <c r="D269" s="0" t="n">
        <f aca="false">SUMIFS(Orders!$L$2:$L$2864,Orders!$C$2:$C$2864,$C$3,Orders!$D$2:$D$2864,IF($C$4=0,"&gt;0",$C$4),Orders!$E$2:$E$2864,B269)</f>
        <v>177</v>
      </c>
      <c r="E269" s="0" t="n">
        <f aca="false">COUNTIFS(Orders!$C$2:$C$2864,$C$3,Orders!$D$2:$D$2864,IF($C$4=0,"&gt;0",$C$4),Orders!$E$2:$E$2864,B269)</f>
        <v>3</v>
      </c>
      <c r="F269" s="0" t="n">
        <f aca="false">D269+ROW()/100000</f>
        <v>177.00269</v>
      </c>
      <c r="G269" s="0" t="n">
        <f aca="false">RANK(F269,$F$61:$F$580)</f>
        <v>285</v>
      </c>
    </row>
    <row r="270" customFormat="false" ht="15" hidden="false" customHeight="false" outlineLevel="0" collapsed="false">
      <c r="B270" s="0" t="s">
        <v>1602</v>
      </c>
      <c r="C270" s="0" t="s">
        <v>81</v>
      </c>
      <c r="D270" s="0" t="n">
        <f aca="false">SUMIFS(Orders!$L$2:$L$2864,Orders!$C$2:$C$2864,$C$3,Orders!$D$2:$D$2864,IF($C$4=0,"&gt;0",$C$4),Orders!$E$2:$E$2864,B270)</f>
        <v>212</v>
      </c>
      <c r="E270" s="0" t="n">
        <f aca="false">COUNTIFS(Orders!$C$2:$C$2864,$C$3,Orders!$D$2:$D$2864,IF($C$4=0,"&gt;0",$C$4),Orders!$E$2:$E$2864,B270)</f>
        <v>4</v>
      </c>
      <c r="F270" s="0" t="n">
        <f aca="false">D270+ROW()/100000</f>
        <v>212.0027</v>
      </c>
      <c r="G270" s="0" t="n">
        <f aca="false">RANK(F270,$F$61:$F$580)</f>
        <v>242</v>
      </c>
    </row>
    <row r="271" customFormat="false" ht="15" hidden="false" customHeight="false" outlineLevel="0" collapsed="false">
      <c r="B271" s="0" t="s">
        <v>539</v>
      </c>
      <c r="C271" s="0" t="s">
        <v>81</v>
      </c>
      <c r="D271" s="0" t="n">
        <f aca="false">SUMIFS(Orders!$L$2:$L$2864,Orders!$C$2:$C$2864,$C$3,Orders!$D$2:$D$2864,IF($C$4=0,"&gt;0",$C$4),Orders!$E$2:$E$2864,B271)</f>
        <v>107</v>
      </c>
      <c r="E271" s="0" t="n">
        <f aca="false">COUNTIFS(Orders!$C$2:$C$2864,$C$3,Orders!$D$2:$D$2864,IF($C$4=0,"&gt;0",$C$4),Orders!$E$2:$E$2864,B271)</f>
        <v>2</v>
      </c>
      <c r="F271" s="0" t="n">
        <f aca="false">D271+ROW()/100000</f>
        <v>107.00271</v>
      </c>
      <c r="G271" s="0" t="n">
        <f aca="false">RANK(F271,$F$61:$F$580)</f>
        <v>348</v>
      </c>
    </row>
    <row r="272" customFormat="false" ht="15" hidden="false" customHeight="false" outlineLevel="0" collapsed="false">
      <c r="B272" s="0" t="s">
        <v>715</v>
      </c>
      <c r="C272" s="0" t="s">
        <v>72</v>
      </c>
      <c r="D272" s="0" t="n">
        <f aca="false">SUMIFS(Orders!$L$2:$L$2864,Orders!$C$2:$C$2864,$C$3,Orders!$D$2:$D$2864,IF($C$4=0,"&gt;0",$C$4),Orders!$E$2:$E$2864,B272)</f>
        <v>110</v>
      </c>
      <c r="E272" s="0" t="n">
        <f aca="false">COUNTIFS(Orders!$C$2:$C$2864,$C$3,Orders!$D$2:$D$2864,IF($C$4=0,"&gt;0",$C$4),Orders!$E$2:$E$2864,B272)</f>
        <v>2</v>
      </c>
      <c r="F272" s="0" t="n">
        <f aca="false">D272+ROW()/100000</f>
        <v>110.00272</v>
      </c>
      <c r="G272" s="0" t="n">
        <f aca="false">RANK(F272,$F$61:$F$580)</f>
        <v>342</v>
      </c>
    </row>
    <row r="273" customFormat="false" ht="15" hidden="false" customHeight="false" outlineLevel="0" collapsed="false">
      <c r="B273" s="0" t="s">
        <v>702</v>
      </c>
      <c r="C273" s="0" t="s">
        <v>78</v>
      </c>
      <c r="D273" s="0" t="n">
        <f aca="false">SUMIFS(Orders!$L$2:$L$2864,Orders!$C$2:$C$2864,$C$3,Orders!$D$2:$D$2864,IF($C$4=0,"&gt;0",$C$4),Orders!$E$2:$E$2864,B273)</f>
        <v>358</v>
      </c>
      <c r="E273" s="0" t="n">
        <f aca="false">COUNTIFS(Orders!$C$2:$C$2864,$C$3,Orders!$D$2:$D$2864,IF($C$4=0,"&gt;0",$C$4),Orders!$E$2:$E$2864,B273)</f>
        <v>1</v>
      </c>
      <c r="F273" s="0" t="n">
        <f aca="false">D273+ROW()/100000</f>
        <v>358.00273</v>
      </c>
      <c r="G273" s="0" t="n">
        <f aca="false">RANK(F273,$F$61:$F$580)</f>
        <v>142</v>
      </c>
    </row>
    <row r="274" customFormat="false" ht="15" hidden="false" customHeight="false" outlineLevel="0" collapsed="false">
      <c r="B274" s="0" t="s">
        <v>1658</v>
      </c>
      <c r="C274" s="0" t="s">
        <v>69</v>
      </c>
      <c r="D274" s="0" t="n">
        <f aca="false">SUMIFS(Orders!$L$2:$L$2864,Orders!$C$2:$C$2864,$C$3,Orders!$D$2:$D$2864,IF($C$4=0,"&gt;0",$C$4),Orders!$E$2:$E$2864,B274)</f>
        <v>63</v>
      </c>
      <c r="E274" s="0" t="n">
        <f aca="false">COUNTIFS(Orders!$C$2:$C$2864,$C$3,Orders!$D$2:$D$2864,IF($C$4=0,"&gt;0",$C$4),Orders!$E$2:$E$2864,B274)</f>
        <v>2</v>
      </c>
      <c r="F274" s="0" t="n">
        <f aca="false">D274+ROW()/100000</f>
        <v>63.00274</v>
      </c>
      <c r="G274" s="0" t="n">
        <f aca="false">RANK(F274,$F$61:$F$580)</f>
        <v>406</v>
      </c>
    </row>
    <row r="275" customFormat="false" ht="15" hidden="false" customHeight="false" outlineLevel="0" collapsed="false">
      <c r="B275" s="0" t="s">
        <v>783</v>
      </c>
      <c r="C275" s="0" t="s">
        <v>69</v>
      </c>
      <c r="D275" s="0" t="n">
        <f aca="false">SUMIFS(Orders!$L$2:$L$2864,Orders!$C$2:$C$2864,$C$3,Orders!$D$2:$D$2864,IF($C$4=0,"&gt;0",$C$4),Orders!$E$2:$E$2864,B275)</f>
        <v>198</v>
      </c>
      <c r="E275" s="0" t="n">
        <f aca="false">COUNTIFS(Orders!$C$2:$C$2864,$C$3,Orders!$D$2:$D$2864,IF($C$4=0,"&gt;0",$C$4),Orders!$E$2:$E$2864,B275)</f>
        <v>2</v>
      </c>
      <c r="F275" s="0" t="n">
        <f aca="false">D275+ROW()/100000</f>
        <v>198.00275</v>
      </c>
      <c r="G275" s="0" t="n">
        <f aca="false">RANK(F275,$F$61:$F$580)</f>
        <v>260</v>
      </c>
    </row>
    <row r="276" customFormat="false" ht="15" hidden="false" customHeight="false" outlineLevel="0" collapsed="false">
      <c r="B276" s="0" t="s">
        <v>290</v>
      </c>
      <c r="C276" s="0" t="s">
        <v>75</v>
      </c>
      <c r="D276" s="0" t="n">
        <f aca="false">SUMIFS(Orders!$L$2:$L$2864,Orders!$C$2:$C$2864,$C$3,Orders!$D$2:$D$2864,IF($C$4=0,"&gt;0",$C$4),Orders!$E$2:$E$2864,B276)</f>
        <v>225</v>
      </c>
      <c r="E276" s="0" t="n">
        <f aca="false">COUNTIFS(Orders!$C$2:$C$2864,$C$3,Orders!$D$2:$D$2864,IF($C$4=0,"&gt;0",$C$4),Orders!$E$2:$E$2864,B276)</f>
        <v>2</v>
      </c>
      <c r="F276" s="0" t="n">
        <f aca="false">D276+ROW()/100000</f>
        <v>225.00276</v>
      </c>
      <c r="G276" s="0" t="n">
        <f aca="false">RANK(F276,$F$61:$F$580)</f>
        <v>227</v>
      </c>
    </row>
    <row r="277" customFormat="false" ht="15" hidden="false" customHeight="false" outlineLevel="0" collapsed="false">
      <c r="B277" s="0" t="s">
        <v>1244</v>
      </c>
      <c r="C277" s="0" t="s">
        <v>81</v>
      </c>
      <c r="D277" s="0" t="n">
        <f aca="false">SUMIFS(Orders!$L$2:$L$2864,Orders!$C$2:$C$2864,$C$3,Orders!$D$2:$D$2864,IF($C$4=0,"&gt;0",$C$4),Orders!$E$2:$E$2864,B277)</f>
        <v>236</v>
      </c>
      <c r="E277" s="0" t="n">
        <f aca="false">COUNTIFS(Orders!$C$2:$C$2864,$C$3,Orders!$D$2:$D$2864,IF($C$4=0,"&gt;0",$C$4),Orders!$E$2:$E$2864,B277)</f>
        <v>2</v>
      </c>
      <c r="F277" s="0" t="n">
        <f aca="false">D277+ROW()/100000</f>
        <v>236.00277</v>
      </c>
      <c r="G277" s="0" t="n">
        <f aca="false">RANK(F277,$F$61:$F$580)</f>
        <v>222</v>
      </c>
    </row>
    <row r="278" customFormat="false" ht="15" hidden="false" customHeight="false" outlineLevel="0" collapsed="false">
      <c r="B278" s="0" t="s">
        <v>578</v>
      </c>
      <c r="C278" s="0" t="s">
        <v>75</v>
      </c>
      <c r="D278" s="0" t="n">
        <f aca="false">SUMIFS(Orders!$L$2:$L$2864,Orders!$C$2:$C$2864,$C$3,Orders!$D$2:$D$2864,IF($C$4=0,"&gt;0",$C$4),Orders!$E$2:$E$2864,B278)</f>
        <v>108</v>
      </c>
      <c r="E278" s="0" t="n">
        <f aca="false">COUNTIFS(Orders!$C$2:$C$2864,$C$3,Orders!$D$2:$D$2864,IF($C$4=0,"&gt;0",$C$4),Orders!$E$2:$E$2864,B278)</f>
        <v>1</v>
      </c>
      <c r="F278" s="0" t="n">
        <f aca="false">D278+ROW()/100000</f>
        <v>108.00278</v>
      </c>
      <c r="G278" s="0" t="n">
        <f aca="false">RANK(F278,$F$61:$F$580)</f>
        <v>347</v>
      </c>
    </row>
    <row r="279" customFormat="false" ht="15" hidden="false" customHeight="false" outlineLevel="0" collapsed="false">
      <c r="B279" s="0" t="s">
        <v>1733</v>
      </c>
      <c r="C279" s="0" t="s">
        <v>75</v>
      </c>
      <c r="D279" s="0" t="n">
        <f aca="false">SUMIFS(Orders!$L$2:$L$2864,Orders!$C$2:$C$2864,$C$3,Orders!$D$2:$D$2864,IF($C$4=0,"&gt;0",$C$4),Orders!$E$2:$E$2864,B279)</f>
        <v>0</v>
      </c>
      <c r="E279" s="0" t="n">
        <f aca="false">COUNTIFS(Orders!$C$2:$C$2864,$C$3,Orders!$D$2:$D$2864,IF($C$4=0,"&gt;0",$C$4),Orders!$E$2:$E$2864,B279)</f>
        <v>0</v>
      </c>
      <c r="F279" s="0" t="n">
        <f aca="false">D279+ROW()/100000</f>
        <v>0.00279</v>
      </c>
      <c r="G279" s="0" t="n">
        <f aca="false">RANK(F279,$F$61:$F$580)</f>
        <v>509</v>
      </c>
    </row>
    <row r="280" customFormat="false" ht="15" hidden="false" customHeight="false" outlineLevel="0" collapsed="false">
      <c r="B280" s="0" t="s">
        <v>1195</v>
      </c>
      <c r="C280" s="0" t="s">
        <v>72</v>
      </c>
      <c r="D280" s="0" t="n">
        <f aca="false">SUMIFS(Orders!$L$2:$L$2864,Orders!$C$2:$C$2864,$C$3,Orders!$D$2:$D$2864,IF($C$4=0,"&gt;0",$C$4),Orders!$E$2:$E$2864,B280)</f>
        <v>306</v>
      </c>
      <c r="E280" s="0" t="n">
        <f aca="false">COUNTIFS(Orders!$C$2:$C$2864,$C$3,Orders!$D$2:$D$2864,IF($C$4=0,"&gt;0",$C$4),Orders!$E$2:$E$2864,B280)</f>
        <v>3</v>
      </c>
      <c r="F280" s="0" t="n">
        <f aca="false">D280+ROW()/100000</f>
        <v>306.0028</v>
      </c>
      <c r="G280" s="0" t="n">
        <f aca="false">RANK(F280,$F$61:$F$580)</f>
        <v>163</v>
      </c>
    </row>
    <row r="281" customFormat="false" ht="15" hidden="false" customHeight="false" outlineLevel="0" collapsed="false">
      <c r="B281" s="0" t="s">
        <v>1664</v>
      </c>
      <c r="C281" s="0" t="s">
        <v>69</v>
      </c>
      <c r="D281" s="0" t="n">
        <f aca="false">SUMIFS(Orders!$L$2:$L$2864,Orders!$C$2:$C$2864,$C$3,Orders!$D$2:$D$2864,IF($C$4=0,"&gt;0",$C$4),Orders!$E$2:$E$2864,B281)</f>
        <v>0</v>
      </c>
      <c r="E281" s="0" t="n">
        <f aca="false">COUNTIFS(Orders!$C$2:$C$2864,$C$3,Orders!$D$2:$D$2864,IF($C$4=0,"&gt;0",$C$4),Orders!$E$2:$E$2864,B281)</f>
        <v>0</v>
      </c>
      <c r="F281" s="0" t="n">
        <f aca="false">D281+ROW()/100000</f>
        <v>0.00281</v>
      </c>
      <c r="G281" s="0" t="n">
        <f aca="false">RANK(F281,$F$61:$F$580)</f>
        <v>508</v>
      </c>
    </row>
    <row r="282" customFormat="false" ht="15" hidden="false" customHeight="false" outlineLevel="0" collapsed="false">
      <c r="B282" s="0" t="s">
        <v>653</v>
      </c>
      <c r="C282" s="0" t="s">
        <v>69</v>
      </c>
      <c r="D282" s="0" t="n">
        <f aca="false">SUMIFS(Orders!$L$2:$L$2864,Orders!$C$2:$C$2864,$C$3,Orders!$D$2:$D$2864,IF($C$4=0,"&gt;0",$C$4),Orders!$E$2:$E$2864,B282)</f>
        <v>118</v>
      </c>
      <c r="E282" s="0" t="n">
        <f aca="false">COUNTIFS(Orders!$C$2:$C$2864,$C$3,Orders!$D$2:$D$2864,IF($C$4=0,"&gt;0",$C$4),Orders!$E$2:$E$2864,B282)</f>
        <v>2</v>
      </c>
      <c r="F282" s="0" t="n">
        <f aca="false">D282+ROW()/100000</f>
        <v>118.00282</v>
      </c>
      <c r="G282" s="0" t="n">
        <f aca="false">RANK(F282,$F$61:$F$580)</f>
        <v>331</v>
      </c>
    </row>
    <row r="283" customFormat="false" ht="15" hidden="false" customHeight="false" outlineLevel="0" collapsed="false">
      <c r="B283" s="0" t="s">
        <v>498</v>
      </c>
      <c r="C283" s="0" t="s">
        <v>78</v>
      </c>
      <c r="D283" s="0" t="n">
        <f aca="false">SUMIFS(Orders!$L$2:$L$2864,Orders!$C$2:$C$2864,$C$3,Orders!$D$2:$D$2864,IF($C$4=0,"&gt;0",$C$4),Orders!$E$2:$E$2864,B283)</f>
        <v>623</v>
      </c>
      <c r="E283" s="0" t="n">
        <f aca="false">COUNTIFS(Orders!$C$2:$C$2864,$C$3,Orders!$D$2:$D$2864,IF($C$4=0,"&gt;0",$C$4),Orders!$E$2:$E$2864,B283)</f>
        <v>5</v>
      </c>
      <c r="F283" s="0" t="n">
        <f aca="false">D283+ROW()/100000</f>
        <v>623.00283</v>
      </c>
      <c r="G283" s="0" t="n">
        <f aca="false">RANK(F283,$F$61:$F$580)</f>
        <v>70</v>
      </c>
    </row>
    <row r="284" customFormat="false" ht="15" hidden="false" customHeight="false" outlineLevel="0" collapsed="false">
      <c r="B284" s="0" t="s">
        <v>1700</v>
      </c>
      <c r="C284" s="0" t="s">
        <v>72</v>
      </c>
      <c r="D284" s="0" t="n">
        <f aca="false">SUMIFS(Orders!$L$2:$L$2864,Orders!$C$2:$C$2864,$C$3,Orders!$D$2:$D$2864,IF($C$4=0,"&gt;0",$C$4),Orders!$E$2:$E$2864,B284)</f>
        <v>0</v>
      </c>
      <c r="E284" s="0" t="n">
        <f aca="false">COUNTIFS(Orders!$C$2:$C$2864,$C$3,Orders!$D$2:$D$2864,IF($C$4=0,"&gt;0",$C$4),Orders!$E$2:$E$2864,B284)</f>
        <v>0</v>
      </c>
      <c r="F284" s="0" t="n">
        <f aca="false">D284+ROW()/100000</f>
        <v>0.00284</v>
      </c>
      <c r="G284" s="0" t="n">
        <f aca="false">RANK(F284,$F$61:$F$580)</f>
        <v>507</v>
      </c>
    </row>
    <row r="285" customFormat="false" ht="15" hidden="false" customHeight="false" outlineLevel="0" collapsed="false">
      <c r="B285" s="0" t="s">
        <v>841</v>
      </c>
      <c r="C285" s="0" t="s">
        <v>75</v>
      </c>
      <c r="D285" s="0" t="n">
        <f aca="false">SUMIFS(Orders!$L$2:$L$2864,Orders!$C$2:$C$2864,$C$3,Orders!$D$2:$D$2864,IF($C$4=0,"&gt;0",$C$4),Orders!$E$2:$E$2864,B285)</f>
        <v>0</v>
      </c>
      <c r="E285" s="0" t="n">
        <f aca="false">COUNTIFS(Orders!$C$2:$C$2864,$C$3,Orders!$D$2:$D$2864,IF($C$4=0,"&gt;0",$C$4),Orders!$E$2:$E$2864,B285)</f>
        <v>0</v>
      </c>
      <c r="F285" s="0" t="n">
        <f aca="false">D285+ROW()/100000</f>
        <v>0.00285</v>
      </c>
      <c r="G285" s="0" t="n">
        <f aca="false">RANK(F285,$F$61:$F$580)</f>
        <v>506</v>
      </c>
    </row>
    <row r="286" customFormat="false" ht="15" hidden="false" customHeight="false" outlineLevel="0" collapsed="false">
      <c r="B286" s="0" t="s">
        <v>131</v>
      </c>
      <c r="C286" s="0" t="s">
        <v>72</v>
      </c>
      <c r="D286" s="0" t="n">
        <f aca="false">SUMIFS(Orders!$L$2:$L$2864,Orders!$C$2:$C$2864,$C$3,Orders!$D$2:$D$2864,IF($C$4=0,"&gt;0",$C$4),Orders!$E$2:$E$2864,B286)</f>
        <v>59</v>
      </c>
      <c r="E286" s="0" t="n">
        <f aca="false">COUNTIFS(Orders!$C$2:$C$2864,$C$3,Orders!$D$2:$D$2864,IF($C$4=0,"&gt;0",$C$4),Orders!$E$2:$E$2864,B286)</f>
        <v>1</v>
      </c>
      <c r="F286" s="0" t="n">
        <f aca="false">D286+ROW()/100000</f>
        <v>59.00286</v>
      </c>
      <c r="G286" s="0" t="n">
        <f aca="false">RANK(F286,$F$61:$F$580)</f>
        <v>411</v>
      </c>
    </row>
    <row r="287" customFormat="false" ht="15" hidden="false" customHeight="false" outlineLevel="0" collapsed="false">
      <c r="B287" s="0" t="s">
        <v>854</v>
      </c>
      <c r="C287" s="0" t="s">
        <v>78</v>
      </c>
      <c r="D287" s="0" t="n">
        <f aca="false">SUMIFS(Orders!$L$2:$L$2864,Orders!$C$2:$C$2864,$C$3,Orders!$D$2:$D$2864,IF($C$4=0,"&gt;0",$C$4),Orders!$E$2:$E$2864,B287)</f>
        <v>0</v>
      </c>
      <c r="E287" s="0" t="n">
        <f aca="false">COUNTIFS(Orders!$C$2:$C$2864,$C$3,Orders!$D$2:$D$2864,IF($C$4=0,"&gt;0",$C$4),Orders!$E$2:$E$2864,B287)</f>
        <v>0</v>
      </c>
      <c r="F287" s="0" t="n">
        <f aca="false">D287+ROW()/100000</f>
        <v>0.00287</v>
      </c>
      <c r="G287" s="0" t="n">
        <f aca="false">RANK(F287,$F$61:$F$580)</f>
        <v>505</v>
      </c>
    </row>
    <row r="288" customFormat="false" ht="15" hidden="false" customHeight="false" outlineLevel="0" collapsed="false">
      <c r="B288" s="0" t="s">
        <v>657</v>
      </c>
      <c r="C288" s="0" t="s">
        <v>81</v>
      </c>
      <c r="D288" s="0" t="n">
        <f aca="false">SUMIFS(Orders!$L$2:$L$2864,Orders!$C$2:$C$2864,$C$3,Orders!$D$2:$D$2864,IF($C$4=0,"&gt;0",$C$4),Orders!$E$2:$E$2864,B288)</f>
        <v>49</v>
      </c>
      <c r="E288" s="0" t="n">
        <f aca="false">COUNTIFS(Orders!$C$2:$C$2864,$C$3,Orders!$D$2:$D$2864,IF($C$4=0,"&gt;0",$C$4),Orders!$E$2:$E$2864,B288)</f>
        <v>1</v>
      </c>
      <c r="F288" s="0" t="n">
        <f aca="false">D288+ROW()/100000</f>
        <v>49.00288</v>
      </c>
      <c r="G288" s="0" t="n">
        <f aca="false">RANK(F288,$F$61:$F$580)</f>
        <v>427</v>
      </c>
    </row>
    <row r="289" customFormat="false" ht="15" hidden="false" customHeight="false" outlineLevel="0" collapsed="false">
      <c r="B289" s="0" t="s">
        <v>770</v>
      </c>
      <c r="C289" s="0" t="s">
        <v>78</v>
      </c>
      <c r="D289" s="0" t="n">
        <f aca="false">SUMIFS(Orders!$L$2:$L$2864,Orders!$C$2:$C$2864,$C$3,Orders!$D$2:$D$2864,IF($C$4=0,"&gt;0",$C$4),Orders!$E$2:$E$2864,B289)</f>
        <v>45</v>
      </c>
      <c r="E289" s="0" t="n">
        <f aca="false">COUNTIFS(Orders!$C$2:$C$2864,$C$3,Orders!$D$2:$D$2864,IF($C$4=0,"&gt;0",$C$4),Orders!$E$2:$E$2864,B289)</f>
        <v>1</v>
      </c>
      <c r="F289" s="0" t="n">
        <f aca="false">D289+ROW()/100000</f>
        <v>45.00289</v>
      </c>
      <c r="G289" s="0" t="n">
        <f aca="false">RANK(F289,$F$61:$F$580)</f>
        <v>436</v>
      </c>
    </row>
    <row r="290" customFormat="false" ht="15" hidden="false" customHeight="false" outlineLevel="0" collapsed="false">
      <c r="B290" s="0" t="s">
        <v>1024</v>
      </c>
      <c r="C290" s="0" t="s">
        <v>72</v>
      </c>
      <c r="D290" s="0" t="n">
        <f aca="false">SUMIFS(Orders!$L$2:$L$2864,Orders!$C$2:$C$2864,$C$3,Orders!$D$2:$D$2864,IF($C$4=0,"&gt;0",$C$4),Orders!$E$2:$E$2864,B290)</f>
        <v>0</v>
      </c>
      <c r="E290" s="0" t="n">
        <f aca="false">COUNTIFS(Orders!$C$2:$C$2864,$C$3,Orders!$D$2:$D$2864,IF($C$4=0,"&gt;0",$C$4),Orders!$E$2:$E$2864,B290)</f>
        <v>0</v>
      </c>
      <c r="F290" s="0" t="n">
        <f aca="false">D290+ROW()/100000</f>
        <v>0.0029</v>
      </c>
      <c r="G290" s="0" t="n">
        <f aca="false">RANK(F290,$F$61:$F$580)</f>
        <v>504</v>
      </c>
    </row>
    <row r="291" customFormat="false" ht="15" hidden="false" customHeight="false" outlineLevel="0" collapsed="false">
      <c r="B291" s="0" t="s">
        <v>1539</v>
      </c>
      <c r="C291" s="0" t="s">
        <v>75</v>
      </c>
      <c r="D291" s="0" t="n">
        <f aca="false">SUMIFS(Orders!$L$2:$L$2864,Orders!$C$2:$C$2864,$C$3,Orders!$D$2:$D$2864,IF($C$4=0,"&gt;0",$C$4),Orders!$E$2:$E$2864,B291)</f>
        <v>59</v>
      </c>
      <c r="E291" s="0" t="n">
        <f aca="false">COUNTIFS(Orders!$C$2:$C$2864,$C$3,Orders!$D$2:$D$2864,IF($C$4=0,"&gt;0",$C$4),Orders!$E$2:$E$2864,B291)</f>
        <v>1</v>
      </c>
      <c r="F291" s="0" t="n">
        <f aca="false">D291+ROW()/100000</f>
        <v>59.00291</v>
      </c>
      <c r="G291" s="0" t="n">
        <f aca="false">RANK(F291,$F$61:$F$580)</f>
        <v>410</v>
      </c>
    </row>
    <row r="292" customFormat="false" ht="15" hidden="false" customHeight="false" outlineLevel="0" collapsed="false">
      <c r="B292" s="0" t="s">
        <v>1449</v>
      </c>
      <c r="C292" s="0" t="s">
        <v>78</v>
      </c>
      <c r="D292" s="0" t="n">
        <f aca="false">SUMIFS(Orders!$L$2:$L$2864,Orders!$C$2:$C$2864,$C$3,Orders!$D$2:$D$2864,IF($C$4=0,"&gt;0",$C$4),Orders!$E$2:$E$2864,B292)</f>
        <v>456</v>
      </c>
      <c r="E292" s="0" t="n">
        <f aca="false">COUNTIFS(Orders!$C$2:$C$2864,$C$3,Orders!$D$2:$D$2864,IF($C$4=0,"&gt;0",$C$4),Orders!$E$2:$E$2864,B292)</f>
        <v>4</v>
      </c>
      <c r="F292" s="0" t="n">
        <f aca="false">D292+ROW()/100000</f>
        <v>456.00292</v>
      </c>
      <c r="G292" s="0" t="n">
        <f aca="false">RANK(F292,$F$61:$F$580)</f>
        <v>112</v>
      </c>
    </row>
    <row r="293" customFormat="false" ht="15" hidden="false" customHeight="false" outlineLevel="0" collapsed="false">
      <c r="B293" s="0" t="s">
        <v>279</v>
      </c>
      <c r="C293" s="0" t="s">
        <v>75</v>
      </c>
      <c r="D293" s="0" t="n">
        <f aca="false">SUMIFS(Orders!$L$2:$L$2864,Orders!$C$2:$C$2864,$C$3,Orders!$D$2:$D$2864,IF($C$4=0,"&gt;0",$C$4),Orders!$E$2:$E$2864,B293)</f>
        <v>83</v>
      </c>
      <c r="E293" s="0" t="n">
        <f aca="false">COUNTIFS(Orders!$C$2:$C$2864,$C$3,Orders!$D$2:$D$2864,IF($C$4=0,"&gt;0",$C$4),Orders!$E$2:$E$2864,B293)</f>
        <v>2</v>
      </c>
      <c r="F293" s="0" t="n">
        <f aca="false">D293+ROW()/100000</f>
        <v>83.00293</v>
      </c>
      <c r="G293" s="0" t="n">
        <f aca="false">RANK(F293,$F$61:$F$580)</f>
        <v>389</v>
      </c>
    </row>
    <row r="294" customFormat="false" ht="15" hidden="false" customHeight="false" outlineLevel="0" collapsed="false">
      <c r="B294" s="0" t="s">
        <v>201</v>
      </c>
      <c r="C294" s="0" t="s">
        <v>75</v>
      </c>
      <c r="D294" s="0" t="n">
        <f aca="false">SUMIFS(Orders!$L$2:$L$2864,Orders!$C$2:$C$2864,$C$3,Orders!$D$2:$D$2864,IF($C$4=0,"&gt;0",$C$4),Orders!$E$2:$E$2864,B294)</f>
        <v>271</v>
      </c>
      <c r="E294" s="0" t="n">
        <f aca="false">COUNTIFS(Orders!$C$2:$C$2864,$C$3,Orders!$D$2:$D$2864,IF($C$4=0,"&gt;0",$C$4),Orders!$E$2:$E$2864,B294)</f>
        <v>4</v>
      </c>
      <c r="F294" s="0" t="n">
        <f aca="false">D294+ROW()/100000</f>
        <v>271.00294</v>
      </c>
      <c r="G294" s="0" t="n">
        <f aca="false">RANK(F294,$F$61:$F$580)</f>
        <v>193</v>
      </c>
    </row>
    <row r="295" customFormat="false" ht="15" hidden="false" customHeight="false" outlineLevel="0" collapsed="false">
      <c r="B295" s="0" t="s">
        <v>3343</v>
      </c>
      <c r="C295" s="0" t="s">
        <v>78</v>
      </c>
      <c r="D295" s="0" t="n">
        <f aca="false">SUMIFS(Orders!$L$2:$L$2864,Orders!$C$2:$C$2864,$C$3,Orders!$D$2:$D$2864,IF($C$4=0,"&gt;0",$C$4),Orders!$E$2:$E$2864,B295)</f>
        <v>49</v>
      </c>
      <c r="E295" s="0" t="n">
        <f aca="false">COUNTIFS(Orders!$C$2:$C$2864,$C$3,Orders!$D$2:$D$2864,IF($C$4=0,"&gt;0",$C$4),Orders!$E$2:$E$2864,B295)</f>
        <v>1</v>
      </c>
      <c r="F295" s="0" t="n">
        <f aca="false">D295+ROW()/100000</f>
        <v>49.00295</v>
      </c>
      <c r="G295" s="0" t="n">
        <f aca="false">RANK(F295,$F$61:$F$580)</f>
        <v>426</v>
      </c>
    </row>
    <row r="296" customFormat="false" ht="15" hidden="false" customHeight="false" outlineLevel="0" collapsed="false">
      <c r="B296" s="0" t="s">
        <v>1290</v>
      </c>
      <c r="C296" s="0" t="s">
        <v>75</v>
      </c>
      <c r="D296" s="0" t="n">
        <f aca="false">SUMIFS(Orders!$L$2:$L$2864,Orders!$C$2:$C$2864,$C$3,Orders!$D$2:$D$2864,IF($C$4=0,"&gt;0",$C$4),Orders!$E$2:$E$2864,B296)</f>
        <v>212</v>
      </c>
      <c r="E296" s="0" t="n">
        <f aca="false">COUNTIFS(Orders!$C$2:$C$2864,$C$3,Orders!$D$2:$D$2864,IF($C$4=0,"&gt;0",$C$4),Orders!$E$2:$E$2864,B296)</f>
        <v>3</v>
      </c>
      <c r="F296" s="0" t="n">
        <f aca="false">D296+ROW()/100000</f>
        <v>212.00296</v>
      </c>
      <c r="G296" s="0" t="n">
        <f aca="false">RANK(F296,$F$61:$F$580)</f>
        <v>241</v>
      </c>
    </row>
    <row r="297" customFormat="false" ht="15" hidden="false" customHeight="false" outlineLevel="0" collapsed="false">
      <c r="B297" s="0" t="s">
        <v>3474</v>
      </c>
      <c r="C297" s="0" t="s">
        <v>72</v>
      </c>
      <c r="D297" s="0" t="n">
        <f aca="false">SUMIFS(Orders!$L$2:$L$2864,Orders!$C$2:$C$2864,$C$3,Orders!$D$2:$D$2864,IF($C$4=0,"&gt;0",$C$4),Orders!$E$2:$E$2864,B297)</f>
        <v>0</v>
      </c>
      <c r="E297" s="0" t="n">
        <f aca="false">COUNTIFS(Orders!$C$2:$C$2864,$C$3,Orders!$D$2:$D$2864,IF($C$4=0,"&gt;0",$C$4),Orders!$E$2:$E$2864,B297)</f>
        <v>0</v>
      </c>
      <c r="F297" s="0" t="n">
        <f aca="false">D297+ROW()/100000</f>
        <v>0.00297</v>
      </c>
      <c r="G297" s="0" t="n">
        <f aca="false">RANK(F297,$F$61:$F$580)</f>
        <v>503</v>
      </c>
    </row>
    <row r="298" customFormat="false" ht="15" hidden="false" customHeight="false" outlineLevel="0" collapsed="false">
      <c r="B298" s="0" t="s">
        <v>1318</v>
      </c>
      <c r="C298" s="0" t="s">
        <v>81</v>
      </c>
      <c r="D298" s="0" t="n">
        <f aca="false">SUMIFS(Orders!$L$2:$L$2864,Orders!$C$2:$C$2864,$C$3,Orders!$D$2:$D$2864,IF($C$4=0,"&gt;0",$C$4),Orders!$E$2:$E$2864,B298)</f>
        <v>89</v>
      </c>
      <c r="E298" s="0" t="n">
        <f aca="false">COUNTIFS(Orders!$C$2:$C$2864,$C$3,Orders!$D$2:$D$2864,IF($C$4=0,"&gt;0",$C$4),Orders!$E$2:$E$2864,B298)</f>
        <v>1</v>
      </c>
      <c r="F298" s="0" t="n">
        <f aca="false">D298+ROW()/100000</f>
        <v>89.00298</v>
      </c>
      <c r="G298" s="0" t="n">
        <f aca="false">RANK(F298,$F$61:$F$580)</f>
        <v>380</v>
      </c>
    </row>
    <row r="299" customFormat="false" ht="15" hidden="false" customHeight="false" outlineLevel="0" collapsed="false">
      <c r="B299" s="0" t="s">
        <v>191</v>
      </c>
      <c r="C299" s="0" t="s">
        <v>78</v>
      </c>
      <c r="D299" s="0" t="n">
        <f aca="false">SUMIFS(Orders!$L$2:$L$2864,Orders!$C$2:$C$2864,$C$3,Orders!$D$2:$D$2864,IF($C$4=0,"&gt;0",$C$4),Orders!$E$2:$E$2864,B299)</f>
        <v>342</v>
      </c>
      <c r="E299" s="0" t="n">
        <f aca="false">COUNTIFS(Orders!$C$2:$C$2864,$C$3,Orders!$D$2:$D$2864,IF($C$4=0,"&gt;0",$C$4),Orders!$E$2:$E$2864,B299)</f>
        <v>3</v>
      </c>
      <c r="F299" s="0" t="n">
        <f aca="false">D299+ROW()/100000</f>
        <v>342.00299</v>
      </c>
      <c r="G299" s="0" t="n">
        <f aca="false">RANK(F299,$F$61:$F$580)</f>
        <v>149</v>
      </c>
    </row>
    <row r="300" customFormat="false" ht="15" hidden="false" customHeight="false" outlineLevel="0" collapsed="false">
      <c r="B300" s="0" t="s">
        <v>1175</v>
      </c>
      <c r="C300" s="0" t="s">
        <v>81</v>
      </c>
      <c r="D300" s="0" t="n">
        <f aca="false">SUMIFS(Orders!$L$2:$L$2864,Orders!$C$2:$C$2864,$C$3,Orders!$D$2:$D$2864,IF($C$4=0,"&gt;0",$C$4),Orders!$E$2:$E$2864,B300)</f>
        <v>0</v>
      </c>
      <c r="E300" s="0" t="n">
        <f aca="false">COUNTIFS(Orders!$C$2:$C$2864,$C$3,Orders!$D$2:$D$2864,IF($C$4=0,"&gt;0",$C$4),Orders!$E$2:$E$2864,B300)</f>
        <v>0</v>
      </c>
      <c r="F300" s="0" t="n">
        <f aca="false">D300+ROW()/100000</f>
        <v>0.003</v>
      </c>
      <c r="G300" s="0" t="n">
        <f aca="false">RANK(F300,$F$61:$F$580)</f>
        <v>502</v>
      </c>
    </row>
    <row r="301" customFormat="false" ht="15" hidden="false" customHeight="false" outlineLevel="0" collapsed="false">
      <c r="B301" s="0" t="s">
        <v>622</v>
      </c>
      <c r="C301" s="0" t="s">
        <v>69</v>
      </c>
      <c r="D301" s="0" t="n">
        <f aca="false">SUMIFS(Orders!$L$2:$L$2864,Orders!$C$2:$C$2864,$C$3,Orders!$D$2:$D$2864,IF($C$4=0,"&gt;0",$C$4),Orders!$E$2:$E$2864,B301)</f>
        <v>213</v>
      </c>
      <c r="E301" s="0" t="n">
        <f aca="false">COUNTIFS(Orders!$C$2:$C$2864,$C$3,Orders!$D$2:$D$2864,IF($C$4=0,"&gt;0",$C$4),Orders!$E$2:$E$2864,B301)</f>
        <v>2</v>
      </c>
      <c r="F301" s="0" t="n">
        <f aca="false">D301+ROW()/100000</f>
        <v>213.00301</v>
      </c>
      <c r="G301" s="0" t="n">
        <f aca="false">RANK(F301,$F$61:$F$580)</f>
        <v>237</v>
      </c>
    </row>
    <row r="302" customFormat="false" ht="15" hidden="false" customHeight="false" outlineLevel="0" collapsed="false">
      <c r="B302" s="0" t="s">
        <v>3475</v>
      </c>
      <c r="C302" s="0" t="s">
        <v>78</v>
      </c>
      <c r="D302" s="0" t="n">
        <f aca="false">SUMIFS(Orders!$L$2:$L$2864,Orders!$C$2:$C$2864,$C$3,Orders!$D$2:$D$2864,IF($C$4=0,"&gt;0",$C$4),Orders!$E$2:$E$2864,B302)</f>
        <v>0</v>
      </c>
      <c r="E302" s="0" t="n">
        <f aca="false">COUNTIFS(Orders!$C$2:$C$2864,$C$3,Orders!$D$2:$D$2864,IF($C$4=0,"&gt;0",$C$4),Orders!$E$2:$E$2864,B302)</f>
        <v>0</v>
      </c>
      <c r="F302" s="0" t="n">
        <f aca="false">D302+ROW()/100000</f>
        <v>0.00302</v>
      </c>
      <c r="G302" s="0" t="n">
        <f aca="false">RANK(F302,$F$61:$F$580)</f>
        <v>501</v>
      </c>
    </row>
    <row r="303" customFormat="false" ht="15" hidden="false" customHeight="false" outlineLevel="0" collapsed="false">
      <c r="B303" s="0" t="s">
        <v>1188</v>
      </c>
      <c r="C303" s="0" t="s">
        <v>75</v>
      </c>
      <c r="D303" s="0" t="n">
        <f aca="false">SUMIFS(Orders!$L$2:$L$2864,Orders!$C$2:$C$2864,$C$3,Orders!$D$2:$D$2864,IF($C$4=0,"&gt;0",$C$4),Orders!$E$2:$E$2864,B303)</f>
        <v>212</v>
      </c>
      <c r="E303" s="0" t="n">
        <f aca="false">COUNTIFS(Orders!$C$2:$C$2864,$C$3,Orders!$D$2:$D$2864,IF($C$4=0,"&gt;0",$C$4),Orders!$E$2:$E$2864,B303)</f>
        <v>2</v>
      </c>
      <c r="F303" s="0" t="n">
        <f aca="false">D303+ROW()/100000</f>
        <v>212.00303</v>
      </c>
      <c r="G303" s="0" t="n">
        <f aca="false">RANK(F303,$F$61:$F$580)</f>
        <v>240</v>
      </c>
    </row>
    <row r="304" customFormat="false" ht="15" hidden="false" customHeight="false" outlineLevel="0" collapsed="false">
      <c r="B304" s="0" t="s">
        <v>217</v>
      </c>
      <c r="C304" s="0" t="s">
        <v>75</v>
      </c>
      <c r="D304" s="0" t="n">
        <f aca="false">SUMIFS(Orders!$L$2:$L$2864,Orders!$C$2:$C$2864,$C$3,Orders!$D$2:$D$2864,IF($C$4=0,"&gt;0",$C$4),Orders!$E$2:$E$2864,B304)</f>
        <v>0</v>
      </c>
      <c r="E304" s="0" t="n">
        <f aca="false">COUNTIFS(Orders!$C$2:$C$2864,$C$3,Orders!$D$2:$D$2864,IF($C$4=0,"&gt;0",$C$4),Orders!$E$2:$E$2864,B304)</f>
        <v>0</v>
      </c>
      <c r="F304" s="0" t="n">
        <f aca="false">D304+ROW()/100000</f>
        <v>0.00304</v>
      </c>
      <c r="G304" s="0" t="n">
        <f aca="false">RANK(F304,$F$61:$F$580)</f>
        <v>500</v>
      </c>
    </row>
    <row r="305" customFormat="false" ht="15" hidden="false" customHeight="false" outlineLevel="0" collapsed="false">
      <c r="B305" s="0" t="s">
        <v>1398</v>
      </c>
      <c r="C305" s="0" t="s">
        <v>69</v>
      </c>
      <c r="D305" s="0" t="n">
        <f aca="false">SUMIFS(Orders!$L$2:$L$2864,Orders!$C$2:$C$2864,$C$3,Orders!$D$2:$D$2864,IF($C$4=0,"&gt;0",$C$4),Orders!$E$2:$E$2864,B305)</f>
        <v>182</v>
      </c>
      <c r="E305" s="0" t="n">
        <f aca="false">COUNTIFS(Orders!$C$2:$C$2864,$C$3,Orders!$D$2:$D$2864,IF($C$4=0,"&gt;0",$C$4),Orders!$E$2:$E$2864,B305)</f>
        <v>3</v>
      </c>
      <c r="F305" s="0" t="n">
        <f aca="false">D305+ROW()/100000</f>
        <v>182.00305</v>
      </c>
      <c r="G305" s="0" t="n">
        <f aca="false">RANK(F305,$F$61:$F$580)</f>
        <v>268</v>
      </c>
    </row>
    <row r="306" customFormat="false" ht="15" hidden="false" customHeight="false" outlineLevel="0" collapsed="false">
      <c r="B306" s="0" t="s">
        <v>1092</v>
      </c>
      <c r="C306" s="0" t="s">
        <v>75</v>
      </c>
      <c r="D306" s="0" t="n">
        <f aca="false">SUMIFS(Orders!$L$2:$L$2864,Orders!$C$2:$C$2864,$C$3,Orders!$D$2:$D$2864,IF($C$4=0,"&gt;0",$C$4),Orders!$E$2:$E$2864,B306)</f>
        <v>753</v>
      </c>
      <c r="E306" s="0" t="n">
        <f aca="false">COUNTIFS(Orders!$C$2:$C$2864,$C$3,Orders!$D$2:$D$2864,IF($C$4=0,"&gt;0",$C$4),Orders!$E$2:$E$2864,B306)</f>
        <v>5</v>
      </c>
      <c r="F306" s="0" t="n">
        <f aca="false">D306+ROW()/100000</f>
        <v>753.00306</v>
      </c>
      <c r="G306" s="0" t="n">
        <f aca="false">RANK(F306,$F$61:$F$580)</f>
        <v>42</v>
      </c>
    </row>
    <row r="307" customFormat="false" ht="15" hidden="false" customHeight="false" outlineLevel="0" collapsed="false">
      <c r="B307" s="0" t="s">
        <v>349</v>
      </c>
      <c r="C307" s="0" t="s">
        <v>72</v>
      </c>
      <c r="D307" s="0" t="n">
        <f aca="false">SUMIFS(Orders!$L$2:$L$2864,Orders!$C$2:$C$2864,$C$3,Orders!$D$2:$D$2864,IF($C$4=0,"&gt;0",$C$4),Orders!$E$2:$E$2864,B307)</f>
        <v>118</v>
      </c>
      <c r="E307" s="0" t="n">
        <f aca="false">COUNTIFS(Orders!$C$2:$C$2864,$C$3,Orders!$D$2:$D$2864,IF($C$4=0,"&gt;0",$C$4),Orders!$E$2:$E$2864,B307)</f>
        <v>2</v>
      </c>
      <c r="F307" s="0" t="n">
        <f aca="false">D307+ROW()/100000</f>
        <v>118.00307</v>
      </c>
      <c r="G307" s="0" t="n">
        <f aca="false">RANK(F307,$F$61:$F$580)</f>
        <v>330</v>
      </c>
    </row>
    <row r="308" customFormat="false" ht="15" hidden="false" customHeight="false" outlineLevel="0" collapsed="false">
      <c r="B308" s="0" t="s">
        <v>562</v>
      </c>
      <c r="C308" s="0" t="s">
        <v>69</v>
      </c>
      <c r="D308" s="0" t="n">
        <f aca="false">SUMIFS(Orders!$L$2:$L$2864,Orders!$C$2:$C$2864,$C$3,Orders!$D$2:$D$2864,IF($C$4=0,"&gt;0",$C$4),Orders!$E$2:$E$2864,B308)</f>
        <v>69</v>
      </c>
      <c r="E308" s="0" t="n">
        <f aca="false">COUNTIFS(Orders!$C$2:$C$2864,$C$3,Orders!$D$2:$D$2864,IF($C$4=0,"&gt;0",$C$4),Orders!$E$2:$E$2864,B308)</f>
        <v>1</v>
      </c>
      <c r="F308" s="0" t="n">
        <f aca="false">D308+ROW()/100000</f>
        <v>69.00308</v>
      </c>
      <c r="G308" s="0" t="n">
        <f aca="false">RANK(F308,$F$61:$F$580)</f>
        <v>401</v>
      </c>
    </row>
    <row r="309" customFormat="false" ht="15" hidden="false" customHeight="false" outlineLevel="0" collapsed="false">
      <c r="B309" s="0" t="s">
        <v>752</v>
      </c>
      <c r="C309" s="0" t="s">
        <v>69</v>
      </c>
      <c r="D309" s="0" t="n">
        <f aca="false">SUMIFS(Orders!$L$2:$L$2864,Orders!$C$2:$C$2864,$C$3,Orders!$D$2:$D$2864,IF($C$4=0,"&gt;0",$C$4),Orders!$E$2:$E$2864,B309)</f>
        <v>341</v>
      </c>
      <c r="E309" s="0" t="n">
        <f aca="false">COUNTIFS(Orders!$C$2:$C$2864,$C$3,Orders!$D$2:$D$2864,IF($C$4=0,"&gt;0",$C$4),Orders!$E$2:$E$2864,B309)</f>
        <v>3</v>
      </c>
      <c r="F309" s="0" t="n">
        <f aca="false">D309+ROW()/100000</f>
        <v>341.00309</v>
      </c>
      <c r="G309" s="0" t="n">
        <f aca="false">RANK(F309,$F$61:$F$580)</f>
        <v>150</v>
      </c>
    </row>
    <row r="310" customFormat="false" ht="15" hidden="false" customHeight="false" outlineLevel="0" collapsed="false">
      <c r="B310" s="0" t="s">
        <v>960</v>
      </c>
      <c r="C310" s="0" t="s">
        <v>75</v>
      </c>
      <c r="D310" s="0" t="n">
        <f aca="false">SUMIFS(Orders!$L$2:$L$2864,Orders!$C$2:$C$2864,$C$3,Orders!$D$2:$D$2864,IF($C$4=0,"&gt;0",$C$4),Orders!$E$2:$E$2864,B310)</f>
        <v>59</v>
      </c>
      <c r="E310" s="0" t="n">
        <f aca="false">COUNTIFS(Orders!$C$2:$C$2864,$C$3,Orders!$D$2:$D$2864,IF($C$4=0,"&gt;0",$C$4),Orders!$E$2:$E$2864,B310)</f>
        <v>1</v>
      </c>
      <c r="F310" s="0" t="n">
        <f aca="false">D310+ROW()/100000</f>
        <v>59.0031</v>
      </c>
      <c r="G310" s="0" t="n">
        <f aca="false">RANK(F310,$F$61:$F$580)</f>
        <v>409</v>
      </c>
    </row>
    <row r="311" customFormat="false" ht="15" hidden="false" customHeight="false" outlineLevel="0" collapsed="false">
      <c r="B311" s="0" t="s">
        <v>118</v>
      </c>
      <c r="C311" s="0" t="s">
        <v>72</v>
      </c>
      <c r="D311" s="0" t="n">
        <f aca="false">SUMIFS(Orders!$L$2:$L$2864,Orders!$C$2:$C$2864,$C$3,Orders!$D$2:$D$2864,IF($C$4=0,"&gt;0",$C$4),Orders!$E$2:$E$2864,B311)</f>
        <v>29</v>
      </c>
      <c r="E311" s="0" t="n">
        <f aca="false">COUNTIFS(Orders!$C$2:$C$2864,$C$3,Orders!$D$2:$D$2864,IF($C$4=0,"&gt;0",$C$4),Orders!$E$2:$E$2864,B311)</f>
        <v>1</v>
      </c>
      <c r="F311" s="0" t="n">
        <f aca="false">D311+ROW()/100000</f>
        <v>29.00311</v>
      </c>
      <c r="G311" s="0" t="n">
        <f aca="false">RANK(F311,$F$61:$F$580)</f>
        <v>448</v>
      </c>
    </row>
    <row r="312" customFormat="false" ht="15" hidden="false" customHeight="false" outlineLevel="0" collapsed="false">
      <c r="B312" s="0" t="s">
        <v>3476</v>
      </c>
      <c r="C312" s="0" t="s">
        <v>81</v>
      </c>
      <c r="D312" s="0" t="n">
        <f aca="false">SUMIFS(Orders!$L$2:$L$2864,Orders!$C$2:$C$2864,$C$3,Orders!$D$2:$D$2864,IF($C$4=0,"&gt;0",$C$4),Orders!$E$2:$E$2864,B312)</f>
        <v>0</v>
      </c>
      <c r="E312" s="0" t="n">
        <f aca="false">COUNTIFS(Orders!$C$2:$C$2864,$C$3,Orders!$D$2:$D$2864,IF($C$4=0,"&gt;0",$C$4),Orders!$E$2:$E$2864,B312)</f>
        <v>0</v>
      </c>
      <c r="F312" s="0" t="n">
        <f aca="false">D312+ROW()/100000</f>
        <v>0.00312</v>
      </c>
      <c r="G312" s="0" t="n">
        <f aca="false">RANK(F312,$F$61:$F$580)</f>
        <v>499</v>
      </c>
    </row>
    <row r="313" customFormat="false" ht="15" hidden="false" customHeight="false" outlineLevel="0" collapsed="false">
      <c r="B313" s="0" t="s">
        <v>144</v>
      </c>
      <c r="C313" s="0" t="s">
        <v>78</v>
      </c>
      <c r="D313" s="0" t="n">
        <f aca="false">SUMIFS(Orders!$L$2:$L$2864,Orders!$C$2:$C$2864,$C$3,Orders!$D$2:$D$2864,IF($C$4=0,"&gt;0",$C$4),Orders!$E$2:$E$2864,B313)</f>
        <v>715</v>
      </c>
      <c r="E313" s="0" t="n">
        <f aca="false">COUNTIFS(Orders!$C$2:$C$2864,$C$3,Orders!$D$2:$D$2864,IF($C$4=0,"&gt;0",$C$4),Orders!$E$2:$E$2864,B313)</f>
        <v>2</v>
      </c>
      <c r="F313" s="0" t="n">
        <f aca="false">D313+ROW()/100000</f>
        <v>715.00313</v>
      </c>
      <c r="G313" s="0" t="n">
        <f aca="false">RANK(F313,$F$61:$F$580)</f>
        <v>47</v>
      </c>
    </row>
    <row r="314" customFormat="false" ht="15" hidden="false" customHeight="false" outlineLevel="0" collapsed="false">
      <c r="B314" s="0" t="s">
        <v>1819</v>
      </c>
      <c r="C314" s="0" t="s">
        <v>72</v>
      </c>
      <c r="D314" s="0" t="n">
        <f aca="false">SUMIFS(Orders!$L$2:$L$2864,Orders!$C$2:$C$2864,$C$3,Orders!$D$2:$D$2864,IF($C$4=0,"&gt;0",$C$4),Orders!$E$2:$E$2864,B314)</f>
        <v>89</v>
      </c>
      <c r="E314" s="0" t="n">
        <f aca="false">COUNTIFS(Orders!$C$2:$C$2864,$C$3,Orders!$D$2:$D$2864,IF($C$4=0,"&gt;0",$C$4),Orders!$E$2:$E$2864,B314)</f>
        <v>1</v>
      </c>
      <c r="F314" s="0" t="n">
        <f aca="false">D314+ROW()/100000</f>
        <v>89.00314</v>
      </c>
      <c r="G314" s="0" t="n">
        <f aca="false">RANK(F314,$F$61:$F$580)</f>
        <v>379</v>
      </c>
    </row>
    <row r="315" customFormat="false" ht="15" hidden="false" customHeight="false" outlineLevel="0" collapsed="false">
      <c r="B315" s="0" t="s">
        <v>514</v>
      </c>
      <c r="C315" s="0" t="s">
        <v>72</v>
      </c>
      <c r="D315" s="0" t="n">
        <f aca="false">SUMIFS(Orders!$L$2:$L$2864,Orders!$C$2:$C$2864,$C$3,Orders!$D$2:$D$2864,IF($C$4=0,"&gt;0",$C$4),Orders!$E$2:$E$2864,B315)</f>
        <v>426</v>
      </c>
      <c r="E315" s="0" t="n">
        <f aca="false">COUNTIFS(Orders!$C$2:$C$2864,$C$3,Orders!$D$2:$D$2864,IF($C$4=0,"&gt;0",$C$4),Orders!$E$2:$E$2864,B315)</f>
        <v>4</v>
      </c>
      <c r="F315" s="0" t="n">
        <f aca="false">D315+ROW()/100000</f>
        <v>426.00315</v>
      </c>
      <c r="G315" s="0" t="n">
        <f aca="false">RANK(F315,$F$61:$F$580)</f>
        <v>121</v>
      </c>
    </row>
    <row r="316" customFormat="false" ht="15" hidden="false" customHeight="false" outlineLevel="0" collapsed="false">
      <c r="B316" s="0" t="s">
        <v>897</v>
      </c>
      <c r="C316" s="0" t="s">
        <v>69</v>
      </c>
      <c r="D316" s="0" t="n">
        <f aca="false">SUMIFS(Orders!$L$2:$L$2864,Orders!$C$2:$C$2864,$C$3,Orders!$D$2:$D$2864,IF($C$4=0,"&gt;0",$C$4),Orders!$E$2:$E$2864,B316)</f>
        <v>119</v>
      </c>
      <c r="E316" s="0" t="n">
        <f aca="false">COUNTIFS(Orders!$C$2:$C$2864,$C$3,Orders!$D$2:$D$2864,IF($C$4=0,"&gt;0",$C$4),Orders!$E$2:$E$2864,B316)</f>
        <v>1</v>
      </c>
      <c r="F316" s="0" t="n">
        <f aca="false">D316+ROW()/100000</f>
        <v>119.00316</v>
      </c>
      <c r="G316" s="0" t="n">
        <f aca="false">RANK(F316,$F$61:$F$580)</f>
        <v>325</v>
      </c>
    </row>
    <row r="317" customFormat="false" ht="15" hidden="false" customHeight="false" outlineLevel="0" collapsed="false">
      <c r="B317" s="0" t="s">
        <v>504</v>
      </c>
      <c r="C317" s="0" t="s">
        <v>72</v>
      </c>
      <c r="D317" s="0" t="n">
        <f aca="false">SUMIFS(Orders!$L$2:$L$2864,Orders!$C$2:$C$2864,$C$3,Orders!$D$2:$D$2864,IF($C$4=0,"&gt;0",$C$4),Orders!$E$2:$E$2864,B317)</f>
        <v>212</v>
      </c>
      <c r="E317" s="0" t="n">
        <f aca="false">COUNTIFS(Orders!$C$2:$C$2864,$C$3,Orders!$D$2:$D$2864,IF($C$4=0,"&gt;0",$C$4),Orders!$E$2:$E$2864,B317)</f>
        <v>3</v>
      </c>
      <c r="F317" s="0" t="n">
        <f aca="false">D317+ROW()/100000</f>
        <v>212.00317</v>
      </c>
      <c r="G317" s="0" t="n">
        <f aca="false">RANK(F317,$F$61:$F$580)</f>
        <v>239</v>
      </c>
    </row>
    <row r="318" customFormat="false" ht="15" hidden="false" customHeight="false" outlineLevel="0" collapsed="false">
      <c r="B318" s="0" t="s">
        <v>1430</v>
      </c>
      <c r="C318" s="0" t="s">
        <v>75</v>
      </c>
      <c r="D318" s="0" t="n">
        <f aca="false">SUMIFS(Orders!$L$2:$L$2864,Orders!$C$2:$C$2864,$C$3,Orders!$D$2:$D$2864,IF($C$4=0,"&gt;0",$C$4),Orders!$E$2:$E$2864,B318)</f>
        <v>276</v>
      </c>
      <c r="E318" s="0" t="n">
        <f aca="false">COUNTIFS(Orders!$C$2:$C$2864,$C$3,Orders!$D$2:$D$2864,IF($C$4=0,"&gt;0",$C$4),Orders!$E$2:$E$2864,B318)</f>
        <v>3</v>
      </c>
      <c r="F318" s="0" t="n">
        <f aca="false">D318+ROW()/100000</f>
        <v>276.00318</v>
      </c>
      <c r="G318" s="0" t="n">
        <f aca="false">RANK(F318,$F$61:$F$580)</f>
        <v>189</v>
      </c>
    </row>
    <row r="319" customFormat="false" ht="15" hidden="false" customHeight="false" outlineLevel="0" collapsed="false">
      <c r="B319" s="0" t="s">
        <v>1053</v>
      </c>
      <c r="C319" s="0" t="s">
        <v>72</v>
      </c>
      <c r="D319" s="0" t="n">
        <f aca="false">SUMIFS(Orders!$L$2:$L$2864,Orders!$C$2:$C$2864,$C$3,Orders!$D$2:$D$2864,IF($C$4=0,"&gt;0",$C$4),Orders!$E$2:$E$2864,B319)</f>
        <v>206</v>
      </c>
      <c r="E319" s="0" t="n">
        <f aca="false">COUNTIFS(Orders!$C$2:$C$2864,$C$3,Orders!$D$2:$D$2864,IF($C$4=0,"&gt;0",$C$4),Orders!$E$2:$E$2864,B319)</f>
        <v>3</v>
      </c>
      <c r="F319" s="0" t="n">
        <f aca="false">D319+ROW()/100000</f>
        <v>206.00319</v>
      </c>
      <c r="G319" s="0" t="n">
        <f aca="false">RANK(F319,$F$61:$F$580)</f>
        <v>251</v>
      </c>
    </row>
    <row r="320" customFormat="false" ht="15" hidden="false" customHeight="false" outlineLevel="0" collapsed="false">
      <c r="B320" s="0" t="s">
        <v>631</v>
      </c>
      <c r="C320" s="0" t="s">
        <v>78</v>
      </c>
      <c r="D320" s="0" t="n">
        <f aca="false">SUMIFS(Orders!$L$2:$L$2864,Orders!$C$2:$C$2864,$C$3,Orders!$D$2:$D$2864,IF($C$4=0,"&gt;0",$C$4),Orders!$E$2:$E$2864,B320)</f>
        <v>0</v>
      </c>
      <c r="E320" s="0" t="n">
        <f aca="false">COUNTIFS(Orders!$C$2:$C$2864,$C$3,Orders!$D$2:$D$2864,IF($C$4=0,"&gt;0",$C$4),Orders!$E$2:$E$2864,B320)</f>
        <v>0</v>
      </c>
      <c r="F320" s="0" t="n">
        <f aca="false">D320+ROW()/100000</f>
        <v>0.0032</v>
      </c>
      <c r="G320" s="0" t="n">
        <f aca="false">RANK(F320,$F$61:$F$580)</f>
        <v>498</v>
      </c>
    </row>
    <row r="321" customFormat="false" ht="15" hidden="false" customHeight="false" outlineLevel="0" collapsed="false">
      <c r="B321" s="0" t="s">
        <v>1253</v>
      </c>
      <c r="C321" s="0" t="s">
        <v>78</v>
      </c>
      <c r="D321" s="0" t="n">
        <f aca="false">SUMIFS(Orders!$L$2:$L$2864,Orders!$C$2:$C$2864,$C$3,Orders!$D$2:$D$2864,IF($C$4=0,"&gt;0",$C$4),Orders!$E$2:$E$2864,B321)</f>
        <v>88</v>
      </c>
      <c r="E321" s="0" t="n">
        <f aca="false">COUNTIFS(Orders!$C$2:$C$2864,$C$3,Orders!$D$2:$D$2864,IF($C$4=0,"&gt;0",$C$4),Orders!$E$2:$E$2864,B321)</f>
        <v>2</v>
      </c>
      <c r="F321" s="0" t="n">
        <f aca="false">D321+ROW()/100000</f>
        <v>88.00321</v>
      </c>
      <c r="G321" s="0" t="n">
        <f aca="false">RANK(F321,$F$61:$F$580)</f>
        <v>385</v>
      </c>
    </row>
    <row r="322" customFormat="false" ht="15" hidden="false" customHeight="false" outlineLevel="0" collapsed="false">
      <c r="B322" s="0" t="s">
        <v>850</v>
      </c>
      <c r="C322" s="0" t="s">
        <v>78</v>
      </c>
      <c r="D322" s="0" t="n">
        <f aca="false">SUMIFS(Orders!$L$2:$L$2864,Orders!$C$2:$C$2864,$C$3,Orders!$D$2:$D$2864,IF($C$4=0,"&gt;0",$C$4),Orders!$E$2:$E$2864,B322)</f>
        <v>162</v>
      </c>
      <c r="E322" s="0" t="n">
        <f aca="false">COUNTIFS(Orders!$C$2:$C$2864,$C$3,Orders!$D$2:$D$2864,IF($C$4=0,"&gt;0",$C$4),Orders!$E$2:$E$2864,B322)</f>
        <v>2</v>
      </c>
      <c r="F322" s="0" t="n">
        <f aca="false">D322+ROW()/100000</f>
        <v>162.00322</v>
      </c>
      <c r="G322" s="0" t="n">
        <f aca="false">RANK(F322,$F$61:$F$580)</f>
        <v>294</v>
      </c>
    </row>
    <row r="323" customFormat="false" ht="15" hidden="false" customHeight="false" outlineLevel="0" collapsed="false">
      <c r="B323" s="0" t="s">
        <v>734</v>
      </c>
      <c r="C323" s="0" t="s">
        <v>69</v>
      </c>
      <c r="D323" s="0" t="n">
        <f aca="false">SUMIFS(Orders!$L$2:$L$2864,Orders!$C$2:$C$2864,$C$3,Orders!$D$2:$D$2864,IF($C$4=0,"&gt;0",$C$4),Orders!$E$2:$E$2864,B323)</f>
        <v>54</v>
      </c>
      <c r="E323" s="0" t="n">
        <f aca="false">COUNTIFS(Orders!$C$2:$C$2864,$C$3,Orders!$D$2:$D$2864,IF($C$4=0,"&gt;0",$C$4),Orders!$E$2:$E$2864,B323)</f>
        <v>1</v>
      </c>
      <c r="F323" s="0" t="n">
        <f aca="false">D323+ROW()/100000</f>
        <v>54.00323</v>
      </c>
      <c r="G323" s="0" t="n">
        <f aca="false">RANK(F323,$F$61:$F$580)</f>
        <v>418</v>
      </c>
    </row>
    <row r="324" customFormat="false" ht="15" hidden="false" customHeight="false" outlineLevel="0" collapsed="false">
      <c r="B324" s="0" t="s">
        <v>871</v>
      </c>
      <c r="C324" s="0" t="s">
        <v>72</v>
      </c>
      <c r="D324" s="0" t="n">
        <f aca="false">SUMIFS(Orders!$L$2:$L$2864,Orders!$C$2:$C$2864,$C$3,Orders!$D$2:$D$2864,IF($C$4=0,"&gt;0",$C$4),Orders!$E$2:$E$2864,B324)</f>
        <v>418</v>
      </c>
      <c r="E324" s="0" t="n">
        <f aca="false">COUNTIFS(Orders!$C$2:$C$2864,$C$3,Orders!$D$2:$D$2864,IF($C$4=0,"&gt;0",$C$4),Orders!$E$2:$E$2864,B324)</f>
        <v>3</v>
      </c>
      <c r="F324" s="0" t="n">
        <f aca="false">D324+ROW()/100000</f>
        <v>418.00324</v>
      </c>
      <c r="G324" s="0" t="n">
        <f aca="false">RANK(F324,$F$61:$F$580)</f>
        <v>123</v>
      </c>
    </row>
    <row r="325" customFormat="false" ht="15" hidden="false" customHeight="false" outlineLevel="0" collapsed="false">
      <c r="B325" s="0" t="s">
        <v>748</v>
      </c>
      <c r="C325" s="0" t="s">
        <v>72</v>
      </c>
      <c r="D325" s="0" t="n">
        <f aca="false">SUMIFS(Orders!$L$2:$L$2864,Orders!$C$2:$C$2864,$C$3,Orders!$D$2:$D$2864,IF($C$4=0,"&gt;0",$C$4),Orders!$E$2:$E$2864,B325)</f>
        <v>93</v>
      </c>
      <c r="E325" s="0" t="n">
        <f aca="false">COUNTIFS(Orders!$C$2:$C$2864,$C$3,Orders!$D$2:$D$2864,IF($C$4=0,"&gt;0",$C$4),Orders!$E$2:$E$2864,B325)</f>
        <v>2</v>
      </c>
      <c r="F325" s="0" t="n">
        <f aca="false">D325+ROW()/100000</f>
        <v>93.00325</v>
      </c>
      <c r="G325" s="0" t="n">
        <f aca="false">RANK(F325,$F$61:$F$580)</f>
        <v>366</v>
      </c>
    </row>
    <row r="326" customFormat="false" ht="15" hidden="false" customHeight="false" outlineLevel="0" collapsed="false">
      <c r="B326" s="0" t="s">
        <v>1446</v>
      </c>
      <c r="C326" s="0" t="s">
        <v>78</v>
      </c>
      <c r="D326" s="0" t="n">
        <f aca="false">SUMIFS(Orders!$L$2:$L$2864,Orders!$C$2:$C$2864,$C$3,Orders!$D$2:$D$2864,IF($C$4=0,"&gt;0",$C$4),Orders!$E$2:$E$2864,B326)</f>
        <v>519</v>
      </c>
      <c r="E326" s="0" t="n">
        <f aca="false">COUNTIFS(Orders!$C$2:$C$2864,$C$3,Orders!$D$2:$D$2864,IF($C$4=0,"&gt;0",$C$4),Orders!$E$2:$E$2864,B326)</f>
        <v>4</v>
      </c>
      <c r="F326" s="0" t="n">
        <f aca="false">D326+ROW()/100000</f>
        <v>519.00326</v>
      </c>
      <c r="G326" s="0" t="n">
        <f aca="false">RANK(F326,$F$61:$F$580)</f>
        <v>95</v>
      </c>
    </row>
    <row r="327" customFormat="false" ht="15" hidden="false" customHeight="false" outlineLevel="0" collapsed="false">
      <c r="B327" s="0" t="s">
        <v>649</v>
      </c>
      <c r="C327" s="0" t="s">
        <v>72</v>
      </c>
      <c r="D327" s="0" t="n">
        <f aca="false">SUMIFS(Orders!$L$2:$L$2864,Orders!$C$2:$C$2864,$C$3,Orders!$D$2:$D$2864,IF($C$4=0,"&gt;0",$C$4),Orders!$E$2:$E$2864,B327)</f>
        <v>0</v>
      </c>
      <c r="E327" s="0" t="n">
        <f aca="false">COUNTIFS(Orders!$C$2:$C$2864,$C$3,Orders!$D$2:$D$2864,IF($C$4=0,"&gt;0",$C$4),Orders!$E$2:$E$2864,B327)</f>
        <v>0</v>
      </c>
      <c r="F327" s="0" t="n">
        <f aca="false">D327+ROW()/100000</f>
        <v>0.00327</v>
      </c>
      <c r="G327" s="0" t="n">
        <f aca="false">RANK(F327,$F$61:$F$580)</f>
        <v>497</v>
      </c>
    </row>
    <row r="328" customFormat="false" ht="15" hidden="false" customHeight="false" outlineLevel="0" collapsed="false">
      <c r="B328" s="0" t="s">
        <v>1309</v>
      </c>
      <c r="C328" s="0" t="s">
        <v>81</v>
      </c>
      <c r="D328" s="0" t="n">
        <f aca="false">SUMIFS(Orders!$L$2:$L$2864,Orders!$C$2:$C$2864,$C$3,Orders!$D$2:$D$2864,IF($C$4=0,"&gt;0",$C$4),Orders!$E$2:$E$2864,B328)</f>
        <v>137</v>
      </c>
      <c r="E328" s="0" t="n">
        <f aca="false">COUNTIFS(Orders!$C$2:$C$2864,$C$3,Orders!$D$2:$D$2864,IF($C$4=0,"&gt;0",$C$4),Orders!$E$2:$E$2864,B328)</f>
        <v>2</v>
      </c>
      <c r="F328" s="0" t="n">
        <f aca="false">D328+ROW()/100000</f>
        <v>137.00328</v>
      </c>
      <c r="G328" s="0" t="n">
        <f aca="false">RANK(F328,$F$61:$F$580)</f>
        <v>315</v>
      </c>
    </row>
    <row r="329" customFormat="false" ht="15" hidden="false" customHeight="false" outlineLevel="0" collapsed="false">
      <c r="B329" s="0" t="s">
        <v>1062</v>
      </c>
      <c r="C329" s="0" t="s">
        <v>78</v>
      </c>
      <c r="D329" s="0" t="n">
        <f aca="false">SUMIFS(Orders!$L$2:$L$2864,Orders!$C$2:$C$2864,$C$3,Orders!$D$2:$D$2864,IF($C$4=0,"&gt;0",$C$4),Orders!$E$2:$E$2864,B329)</f>
        <v>32</v>
      </c>
      <c r="E329" s="0" t="n">
        <f aca="false">COUNTIFS(Orders!$C$2:$C$2864,$C$3,Orders!$D$2:$D$2864,IF($C$4=0,"&gt;0",$C$4),Orders!$E$2:$E$2864,B329)</f>
        <v>1</v>
      </c>
      <c r="F329" s="0" t="n">
        <f aca="false">D329+ROW()/100000</f>
        <v>32.00329</v>
      </c>
      <c r="G329" s="0" t="n">
        <f aca="false">RANK(F329,$F$61:$F$580)</f>
        <v>446</v>
      </c>
    </row>
    <row r="330" customFormat="false" ht="15" hidden="false" customHeight="false" outlineLevel="0" collapsed="false">
      <c r="B330" s="0" t="s">
        <v>929</v>
      </c>
      <c r="C330" s="0" t="s">
        <v>72</v>
      </c>
      <c r="D330" s="0" t="n">
        <f aca="false">SUMIFS(Orders!$L$2:$L$2864,Orders!$C$2:$C$2864,$C$3,Orders!$D$2:$D$2864,IF($C$4=0,"&gt;0",$C$4),Orders!$E$2:$E$2864,B330)</f>
        <v>59</v>
      </c>
      <c r="E330" s="0" t="n">
        <f aca="false">COUNTIFS(Orders!$C$2:$C$2864,$C$3,Orders!$D$2:$D$2864,IF($C$4=0,"&gt;0",$C$4),Orders!$E$2:$E$2864,B330)</f>
        <v>1</v>
      </c>
      <c r="F330" s="0" t="n">
        <f aca="false">D330+ROW()/100000</f>
        <v>59.0033</v>
      </c>
      <c r="G330" s="0" t="n">
        <f aca="false">RANK(F330,$F$61:$F$580)</f>
        <v>408</v>
      </c>
    </row>
    <row r="331" customFormat="false" ht="15" hidden="false" customHeight="false" outlineLevel="0" collapsed="false">
      <c r="B331" s="0" t="s">
        <v>1519</v>
      </c>
      <c r="C331" s="0" t="s">
        <v>75</v>
      </c>
      <c r="D331" s="0" t="n">
        <f aca="false">SUMIFS(Orders!$L$2:$L$2864,Orders!$C$2:$C$2864,$C$3,Orders!$D$2:$D$2864,IF($C$4=0,"&gt;0",$C$4),Orders!$E$2:$E$2864,B331)</f>
        <v>358</v>
      </c>
      <c r="E331" s="0" t="n">
        <f aca="false">COUNTIFS(Orders!$C$2:$C$2864,$C$3,Orders!$D$2:$D$2864,IF($C$4=0,"&gt;0",$C$4),Orders!$E$2:$E$2864,B331)</f>
        <v>1</v>
      </c>
      <c r="F331" s="0" t="n">
        <f aca="false">D331+ROW()/100000</f>
        <v>358.00331</v>
      </c>
      <c r="G331" s="0" t="n">
        <f aca="false">RANK(F331,$F$61:$F$580)</f>
        <v>141</v>
      </c>
    </row>
    <row r="332" customFormat="false" ht="15" hidden="false" customHeight="false" outlineLevel="0" collapsed="false">
      <c r="B332" s="0" t="s">
        <v>3036</v>
      </c>
      <c r="C332" s="0" t="s">
        <v>75</v>
      </c>
      <c r="D332" s="0" t="n">
        <f aca="false">SUMIFS(Orders!$L$2:$L$2864,Orders!$C$2:$C$2864,$C$3,Orders!$D$2:$D$2864,IF($C$4=0,"&gt;0",$C$4),Orders!$E$2:$E$2864,B332)</f>
        <v>116</v>
      </c>
      <c r="E332" s="0" t="n">
        <f aca="false">COUNTIFS(Orders!$C$2:$C$2864,$C$3,Orders!$D$2:$D$2864,IF($C$4=0,"&gt;0",$C$4),Orders!$E$2:$E$2864,B332)</f>
        <v>2</v>
      </c>
      <c r="F332" s="0" t="n">
        <f aca="false">D332+ROW()/100000</f>
        <v>116.00332</v>
      </c>
      <c r="G332" s="0" t="n">
        <f aca="false">RANK(F332,$F$61:$F$580)</f>
        <v>337</v>
      </c>
    </row>
    <row r="333" customFormat="false" ht="15" hidden="false" customHeight="false" outlineLevel="0" collapsed="false">
      <c r="B333" s="0" t="s">
        <v>1833</v>
      </c>
      <c r="C333" s="0" t="s">
        <v>72</v>
      </c>
      <c r="D333" s="0" t="n">
        <f aca="false">SUMIFS(Orders!$L$2:$L$2864,Orders!$C$2:$C$2864,$C$3,Orders!$D$2:$D$2864,IF($C$4=0,"&gt;0",$C$4),Orders!$E$2:$E$2864,B333)</f>
        <v>113</v>
      </c>
      <c r="E333" s="0" t="n">
        <f aca="false">COUNTIFS(Orders!$C$2:$C$2864,$C$3,Orders!$D$2:$D$2864,IF($C$4=0,"&gt;0",$C$4),Orders!$E$2:$E$2864,B333)</f>
        <v>2</v>
      </c>
      <c r="F333" s="0" t="n">
        <f aca="false">D333+ROW()/100000</f>
        <v>113.00333</v>
      </c>
      <c r="G333" s="0" t="n">
        <f aca="false">RANK(F333,$F$61:$F$580)</f>
        <v>339</v>
      </c>
    </row>
    <row r="334" customFormat="false" ht="15" hidden="false" customHeight="false" outlineLevel="0" collapsed="false">
      <c r="B334" s="0" t="s">
        <v>963</v>
      </c>
      <c r="C334" s="0" t="s">
        <v>78</v>
      </c>
      <c r="D334" s="0" t="n">
        <f aca="false">SUMIFS(Orders!$L$2:$L$2864,Orders!$C$2:$C$2864,$C$3,Orders!$D$2:$D$2864,IF($C$4=0,"&gt;0",$C$4),Orders!$E$2:$E$2864,B334)</f>
        <v>46</v>
      </c>
      <c r="E334" s="0" t="n">
        <f aca="false">COUNTIFS(Orders!$C$2:$C$2864,$C$3,Orders!$D$2:$D$2864,IF($C$4=0,"&gt;0",$C$4),Orders!$E$2:$E$2864,B334)</f>
        <v>1</v>
      </c>
      <c r="F334" s="0" t="n">
        <f aca="false">D334+ROW()/100000</f>
        <v>46.00334</v>
      </c>
      <c r="G334" s="0" t="n">
        <f aca="false">RANK(F334,$F$61:$F$580)</f>
        <v>432</v>
      </c>
    </row>
    <row r="335" customFormat="false" ht="15" hidden="false" customHeight="false" outlineLevel="0" collapsed="false">
      <c r="B335" s="0" t="s">
        <v>728</v>
      </c>
      <c r="C335" s="0" t="s">
        <v>78</v>
      </c>
      <c r="D335" s="0" t="n">
        <f aca="false">SUMIFS(Orders!$L$2:$L$2864,Orders!$C$2:$C$2864,$C$3,Orders!$D$2:$D$2864,IF($C$4=0,"&gt;0",$C$4),Orders!$E$2:$E$2864,B335)</f>
        <v>103</v>
      </c>
      <c r="E335" s="0" t="n">
        <f aca="false">COUNTIFS(Orders!$C$2:$C$2864,$C$3,Orders!$D$2:$D$2864,IF($C$4=0,"&gt;0",$C$4),Orders!$E$2:$E$2864,B335)</f>
        <v>2</v>
      </c>
      <c r="F335" s="0" t="n">
        <f aca="false">D335+ROW()/100000</f>
        <v>103.00335</v>
      </c>
      <c r="G335" s="0" t="n">
        <f aca="false">RANK(F335,$F$61:$F$580)</f>
        <v>349</v>
      </c>
    </row>
    <row r="336" customFormat="false" ht="15" hidden="false" customHeight="false" outlineLevel="0" collapsed="false">
      <c r="B336" s="0" t="s">
        <v>3477</v>
      </c>
      <c r="C336" s="0" t="s">
        <v>75</v>
      </c>
      <c r="D336" s="0" t="n">
        <f aca="false">SUMIFS(Orders!$L$2:$L$2864,Orders!$C$2:$C$2864,$C$3,Orders!$D$2:$D$2864,IF($C$4=0,"&gt;0",$C$4),Orders!$E$2:$E$2864,B336)</f>
        <v>0</v>
      </c>
      <c r="E336" s="0" t="n">
        <f aca="false">COUNTIFS(Orders!$C$2:$C$2864,$C$3,Orders!$D$2:$D$2864,IF($C$4=0,"&gt;0",$C$4),Orders!$E$2:$E$2864,B336)</f>
        <v>0</v>
      </c>
      <c r="F336" s="0" t="n">
        <f aca="false">D336+ROW()/100000</f>
        <v>0.00336</v>
      </c>
      <c r="G336" s="0" t="n">
        <f aca="false">RANK(F336,$F$61:$F$580)</f>
        <v>496</v>
      </c>
    </row>
    <row r="337" customFormat="false" ht="15" hidden="false" customHeight="false" outlineLevel="0" collapsed="false">
      <c r="B337" s="0" t="s">
        <v>1836</v>
      </c>
      <c r="C337" s="0" t="s">
        <v>75</v>
      </c>
      <c r="D337" s="0" t="n">
        <f aca="false">SUMIFS(Orders!$L$2:$L$2864,Orders!$C$2:$C$2864,$C$3,Orders!$D$2:$D$2864,IF($C$4=0,"&gt;0",$C$4),Orders!$E$2:$E$2864,B337)</f>
        <v>0</v>
      </c>
      <c r="E337" s="0" t="n">
        <f aca="false">COUNTIFS(Orders!$C$2:$C$2864,$C$3,Orders!$D$2:$D$2864,IF($C$4=0,"&gt;0",$C$4),Orders!$E$2:$E$2864,B337)</f>
        <v>0</v>
      </c>
      <c r="F337" s="0" t="n">
        <f aca="false">D337+ROW()/100000</f>
        <v>0.00337</v>
      </c>
      <c r="G337" s="0" t="n">
        <f aca="false">RANK(F337,$F$61:$F$580)</f>
        <v>495</v>
      </c>
    </row>
    <row r="338" customFormat="false" ht="15" hidden="false" customHeight="false" outlineLevel="0" collapsed="false">
      <c r="B338" s="0" t="s">
        <v>586</v>
      </c>
      <c r="C338" s="0" t="s">
        <v>75</v>
      </c>
      <c r="D338" s="0" t="n">
        <f aca="false">SUMIFS(Orders!$L$2:$L$2864,Orders!$C$2:$C$2864,$C$3,Orders!$D$2:$D$2864,IF($C$4=0,"&gt;0",$C$4),Orders!$E$2:$E$2864,B338)</f>
        <v>29</v>
      </c>
      <c r="E338" s="0" t="n">
        <f aca="false">COUNTIFS(Orders!$C$2:$C$2864,$C$3,Orders!$D$2:$D$2864,IF($C$4=0,"&gt;0",$C$4),Orders!$E$2:$E$2864,B338)</f>
        <v>1</v>
      </c>
      <c r="F338" s="0" t="n">
        <f aca="false">D338+ROW()/100000</f>
        <v>29.00338</v>
      </c>
      <c r="G338" s="0" t="n">
        <f aca="false">RANK(F338,$F$61:$F$580)</f>
        <v>447</v>
      </c>
    </row>
    <row r="339" customFormat="false" ht="15" hidden="false" customHeight="false" outlineLevel="0" collapsed="false">
      <c r="B339" s="0" t="s">
        <v>582</v>
      </c>
      <c r="C339" s="0" t="s">
        <v>69</v>
      </c>
      <c r="D339" s="0" t="n">
        <f aca="false">SUMIFS(Orders!$L$2:$L$2864,Orders!$C$2:$C$2864,$C$3,Orders!$D$2:$D$2864,IF($C$4=0,"&gt;0",$C$4),Orders!$E$2:$E$2864,B339)</f>
        <v>89</v>
      </c>
      <c r="E339" s="0" t="n">
        <f aca="false">COUNTIFS(Orders!$C$2:$C$2864,$C$3,Orders!$D$2:$D$2864,IF($C$4=0,"&gt;0",$C$4),Orders!$E$2:$E$2864,B339)</f>
        <v>1</v>
      </c>
      <c r="F339" s="0" t="n">
        <f aca="false">D339+ROW()/100000</f>
        <v>89.00339</v>
      </c>
      <c r="G339" s="0" t="n">
        <f aca="false">RANK(F339,$F$61:$F$580)</f>
        <v>378</v>
      </c>
    </row>
    <row r="340" customFormat="false" ht="15" hidden="false" customHeight="false" outlineLevel="0" collapsed="false">
      <c r="B340" s="0" t="s">
        <v>300</v>
      </c>
      <c r="C340" s="0" t="s">
        <v>81</v>
      </c>
      <c r="D340" s="0" t="n">
        <f aca="false">SUMIFS(Orders!$L$2:$L$2864,Orders!$C$2:$C$2864,$C$3,Orders!$D$2:$D$2864,IF($C$4=0,"&gt;0",$C$4),Orders!$E$2:$E$2864,B340)</f>
        <v>235</v>
      </c>
      <c r="E340" s="0" t="n">
        <f aca="false">COUNTIFS(Orders!$C$2:$C$2864,$C$3,Orders!$D$2:$D$2864,IF($C$4=0,"&gt;0",$C$4),Orders!$E$2:$E$2864,B340)</f>
        <v>4</v>
      </c>
      <c r="F340" s="0" t="n">
        <f aca="false">D340+ROW()/100000</f>
        <v>235.0034</v>
      </c>
      <c r="G340" s="0" t="n">
        <f aca="false">RANK(F340,$F$61:$F$580)</f>
        <v>223</v>
      </c>
    </row>
    <row r="341" customFormat="false" ht="15" hidden="false" customHeight="false" outlineLevel="0" collapsed="false">
      <c r="B341" s="0" t="s">
        <v>1417</v>
      </c>
      <c r="C341" s="0" t="s">
        <v>69</v>
      </c>
      <c r="D341" s="0" t="n">
        <f aca="false">SUMIFS(Orders!$L$2:$L$2864,Orders!$C$2:$C$2864,$C$3,Orders!$D$2:$D$2864,IF($C$4=0,"&gt;0",$C$4),Orders!$E$2:$E$2864,B341)</f>
        <v>108</v>
      </c>
      <c r="E341" s="0" t="n">
        <f aca="false">COUNTIFS(Orders!$C$2:$C$2864,$C$3,Orders!$D$2:$D$2864,IF($C$4=0,"&gt;0",$C$4),Orders!$E$2:$E$2864,B341)</f>
        <v>2</v>
      </c>
      <c r="F341" s="0" t="n">
        <f aca="false">D341+ROW()/100000</f>
        <v>108.00341</v>
      </c>
      <c r="G341" s="0" t="n">
        <f aca="false">RANK(F341,$F$61:$F$580)</f>
        <v>346</v>
      </c>
    </row>
    <row r="342" customFormat="false" ht="15" hidden="false" customHeight="false" outlineLevel="0" collapsed="false">
      <c r="B342" s="0" t="s">
        <v>662</v>
      </c>
      <c r="C342" s="0" t="s">
        <v>69</v>
      </c>
      <c r="D342" s="0" t="n">
        <f aca="false">SUMIFS(Orders!$L$2:$L$2864,Orders!$C$2:$C$2864,$C$3,Orders!$D$2:$D$2864,IF($C$4=0,"&gt;0",$C$4),Orders!$E$2:$E$2864,B342)</f>
        <v>238</v>
      </c>
      <c r="E342" s="0" t="n">
        <f aca="false">COUNTIFS(Orders!$C$2:$C$2864,$C$3,Orders!$D$2:$D$2864,IF($C$4=0,"&gt;0",$C$4),Orders!$E$2:$E$2864,B342)</f>
        <v>2</v>
      </c>
      <c r="F342" s="0" t="n">
        <f aca="false">D342+ROW()/100000</f>
        <v>238.00342</v>
      </c>
      <c r="G342" s="0" t="n">
        <f aca="false">RANK(F342,$F$61:$F$580)</f>
        <v>217</v>
      </c>
    </row>
    <row r="343" customFormat="false" ht="15" hidden="false" customHeight="false" outlineLevel="0" collapsed="false">
      <c r="B343" s="0" t="s">
        <v>1382</v>
      </c>
      <c r="C343" s="0" t="s">
        <v>81</v>
      </c>
      <c r="D343" s="0" t="n">
        <f aca="false">SUMIFS(Orders!$L$2:$L$2864,Orders!$C$2:$C$2864,$C$3,Orders!$D$2:$D$2864,IF($C$4=0,"&gt;0",$C$4),Orders!$E$2:$E$2864,B343)</f>
        <v>54</v>
      </c>
      <c r="E343" s="0" t="n">
        <f aca="false">COUNTIFS(Orders!$C$2:$C$2864,$C$3,Orders!$D$2:$D$2864,IF($C$4=0,"&gt;0",$C$4),Orders!$E$2:$E$2864,B343)</f>
        <v>1</v>
      </c>
      <c r="F343" s="0" t="n">
        <f aca="false">D343+ROW()/100000</f>
        <v>54.00343</v>
      </c>
      <c r="G343" s="0" t="n">
        <f aca="false">RANK(F343,$F$61:$F$580)</f>
        <v>417</v>
      </c>
    </row>
    <row r="344" customFormat="false" ht="15" hidden="false" customHeight="false" outlineLevel="0" collapsed="false">
      <c r="B344" s="0" t="s">
        <v>827</v>
      </c>
      <c r="C344" s="0" t="s">
        <v>69</v>
      </c>
      <c r="D344" s="0" t="n">
        <f aca="false">SUMIFS(Orders!$L$2:$L$2864,Orders!$C$2:$C$2864,$C$3,Orders!$D$2:$D$2864,IF($C$4=0,"&gt;0",$C$4),Orders!$E$2:$E$2864,B344)</f>
        <v>257</v>
      </c>
      <c r="E344" s="0" t="n">
        <f aca="false">COUNTIFS(Orders!$C$2:$C$2864,$C$3,Orders!$D$2:$D$2864,IF($C$4=0,"&gt;0",$C$4),Orders!$E$2:$E$2864,B344)</f>
        <v>2</v>
      </c>
      <c r="F344" s="0" t="n">
        <f aca="false">D344+ROW()/100000</f>
        <v>257.00344</v>
      </c>
      <c r="G344" s="0" t="n">
        <f aca="false">RANK(F344,$F$61:$F$580)</f>
        <v>203</v>
      </c>
    </row>
    <row r="345" customFormat="false" ht="15" hidden="false" customHeight="false" outlineLevel="0" collapsed="false">
      <c r="B345" s="0" t="s">
        <v>3279</v>
      </c>
      <c r="C345" s="0" t="s">
        <v>78</v>
      </c>
      <c r="D345" s="0" t="n">
        <f aca="false">SUMIFS(Orders!$L$2:$L$2864,Orders!$C$2:$C$2864,$C$3,Orders!$D$2:$D$2864,IF($C$4=0,"&gt;0",$C$4),Orders!$E$2:$E$2864,B345)</f>
        <v>79</v>
      </c>
      <c r="E345" s="0" t="n">
        <f aca="false">COUNTIFS(Orders!$C$2:$C$2864,$C$3,Orders!$D$2:$D$2864,IF($C$4=0,"&gt;0",$C$4),Orders!$E$2:$E$2864,B345)</f>
        <v>1</v>
      </c>
      <c r="F345" s="0" t="n">
        <f aca="false">D345+ROW()/100000</f>
        <v>79.00345</v>
      </c>
      <c r="G345" s="0" t="n">
        <f aca="false">RANK(F345,$F$61:$F$580)</f>
        <v>397</v>
      </c>
    </row>
    <row r="346" customFormat="false" ht="15" hidden="false" customHeight="false" outlineLevel="0" collapsed="false">
      <c r="B346" s="0" t="s">
        <v>617</v>
      </c>
      <c r="C346" s="0" t="s">
        <v>69</v>
      </c>
      <c r="D346" s="0" t="n">
        <f aca="false">SUMIFS(Orders!$L$2:$L$2864,Orders!$C$2:$C$2864,$C$3,Orders!$D$2:$D$2864,IF($C$4=0,"&gt;0",$C$4),Orders!$E$2:$E$2864,B346)</f>
        <v>298</v>
      </c>
      <c r="E346" s="0" t="n">
        <f aca="false">COUNTIFS(Orders!$C$2:$C$2864,$C$3,Orders!$D$2:$D$2864,IF($C$4=0,"&gt;0",$C$4),Orders!$E$2:$E$2864,B346)</f>
        <v>1</v>
      </c>
      <c r="F346" s="0" t="n">
        <f aca="false">D346+ROW()/100000</f>
        <v>298.00346</v>
      </c>
      <c r="G346" s="0" t="n">
        <f aca="false">RANK(F346,$F$61:$F$580)</f>
        <v>171</v>
      </c>
    </row>
    <row r="347" customFormat="false" ht="15" hidden="false" customHeight="false" outlineLevel="0" collapsed="false">
      <c r="B347" s="0" t="s">
        <v>1389</v>
      </c>
      <c r="C347" s="0" t="s">
        <v>78</v>
      </c>
      <c r="D347" s="0" t="n">
        <f aca="false">SUMIFS(Orders!$L$2:$L$2864,Orders!$C$2:$C$2864,$C$3,Orders!$D$2:$D$2864,IF($C$4=0,"&gt;0",$C$4),Orders!$E$2:$E$2864,B347)</f>
        <v>179</v>
      </c>
      <c r="E347" s="0" t="n">
        <f aca="false">COUNTIFS(Orders!$C$2:$C$2864,$C$3,Orders!$D$2:$D$2864,IF($C$4=0,"&gt;0",$C$4),Orders!$E$2:$E$2864,B347)</f>
        <v>1</v>
      </c>
      <c r="F347" s="0" t="n">
        <f aca="false">D347+ROW()/100000</f>
        <v>179.00347</v>
      </c>
      <c r="G347" s="0" t="n">
        <f aca="false">RANK(F347,$F$61:$F$580)</f>
        <v>274</v>
      </c>
    </row>
    <row r="348" customFormat="false" ht="15" hidden="false" customHeight="false" outlineLevel="0" collapsed="false">
      <c r="B348" s="0" t="s">
        <v>1688</v>
      </c>
      <c r="C348" s="0" t="s">
        <v>72</v>
      </c>
      <c r="D348" s="0" t="n">
        <f aca="false">SUMIFS(Orders!$L$2:$L$2864,Orders!$C$2:$C$2864,$C$3,Orders!$D$2:$D$2864,IF($C$4=0,"&gt;0",$C$4),Orders!$E$2:$E$2864,B348)</f>
        <v>78</v>
      </c>
      <c r="E348" s="0" t="n">
        <f aca="false">COUNTIFS(Orders!$C$2:$C$2864,$C$3,Orders!$D$2:$D$2864,IF($C$4=0,"&gt;0",$C$4),Orders!$E$2:$E$2864,B348)</f>
        <v>2</v>
      </c>
      <c r="F348" s="0" t="n">
        <f aca="false">D348+ROW()/100000</f>
        <v>78.00348</v>
      </c>
      <c r="G348" s="0" t="n">
        <f aca="false">RANK(F348,$F$61:$F$580)</f>
        <v>399</v>
      </c>
    </row>
    <row r="349" customFormat="false" ht="15" hidden="false" customHeight="false" outlineLevel="0" collapsed="false">
      <c r="B349" s="0" t="s">
        <v>388</v>
      </c>
      <c r="C349" s="0" t="s">
        <v>75</v>
      </c>
      <c r="D349" s="0" t="n">
        <f aca="false">SUMIFS(Orders!$L$2:$L$2864,Orders!$C$2:$C$2864,$C$3,Orders!$D$2:$D$2864,IF($C$4=0,"&gt;0",$C$4),Orders!$E$2:$E$2864,B349)</f>
        <v>208</v>
      </c>
      <c r="E349" s="0" t="n">
        <f aca="false">COUNTIFS(Orders!$C$2:$C$2864,$C$3,Orders!$D$2:$D$2864,IF($C$4=0,"&gt;0",$C$4),Orders!$E$2:$E$2864,B349)</f>
        <v>2</v>
      </c>
      <c r="F349" s="0" t="n">
        <f aca="false">D349+ROW()/100000</f>
        <v>208.00349</v>
      </c>
      <c r="G349" s="0" t="n">
        <f aca="false">RANK(F349,$F$61:$F$580)</f>
        <v>245</v>
      </c>
    </row>
    <row r="350" customFormat="false" ht="15" hidden="false" customHeight="false" outlineLevel="0" collapsed="false">
      <c r="B350" s="0" t="s">
        <v>537</v>
      </c>
      <c r="C350" s="0" t="s">
        <v>75</v>
      </c>
      <c r="D350" s="0" t="n">
        <f aca="false">SUMIFS(Orders!$L$2:$L$2864,Orders!$C$2:$C$2864,$C$3,Orders!$D$2:$D$2864,IF($C$4=0,"&gt;0",$C$4),Orders!$E$2:$E$2864,B350)</f>
        <v>135</v>
      </c>
      <c r="E350" s="0" t="n">
        <f aca="false">COUNTIFS(Orders!$C$2:$C$2864,$C$3,Orders!$D$2:$D$2864,IF($C$4=0,"&gt;0",$C$4),Orders!$E$2:$E$2864,B350)</f>
        <v>2</v>
      </c>
      <c r="F350" s="0" t="n">
        <f aca="false">D350+ROW()/100000</f>
        <v>135.0035</v>
      </c>
      <c r="G350" s="0" t="n">
        <f aca="false">RANK(F350,$F$61:$F$580)</f>
        <v>317</v>
      </c>
    </row>
    <row r="351" customFormat="false" ht="15" hidden="false" customHeight="false" outlineLevel="0" collapsed="false">
      <c r="B351" s="0" t="s">
        <v>1437</v>
      </c>
      <c r="C351" s="0" t="s">
        <v>69</v>
      </c>
      <c r="D351" s="0" t="n">
        <f aca="false">SUMIFS(Orders!$L$2:$L$2864,Orders!$C$2:$C$2864,$C$3,Orders!$D$2:$D$2864,IF($C$4=0,"&gt;0",$C$4),Orders!$E$2:$E$2864,B351)</f>
        <v>138</v>
      </c>
      <c r="E351" s="0" t="n">
        <f aca="false">COUNTIFS(Orders!$C$2:$C$2864,$C$3,Orders!$D$2:$D$2864,IF($C$4=0,"&gt;0",$C$4),Orders!$E$2:$E$2864,B351)</f>
        <v>2</v>
      </c>
      <c r="F351" s="0" t="n">
        <f aca="false">D351+ROW()/100000</f>
        <v>138.00351</v>
      </c>
      <c r="G351" s="0" t="n">
        <f aca="false">RANK(F351,$F$61:$F$580)</f>
        <v>314</v>
      </c>
    </row>
    <row r="352" customFormat="false" ht="15" hidden="false" customHeight="false" outlineLevel="0" collapsed="false">
      <c r="B352" s="0" t="s">
        <v>254</v>
      </c>
      <c r="C352" s="0" t="s">
        <v>75</v>
      </c>
      <c r="D352" s="0" t="n">
        <f aca="false">SUMIFS(Orders!$L$2:$L$2864,Orders!$C$2:$C$2864,$C$3,Orders!$D$2:$D$2864,IF($C$4=0,"&gt;0",$C$4),Orders!$E$2:$E$2864,B352)</f>
        <v>167</v>
      </c>
      <c r="E352" s="0" t="n">
        <f aca="false">COUNTIFS(Orders!$C$2:$C$2864,$C$3,Orders!$D$2:$D$2864,IF($C$4=0,"&gt;0",$C$4),Orders!$E$2:$E$2864,B352)</f>
        <v>3</v>
      </c>
      <c r="F352" s="0" t="n">
        <f aca="false">D352+ROW()/100000</f>
        <v>167.00352</v>
      </c>
      <c r="G352" s="0" t="n">
        <f aca="false">RANK(F352,$F$61:$F$580)</f>
        <v>289</v>
      </c>
    </row>
    <row r="353" customFormat="false" ht="15" hidden="false" customHeight="false" outlineLevel="0" collapsed="false">
      <c r="B353" s="0" t="s">
        <v>406</v>
      </c>
      <c r="C353" s="0" t="s">
        <v>69</v>
      </c>
      <c r="D353" s="0" t="n">
        <f aca="false">SUMIFS(Orders!$L$2:$L$2864,Orders!$C$2:$C$2864,$C$3,Orders!$D$2:$D$2864,IF($C$4=0,"&gt;0",$C$4),Orders!$E$2:$E$2864,B353)</f>
        <v>178</v>
      </c>
      <c r="E353" s="0" t="n">
        <f aca="false">COUNTIFS(Orders!$C$2:$C$2864,$C$3,Orders!$D$2:$D$2864,IF($C$4=0,"&gt;0",$C$4),Orders!$E$2:$E$2864,B353)</f>
        <v>2</v>
      </c>
      <c r="F353" s="0" t="n">
        <f aca="false">D353+ROW()/100000</f>
        <v>178.00353</v>
      </c>
      <c r="G353" s="0" t="n">
        <f aca="false">RANK(F353,$F$61:$F$580)</f>
        <v>282</v>
      </c>
    </row>
    <row r="354" customFormat="false" ht="15" hidden="false" customHeight="false" outlineLevel="0" collapsed="false">
      <c r="B354" s="0" t="s">
        <v>1488</v>
      </c>
      <c r="C354" s="0" t="s">
        <v>78</v>
      </c>
      <c r="D354" s="0" t="n">
        <f aca="false">SUMIFS(Orders!$L$2:$L$2864,Orders!$C$2:$C$2864,$C$3,Orders!$D$2:$D$2864,IF($C$4=0,"&gt;0",$C$4),Orders!$E$2:$E$2864,B354)</f>
        <v>0</v>
      </c>
      <c r="E354" s="0" t="n">
        <f aca="false">COUNTIFS(Orders!$C$2:$C$2864,$C$3,Orders!$D$2:$D$2864,IF($C$4=0,"&gt;0",$C$4),Orders!$E$2:$E$2864,B354)</f>
        <v>0</v>
      </c>
      <c r="F354" s="0" t="n">
        <f aca="false">D354+ROW()/100000</f>
        <v>0.00354</v>
      </c>
      <c r="G354" s="0" t="n">
        <f aca="false">RANK(F354,$F$61:$F$580)</f>
        <v>494</v>
      </c>
    </row>
    <row r="355" customFormat="false" ht="15" hidden="false" customHeight="false" outlineLevel="0" collapsed="false">
      <c r="B355" s="0" t="s">
        <v>691</v>
      </c>
      <c r="C355" s="0" t="s">
        <v>69</v>
      </c>
      <c r="D355" s="0" t="n">
        <f aca="false">SUMIFS(Orders!$L$2:$L$2864,Orders!$C$2:$C$2864,$C$3,Orders!$D$2:$D$2864,IF($C$4=0,"&gt;0",$C$4),Orders!$E$2:$E$2864,B355)</f>
        <v>754</v>
      </c>
      <c r="E355" s="0" t="n">
        <f aca="false">COUNTIFS(Orders!$C$2:$C$2864,$C$3,Orders!$D$2:$D$2864,IF($C$4=0,"&gt;0",$C$4),Orders!$E$2:$E$2864,B355)</f>
        <v>3</v>
      </c>
      <c r="F355" s="0" t="n">
        <f aca="false">D355+ROW()/100000</f>
        <v>754.00355</v>
      </c>
      <c r="G355" s="0" t="n">
        <f aca="false">RANK(F355,$F$61:$F$580)</f>
        <v>41</v>
      </c>
    </row>
    <row r="356" customFormat="false" ht="15" hidden="false" customHeight="false" outlineLevel="0" collapsed="false">
      <c r="B356" s="0" t="s">
        <v>211</v>
      </c>
      <c r="C356" s="0" t="s">
        <v>75</v>
      </c>
      <c r="D356" s="0" t="n">
        <f aca="false">SUMIFS(Orders!$L$2:$L$2864,Orders!$C$2:$C$2864,$C$3,Orders!$D$2:$D$2864,IF($C$4=0,"&gt;0",$C$4),Orders!$E$2:$E$2864,B356)</f>
        <v>0</v>
      </c>
      <c r="E356" s="0" t="n">
        <f aca="false">COUNTIFS(Orders!$C$2:$C$2864,$C$3,Orders!$D$2:$D$2864,IF($C$4=0,"&gt;0",$C$4),Orders!$E$2:$E$2864,B356)</f>
        <v>0</v>
      </c>
      <c r="F356" s="0" t="n">
        <f aca="false">D356+ROW()/100000</f>
        <v>0.00356</v>
      </c>
      <c r="G356" s="0" t="n">
        <f aca="false">RANK(F356,$F$61:$F$580)</f>
        <v>493</v>
      </c>
    </row>
    <row r="357" customFormat="false" ht="15" hidden="false" customHeight="false" outlineLevel="0" collapsed="false">
      <c r="B357" s="0" t="s">
        <v>321</v>
      </c>
      <c r="C357" s="0" t="s">
        <v>81</v>
      </c>
      <c r="D357" s="0" t="n">
        <f aca="false">SUMIFS(Orders!$L$2:$L$2864,Orders!$C$2:$C$2864,$C$3,Orders!$D$2:$D$2864,IF($C$4=0,"&gt;0",$C$4),Orders!$E$2:$E$2864,B357)</f>
        <v>124</v>
      </c>
      <c r="E357" s="0" t="n">
        <f aca="false">COUNTIFS(Orders!$C$2:$C$2864,$C$3,Orders!$D$2:$D$2864,IF($C$4=0,"&gt;0",$C$4),Orders!$E$2:$E$2864,B357)</f>
        <v>3</v>
      </c>
      <c r="F357" s="0" t="n">
        <f aca="false">D357+ROW()/100000</f>
        <v>124.00357</v>
      </c>
      <c r="G357" s="0" t="n">
        <f aca="false">RANK(F357,$F$61:$F$580)</f>
        <v>323</v>
      </c>
    </row>
    <row r="358" customFormat="false" ht="15" hidden="false" customHeight="false" outlineLevel="0" collapsed="false">
      <c r="B358" s="0" t="s">
        <v>263</v>
      </c>
      <c r="C358" s="0" t="s">
        <v>69</v>
      </c>
      <c r="D358" s="0" t="n">
        <f aca="false">SUMIFS(Orders!$L$2:$L$2864,Orders!$C$2:$C$2864,$C$3,Orders!$D$2:$D$2864,IF($C$4=0,"&gt;0",$C$4),Orders!$E$2:$E$2864,B358)</f>
        <v>162</v>
      </c>
      <c r="E358" s="0" t="n">
        <f aca="false">COUNTIFS(Orders!$C$2:$C$2864,$C$3,Orders!$D$2:$D$2864,IF($C$4=0,"&gt;0",$C$4),Orders!$E$2:$E$2864,B358)</f>
        <v>2</v>
      </c>
      <c r="F358" s="0" t="n">
        <f aca="false">D358+ROW()/100000</f>
        <v>162.00358</v>
      </c>
      <c r="G358" s="0" t="n">
        <f aca="false">RANK(F358,$F$61:$F$580)</f>
        <v>293</v>
      </c>
    </row>
    <row r="359" customFormat="false" ht="15" hidden="false" customHeight="false" outlineLevel="0" collapsed="false">
      <c r="B359" s="0" t="s">
        <v>620</v>
      </c>
      <c r="C359" s="0" t="s">
        <v>72</v>
      </c>
      <c r="D359" s="0" t="n">
        <f aca="false">SUMIFS(Orders!$L$2:$L$2864,Orders!$C$2:$C$2864,$C$3,Orders!$D$2:$D$2864,IF($C$4=0,"&gt;0",$C$4),Orders!$E$2:$E$2864,B359)</f>
        <v>95</v>
      </c>
      <c r="E359" s="0" t="n">
        <f aca="false">COUNTIFS(Orders!$C$2:$C$2864,$C$3,Orders!$D$2:$D$2864,IF($C$4=0,"&gt;0",$C$4),Orders!$E$2:$E$2864,B359)</f>
        <v>2</v>
      </c>
      <c r="F359" s="0" t="n">
        <f aca="false">D359+ROW()/100000</f>
        <v>95.00359</v>
      </c>
      <c r="G359" s="0" t="n">
        <f aca="false">RANK(F359,$F$61:$F$580)</f>
        <v>364</v>
      </c>
    </row>
    <row r="360" customFormat="false" ht="15" hidden="false" customHeight="false" outlineLevel="0" collapsed="false">
      <c r="B360" s="0" t="s">
        <v>404</v>
      </c>
      <c r="C360" s="0" t="s">
        <v>75</v>
      </c>
      <c r="D360" s="0" t="n">
        <f aca="false">SUMIFS(Orders!$L$2:$L$2864,Orders!$C$2:$C$2864,$C$3,Orders!$D$2:$D$2864,IF($C$4=0,"&gt;0",$C$4),Orders!$E$2:$E$2864,B360)</f>
        <v>247</v>
      </c>
      <c r="E360" s="0" t="n">
        <f aca="false">COUNTIFS(Orders!$C$2:$C$2864,$C$3,Orders!$D$2:$D$2864,IF($C$4=0,"&gt;0",$C$4),Orders!$E$2:$E$2864,B360)</f>
        <v>3</v>
      </c>
      <c r="F360" s="0" t="n">
        <f aca="false">D360+ROW()/100000</f>
        <v>247.0036</v>
      </c>
      <c r="G360" s="0" t="n">
        <f aca="false">RANK(F360,$F$61:$F$580)</f>
        <v>209</v>
      </c>
    </row>
    <row r="361" customFormat="false" ht="15" hidden="false" customHeight="false" outlineLevel="0" collapsed="false">
      <c r="B361" s="0" t="s">
        <v>641</v>
      </c>
      <c r="C361" s="0" t="s">
        <v>75</v>
      </c>
      <c r="D361" s="0" t="n">
        <f aca="false">SUMIFS(Orders!$L$2:$L$2864,Orders!$C$2:$C$2864,$C$3,Orders!$D$2:$D$2864,IF($C$4=0,"&gt;0",$C$4),Orders!$E$2:$E$2864,B361)</f>
        <v>0</v>
      </c>
      <c r="E361" s="0" t="n">
        <f aca="false">COUNTIFS(Orders!$C$2:$C$2864,$C$3,Orders!$D$2:$D$2864,IF($C$4=0,"&gt;0",$C$4),Orders!$E$2:$E$2864,B361)</f>
        <v>0</v>
      </c>
      <c r="F361" s="0" t="n">
        <f aca="false">D361+ROW()/100000</f>
        <v>0.00361</v>
      </c>
      <c r="G361" s="0" t="n">
        <f aca="false">RANK(F361,$F$61:$F$580)</f>
        <v>492</v>
      </c>
    </row>
    <row r="362" customFormat="false" ht="15" hidden="false" customHeight="false" outlineLevel="0" collapsed="false">
      <c r="B362" s="0" t="s">
        <v>808</v>
      </c>
      <c r="C362" s="0" t="s">
        <v>69</v>
      </c>
      <c r="D362" s="0" t="n">
        <f aca="false">SUMIFS(Orders!$L$2:$L$2864,Orders!$C$2:$C$2864,$C$3,Orders!$D$2:$D$2864,IF($C$4=0,"&gt;0",$C$4),Orders!$E$2:$E$2864,B362)</f>
        <v>183</v>
      </c>
      <c r="E362" s="0" t="n">
        <f aca="false">COUNTIFS(Orders!$C$2:$C$2864,$C$3,Orders!$D$2:$D$2864,IF($C$4=0,"&gt;0",$C$4),Orders!$E$2:$E$2864,B362)</f>
        <v>2</v>
      </c>
      <c r="F362" s="0" t="n">
        <f aca="false">D362+ROW()/100000</f>
        <v>183.00362</v>
      </c>
      <c r="G362" s="0" t="n">
        <f aca="false">RANK(F362,$F$61:$F$580)</f>
        <v>266</v>
      </c>
    </row>
    <row r="363" customFormat="false" ht="15" hidden="false" customHeight="false" outlineLevel="0" collapsed="false">
      <c r="B363" s="0" t="s">
        <v>779</v>
      </c>
      <c r="C363" s="0" t="s">
        <v>75</v>
      </c>
      <c r="D363" s="0" t="n">
        <f aca="false">SUMIFS(Orders!$L$2:$L$2864,Orders!$C$2:$C$2864,$C$3,Orders!$D$2:$D$2864,IF($C$4=0,"&gt;0",$C$4),Orders!$E$2:$E$2864,B363)</f>
        <v>187</v>
      </c>
      <c r="E363" s="0" t="n">
        <f aca="false">COUNTIFS(Orders!$C$2:$C$2864,$C$3,Orders!$D$2:$D$2864,IF($C$4=0,"&gt;0",$C$4),Orders!$E$2:$E$2864,B363)</f>
        <v>2</v>
      </c>
      <c r="F363" s="0" t="n">
        <f aca="false">D363+ROW()/100000</f>
        <v>187.00363</v>
      </c>
      <c r="G363" s="0" t="n">
        <f aca="false">RANK(F363,$F$61:$F$580)</f>
        <v>264</v>
      </c>
    </row>
    <row r="364" customFormat="false" ht="15" hidden="false" customHeight="false" outlineLevel="0" collapsed="false">
      <c r="B364" s="0" t="s">
        <v>535</v>
      </c>
      <c r="C364" s="0" t="s">
        <v>81</v>
      </c>
      <c r="D364" s="0" t="n">
        <f aca="false">SUMIFS(Orders!$L$2:$L$2864,Orders!$C$2:$C$2864,$C$3,Orders!$D$2:$D$2864,IF($C$4=0,"&gt;0",$C$4),Orders!$E$2:$E$2864,B364)</f>
        <v>0</v>
      </c>
      <c r="E364" s="0" t="n">
        <f aca="false">COUNTIFS(Orders!$C$2:$C$2864,$C$3,Orders!$D$2:$D$2864,IF($C$4=0,"&gt;0",$C$4),Orders!$E$2:$E$2864,B364)</f>
        <v>0</v>
      </c>
      <c r="F364" s="0" t="n">
        <f aca="false">D364+ROW()/100000</f>
        <v>0.00364</v>
      </c>
      <c r="G364" s="0" t="n">
        <f aca="false">RANK(F364,$F$61:$F$580)</f>
        <v>491</v>
      </c>
    </row>
    <row r="365" customFormat="false" ht="15" hidden="false" customHeight="false" outlineLevel="0" collapsed="false">
      <c r="B365" s="0" t="s">
        <v>1714</v>
      </c>
      <c r="C365" s="0" t="s">
        <v>75</v>
      </c>
      <c r="D365" s="0" t="n">
        <f aca="false">SUMIFS(Orders!$L$2:$L$2864,Orders!$C$2:$C$2864,$C$3,Orders!$D$2:$D$2864,IF($C$4=0,"&gt;0",$C$4),Orders!$E$2:$E$2864,B365)</f>
        <v>46</v>
      </c>
      <c r="E365" s="0" t="n">
        <f aca="false">COUNTIFS(Orders!$C$2:$C$2864,$C$3,Orders!$D$2:$D$2864,IF($C$4=0,"&gt;0",$C$4),Orders!$E$2:$E$2864,B365)</f>
        <v>1</v>
      </c>
      <c r="F365" s="0" t="n">
        <f aca="false">D365+ROW()/100000</f>
        <v>46.00365</v>
      </c>
      <c r="G365" s="0" t="n">
        <f aca="false">RANK(F365,$F$61:$F$580)</f>
        <v>431</v>
      </c>
    </row>
    <row r="366" customFormat="false" ht="15" hidden="false" customHeight="false" outlineLevel="0" collapsed="false">
      <c r="B366" s="0" t="s">
        <v>1817</v>
      </c>
      <c r="C366" s="0" t="s">
        <v>81</v>
      </c>
      <c r="D366" s="0" t="n">
        <f aca="false">SUMIFS(Orders!$L$2:$L$2864,Orders!$C$2:$C$2864,$C$3,Orders!$D$2:$D$2864,IF($C$4=0,"&gt;0",$C$4),Orders!$E$2:$E$2864,B366)</f>
        <v>0</v>
      </c>
      <c r="E366" s="0" t="n">
        <f aca="false">COUNTIFS(Orders!$C$2:$C$2864,$C$3,Orders!$D$2:$D$2864,IF($C$4=0,"&gt;0",$C$4),Orders!$E$2:$E$2864,B366)</f>
        <v>0</v>
      </c>
      <c r="F366" s="0" t="n">
        <f aca="false">D366+ROW()/100000</f>
        <v>0.00366</v>
      </c>
      <c r="G366" s="0" t="n">
        <f aca="false">RANK(F366,$F$61:$F$580)</f>
        <v>490</v>
      </c>
    </row>
    <row r="367" customFormat="false" ht="15" hidden="false" customHeight="false" outlineLevel="0" collapsed="false">
      <c r="B367" s="0" t="s">
        <v>296</v>
      </c>
      <c r="C367" s="0" t="s">
        <v>75</v>
      </c>
      <c r="D367" s="0" t="n">
        <f aca="false">SUMIFS(Orders!$L$2:$L$2864,Orders!$C$2:$C$2864,$C$3,Orders!$D$2:$D$2864,IF($C$4=0,"&gt;0",$C$4),Orders!$E$2:$E$2864,B367)</f>
        <v>638</v>
      </c>
      <c r="E367" s="0" t="n">
        <f aca="false">COUNTIFS(Orders!$C$2:$C$2864,$C$3,Orders!$D$2:$D$2864,IF($C$4=0,"&gt;0",$C$4),Orders!$E$2:$E$2864,B367)</f>
        <v>4</v>
      </c>
      <c r="F367" s="0" t="n">
        <f aca="false">D367+ROW()/100000</f>
        <v>638.00367</v>
      </c>
      <c r="G367" s="0" t="n">
        <f aca="false">RANK(F367,$F$61:$F$580)</f>
        <v>64</v>
      </c>
    </row>
    <row r="368" customFormat="false" ht="15" hidden="false" customHeight="false" outlineLevel="0" collapsed="false">
      <c r="B368" s="0" t="s">
        <v>3478</v>
      </c>
      <c r="C368" s="0" t="s">
        <v>78</v>
      </c>
      <c r="D368" s="0" t="n">
        <f aca="false">SUMIFS(Orders!$L$2:$L$2864,Orders!$C$2:$C$2864,$C$3,Orders!$D$2:$D$2864,IF($C$4=0,"&gt;0",$C$4),Orders!$E$2:$E$2864,B368)</f>
        <v>0</v>
      </c>
      <c r="E368" s="0" t="n">
        <f aca="false">COUNTIFS(Orders!$C$2:$C$2864,$C$3,Orders!$D$2:$D$2864,IF($C$4=0,"&gt;0",$C$4),Orders!$E$2:$E$2864,B368)</f>
        <v>0</v>
      </c>
      <c r="F368" s="0" t="n">
        <f aca="false">D368+ROW()/100000</f>
        <v>0.00368</v>
      </c>
      <c r="G368" s="0" t="n">
        <f aca="false">RANK(F368,$F$61:$F$580)</f>
        <v>489</v>
      </c>
    </row>
    <row r="369" customFormat="false" ht="15" hidden="false" customHeight="false" outlineLevel="0" collapsed="false">
      <c r="B369" s="0" t="s">
        <v>1266</v>
      </c>
      <c r="C369" s="0" t="s">
        <v>72</v>
      </c>
      <c r="D369" s="0" t="n">
        <f aca="false">SUMIFS(Orders!$L$2:$L$2864,Orders!$C$2:$C$2864,$C$3,Orders!$D$2:$D$2864,IF($C$4=0,"&gt;0",$C$4),Orders!$E$2:$E$2864,B369)</f>
        <v>89</v>
      </c>
      <c r="E369" s="0" t="n">
        <f aca="false">COUNTIFS(Orders!$C$2:$C$2864,$C$3,Orders!$D$2:$D$2864,IF($C$4=0,"&gt;0",$C$4),Orders!$E$2:$E$2864,B369)</f>
        <v>1</v>
      </c>
      <c r="F369" s="0" t="n">
        <f aca="false">D369+ROW()/100000</f>
        <v>89.00369</v>
      </c>
      <c r="G369" s="0" t="n">
        <f aca="false">RANK(F369,$F$61:$F$580)</f>
        <v>377</v>
      </c>
    </row>
    <row r="370" customFormat="false" ht="15" hidden="false" customHeight="false" outlineLevel="0" collapsed="false">
      <c r="B370" s="0" t="s">
        <v>2398</v>
      </c>
      <c r="C370" s="0" t="s">
        <v>81</v>
      </c>
      <c r="D370" s="0" t="n">
        <f aca="false">SUMIFS(Orders!$L$2:$L$2864,Orders!$C$2:$C$2864,$C$3,Orders!$D$2:$D$2864,IF($C$4=0,"&gt;0",$C$4),Orders!$E$2:$E$2864,B370)</f>
        <v>455</v>
      </c>
      <c r="E370" s="0" t="n">
        <f aca="false">COUNTIFS(Orders!$C$2:$C$2864,$C$3,Orders!$D$2:$D$2864,IF($C$4=0,"&gt;0",$C$4),Orders!$E$2:$E$2864,B370)</f>
        <v>3</v>
      </c>
      <c r="F370" s="0" t="n">
        <f aca="false">D370+ROW()/100000</f>
        <v>455.0037</v>
      </c>
      <c r="G370" s="0" t="n">
        <f aca="false">RANK(F370,$F$61:$F$580)</f>
        <v>113</v>
      </c>
    </row>
    <row r="371" customFormat="false" ht="15" hidden="false" customHeight="false" outlineLevel="0" collapsed="false">
      <c r="B371" s="0" t="s">
        <v>1738</v>
      </c>
      <c r="C371" s="0" t="s">
        <v>75</v>
      </c>
      <c r="D371" s="0" t="n">
        <f aca="false">SUMIFS(Orders!$L$2:$L$2864,Orders!$C$2:$C$2864,$C$3,Orders!$D$2:$D$2864,IF($C$4=0,"&gt;0",$C$4),Orders!$E$2:$E$2864,B371)</f>
        <v>99</v>
      </c>
      <c r="E371" s="0" t="n">
        <f aca="false">COUNTIFS(Orders!$C$2:$C$2864,$C$3,Orders!$D$2:$D$2864,IF($C$4=0,"&gt;0",$C$4),Orders!$E$2:$E$2864,B371)</f>
        <v>1</v>
      </c>
      <c r="F371" s="0" t="n">
        <f aca="false">D371+ROW()/100000</f>
        <v>99.00371</v>
      </c>
      <c r="G371" s="0" t="n">
        <f aca="false">RANK(F371,$F$61:$F$580)</f>
        <v>353</v>
      </c>
    </row>
    <row r="372" customFormat="false" ht="15" hidden="false" customHeight="false" outlineLevel="0" collapsed="false">
      <c r="B372" s="0" t="s">
        <v>856</v>
      </c>
      <c r="C372" s="0" t="s">
        <v>75</v>
      </c>
      <c r="D372" s="0" t="n">
        <f aca="false">SUMIFS(Orders!$L$2:$L$2864,Orders!$C$2:$C$2864,$C$3,Orders!$D$2:$D$2864,IF($C$4=0,"&gt;0",$C$4),Orders!$E$2:$E$2864,B372)</f>
        <v>46</v>
      </c>
      <c r="E372" s="0" t="n">
        <f aca="false">COUNTIFS(Orders!$C$2:$C$2864,$C$3,Orders!$D$2:$D$2864,IF($C$4=0,"&gt;0",$C$4),Orders!$E$2:$E$2864,B372)</f>
        <v>1</v>
      </c>
      <c r="F372" s="0" t="n">
        <f aca="false">D372+ROW()/100000</f>
        <v>46.00372</v>
      </c>
      <c r="G372" s="0" t="n">
        <f aca="false">RANK(F372,$F$61:$F$580)</f>
        <v>430</v>
      </c>
    </row>
    <row r="373" customFormat="false" ht="15" hidden="false" customHeight="false" outlineLevel="0" collapsed="false">
      <c r="B373" s="0" t="s">
        <v>187</v>
      </c>
      <c r="C373" s="0" t="s">
        <v>78</v>
      </c>
      <c r="D373" s="0" t="n">
        <f aca="false">SUMIFS(Orders!$L$2:$L$2864,Orders!$C$2:$C$2864,$C$3,Orders!$D$2:$D$2864,IF($C$4=0,"&gt;0",$C$4),Orders!$E$2:$E$2864,B373)</f>
        <v>98</v>
      </c>
      <c r="E373" s="0" t="n">
        <f aca="false">COUNTIFS(Orders!$C$2:$C$2864,$C$3,Orders!$D$2:$D$2864,IF($C$4=0,"&gt;0",$C$4),Orders!$E$2:$E$2864,B373)</f>
        <v>1</v>
      </c>
      <c r="F373" s="0" t="n">
        <f aca="false">D373+ROW()/100000</f>
        <v>98.00373</v>
      </c>
      <c r="G373" s="0" t="n">
        <f aca="false">RANK(F373,$F$61:$F$580)</f>
        <v>360</v>
      </c>
    </row>
    <row r="374" customFormat="false" ht="15" hidden="false" customHeight="false" outlineLevel="0" collapsed="false">
      <c r="B374" s="0" t="s">
        <v>397</v>
      </c>
      <c r="C374" s="0" t="s">
        <v>72</v>
      </c>
      <c r="D374" s="0" t="n">
        <f aca="false">SUMIFS(Orders!$L$2:$L$2864,Orders!$C$2:$C$2864,$C$3,Orders!$D$2:$D$2864,IF($C$4=0,"&gt;0",$C$4),Orders!$E$2:$E$2864,B374)</f>
        <v>0</v>
      </c>
      <c r="E374" s="0" t="n">
        <f aca="false">COUNTIFS(Orders!$C$2:$C$2864,$C$3,Orders!$D$2:$D$2864,IF($C$4=0,"&gt;0",$C$4),Orders!$E$2:$E$2864,B374)</f>
        <v>0</v>
      </c>
      <c r="F374" s="0" t="n">
        <f aca="false">D374+ROW()/100000</f>
        <v>0.00374</v>
      </c>
      <c r="G374" s="0" t="n">
        <f aca="false">RANK(F374,$F$61:$F$580)</f>
        <v>488</v>
      </c>
    </row>
    <row r="375" customFormat="false" ht="15" hidden="false" customHeight="false" outlineLevel="0" collapsed="false">
      <c r="B375" s="0" t="s">
        <v>550</v>
      </c>
      <c r="C375" s="0" t="s">
        <v>69</v>
      </c>
      <c r="D375" s="0" t="n">
        <f aca="false">SUMIFS(Orders!$L$2:$L$2864,Orders!$C$2:$C$2864,$C$3,Orders!$D$2:$D$2864,IF($C$4=0,"&gt;0",$C$4),Orders!$E$2:$E$2864,B375)</f>
        <v>0</v>
      </c>
      <c r="E375" s="0" t="n">
        <f aca="false">COUNTIFS(Orders!$C$2:$C$2864,$C$3,Orders!$D$2:$D$2864,IF($C$4=0,"&gt;0",$C$4),Orders!$E$2:$E$2864,B375)</f>
        <v>0</v>
      </c>
      <c r="F375" s="0" t="n">
        <f aca="false">D375+ROW()/100000</f>
        <v>0.00375</v>
      </c>
      <c r="G375" s="0" t="n">
        <f aca="false">RANK(F375,$F$61:$F$580)</f>
        <v>487</v>
      </c>
    </row>
    <row r="376" customFormat="false" ht="15" hidden="false" customHeight="false" outlineLevel="0" collapsed="false">
      <c r="B376" s="0" t="s">
        <v>470</v>
      </c>
      <c r="C376" s="0" t="s">
        <v>75</v>
      </c>
      <c r="D376" s="0" t="n">
        <f aca="false">SUMIFS(Orders!$L$2:$L$2864,Orders!$C$2:$C$2864,$C$3,Orders!$D$2:$D$2864,IF($C$4=0,"&gt;0",$C$4),Orders!$E$2:$E$2864,B376)</f>
        <v>396</v>
      </c>
      <c r="E376" s="0" t="n">
        <f aca="false">COUNTIFS(Orders!$C$2:$C$2864,$C$3,Orders!$D$2:$D$2864,IF($C$4=0,"&gt;0",$C$4),Orders!$E$2:$E$2864,B376)</f>
        <v>3</v>
      </c>
      <c r="F376" s="0" t="n">
        <f aca="false">D376+ROW()/100000</f>
        <v>396.00376</v>
      </c>
      <c r="G376" s="0" t="n">
        <f aca="false">RANK(F376,$F$61:$F$580)</f>
        <v>133</v>
      </c>
    </row>
    <row r="377" customFormat="false" ht="15" hidden="false" customHeight="false" outlineLevel="0" collapsed="false">
      <c r="B377" s="0" t="s">
        <v>2730</v>
      </c>
      <c r="C377" s="0" t="s">
        <v>81</v>
      </c>
      <c r="D377" s="0" t="n">
        <f aca="false">SUMIFS(Orders!$L$2:$L$2864,Orders!$C$2:$C$2864,$C$3,Orders!$D$2:$D$2864,IF($C$4=0,"&gt;0",$C$4),Orders!$E$2:$E$2864,B377)</f>
        <v>95</v>
      </c>
      <c r="E377" s="0" t="n">
        <f aca="false">COUNTIFS(Orders!$C$2:$C$2864,$C$3,Orders!$D$2:$D$2864,IF($C$4=0,"&gt;0",$C$4),Orders!$E$2:$E$2864,B377)</f>
        <v>2</v>
      </c>
      <c r="F377" s="0" t="n">
        <f aca="false">D377+ROW()/100000</f>
        <v>95.00377</v>
      </c>
      <c r="G377" s="0" t="n">
        <f aca="false">RANK(F377,$F$61:$F$580)</f>
        <v>363</v>
      </c>
    </row>
    <row r="378" customFormat="false" ht="15" hidden="false" customHeight="false" outlineLevel="0" collapsed="false">
      <c r="B378" s="0" t="s">
        <v>794</v>
      </c>
      <c r="C378" s="0" t="s">
        <v>69</v>
      </c>
      <c r="D378" s="0" t="n">
        <f aca="false">SUMIFS(Orders!$L$2:$L$2864,Orders!$C$2:$C$2864,$C$3,Orders!$D$2:$D$2864,IF($C$4=0,"&gt;0",$C$4),Orders!$E$2:$E$2864,B378)</f>
        <v>178</v>
      </c>
      <c r="E378" s="0" t="n">
        <f aca="false">COUNTIFS(Orders!$C$2:$C$2864,$C$3,Orders!$D$2:$D$2864,IF($C$4=0,"&gt;0",$C$4),Orders!$E$2:$E$2864,B378)</f>
        <v>2</v>
      </c>
      <c r="F378" s="0" t="n">
        <f aca="false">D378+ROW()/100000</f>
        <v>178.00378</v>
      </c>
      <c r="G378" s="0" t="n">
        <f aca="false">RANK(F378,$F$61:$F$580)</f>
        <v>281</v>
      </c>
    </row>
    <row r="379" customFormat="false" ht="15" hidden="false" customHeight="false" outlineLevel="0" collapsed="false">
      <c r="B379" s="0" t="s">
        <v>1986</v>
      </c>
      <c r="C379" s="0" t="s">
        <v>72</v>
      </c>
      <c r="D379" s="0" t="n">
        <f aca="false">SUMIFS(Orders!$L$2:$L$2864,Orders!$C$2:$C$2864,$C$3,Orders!$D$2:$D$2864,IF($C$4=0,"&gt;0",$C$4),Orders!$E$2:$E$2864,B379)</f>
        <v>261</v>
      </c>
      <c r="E379" s="0" t="n">
        <f aca="false">COUNTIFS(Orders!$C$2:$C$2864,$C$3,Orders!$D$2:$D$2864,IF($C$4=0,"&gt;0",$C$4),Orders!$E$2:$E$2864,B379)</f>
        <v>3</v>
      </c>
      <c r="F379" s="0" t="n">
        <f aca="false">D379+ROW()/100000</f>
        <v>261.00379</v>
      </c>
      <c r="G379" s="0" t="n">
        <f aca="false">RANK(F379,$F$61:$F$580)</f>
        <v>198</v>
      </c>
    </row>
    <row r="380" customFormat="false" ht="15" hidden="false" customHeight="false" outlineLevel="0" collapsed="false">
      <c r="B380" s="0" t="s">
        <v>2040</v>
      </c>
      <c r="C380" s="0" t="s">
        <v>72</v>
      </c>
      <c r="D380" s="0" t="n">
        <f aca="false">SUMIFS(Orders!$L$2:$L$2864,Orders!$C$2:$C$2864,$C$3,Orders!$D$2:$D$2864,IF($C$4=0,"&gt;0",$C$4),Orders!$E$2:$E$2864,B380)</f>
        <v>201</v>
      </c>
      <c r="E380" s="0" t="n">
        <f aca="false">COUNTIFS(Orders!$C$2:$C$2864,$C$3,Orders!$D$2:$D$2864,IF($C$4=0,"&gt;0",$C$4),Orders!$E$2:$E$2864,B380)</f>
        <v>3</v>
      </c>
      <c r="F380" s="0" t="n">
        <f aca="false">D380+ROW()/100000</f>
        <v>201.0038</v>
      </c>
      <c r="G380" s="0" t="n">
        <f aca="false">RANK(F380,$F$61:$F$580)</f>
        <v>255</v>
      </c>
    </row>
    <row r="381" customFormat="false" ht="15" hidden="false" customHeight="false" outlineLevel="0" collapsed="false">
      <c r="B381" s="0" t="s">
        <v>1206</v>
      </c>
      <c r="C381" s="0" t="s">
        <v>75</v>
      </c>
      <c r="D381" s="0" t="n">
        <f aca="false">SUMIFS(Orders!$L$2:$L$2864,Orders!$C$2:$C$2864,$C$3,Orders!$D$2:$D$2864,IF($C$4=0,"&gt;0",$C$4),Orders!$E$2:$E$2864,B381)</f>
        <v>157</v>
      </c>
      <c r="E381" s="0" t="n">
        <f aca="false">COUNTIFS(Orders!$C$2:$C$2864,$C$3,Orders!$D$2:$D$2864,IF($C$4=0,"&gt;0",$C$4),Orders!$E$2:$E$2864,B381)</f>
        <v>3</v>
      </c>
      <c r="F381" s="0" t="n">
        <f aca="false">D381+ROW()/100000</f>
        <v>157.00381</v>
      </c>
      <c r="G381" s="0" t="n">
        <f aca="false">RANK(F381,$F$61:$F$580)</f>
        <v>295</v>
      </c>
    </row>
    <row r="382" customFormat="false" ht="15" hidden="false" customHeight="false" outlineLevel="0" collapsed="false">
      <c r="B382" s="0" t="s">
        <v>887</v>
      </c>
      <c r="C382" s="0" t="s">
        <v>81</v>
      </c>
      <c r="D382" s="0" t="n">
        <f aca="false">SUMIFS(Orders!$L$2:$L$2864,Orders!$C$2:$C$2864,$C$3,Orders!$D$2:$D$2864,IF($C$4=0,"&gt;0",$C$4),Orders!$E$2:$E$2864,B382)</f>
        <v>0</v>
      </c>
      <c r="E382" s="0" t="n">
        <f aca="false">COUNTIFS(Orders!$C$2:$C$2864,$C$3,Orders!$D$2:$D$2864,IF($C$4=0,"&gt;0",$C$4),Orders!$E$2:$E$2864,B382)</f>
        <v>0</v>
      </c>
      <c r="F382" s="0" t="n">
        <f aca="false">D382+ROW()/100000</f>
        <v>0.00382</v>
      </c>
      <c r="G382" s="0" t="n">
        <f aca="false">RANK(F382,$F$61:$F$580)</f>
        <v>486</v>
      </c>
    </row>
    <row r="383" customFormat="false" ht="15" hidden="false" customHeight="false" outlineLevel="0" collapsed="false">
      <c r="B383" s="0" t="s">
        <v>1862</v>
      </c>
      <c r="C383" s="0" t="s">
        <v>75</v>
      </c>
      <c r="D383" s="0" t="n">
        <f aca="false">SUMIFS(Orders!$L$2:$L$2864,Orders!$C$2:$C$2864,$C$3,Orders!$D$2:$D$2864,IF($C$4=0,"&gt;0",$C$4),Orders!$E$2:$E$2864,B383)</f>
        <v>127</v>
      </c>
      <c r="E383" s="0" t="n">
        <f aca="false">COUNTIFS(Orders!$C$2:$C$2864,$C$3,Orders!$D$2:$D$2864,IF($C$4=0,"&gt;0",$C$4),Orders!$E$2:$E$2864,B383)</f>
        <v>2</v>
      </c>
      <c r="F383" s="0" t="n">
        <f aca="false">D383+ROW()/100000</f>
        <v>127.00383</v>
      </c>
      <c r="G383" s="0" t="n">
        <f aca="false">RANK(F383,$F$61:$F$580)</f>
        <v>321</v>
      </c>
    </row>
    <row r="384" customFormat="false" ht="15" hidden="false" customHeight="false" outlineLevel="0" collapsed="false">
      <c r="B384" s="0" t="s">
        <v>2840</v>
      </c>
      <c r="C384" s="0" t="s">
        <v>78</v>
      </c>
      <c r="D384" s="0" t="n">
        <f aca="false">SUMIFS(Orders!$L$2:$L$2864,Orders!$C$2:$C$2864,$C$3,Orders!$D$2:$D$2864,IF($C$4=0,"&gt;0",$C$4),Orders!$E$2:$E$2864,B384)</f>
        <v>46</v>
      </c>
      <c r="E384" s="0" t="n">
        <f aca="false">COUNTIFS(Orders!$C$2:$C$2864,$C$3,Orders!$D$2:$D$2864,IF($C$4=0,"&gt;0",$C$4),Orders!$E$2:$E$2864,B384)</f>
        <v>1</v>
      </c>
      <c r="F384" s="0" t="n">
        <f aca="false">D384+ROW()/100000</f>
        <v>46.00384</v>
      </c>
      <c r="G384" s="0" t="n">
        <f aca="false">RANK(F384,$F$61:$F$580)</f>
        <v>429</v>
      </c>
    </row>
    <row r="385" customFormat="false" ht="15" hidden="false" customHeight="false" outlineLevel="0" collapsed="false">
      <c r="B385" s="0" t="s">
        <v>1008</v>
      </c>
      <c r="C385" s="0" t="s">
        <v>78</v>
      </c>
      <c r="D385" s="0" t="n">
        <f aca="false">SUMIFS(Orders!$L$2:$L$2864,Orders!$C$2:$C$2864,$C$3,Orders!$D$2:$D$2864,IF($C$4=0,"&gt;0",$C$4),Orders!$E$2:$E$2864,B385)</f>
        <v>64</v>
      </c>
      <c r="E385" s="0" t="n">
        <f aca="false">COUNTIFS(Orders!$C$2:$C$2864,$C$3,Orders!$D$2:$D$2864,IF($C$4=0,"&gt;0",$C$4),Orders!$E$2:$E$2864,B385)</f>
        <v>1</v>
      </c>
      <c r="F385" s="0" t="n">
        <f aca="false">D385+ROW()/100000</f>
        <v>64.00385</v>
      </c>
      <c r="G385" s="0" t="n">
        <f aca="false">RANK(F385,$F$61:$F$580)</f>
        <v>404</v>
      </c>
    </row>
    <row r="386" customFormat="false" ht="15" hidden="false" customHeight="false" outlineLevel="0" collapsed="false">
      <c r="B386" s="0" t="s">
        <v>685</v>
      </c>
      <c r="C386" s="0" t="s">
        <v>78</v>
      </c>
      <c r="D386" s="0" t="n">
        <f aca="false">SUMIFS(Orders!$L$2:$L$2864,Orders!$C$2:$C$2864,$C$3,Orders!$D$2:$D$2864,IF($C$4=0,"&gt;0",$C$4),Orders!$E$2:$E$2864,B386)</f>
        <v>102</v>
      </c>
      <c r="E386" s="0" t="n">
        <f aca="false">COUNTIFS(Orders!$C$2:$C$2864,$C$3,Orders!$D$2:$D$2864,IF($C$4=0,"&gt;0",$C$4),Orders!$E$2:$E$2864,B386)</f>
        <v>1</v>
      </c>
      <c r="F386" s="0" t="n">
        <f aca="false">D386+ROW()/100000</f>
        <v>102.00386</v>
      </c>
      <c r="G386" s="0" t="n">
        <f aca="false">RANK(F386,$F$61:$F$580)</f>
        <v>350</v>
      </c>
    </row>
    <row r="387" customFormat="false" ht="15" hidden="false" customHeight="false" outlineLevel="0" collapsed="false">
      <c r="B387" s="0" t="s">
        <v>1326</v>
      </c>
      <c r="C387" s="0" t="s">
        <v>69</v>
      </c>
      <c r="D387" s="0" t="n">
        <f aca="false">SUMIFS(Orders!$L$2:$L$2864,Orders!$C$2:$C$2864,$C$3,Orders!$D$2:$D$2864,IF($C$4=0,"&gt;0",$C$4),Orders!$E$2:$E$2864,B387)</f>
        <v>255</v>
      </c>
      <c r="E387" s="0" t="n">
        <f aca="false">COUNTIFS(Orders!$C$2:$C$2864,$C$3,Orders!$D$2:$D$2864,IF($C$4=0,"&gt;0",$C$4),Orders!$E$2:$E$2864,B387)</f>
        <v>3</v>
      </c>
      <c r="F387" s="0" t="n">
        <f aca="false">D387+ROW()/100000</f>
        <v>255.00387</v>
      </c>
      <c r="G387" s="0" t="n">
        <f aca="false">RANK(F387,$F$61:$F$580)</f>
        <v>205</v>
      </c>
    </row>
    <row r="388" customFormat="false" ht="15" hidden="false" customHeight="false" outlineLevel="0" collapsed="false">
      <c r="B388" s="0" t="s">
        <v>553</v>
      </c>
      <c r="C388" s="0" t="s">
        <v>72</v>
      </c>
      <c r="D388" s="0" t="n">
        <f aca="false">SUMIFS(Orders!$L$2:$L$2864,Orders!$C$2:$C$2864,$C$3,Orders!$D$2:$D$2864,IF($C$4=0,"&gt;0",$C$4),Orders!$E$2:$E$2864,B388)</f>
        <v>224</v>
      </c>
      <c r="E388" s="0" t="n">
        <f aca="false">COUNTIFS(Orders!$C$2:$C$2864,$C$3,Orders!$D$2:$D$2864,IF($C$4=0,"&gt;0",$C$4),Orders!$E$2:$E$2864,B388)</f>
        <v>2</v>
      </c>
      <c r="F388" s="0" t="n">
        <f aca="false">D388+ROW()/100000</f>
        <v>224.00388</v>
      </c>
      <c r="G388" s="0" t="n">
        <f aca="false">RANK(F388,$F$61:$F$580)</f>
        <v>228</v>
      </c>
    </row>
    <row r="389" customFormat="false" ht="15" hidden="false" customHeight="false" outlineLevel="0" collapsed="false">
      <c r="B389" s="0" t="s">
        <v>2086</v>
      </c>
      <c r="C389" s="0" t="s">
        <v>75</v>
      </c>
      <c r="D389" s="0" t="n">
        <f aca="false">SUMIFS(Orders!$L$2:$L$2864,Orders!$C$2:$C$2864,$C$3,Orders!$D$2:$D$2864,IF($C$4=0,"&gt;0",$C$4),Orders!$E$2:$E$2864,B389)</f>
        <v>457</v>
      </c>
      <c r="E389" s="0" t="n">
        <f aca="false">COUNTIFS(Orders!$C$2:$C$2864,$C$3,Orders!$D$2:$D$2864,IF($C$4=0,"&gt;0",$C$4),Orders!$E$2:$E$2864,B389)</f>
        <v>2</v>
      </c>
      <c r="F389" s="0" t="n">
        <f aca="false">D389+ROW()/100000</f>
        <v>457.00389</v>
      </c>
      <c r="G389" s="0" t="n">
        <f aca="false">RANK(F389,$F$61:$F$580)</f>
        <v>111</v>
      </c>
    </row>
    <row r="390" customFormat="false" ht="15" hidden="false" customHeight="false" outlineLevel="0" collapsed="false">
      <c r="B390" s="0" t="s">
        <v>1313</v>
      </c>
      <c r="C390" s="0" t="s">
        <v>75</v>
      </c>
      <c r="D390" s="0" t="n">
        <f aca="false">SUMIFS(Orders!$L$2:$L$2864,Orders!$C$2:$C$2864,$C$3,Orders!$D$2:$D$2864,IF($C$4=0,"&gt;0",$C$4),Orders!$E$2:$E$2864,B390)</f>
        <v>131</v>
      </c>
      <c r="E390" s="0" t="n">
        <f aca="false">COUNTIFS(Orders!$C$2:$C$2864,$C$3,Orders!$D$2:$D$2864,IF($C$4=0,"&gt;0",$C$4),Orders!$E$2:$E$2864,B390)</f>
        <v>2</v>
      </c>
      <c r="F390" s="0" t="n">
        <f aca="false">D390+ROW()/100000</f>
        <v>131.0039</v>
      </c>
      <c r="G390" s="0" t="n">
        <f aca="false">RANK(F390,$F$61:$F$580)</f>
        <v>320</v>
      </c>
    </row>
    <row r="391" customFormat="false" ht="15" hidden="false" customHeight="false" outlineLevel="0" collapsed="false">
      <c r="B391" s="0" t="s">
        <v>884</v>
      </c>
      <c r="C391" s="0" t="s">
        <v>72</v>
      </c>
      <c r="D391" s="0" t="n">
        <f aca="false">SUMIFS(Orders!$L$2:$L$2864,Orders!$C$2:$C$2864,$C$3,Orders!$D$2:$D$2864,IF($C$4=0,"&gt;0",$C$4),Orders!$E$2:$E$2864,B391)</f>
        <v>54</v>
      </c>
      <c r="E391" s="0" t="n">
        <f aca="false">COUNTIFS(Orders!$C$2:$C$2864,$C$3,Orders!$D$2:$D$2864,IF($C$4=0,"&gt;0",$C$4),Orders!$E$2:$E$2864,B391)</f>
        <v>1</v>
      </c>
      <c r="F391" s="0" t="n">
        <f aca="false">D391+ROW()/100000</f>
        <v>54.00391</v>
      </c>
      <c r="G391" s="0" t="n">
        <f aca="false">RANK(F391,$F$61:$F$580)</f>
        <v>416</v>
      </c>
    </row>
    <row r="392" customFormat="false" ht="15" hidden="false" customHeight="false" outlineLevel="0" collapsed="false">
      <c r="B392" s="0" t="s">
        <v>1759</v>
      </c>
      <c r="C392" s="0" t="s">
        <v>72</v>
      </c>
      <c r="D392" s="0" t="n">
        <f aca="false">SUMIFS(Orders!$L$2:$L$2864,Orders!$C$2:$C$2864,$C$3,Orders!$D$2:$D$2864,IF($C$4=0,"&gt;0",$C$4),Orders!$E$2:$E$2864,B392)</f>
        <v>297</v>
      </c>
      <c r="E392" s="0" t="n">
        <f aca="false">COUNTIFS(Orders!$C$2:$C$2864,$C$3,Orders!$D$2:$D$2864,IF($C$4=0,"&gt;0",$C$4),Orders!$E$2:$E$2864,B392)</f>
        <v>3</v>
      </c>
      <c r="F392" s="0" t="n">
        <f aca="false">D392+ROW()/100000</f>
        <v>297.00392</v>
      </c>
      <c r="G392" s="0" t="n">
        <f aca="false">RANK(F392,$F$61:$F$580)</f>
        <v>172</v>
      </c>
    </row>
    <row r="393" customFormat="false" ht="15" hidden="false" customHeight="false" outlineLevel="0" collapsed="false">
      <c r="B393" s="0" t="s">
        <v>160</v>
      </c>
      <c r="C393" s="0" t="s">
        <v>75</v>
      </c>
      <c r="D393" s="0" t="n">
        <f aca="false">SUMIFS(Orders!$L$2:$L$2864,Orders!$C$2:$C$2864,$C$3,Orders!$D$2:$D$2864,IF($C$4=0,"&gt;0",$C$4),Orders!$E$2:$E$2864,B393)</f>
        <v>118</v>
      </c>
      <c r="E393" s="0" t="n">
        <f aca="false">COUNTIFS(Orders!$C$2:$C$2864,$C$3,Orders!$D$2:$D$2864,IF($C$4=0,"&gt;0",$C$4),Orders!$E$2:$E$2864,B393)</f>
        <v>2</v>
      </c>
      <c r="F393" s="0" t="n">
        <f aca="false">D393+ROW()/100000</f>
        <v>118.00393</v>
      </c>
      <c r="G393" s="0" t="n">
        <f aca="false">RANK(F393,$F$61:$F$580)</f>
        <v>329</v>
      </c>
    </row>
    <row r="394" customFormat="false" ht="15" hidden="false" customHeight="false" outlineLevel="0" collapsed="false">
      <c r="B394" s="0" t="s">
        <v>1498</v>
      </c>
      <c r="C394" s="0" t="s">
        <v>81</v>
      </c>
      <c r="D394" s="0" t="n">
        <f aca="false">SUMIFS(Orders!$L$2:$L$2864,Orders!$C$2:$C$2864,$C$3,Orders!$D$2:$D$2864,IF($C$4=0,"&gt;0",$C$4),Orders!$E$2:$E$2864,B394)</f>
        <v>0</v>
      </c>
      <c r="E394" s="0" t="n">
        <f aca="false">COUNTIFS(Orders!$C$2:$C$2864,$C$3,Orders!$D$2:$D$2864,IF($C$4=0,"&gt;0",$C$4),Orders!$E$2:$E$2864,B394)</f>
        <v>0</v>
      </c>
      <c r="F394" s="0" t="n">
        <f aca="false">D394+ROW()/100000</f>
        <v>0.00394</v>
      </c>
      <c r="G394" s="0" t="n">
        <f aca="false">RANK(F394,$F$61:$F$580)</f>
        <v>485</v>
      </c>
    </row>
    <row r="395" customFormat="false" ht="15" hidden="false" customHeight="false" outlineLevel="0" collapsed="false">
      <c r="B395" s="0" t="s">
        <v>942</v>
      </c>
      <c r="C395" s="0" t="s">
        <v>75</v>
      </c>
      <c r="D395" s="0" t="n">
        <f aca="false">SUMIFS(Orders!$L$2:$L$2864,Orders!$C$2:$C$2864,$C$3,Orders!$D$2:$D$2864,IF($C$4=0,"&gt;0",$C$4),Orders!$E$2:$E$2864,B395)</f>
        <v>0</v>
      </c>
      <c r="E395" s="0" t="n">
        <f aca="false">COUNTIFS(Orders!$C$2:$C$2864,$C$3,Orders!$D$2:$D$2864,IF($C$4=0,"&gt;0",$C$4),Orders!$E$2:$E$2864,B395)</f>
        <v>0</v>
      </c>
      <c r="F395" s="0" t="n">
        <f aca="false">D395+ROW()/100000</f>
        <v>0.00395</v>
      </c>
      <c r="G395" s="0" t="n">
        <f aca="false">RANK(F395,$F$61:$F$580)</f>
        <v>484</v>
      </c>
    </row>
    <row r="396" customFormat="false" ht="15" hidden="false" customHeight="false" outlineLevel="0" collapsed="false">
      <c r="B396" s="0" t="s">
        <v>1580</v>
      </c>
      <c r="C396" s="0" t="s">
        <v>78</v>
      </c>
      <c r="D396" s="0" t="n">
        <f aca="false">SUMIFS(Orders!$L$2:$L$2864,Orders!$C$2:$C$2864,$C$3,Orders!$D$2:$D$2864,IF($C$4=0,"&gt;0",$C$4),Orders!$E$2:$E$2864,B396)</f>
        <v>268</v>
      </c>
      <c r="E396" s="0" t="n">
        <f aca="false">COUNTIFS(Orders!$C$2:$C$2864,$C$3,Orders!$D$2:$D$2864,IF($C$4=0,"&gt;0",$C$4),Orders!$E$2:$E$2864,B396)</f>
        <v>2</v>
      </c>
      <c r="F396" s="0" t="n">
        <f aca="false">D396+ROW()/100000</f>
        <v>268.00396</v>
      </c>
      <c r="G396" s="0" t="n">
        <f aca="false">RANK(F396,$F$61:$F$580)</f>
        <v>197</v>
      </c>
    </row>
    <row r="397" customFormat="false" ht="15" hidden="false" customHeight="false" outlineLevel="0" collapsed="false">
      <c r="B397" s="0" t="s">
        <v>3479</v>
      </c>
      <c r="C397" s="0" t="s">
        <v>69</v>
      </c>
      <c r="D397" s="0" t="n">
        <f aca="false">SUMIFS(Orders!$L$2:$L$2864,Orders!$C$2:$C$2864,$C$3,Orders!$D$2:$D$2864,IF($C$4=0,"&gt;0",$C$4),Orders!$E$2:$E$2864,B397)</f>
        <v>0</v>
      </c>
      <c r="E397" s="0" t="n">
        <f aca="false">COUNTIFS(Orders!$C$2:$C$2864,$C$3,Orders!$D$2:$D$2864,IF($C$4=0,"&gt;0",$C$4),Orders!$E$2:$E$2864,B397)</f>
        <v>0</v>
      </c>
      <c r="F397" s="0" t="n">
        <f aca="false">D397+ROW()/100000</f>
        <v>0.00397</v>
      </c>
      <c r="G397" s="0" t="n">
        <f aca="false">RANK(F397,$F$61:$F$580)</f>
        <v>483</v>
      </c>
    </row>
    <row r="398" customFormat="false" ht="15" hidden="false" customHeight="false" outlineLevel="0" collapsed="false">
      <c r="B398" s="0" t="s">
        <v>852</v>
      </c>
      <c r="C398" s="0" t="s">
        <v>81</v>
      </c>
      <c r="D398" s="0" t="n">
        <f aca="false">SUMIFS(Orders!$L$2:$L$2864,Orders!$C$2:$C$2864,$C$3,Orders!$D$2:$D$2864,IF($C$4=0,"&gt;0",$C$4),Orders!$E$2:$E$2864,B398)</f>
        <v>49</v>
      </c>
      <c r="E398" s="0" t="n">
        <f aca="false">COUNTIFS(Orders!$C$2:$C$2864,$C$3,Orders!$D$2:$D$2864,IF($C$4=0,"&gt;0",$C$4),Orders!$E$2:$E$2864,B398)</f>
        <v>1</v>
      </c>
      <c r="F398" s="0" t="n">
        <f aca="false">D398+ROW()/100000</f>
        <v>49.00398</v>
      </c>
      <c r="G398" s="0" t="n">
        <f aca="false">RANK(F398,$F$61:$F$580)</f>
        <v>425</v>
      </c>
    </row>
    <row r="399" customFormat="false" ht="15" hidden="false" customHeight="false" outlineLevel="0" collapsed="false">
      <c r="B399" s="0" t="s">
        <v>1858</v>
      </c>
      <c r="C399" s="0" t="s">
        <v>75</v>
      </c>
      <c r="D399" s="0" t="n">
        <f aca="false">SUMIFS(Orders!$L$2:$L$2864,Orders!$C$2:$C$2864,$C$3,Orders!$D$2:$D$2864,IF($C$4=0,"&gt;0",$C$4),Orders!$E$2:$E$2864,B399)</f>
        <v>89</v>
      </c>
      <c r="E399" s="0" t="n">
        <f aca="false">COUNTIFS(Orders!$C$2:$C$2864,$C$3,Orders!$D$2:$D$2864,IF($C$4=0,"&gt;0",$C$4),Orders!$E$2:$E$2864,B399)</f>
        <v>1</v>
      </c>
      <c r="F399" s="0" t="n">
        <f aca="false">D399+ROW()/100000</f>
        <v>89.00399</v>
      </c>
      <c r="G399" s="0" t="n">
        <f aca="false">RANK(F399,$F$61:$F$580)</f>
        <v>376</v>
      </c>
    </row>
    <row r="400" customFormat="false" ht="15" hidden="false" customHeight="false" outlineLevel="0" collapsed="false">
      <c r="B400" s="0" t="s">
        <v>3480</v>
      </c>
      <c r="C400" s="0" t="s">
        <v>72</v>
      </c>
      <c r="D400" s="0" t="n">
        <f aca="false">SUMIFS(Orders!$L$2:$L$2864,Orders!$C$2:$C$2864,$C$3,Orders!$D$2:$D$2864,IF($C$4=0,"&gt;0",$C$4),Orders!$E$2:$E$2864,B400)</f>
        <v>0</v>
      </c>
      <c r="E400" s="0" t="n">
        <f aca="false">COUNTIFS(Orders!$C$2:$C$2864,$C$3,Orders!$D$2:$D$2864,IF($C$4=0,"&gt;0",$C$4),Orders!$E$2:$E$2864,B400)</f>
        <v>0</v>
      </c>
      <c r="F400" s="0" t="n">
        <f aca="false">D400+ROW()/100000</f>
        <v>0.004</v>
      </c>
      <c r="G400" s="0" t="n">
        <f aca="false">RANK(F400,$F$61:$F$580)</f>
        <v>482</v>
      </c>
    </row>
    <row r="401" customFormat="false" ht="15" hidden="false" customHeight="false" outlineLevel="0" collapsed="false">
      <c r="B401" s="0" t="s">
        <v>351</v>
      </c>
      <c r="C401" s="0" t="s">
        <v>72</v>
      </c>
      <c r="D401" s="0" t="n">
        <f aca="false">SUMIFS(Orders!$L$2:$L$2864,Orders!$C$2:$C$2864,$C$3,Orders!$D$2:$D$2864,IF($C$4=0,"&gt;0",$C$4),Orders!$E$2:$E$2864,B401)</f>
        <v>0</v>
      </c>
      <c r="E401" s="0" t="n">
        <f aca="false">COUNTIFS(Orders!$C$2:$C$2864,$C$3,Orders!$D$2:$D$2864,IF($C$4=0,"&gt;0",$C$4),Orders!$E$2:$E$2864,B401)</f>
        <v>0</v>
      </c>
      <c r="F401" s="0" t="n">
        <f aca="false">D401+ROW()/100000</f>
        <v>0.00401</v>
      </c>
      <c r="G401" s="0" t="n">
        <f aca="false">RANK(F401,$F$61:$F$580)</f>
        <v>481</v>
      </c>
    </row>
    <row r="402" customFormat="false" ht="15" hidden="false" customHeight="false" outlineLevel="0" collapsed="false">
      <c r="B402" s="0" t="s">
        <v>1011</v>
      </c>
      <c r="C402" s="0" t="s">
        <v>78</v>
      </c>
      <c r="D402" s="0" t="n">
        <f aca="false">SUMIFS(Orders!$L$2:$L$2864,Orders!$C$2:$C$2864,$C$3,Orders!$D$2:$D$2864,IF($C$4=0,"&gt;0",$C$4),Orders!$E$2:$E$2864,B402)</f>
        <v>34</v>
      </c>
      <c r="E402" s="0" t="n">
        <f aca="false">COUNTIFS(Orders!$C$2:$C$2864,$C$3,Orders!$D$2:$D$2864,IF($C$4=0,"&gt;0",$C$4),Orders!$E$2:$E$2864,B402)</f>
        <v>1</v>
      </c>
      <c r="F402" s="0" t="n">
        <f aca="false">D402+ROW()/100000</f>
        <v>34.00402</v>
      </c>
      <c r="G402" s="0" t="n">
        <f aca="false">RANK(F402,$F$61:$F$580)</f>
        <v>444</v>
      </c>
    </row>
    <row r="403" customFormat="false" ht="15" hidden="false" customHeight="false" outlineLevel="0" collapsed="false">
      <c r="B403" s="0" t="s">
        <v>543</v>
      </c>
      <c r="C403" s="0" t="s">
        <v>78</v>
      </c>
      <c r="D403" s="0" t="n">
        <f aca="false">SUMIFS(Orders!$L$2:$L$2864,Orders!$C$2:$C$2864,$C$3,Orders!$D$2:$D$2864,IF($C$4=0,"&gt;0",$C$4),Orders!$E$2:$E$2864,B403)</f>
        <v>268</v>
      </c>
      <c r="E403" s="0" t="n">
        <f aca="false">COUNTIFS(Orders!$C$2:$C$2864,$C$3,Orders!$D$2:$D$2864,IF($C$4=0,"&gt;0",$C$4),Orders!$E$2:$E$2864,B403)</f>
        <v>4</v>
      </c>
      <c r="F403" s="0" t="n">
        <f aca="false">D403+ROW()/100000</f>
        <v>268.00403</v>
      </c>
      <c r="G403" s="0" t="n">
        <f aca="false">RANK(F403,$F$61:$F$580)</f>
        <v>196</v>
      </c>
    </row>
    <row r="404" customFormat="false" ht="15" hidden="false" customHeight="false" outlineLevel="0" collapsed="false">
      <c r="B404" s="0" t="s">
        <v>1387</v>
      </c>
      <c r="C404" s="0" t="s">
        <v>72</v>
      </c>
      <c r="D404" s="0" t="n">
        <f aca="false">SUMIFS(Orders!$L$2:$L$2864,Orders!$C$2:$C$2864,$C$3,Orders!$D$2:$D$2864,IF($C$4=0,"&gt;0",$C$4),Orders!$E$2:$E$2864,B404)</f>
        <v>149</v>
      </c>
      <c r="E404" s="0" t="n">
        <f aca="false">COUNTIFS(Orders!$C$2:$C$2864,$C$3,Orders!$D$2:$D$2864,IF($C$4=0,"&gt;0",$C$4),Orders!$E$2:$E$2864,B404)</f>
        <v>1</v>
      </c>
      <c r="F404" s="0" t="n">
        <f aca="false">D404+ROW()/100000</f>
        <v>149.00404</v>
      </c>
      <c r="G404" s="0" t="n">
        <f aca="false">RANK(F404,$F$61:$F$580)</f>
        <v>301</v>
      </c>
    </row>
    <row r="405" customFormat="false" ht="15" hidden="false" customHeight="false" outlineLevel="0" collapsed="false">
      <c r="B405" s="0" t="s">
        <v>1275</v>
      </c>
      <c r="C405" s="0" t="s">
        <v>72</v>
      </c>
      <c r="D405" s="0" t="n">
        <f aca="false">SUMIFS(Orders!$L$2:$L$2864,Orders!$C$2:$C$2864,$C$3,Orders!$D$2:$D$2864,IF($C$4=0,"&gt;0",$C$4),Orders!$E$2:$E$2864,B405)</f>
        <v>0</v>
      </c>
      <c r="E405" s="0" t="n">
        <f aca="false">COUNTIFS(Orders!$C$2:$C$2864,$C$3,Orders!$D$2:$D$2864,IF($C$4=0,"&gt;0",$C$4),Orders!$E$2:$E$2864,B405)</f>
        <v>0</v>
      </c>
      <c r="F405" s="0" t="n">
        <f aca="false">D405+ROW()/100000</f>
        <v>0.00405</v>
      </c>
      <c r="G405" s="0" t="n">
        <f aca="false">RANK(F405,$F$61:$F$580)</f>
        <v>480</v>
      </c>
    </row>
    <row r="406" customFormat="false" ht="15" hidden="false" customHeight="false" outlineLevel="0" collapsed="false">
      <c r="B406" s="0" t="s">
        <v>468</v>
      </c>
      <c r="C406" s="0" t="s">
        <v>69</v>
      </c>
      <c r="D406" s="0" t="n">
        <f aca="false">SUMIFS(Orders!$L$2:$L$2864,Orders!$C$2:$C$2864,$C$3,Orders!$D$2:$D$2864,IF($C$4=0,"&gt;0",$C$4),Orders!$E$2:$E$2864,B406)</f>
        <v>179</v>
      </c>
      <c r="E406" s="0" t="n">
        <f aca="false">COUNTIFS(Orders!$C$2:$C$2864,$C$3,Orders!$D$2:$D$2864,IF($C$4=0,"&gt;0",$C$4),Orders!$E$2:$E$2864,B406)</f>
        <v>1</v>
      </c>
      <c r="F406" s="0" t="n">
        <f aca="false">D406+ROW()/100000</f>
        <v>179.00406</v>
      </c>
      <c r="G406" s="0" t="n">
        <f aca="false">RANK(F406,$F$61:$F$580)</f>
        <v>273</v>
      </c>
    </row>
    <row r="407" customFormat="false" ht="15" hidden="false" customHeight="false" outlineLevel="0" collapsed="false">
      <c r="B407" s="0" t="s">
        <v>2781</v>
      </c>
      <c r="C407" s="0" t="s">
        <v>78</v>
      </c>
      <c r="D407" s="0" t="n">
        <f aca="false">SUMIFS(Orders!$L$2:$L$2864,Orders!$C$2:$C$2864,$C$3,Orders!$D$2:$D$2864,IF($C$4=0,"&gt;0",$C$4),Orders!$E$2:$E$2864,B407)</f>
        <v>835</v>
      </c>
      <c r="E407" s="0" t="n">
        <f aca="false">COUNTIFS(Orders!$C$2:$C$2864,$C$3,Orders!$D$2:$D$2864,IF($C$4=0,"&gt;0",$C$4),Orders!$E$2:$E$2864,B407)</f>
        <v>2</v>
      </c>
      <c r="F407" s="0" t="n">
        <f aca="false">D407+ROW()/100000</f>
        <v>835.00407</v>
      </c>
      <c r="G407" s="0" t="n">
        <f aca="false">RANK(F407,$F$61:$F$580)</f>
        <v>26</v>
      </c>
    </row>
    <row r="408" customFormat="false" ht="15" hidden="false" customHeight="false" outlineLevel="0" collapsed="false">
      <c r="B408" s="0" t="s">
        <v>2182</v>
      </c>
      <c r="C408" s="0" t="s">
        <v>69</v>
      </c>
      <c r="D408" s="0" t="n">
        <f aca="false">SUMIFS(Orders!$L$2:$L$2864,Orders!$C$2:$C$2864,$C$3,Orders!$D$2:$D$2864,IF($C$4=0,"&gt;0",$C$4),Orders!$E$2:$E$2864,B408)</f>
        <v>151</v>
      </c>
      <c r="E408" s="0" t="n">
        <f aca="false">COUNTIFS(Orders!$C$2:$C$2864,$C$3,Orders!$D$2:$D$2864,IF($C$4=0,"&gt;0",$C$4),Orders!$E$2:$E$2864,B408)</f>
        <v>2</v>
      </c>
      <c r="F408" s="0" t="n">
        <f aca="false">D408+ROW()/100000</f>
        <v>151.00408</v>
      </c>
      <c r="G408" s="0" t="n">
        <f aca="false">RANK(F408,$F$61:$F$580)</f>
        <v>297</v>
      </c>
    </row>
    <row r="409" customFormat="false" ht="15" hidden="false" customHeight="false" outlineLevel="0" collapsed="false">
      <c r="B409" s="0" t="s">
        <v>2876</v>
      </c>
      <c r="C409" s="0" t="s">
        <v>75</v>
      </c>
      <c r="D409" s="0" t="n">
        <f aca="false">SUMIFS(Orders!$L$2:$L$2864,Orders!$C$2:$C$2864,$C$3,Orders!$D$2:$D$2864,IF($C$4=0,"&gt;0",$C$4),Orders!$E$2:$E$2864,B409)</f>
        <v>42</v>
      </c>
      <c r="E409" s="0" t="n">
        <f aca="false">COUNTIFS(Orders!$C$2:$C$2864,$C$3,Orders!$D$2:$D$2864,IF($C$4=0,"&gt;0",$C$4),Orders!$E$2:$E$2864,B409)</f>
        <v>1</v>
      </c>
      <c r="F409" s="0" t="n">
        <f aca="false">D409+ROW()/100000</f>
        <v>42.00409</v>
      </c>
      <c r="G409" s="0" t="n">
        <f aca="false">RANK(F409,$F$61:$F$580)</f>
        <v>439</v>
      </c>
    </row>
    <row r="410" customFormat="false" ht="15" hidden="false" customHeight="false" outlineLevel="0" collapsed="false">
      <c r="B410" s="0" t="s">
        <v>1302</v>
      </c>
      <c r="C410" s="0" t="s">
        <v>81</v>
      </c>
      <c r="D410" s="0" t="n">
        <f aca="false">SUMIFS(Orders!$L$2:$L$2864,Orders!$C$2:$C$2864,$C$3,Orders!$D$2:$D$2864,IF($C$4=0,"&gt;0",$C$4),Orders!$E$2:$E$2864,B410)</f>
        <v>278</v>
      </c>
      <c r="E410" s="0" t="n">
        <f aca="false">COUNTIFS(Orders!$C$2:$C$2864,$C$3,Orders!$D$2:$D$2864,IF($C$4=0,"&gt;0",$C$4),Orders!$E$2:$E$2864,B410)</f>
        <v>2</v>
      </c>
      <c r="F410" s="0" t="n">
        <f aca="false">D410+ROW()/100000</f>
        <v>278.0041</v>
      </c>
      <c r="G410" s="0" t="n">
        <f aca="false">RANK(F410,$F$61:$F$580)</f>
        <v>185</v>
      </c>
    </row>
    <row r="411" customFormat="false" ht="15" hidden="false" customHeight="false" outlineLevel="0" collapsed="false">
      <c r="B411" s="0" t="s">
        <v>1216</v>
      </c>
      <c r="C411" s="0" t="s">
        <v>75</v>
      </c>
      <c r="D411" s="0" t="n">
        <f aca="false">SUMIFS(Orders!$L$2:$L$2864,Orders!$C$2:$C$2864,$C$3,Orders!$D$2:$D$2864,IF($C$4=0,"&gt;0",$C$4),Orders!$E$2:$E$2864,B411)</f>
        <v>238</v>
      </c>
      <c r="E411" s="0" t="n">
        <f aca="false">COUNTIFS(Orders!$C$2:$C$2864,$C$3,Orders!$D$2:$D$2864,IF($C$4=0,"&gt;0",$C$4),Orders!$E$2:$E$2864,B411)</f>
        <v>2</v>
      </c>
      <c r="F411" s="0" t="n">
        <f aca="false">D411+ROW()/100000</f>
        <v>238.00411</v>
      </c>
      <c r="G411" s="0" t="n">
        <f aca="false">RANK(F411,$F$61:$F$580)</f>
        <v>216</v>
      </c>
    </row>
    <row r="412" customFormat="false" ht="15" hidden="false" customHeight="false" outlineLevel="0" collapsed="false">
      <c r="B412" s="0" t="s">
        <v>1038</v>
      </c>
      <c r="C412" s="0" t="s">
        <v>69</v>
      </c>
      <c r="D412" s="0" t="n">
        <f aca="false">SUMIFS(Orders!$L$2:$L$2864,Orders!$C$2:$C$2864,$C$3,Orders!$D$2:$D$2864,IF($C$4=0,"&gt;0",$C$4),Orders!$E$2:$E$2864,B412)</f>
        <v>0</v>
      </c>
      <c r="E412" s="0" t="n">
        <f aca="false">COUNTIFS(Orders!$C$2:$C$2864,$C$3,Orders!$D$2:$D$2864,IF($C$4=0,"&gt;0",$C$4),Orders!$E$2:$E$2864,B412)</f>
        <v>0</v>
      </c>
      <c r="F412" s="0" t="n">
        <f aca="false">D412+ROW()/100000</f>
        <v>0.00412</v>
      </c>
      <c r="G412" s="0" t="n">
        <f aca="false">RANK(F412,$F$61:$F$580)</f>
        <v>479</v>
      </c>
    </row>
    <row r="413" customFormat="false" ht="15" hidden="false" customHeight="false" outlineLevel="0" collapsed="false">
      <c r="B413" s="0" t="s">
        <v>213</v>
      </c>
      <c r="C413" s="0" t="s">
        <v>78</v>
      </c>
      <c r="D413" s="0" t="n">
        <f aca="false">SUMIFS(Orders!$L$2:$L$2864,Orders!$C$2:$C$2864,$C$3,Orders!$D$2:$D$2864,IF($C$4=0,"&gt;0",$C$4),Orders!$E$2:$E$2864,B413)</f>
        <v>347</v>
      </c>
      <c r="E413" s="0" t="n">
        <f aca="false">COUNTIFS(Orders!$C$2:$C$2864,$C$3,Orders!$D$2:$D$2864,IF($C$4=0,"&gt;0",$C$4),Orders!$E$2:$E$2864,B413)</f>
        <v>3</v>
      </c>
      <c r="F413" s="0" t="n">
        <f aca="false">D413+ROW()/100000</f>
        <v>347.00413</v>
      </c>
      <c r="G413" s="0" t="n">
        <f aca="false">RANK(F413,$F$61:$F$580)</f>
        <v>145</v>
      </c>
    </row>
    <row r="414" customFormat="false" ht="15" hidden="false" customHeight="false" outlineLevel="0" collapsed="false">
      <c r="B414" s="0" t="s">
        <v>1872</v>
      </c>
      <c r="C414" s="0" t="s">
        <v>69</v>
      </c>
      <c r="D414" s="0" t="n">
        <f aca="false">SUMIFS(Orders!$L$2:$L$2864,Orders!$C$2:$C$2864,$C$3,Orders!$D$2:$D$2864,IF($C$4=0,"&gt;0",$C$4),Orders!$E$2:$E$2864,B414)</f>
        <v>113</v>
      </c>
      <c r="E414" s="0" t="n">
        <f aca="false">COUNTIFS(Orders!$C$2:$C$2864,$C$3,Orders!$D$2:$D$2864,IF($C$4=0,"&gt;0",$C$4),Orders!$E$2:$E$2864,B414)</f>
        <v>2</v>
      </c>
      <c r="F414" s="0" t="n">
        <f aca="false">D414+ROW()/100000</f>
        <v>113.00414</v>
      </c>
      <c r="G414" s="0" t="n">
        <f aca="false">RANK(F414,$F$61:$F$580)</f>
        <v>338</v>
      </c>
    </row>
    <row r="415" customFormat="false" ht="15" hidden="false" customHeight="false" outlineLevel="0" collapsed="false">
      <c r="B415" s="0" t="s">
        <v>102</v>
      </c>
      <c r="C415" s="0" t="s">
        <v>75</v>
      </c>
      <c r="D415" s="0" t="n">
        <f aca="false">SUMIFS(Orders!$L$2:$L$2864,Orders!$C$2:$C$2864,$C$3,Orders!$D$2:$D$2864,IF($C$4=0,"&gt;0",$C$4),Orders!$E$2:$E$2864,B415)</f>
        <v>0</v>
      </c>
      <c r="E415" s="0" t="n">
        <f aca="false">COUNTIFS(Orders!$C$2:$C$2864,$C$3,Orders!$D$2:$D$2864,IF($C$4=0,"&gt;0",$C$4),Orders!$E$2:$E$2864,B415)</f>
        <v>0</v>
      </c>
      <c r="F415" s="0" t="n">
        <f aca="false">D415+ROW()/100000</f>
        <v>0.00415</v>
      </c>
      <c r="G415" s="0" t="n">
        <f aca="false">RANK(F415,$F$61:$F$580)</f>
        <v>478</v>
      </c>
    </row>
    <row r="416" customFormat="false" ht="15" hidden="false" customHeight="false" outlineLevel="0" collapsed="false">
      <c r="B416" s="0" t="s">
        <v>150</v>
      </c>
      <c r="C416" s="0" t="s">
        <v>69</v>
      </c>
      <c r="D416" s="0" t="n">
        <f aca="false">SUMIFS(Orders!$L$2:$L$2864,Orders!$C$2:$C$2864,$C$3,Orders!$D$2:$D$2864,IF($C$4=0,"&gt;0",$C$4),Orders!$E$2:$E$2864,B416)</f>
        <v>0</v>
      </c>
      <c r="E416" s="0" t="n">
        <f aca="false">COUNTIFS(Orders!$C$2:$C$2864,$C$3,Orders!$D$2:$D$2864,IF($C$4=0,"&gt;0",$C$4),Orders!$E$2:$E$2864,B416)</f>
        <v>0</v>
      </c>
      <c r="F416" s="0" t="n">
        <f aca="false">D416+ROW()/100000</f>
        <v>0.00416</v>
      </c>
      <c r="G416" s="0" t="n">
        <f aca="false">RANK(F416,$F$61:$F$580)</f>
        <v>477</v>
      </c>
    </row>
    <row r="417" customFormat="false" ht="15" hidden="false" customHeight="false" outlineLevel="0" collapsed="false">
      <c r="B417" s="0" t="s">
        <v>918</v>
      </c>
      <c r="C417" s="0" t="s">
        <v>78</v>
      </c>
      <c r="D417" s="0" t="n">
        <f aca="false">SUMIFS(Orders!$L$2:$L$2864,Orders!$C$2:$C$2864,$C$3,Orders!$D$2:$D$2864,IF($C$4=0,"&gt;0",$C$4),Orders!$E$2:$E$2864,B417)</f>
        <v>0</v>
      </c>
      <c r="E417" s="0" t="n">
        <f aca="false">COUNTIFS(Orders!$C$2:$C$2864,$C$3,Orders!$D$2:$D$2864,IF($C$4=0,"&gt;0",$C$4),Orders!$E$2:$E$2864,B417)</f>
        <v>0</v>
      </c>
      <c r="F417" s="0" t="n">
        <f aca="false">D417+ROW()/100000</f>
        <v>0.00417</v>
      </c>
      <c r="G417" s="0" t="n">
        <f aca="false">RANK(F417,$F$61:$F$580)</f>
        <v>476</v>
      </c>
    </row>
    <row r="418" customFormat="false" ht="15" hidden="false" customHeight="false" outlineLevel="0" collapsed="false">
      <c r="B418" s="0" t="s">
        <v>2337</v>
      </c>
      <c r="C418" s="0" t="s">
        <v>72</v>
      </c>
      <c r="D418" s="0" t="n">
        <f aca="false">SUMIFS(Orders!$L$2:$L$2864,Orders!$C$2:$C$2864,$C$3,Orders!$D$2:$D$2864,IF($C$4=0,"&gt;0",$C$4),Orders!$E$2:$E$2864,B418)</f>
        <v>138</v>
      </c>
      <c r="E418" s="0" t="n">
        <f aca="false">COUNTIFS(Orders!$C$2:$C$2864,$C$3,Orders!$D$2:$D$2864,IF($C$4=0,"&gt;0",$C$4),Orders!$E$2:$E$2864,B418)</f>
        <v>1</v>
      </c>
      <c r="F418" s="0" t="n">
        <f aca="false">D418+ROW()/100000</f>
        <v>138.00418</v>
      </c>
      <c r="G418" s="0" t="n">
        <f aca="false">RANK(F418,$F$61:$F$580)</f>
        <v>313</v>
      </c>
    </row>
    <row r="419" customFormat="false" ht="15" hidden="false" customHeight="false" outlineLevel="0" collapsed="false">
      <c r="B419" s="0" t="s">
        <v>271</v>
      </c>
      <c r="C419" s="0" t="s">
        <v>75</v>
      </c>
      <c r="D419" s="0" t="n">
        <f aca="false">SUMIFS(Orders!$L$2:$L$2864,Orders!$C$2:$C$2864,$C$3,Orders!$D$2:$D$2864,IF($C$4=0,"&gt;0",$C$4),Orders!$E$2:$E$2864,B419)</f>
        <v>566</v>
      </c>
      <c r="E419" s="0" t="n">
        <f aca="false">COUNTIFS(Orders!$C$2:$C$2864,$C$3,Orders!$D$2:$D$2864,IF($C$4=0,"&gt;0",$C$4),Orders!$E$2:$E$2864,B419)</f>
        <v>3</v>
      </c>
      <c r="F419" s="0" t="n">
        <f aca="false">D419+ROW()/100000</f>
        <v>566.00419</v>
      </c>
      <c r="G419" s="0" t="n">
        <f aca="false">RANK(F419,$F$61:$F$580)</f>
        <v>82</v>
      </c>
    </row>
    <row r="420" customFormat="false" ht="15" hidden="false" customHeight="false" outlineLevel="0" collapsed="false">
      <c r="B420" s="0" t="s">
        <v>1547</v>
      </c>
      <c r="C420" s="0" t="s">
        <v>75</v>
      </c>
      <c r="D420" s="0" t="n">
        <f aca="false">SUMIFS(Orders!$L$2:$L$2864,Orders!$C$2:$C$2864,$C$3,Orders!$D$2:$D$2864,IF($C$4=0,"&gt;0",$C$4),Orders!$E$2:$E$2864,B420)</f>
        <v>179</v>
      </c>
      <c r="E420" s="0" t="n">
        <f aca="false">COUNTIFS(Orders!$C$2:$C$2864,$C$3,Orders!$D$2:$D$2864,IF($C$4=0,"&gt;0",$C$4),Orders!$E$2:$E$2864,B420)</f>
        <v>1</v>
      </c>
      <c r="F420" s="0" t="n">
        <f aca="false">D420+ROW()/100000</f>
        <v>179.0042</v>
      </c>
      <c r="G420" s="0" t="n">
        <f aca="false">RANK(F420,$F$61:$F$580)</f>
        <v>272</v>
      </c>
    </row>
    <row r="421" customFormat="false" ht="15" hidden="false" customHeight="false" outlineLevel="0" collapsed="false">
      <c r="B421" s="0" t="s">
        <v>1940</v>
      </c>
      <c r="C421" s="0" t="s">
        <v>75</v>
      </c>
      <c r="D421" s="0" t="n">
        <f aca="false">SUMIFS(Orders!$L$2:$L$2864,Orders!$C$2:$C$2864,$C$3,Orders!$D$2:$D$2864,IF($C$4=0,"&gt;0",$C$4),Orders!$E$2:$E$2864,B421)</f>
        <v>328</v>
      </c>
      <c r="E421" s="0" t="n">
        <f aca="false">COUNTIFS(Orders!$C$2:$C$2864,$C$3,Orders!$D$2:$D$2864,IF($C$4=0,"&gt;0",$C$4),Orders!$E$2:$E$2864,B421)</f>
        <v>5</v>
      </c>
      <c r="F421" s="0" t="n">
        <f aca="false">D421+ROW()/100000</f>
        <v>328.00421</v>
      </c>
      <c r="G421" s="0" t="n">
        <f aca="false">RANK(F421,$F$61:$F$580)</f>
        <v>156</v>
      </c>
    </row>
    <row r="422" customFormat="false" ht="15" hidden="false" customHeight="false" outlineLevel="0" collapsed="false">
      <c r="B422" s="0" t="s">
        <v>773</v>
      </c>
      <c r="C422" s="0" t="s">
        <v>69</v>
      </c>
      <c r="D422" s="0" t="n">
        <f aca="false">SUMIFS(Orders!$L$2:$L$2864,Orders!$C$2:$C$2864,$C$3,Orders!$D$2:$D$2864,IF($C$4=0,"&gt;0",$C$4),Orders!$E$2:$E$2864,B422)</f>
        <v>88</v>
      </c>
      <c r="E422" s="0" t="n">
        <f aca="false">COUNTIFS(Orders!$C$2:$C$2864,$C$3,Orders!$D$2:$D$2864,IF($C$4=0,"&gt;0",$C$4),Orders!$E$2:$E$2864,B422)</f>
        <v>2</v>
      </c>
      <c r="F422" s="0" t="n">
        <f aca="false">D422+ROW()/100000</f>
        <v>88.00422</v>
      </c>
      <c r="G422" s="0" t="n">
        <f aca="false">RANK(F422,$F$61:$F$580)</f>
        <v>384</v>
      </c>
    </row>
    <row r="423" customFormat="false" ht="15" hidden="false" customHeight="false" outlineLevel="0" collapsed="false">
      <c r="B423" s="0" t="s">
        <v>1257</v>
      </c>
      <c r="C423" s="0" t="s">
        <v>69</v>
      </c>
      <c r="D423" s="0" t="n">
        <f aca="false">SUMIFS(Orders!$L$2:$L$2864,Orders!$C$2:$C$2864,$C$3,Orders!$D$2:$D$2864,IF($C$4=0,"&gt;0",$C$4),Orders!$E$2:$E$2864,B423)</f>
        <v>91</v>
      </c>
      <c r="E423" s="0" t="n">
        <f aca="false">COUNTIFS(Orders!$C$2:$C$2864,$C$3,Orders!$D$2:$D$2864,IF($C$4=0,"&gt;0",$C$4),Orders!$E$2:$E$2864,B423)</f>
        <v>2</v>
      </c>
      <c r="F423" s="0" t="n">
        <f aca="false">D423+ROW()/100000</f>
        <v>91.00423</v>
      </c>
      <c r="G423" s="0" t="n">
        <f aca="false">RANK(F423,$F$61:$F$580)</f>
        <v>369</v>
      </c>
    </row>
    <row r="424" customFormat="false" ht="15" hidden="false" customHeight="false" outlineLevel="0" collapsed="false">
      <c r="B424" s="0" t="s">
        <v>3481</v>
      </c>
      <c r="C424" s="0" t="s">
        <v>69</v>
      </c>
      <c r="D424" s="0" t="n">
        <f aca="false">SUMIFS(Orders!$L$2:$L$2864,Orders!$C$2:$C$2864,$C$3,Orders!$D$2:$D$2864,IF($C$4=0,"&gt;0",$C$4),Orders!$E$2:$E$2864,B424)</f>
        <v>0</v>
      </c>
      <c r="E424" s="0" t="n">
        <f aca="false">COUNTIFS(Orders!$C$2:$C$2864,$C$3,Orders!$D$2:$D$2864,IF($C$4=0,"&gt;0",$C$4),Orders!$E$2:$E$2864,B424)</f>
        <v>0</v>
      </c>
      <c r="F424" s="0" t="n">
        <f aca="false">D424+ROW()/100000</f>
        <v>0.00424</v>
      </c>
      <c r="G424" s="0" t="n">
        <f aca="false">RANK(F424,$F$61:$F$580)</f>
        <v>475</v>
      </c>
    </row>
    <row r="425" customFormat="false" ht="15" hidden="false" customHeight="false" outlineLevel="0" collapsed="false">
      <c r="B425" s="0" t="s">
        <v>1032</v>
      </c>
      <c r="C425" s="0" t="s">
        <v>75</v>
      </c>
      <c r="D425" s="0" t="n">
        <f aca="false">SUMIFS(Orders!$L$2:$L$2864,Orders!$C$2:$C$2864,$C$3,Orders!$D$2:$D$2864,IF($C$4=0,"&gt;0",$C$4),Orders!$E$2:$E$2864,B425)</f>
        <v>346</v>
      </c>
      <c r="E425" s="0" t="n">
        <f aca="false">COUNTIFS(Orders!$C$2:$C$2864,$C$3,Orders!$D$2:$D$2864,IF($C$4=0,"&gt;0",$C$4),Orders!$E$2:$E$2864,B425)</f>
        <v>3</v>
      </c>
      <c r="F425" s="0" t="n">
        <f aca="false">D425+ROW()/100000</f>
        <v>346.00425</v>
      </c>
      <c r="G425" s="0" t="n">
        <f aca="false">RANK(F425,$F$61:$F$580)</f>
        <v>147</v>
      </c>
    </row>
    <row r="426" customFormat="false" ht="15" hidden="false" customHeight="false" outlineLevel="0" collapsed="false">
      <c r="B426" s="0" t="s">
        <v>541</v>
      </c>
      <c r="C426" s="0" t="s">
        <v>75</v>
      </c>
      <c r="D426" s="0" t="n">
        <f aca="false">SUMIFS(Orders!$L$2:$L$2864,Orders!$C$2:$C$2864,$C$3,Orders!$D$2:$D$2864,IF($C$4=0,"&gt;0",$C$4),Orders!$E$2:$E$2864,B426)</f>
        <v>58</v>
      </c>
      <c r="E426" s="0" t="n">
        <f aca="false">COUNTIFS(Orders!$C$2:$C$2864,$C$3,Orders!$D$2:$D$2864,IF($C$4=0,"&gt;0",$C$4),Orders!$E$2:$E$2864,B426)</f>
        <v>2</v>
      </c>
      <c r="F426" s="0" t="n">
        <f aca="false">D426+ROW()/100000</f>
        <v>58.00426</v>
      </c>
      <c r="G426" s="0" t="n">
        <f aca="false">RANK(F426,$F$61:$F$580)</f>
        <v>414</v>
      </c>
    </row>
    <row r="427" customFormat="false" ht="15" hidden="false" customHeight="false" outlineLevel="0" collapsed="false">
      <c r="B427" s="0" t="s">
        <v>2249</v>
      </c>
      <c r="C427" s="0" t="s">
        <v>81</v>
      </c>
      <c r="D427" s="0" t="n">
        <f aca="false">SUMIFS(Orders!$L$2:$L$2864,Orders!$C$2:$C$2864,$C$3,Orders!$D$2:$D$2864,IF($C$4=0,"&gt;0",$C$4),Orders!$E$2:$E$2864,B427)</f>
        <v>49</v>
      </c>
      <c r="E427" s="0" t="n">
        <f aca="false">COUNTIFS(Orders!$C$2:$C$2864,$C$3,Orders!$D$2:$D$2864,IF($C$4=0,"&gt;0",$C$4),Orders!$E$2:$E$2864,B427)</f>
        <v>1</v>
      </c>
      <c r="F427" s="0" t="n">
        <f aca="false">D427+ROW()/100000</f>
        <v>49.00427</v>
      </c>
      <c r="G427" s="0" t="n">
        <f aca="false">RANK(F427,$F$61:$F$580)</f>
        <v>424</v>
      </c>
    </row>
    <row r="428" customFormat="false" ht="15" hidden="false" customHeight="false" outlineLevel="0" collapsed="false">
      <c r="B428" s="0" t="s">
        <v>668</v>
      </c>
      <c r="C428" s="0" t="s">
        <v>78</v>
      </c>
      <c r="D428" s="0" t="n">
        <f aca="false">SUMIFS(Orders!$L$2:$L$2864,Orders!$C$2:$C$2864,$C$3,Orders!$D$2:$D$2864,IF($C$4=0,"&gt;0",$C$4),Orders!$E$2:$E$2864,B428)</f>
        <v>237</v>
      </c>
      <c r="E428" s="0" t="n">
        <f aca="false">COUNTIFS(Orders!$C$2:$C$2864,$C$3,Orders!$D$2:$D$2864,IF($C$4=0,"&gt;0",$C$4),Orders!$E$2:$E$2864,B428)</f>
        <v>1</v>
      </c>
      <c r="F428" s="0" t="n">
        <f aca="false">D428+ROW()/100000</f>
        <v>237.00428</v>
      </c>
      <c r="G428" s="0" t="n">
        <f aca="false">RANK(F428,$F$61:$F$580)</f>
        <v>221</v>
      </c>
    </row>
    <row r="429" customFormat="false" ht="15" hidden="false" customHeight="false" outlineLevel="0" collapsed="false">
      <c r="B429" s="0" t="s">
        <v>1936</v>
      </c>
      <c r="C429" s="0" t="s">
        <v>69</v>
      </c>
      <c r="D429" s="0" t="n">
        <f aca="false">SUMIFS(Orders!$L$2:$L$2864,Orders!$C$2:$C$2864,$C$3,Orders!$D$2:$D$2864,IF($C$4=0,"&gt;0",$C$4),Orders!$E$2:$E$2864,B429)</f>
        <v>79</v>
      </c>
      <c r="E429" s="0" t="n">
        <f aca="false">COUNTIFS(Orders!$C$2:$C$2864,$C$3,Orders!$D$2:$D$2864,IF($C$4=0,"&gt;0",$C$4),Orders!$E$2:$E$2864,B429)</f>
        <v>1</v>
      </c>
      <c r="F429" s="0" t="n">
        <f aca="false">D429+ROW()/100000</f>
        <v>79.00429</v>
      </c>
      <c r="G429" s="0" t="n">
        <f aca="false">RANK(F429,$F$61:$F$580)</f>
        <v>396</v>
      </c>
    </row>
    <row r="430" customFormat="false" ht="15" hidden="false" customHeight="false" outlineLevel="0" collapsed="false">
      <c r="B430" s="0" t="s">
        <v>1122</v>
      </c>
      <c r="C430" s="0" t="s">
        <v>75</v>
      </c>
      <c r="D430" s="0" t="n">
        <f aca="false">SUMIFS(Orders!$L$2:$L$2864,Orders!$C$2:$C$2864,$C$3,Orders!$D$2:$D$2864,IF($C$4=0,"&gt;0",$C$4),Orders!$E$2:$E$2864,B430)</f>
        <v>49</v>
      </c>
      <c r="E430" s="0" t="n">
        <f aca="false">COUNTIFS(Orders!$C$2:$C$2864,$C$3,Orders!$D$2:$D$2864,IF($C$4=0,"&gt;0",$C$4),Orders!$E$2:$E$2864,B430)</f>
        <v>1</v>
      </c>
      <c r="F430" s="0" t="n">
        <f aca="false">D430+ROW()/100000</f>
        <v>49.0043</v>
      </c>
      <c r="G430" s="0" t="n">
        <f aca="false">RANK(F430,$F$61:$F$580)</f>
        <v>423</v>
      </c>
    </row>
    <row r="431" customFormat="false" ht="15" hidden="false" customHeight="false" outlineLevel="0" collapsed="false">
      <c r="B431" s="0" t="s">
        <v>298</v>
      </c>
      <c r="C431" s="0" t="s">
        <v>75</v>
      </c>
      <c r="D431" s="0" t="n">
        <f aca="false">SUMIFS(Orders!$L$2:$L$2864,Orders!$C$2:$C$2864,$C$3,Orders!$D$2:$D$2864,IF($C$4=0,"&gt;0",$C$4),Orders!$E$2:$E$2864,B431)</f>
        <v>257</v>
      </c>
      <c r="E431" s="0" t="n">
        <f aca="false">COUNTIFS(Orders!$C$2:$C$2864,$C$3,Orders!$D$2:$D$2864,IF($C$4=0,"&gt;0",$C$4),Orders!$E$2:$E$2864,B431)</f>
        <v>2</v>
      </c>
      <c r="F431" s="0" t="n">
        <f aca="false">D431+ROW()/100000</f>
        <v>257.00431</v>
      </c>
      <c r="G431" s="0" t="n">
        <f aca="false">RANK(F431,$F$61:$F$580)</f>
        <v>202</v>
      </c>
    </row>
    <row r="432" customFormat="false" ht="15" hidden="false" customHeight="false" outlineLevel="0" collapsed="false">
      <c r="B432" s="0" t="s">
        <v>1149</v>
      </c>
      <c r="C432" s="0" t="s">
        <v>78</v>
      </c>
      <c r="D432" s="0" t="n">
        <f aca="false">SUMIFS(Orders!$L$2:$L$2864,Orders!$C$2:$C$2864,$C$3,Orders!$D$2:$D$2864,IF($C$4=0,"&gt;0",$C$4),Orders!$E$2:$E$2864,B432)</f>
        <v>225</v>
      </c>
      <c r="E432" s="0" t="n">
        <f aca="false">COUNTIFS(Orders!$C$2:$C$2864,$C$3,Orders!$D$2:$D$2864,IF($C$4=0,"&gt;0",$C$4),Orders!$E$2:$E$2864,B432)</f>
        <v>2</v>
      </c>
      <c r="F432" s="0" t="n">
        <f aca="false">D432+ROW()/100000</f>
        <v>225.00432</v>
      </c>
      <c r="G432" s="0" t="n">
        <f aca="false">RANK(F432,$F$61:$F$580)</f>
        <v>226</v>
      </c>
    </row>
    <row r="433" customFormat="false" ht="15" hidden="false" customHeight="false" outlineLevel="0" collapsed="false">
      <c r="B433" s="0" t="s">
        <v>2163</v>
      </c>
      <c r="C433" s="0" t="s">
        <v>75</v>
      </c>
      <c r="D433" s="0" t="n">
        <f aca="false">SUMIFS(Orders!$L$2:$L$2864,Orders!$C$2:$C$2864,$C$3,Orders!$D$2:$D$2864,IF($C$4=0,"&gt;0",$C$4),Orders!$E$2:$E$2864,B433)</f>
        <v>416</v>
      </c>
      <c r="E433" s="0" t="n">
        <f aca="false">COUNTIFS(Orders!$C$2:$C$2864,$C$3,Orders!$D$2:$D$2864,IF($C$4=0,"&gt;0",$C$4),Orders!$E$2:$E$2864,B433)</f>
        <v>3</v>
      </c>
      <c r="F433" s="0" t="n">
        <f aca="false">D433+ROW()/100000</f>
        <v>416.00433</v>
      </c>
      <c r="G433" s="0" t="n">
        <f aca="false">RANK(F433,$F$61:$F$580)</f>
        <v>124</v>
      </c>
    </row>
    <row r="434" customFormat="false" ht="15" hidden="false" customHeight="false" outlineLevel="0" collapsed="false">
      <c r="B434" s="0" t="s">
        <v>450</v>
      </c>
      <c r="C434" s="0" t="s">
        <v>81</v>
      </c>
      <c r="D434" s="0" t="n">
        <f aca="false">SUMIFS(Orders!$L$2:$L$2864,Orders!$C$2:$C$2864,$C$3,Orders!$D$2:$D$2864,IF($C$4=0,"&gt;0",$C$4),Orders!$E$2:$E$2864,B434)</f>
        <v>343</v>
      </c>
      <c r="E434" s="0" t="n">
        <f aca="false">COUNTIFS(Orders!$C$2:$C$2864,$C$3,Orders!$D$2:$D$2864,IF($C$4=0,"&gt;0",$C$4),Orders!$E$2:$E$2864,B434)</f>
        <v>3</v>
      </c>
      <c r="F434" s="0" t="n">
        <f aca="false">D434+ROW()/100000</f>
        <v>343.00434</v>
      </c>
      <c r="G434" s="0" t="n">
        <f aca="false">RANK(F434,$F$61:$F$580)</f>
        <v>148</v>
      </c>
    </row>
    <row r="435" customFormat="false" ht="15" hidden="false" customHeight="false" outlineLevel="0" collapsed="false">
      <c r="B435" s="0" t="s">
        <v>1435</v>
      </c>
      <c r="C435" s="0" t="s">
        <v>69</v>
      </c>
      <c r="D435" s="0" t="n">
        <f aca="false">SUMIFS(Orders!$L$2:$L$2864,Orders!$C$2:$C$2864,$C$3,Orders!$D$2:$D$2864,IF($C$4=0,"&gt;0",$C$4),Orders!$E$2:$E$2864,B435)</f>
        <v>111</v>
      </c>
      <c r="E435" s="0" t="n">
        <f aca="false">COUNTIFS(Orders!$C$2:$C$2864,$C$3,Orders!$D$2:$D$2864,IF($C$4=0,"&gt;0",$C$4),Orders!$E$2:$E$2864,B435)</f>
        <v>2</v>
      </c>
      <c r="F435" s="0" t="n">
        <f aca="false">D435+ROW()/100000</f>
        <v>111.00435</v>
      </c>
      <c r="G435" s="0" t="n">
        <f aca="false">RANK(F435,$F$61:$F$580)</f>
        <v>341</v>
      </c>
    </row>
    <row r="436" customFormat="false" ht="15" hidden="false" customHeight="false" outlineLevel="0" collapsed="false">
      <c r="B436" s="0" t="s">
        <v>3482</v>
      </c>
      <c r="C436" s="0" t="s">
        <v>75</v>
      </c>
      <c r="D436" s="0" t="n">
        <f aca="false">SUMIFS(Orders!$L$2:$L$2864,Orders!$C$2:$C$2864,$C$3,Orders!$D$2:$D$2864,IF($C$4=0,"&gt;0",$C$4),Orders!$E$2:$E$2864,B436)</f>
        <v>0</v>
      </c>
      <c r="E436" s="0" t="n">
        <f aca="false">COUNTIFS(Orders!$C$2:$C$2864,$C$3,Orders!$D$2:$D$2864,IF($C$4=0,"&gt;0",$C$4),Orders!$E$2:$E$2864,B436)</f>
        <v>0</v>
      </c>
      <c r="F436" s="0" t="n">
        <f aca="false">D436+ROW()/100000</f>
        <v>0.00436</v>
      </c>
      <c r="G436" s="0" t="n">
        <f aca="false">RANK(F436,$F$61:$F$580)</f>
        <v>474</v>
      </c>
    </row>
    <row r="437" customFormat="false" ht="15" hidden="false" customHeight="false" outlineLevel="0" collapsed="false">
      <c r="B437" s="0" t="s">
        <v>937</v>
      </c>
      <c r="C437" s="0" t="s">
        <v>81</v>
      </c>
      <c r="D437" s="0" t="n">
        <f aca="false">SUMIFS(Orders!$L$2:$L$2864,Orders!$C$2:$C$2864,$C$3,Orders!$D$2:$D$2864,IF($C$4=0,"&gt;0",$C$4),Orders!$E$2:$E$2864,B437)</f>
        <v>198</v>
      </c>
      <c r="E437" s="0" t="n">
        <f aca="false">COUNTIFS(Orders!$C$2:$C$2864,$C$3,Orders!$D$2:$D$2864,IF($C$4=0,"&gt;0",$C$4),Orders!$E$2:$E$2864,B437)</f>
        <v>2</v>
      </c>
      <c r="F437" s="0" t="n">
        <f aca="false">D437+ROW()/100000</f>
        <v>198.00437</v>
      </c>
      <c r="G437" s="0" t="n">
        <f aca="false">RANK(F437,$F$61:$F$580)</f>
        <v>259</v>
      </c>
    </row>
    <row r="438" customFormat="false" ht="15" hidden="false" customHeight="false" outlineLevel="0" collapsed="false">
      <c r="B438" s="0" t="s">
        <v>3129</v>
      </c>
      <c r="C438" s="0" t="s">
        <v>69</v>
      </c>
      <c r="D438" s="0" t="n">
        <f aca="false">SUMIFS(Orders!$L$2:$L$2864,Orders!$C$2:$C$2864,$C$3,Orders!$D$2:$D$2864,IF($C$4=0,"&gt;0",$C$4),Orders!$E$2:$E$2864,B438)</f>
        <v>68</v>
      </c>
      <c r="E438" s="0" t="n">
        <f aca="false">COUNTIFS(Orders!$C$2:$C$2864,$C$3,Orders!$D$2:$D$2864,IF($C$4=0,"&gt;0",$C$4),Orders!$E$2:$E$2864,B438)</f>
        <v>2</v>
      </c>
      <c r="F438" s="0" t="n">
        <f aca="false">D438+ROW()/100000</f>
        <v>68.00438</v>
      </c>
      <c r="G438" s="0" t="n">
        <f aca="false">RANK(F438,$F$61:$F$580)</f>
        <v>403</v>
      </c>
    </row>
    <row r="439" customFormat="false" ht="15" hidden="false" customHeight="false" outlineLevel="0" collapsed="false">
      <c r="B439" s="0" t="s">
        <v>490</v>
      </c>
      <c r="C439" s="0" t="s">
        <v>72</v>
      </c>
      <c r="D439" s="0" t="n">
        <f aca="false">SUMIFS(Orders!$L$2:$L$2864,Orders!$C$2:$C$2864,$C$3,Orders!$D$2:$D$2864,IF($C$4=0,"&gt;0",$C$4),Orders!$E$2:$E$2864,B439)</f>
        <v>213</v>
      </c>
      <c r="E439" s="0" t="n">
        <f aca="false">COUNTIFS(Orders!$C$2:$C$2864,$C$3,Orders!$D$2:$D$2864,IF($C$4=0,"&gt;0",$C$4),Orders!$E$2:$E$2864,B439)</f>
        <v>2</v>
      </c>
      <c r="F439" s="0" t="n">
        <f aca="false">D439+ROW()/100000</f>
        <v>213.00439</v>
      </c>
      <c r="G439" s="0" t="n">
        <f aca="false">RANK(F439,$F$61:$F$580)</f>
        <v>236</v>
      </c>
    </row>
    <row r="440" customFormat="false" ht="15" hidden="false" customHeight="false" outlineLevel="0" collapsed="false">
      <c r="B440" s="0" t="s">
        <v>1109</v>
      </c>
      <c r="C440" s="0" t="s">
        <v>78</v>
      </c>
      <c r="D440" s="0" t="n">
        <f aca="false">SUMIFS(Orders!$L$2:$L$2864,Orders!$C$2:$C$2864,$C$3,Orders!$D$2:$D$2864,IF($C$4=0,"&gt;0",$C$4),Orders!$E$2:$E$2864,B440)</f>
        <v>355</v>
      </c>
      <c r="E440" s="0" t="n">
        <f aca="false">COUNTIFS(Orders!$C$2:$C$2864,$C$3,Orders!$D$2:$D$2864,IF($C$4=0,"&gt;0",$C$4),Orders!$E$2:$E$2864,B440)</f>
        <v>4</v>
      </c>
      <c r="F440" s="0" t="n">
        <f aca="false">D440+ROW()/100000</f>
        <v>355.0044</v>
      </c>
      <c r="G440" s="0" t="n">
        <f aca="false">RANK(F440,$F$61:$F$580)</f>
        <v>143</v>
      </c>
    </row>
    <row r="441" customFormat="false" ht="15" hidden="false" customHeight="false" outlineLevel="0" collapsed="false">
      <c r="B441" s="0" t="s">
        <v>1703</v>
      </c>
      <c r="C441" s="0" t="s">
        <v>72</v>
      </c>
      <c r="D441" s="0" t="n">
        <f aca="false">SUMIFS(Orders!$L$2:$L$2864,Orders!$C$2:$C$2864,$C$3,Orders!$D$2:$D$2864,IF($C$4=0,"&gt;0",$C$4),Orders!$E$2:$E$2864,B441)</f>
        <v>0</v>
      </c>
      <c r="E441" s="0" t="n">
        <f aca="false">COUNTIFS(Orders!$C$2:$C$2864,$C$3,Orders!$D$2:$D$2864,IF($C$4=0,"&gt;0",$C$4),Orders!$E$2:$E$2864,B441)</f>
        <v>0</v>
      </c>
      <c r="F441" s="0" t="n">
        <f aca="false">D441+ROW()/100000</f>
        <v>0.00441</v>
      </c>
      <c r="G441" s="0" t="n">
        <f aca="false">RANK(F441,$F$61:$F$580)</f>
        <v>473</v>
      </c>
    </row>
    <row r="442" customFormat="false" ht="15" hidden="false" customHeight="false" outlineLevel="0" collapsed="false">
      <c r="B442" s="0" t="s">
        <v>1392</v>
      </c>
      <c r="C442" s="0" t="s">
        <v>78</v>
      </c>
      <c r="D442" s="0" t="n">
        <f aca="false">SUMIFS(Orders!$L$2:$L$2864,Orders!$C$2:$C$2864,$C$3,Orders!$D$2:$D$2864,IF($C$4=0,"&gt;0",$C$4),Orders!$E$2:$E$2864,B442)</f>
        <v>566</v>
      </c>
      <c r="E442" s="0" t="n">
        <f aca="false">COUNTIFS(Orders!$C$2:$C$2864,$C$3,Orders!$D$2:$D$2864,IF($C$4=0,"&gt;0",$C$4),Orders!$E$2:$E$2864,B442)</f>
        <v>3</v>
      </c>
      <c r="F442" s="0" t="n">
        <f aca="false">D442+ROW()/100000</f>
        <v>566.00442</v>
      </c>
      <c r="G442" s="0" t="n">
        <f aca="false">RANK(F442,$F$61:$F$580)</f>
        <v>81</v>
      </c>
    </row>
    <row r="443" customFormat="false" ht="15" hidden="false" customHeight="false" outlineLevel="0" collapsed="false">
      <c r="B443" s="0" t="s">
        <v>1084</v>
      </c>
      <c r="C443" s="0" t="s">
        <v>78</v>
      </c>
      <c r="D443" s="0" t="n">
        <f aca="false">SUMIFS(Orders!$L$2:$L$2864,Orders!$C$2:$C$2864,$C$3,Orders!$D$2:$D$2864,IF($C$4=0,"&gt;0",$C$4),Orders!$E$2:$E$2864,B443)</f>
        <v>59</v>
      </c>
      <c r="E443" s="0" t="n">
        <f aca="false">COUNTIFS(Orders!$C$2:$C$2864,$C$3,Orders!$D$2:$D$2864,IF($C$4=0,"&gt;0",$C$4),Orders!$E$2:$E$2864,B443)</f>
        <v>1</v>
      </c>
      <c r="F443" s="0" t="n">
        <f aca="false">D443+ROW()/100000</f>
        <v>59.00443</v>
      </c>
      <c r="G443" s="0" t="n">
        <f aca="false">RANK(F443,$F$61:$F$580)</f>
        <v>407</v>
      </c>
    </row>
    <row r="444" customFormat="false" ht="15" hidden="false" customHeight="false" outlineLevel="0" collapsed="false">
      <c r="B444" s="0" t="s">
        <v>1537</v>
      </c>
      <c r="C444" s="0" t="s">
        <v>75</v>
      </c>
      <c r="D444" s="0" t="n">
        <f aca="false">SUMIFS(Orders!$L$2:$L$2864,Orders!$C$2:$C$2864,$C$3,Orders!$D$2:$D$2864,IF($C$4=0,"&gt;0",$C$4),Orders!$E$2:$E$2864,B444)</f>
        <v>49</v>
      </c>
      <c r="E444" s="0" t="n">
        <f aca="false">COUNTIFS(Orders!$C$2:$C$2864,$C$3,Orders!$D$2:$D$2864,IF($C$4=0,"&gt;0",$C$4),Orders!$E$2:$E$2864,B444)</f>
        <v>1</v>
      </c>
      <c r="F444" s="0" t="n">
        <f aca="false">D444+ROW()/100000</f>
        <v>49.00444</v>
      </c>
      <c r="G444" s="0" t="n">
        <f aca="false">RANK(F444,$F$61:$F$580)</f>
        <v>422</v>
      </c>
    </row>
    <row r="445" customFormat="false" ht="15" hidden="false" customHeight="false" outlineLevel="0" collapsed="false">
      <c r="B445" s="0" t="s">
        <v>1107</v>
      </c>
      <c r="C445" s="0" t="s">
        <v>78</v>
      </c>
      <c r="D445" s="0" t="n">
        <f aca="false">SUMIFS(Orders!$L$2:$L$2864,Orders!$C$2:$C$2864,$C$3,Orders!$D$2:$D$2864,IF($C$4=0,"&gt;0",$C$4),Orders!$E$2:$E$2864,B445)</f>
        <v>913</v>
      </c>
      <c r="E445" s="0" t="n">
        <f aca="false">COUNTIFS(Orders!$C$2:$C$2864,$C$3,Orders!$D$2:$D$2864,IF($C$4=0,"&gt;0",$C$4),Orders!$E$2:$E$2864,B445)</f>
        <v>5</v>
      </c>
      <c r="F445" s="0" t="n">
        <f aca="false">D445+ROW()/100000</f>
        <v>913.00445</v>
      </c>
      <c r="G445" s="0" t="n">
        <f aca="false">RANK(F445,$F$61:$F$580)</f>
        <v>21</v>
      </c>
    </row>
    <row r="446" customFormat="false" ht="15" hidden="false" customHeight="false" outlineLevel="0" collapsed="false">
      <c r="B446" s="0" t="s">
        <v>1681</v>
      </c>
      <c r="C446" s="0" t="s">
        <v>75</v>
      </c>
      <c r="D446" s="0" t="n">
        <f aca="false">SUMIFS(Orders!$L$2:$L$2864,Orders!$C$2:$C$2864,$C$3,Orders!$D$2:$D$2864,IF($C$4=0,"&gt;0",$C$4),Orders!$E$2:$E$2864,B446)</f>
        <v>45</v>
      </c>
      <c r="E446" s="0" t="n">
        <f aca="false">COUNTIFS(Orders!$C$2:$C$2864,$C$3,Orders!$D$2:$D$2864,IF($C$4=0,"&gt;0",$C$4),Orders!$E$2:$E$2864,B446)</f>
        <v>1</v>
      </c>
      <c r="F446" s="0" t="n">
        <f aca="false">D446+ROW()/100000</f>
        <v>45.00446</v>
      </c>
      <c r="G446" s="0" t="n">
        <f aca="false">RANK(F446,$F$61:$F$580)</f>
        <v>435</v>
      </c>
    </row>
    <row r="447" customFormat="false" ht="15" hidden="false" customHeight="false" outlineLevel="0" collapsed="false">
      <c r="B447" s="0" t="s">
        <v>1294</v>
      </c>
      <c r="C447" s="0" t="s">
        <v>81</v>
      </c>
      <c r="D447" s="0" t="n">
        <f aca="false">SUMIFS(Orders!$L$2:$L$2864,Orders!$C$2:$C$2864,$C$3,Orders!$D$2:$D$2864,IF($C$4=0,"&gt;0",$C$4),Orders!$E$2:$E$2864,B447)</f>
        <v>178</v>
      </c>
      <c r="E447" s="0" t="n">
        <f aca="false">COUNTIFS(Orders!$C$2:$C$2864,$C$3,Orders!$D$2:$D$2864,IF($C$4=0,"&gt;0",$C$4),Orders!$E$2:$E$2864,B447)</f>
        <v>1</v>
      </c>
      <c r="F447" s="0" t="n">
        <f aca="false">D447+ROW()/100000</f>
        <v>178.00447</v>
      </c>
      <c r="G447" s="0" t="n">
        <f aca="false">RANK(F447,$F$61:$F$580)</f>
        <v>280</v>
      </c>
    </row>
    <row r="448" customFormat="false" ht="15" hidden="false" customHeight="false" outlineLevel="0" collapsed="false">
      <c r="B448" s="0" t="s">
        <v>1034</v>
      </c>
      <c r="C448" s="0" t="s">
        <v>69</v>
      </c>
      <c r="D448" s="0" t="n">
        <f aca="false">SUMIFS(Orders!$L$2:$L$2864,Orders!$C$2:$C$2864,$C$3,Orders!$D$2:$D$2864,IF($C$4=0,"&gt;0",$C$4),Orders!$E$2:$E$2864,B448)</f>
        <v>34</v>
      </c>
      <c r="E448" s="0" t="n">
        <f aca="false">COUNTIFS(Orders!$C$2:$C$2864,$C$3,Orders!$D$2:$D$2864,IF($C$4=0,"&gt;0",$C$4),Orders!$E$2:$E$2864,B448)</f>
        <v>1</v>
      </c>
      <c r="F448" s="0" t="n">
        <f aca="false">D448+ROW()/100000</f>
        <v>34.00448</v>
      </c>
      <c r="G448" s="0" t="n">
        <f aca="false">RANK(F448,$F$61:$F$580)</f>
        <v>443</v>
      </c>
    </row>
    <row r="449" customFormat="false" ht="15" hidden="false" customHeight="false" outlineLevel="0" collapsed="false">
      <c r="B449" s="0" t="s">
        <v>584</v>
      </c>
      <c r="C449" s="0" t="s">
        <v>75</v>
      </c>
      <c r="D449" s="0" t="n">
        <f aca="false">SUMIFS(Orders!$L$2:$L$2864,Orders!$C$2:$C$2864,$C$3,Orders!$D$2:$D$2864,IF($C$4=0,"&gt;0",$C$4),Orders!$E$2:$E$2864,B449)</f>
        <v>108</v>
      </c>
      <c r="E449" s="0" t="n">
        <f aca="false">COUNTIFS(Orders!$C$2:$C$2864,$C$3,Orders!$D$2:$D$2864,IF($C$4=0,"&gt;0",$C$4),Orders!$E$2:$E$2864,B449)</f>
        <v>2</v>
      </c>
      <c r="F449" s="0" t="n">
        <f aca="false">D449+ROW()/100000</f>
        <v>108.00449</v>
      </c>
      <c r="G449" s="0" t="n">
        <f aca="false">RANK(F449,$F$61:$F$580)</f>
        <v>345</v>
      </c>
    </row>
    <row r="450" customFormat="false" ht="15" hidden="false" customHeight="false" outlineLevel="0" collapsed="false">
      <c r="B450" s="0" t="s">
        <v>2192</v>
      </c>
      <c r="C450" s="0" t="s">
        <v>69</v>
      </c>
      <c r="D450" s="0" t="n">
        <f aca="false">SUMIFS(Orders!$L$2:$L$2864,Orders!$C$2:$C$2864,$C$3,Orders!$D$2:$D$2864,IF($C$4=0,"&gt;0",$C$4),Orders!$E$2:$E$2864,B450)</f>
        <v>149</v>
      </c>
      <c r="E450" s="0" t="n">
        <f aca="false">COUNTIFS(Orders!$C$2:$C$2864,$C$3,Orders!$D$2:$D$2864,IF($C$4=0,"&gt;0",$C$4),Orders!$E$2:$E$2864,B450)</f>
        <v>1</v>
      </c>
      <c r="F450" s="0" t="n">
        <f aca="false">D450+ROW()/100000</f>
        <v>149.0045</v>
      </c>
      <c r="G450" s="0" t="n">
        <f aca="false">RANK(F450,$F$61:$F$580)</f>
        <v>300</v>
      </c>
    </row>
    <row r="451" customFormat="false" ht="15" hidden="false" customHeight="false" outlineLevel="0" collapsed="false">
      <c r="B451" s="0" t="s">
        <v>672</v>
      </c>
      <c r="C451" s="0" t="s">
        <v>72</v>
      </c>
      <c r="D451" s="0" t="n">
        <f aca="false">SUMIFS(Orders!$L$2:$L$2864,Orders!$C$2:$C$2864,$C$3,Orders!$D$2:$D$2864,IF($C$4=0,"&gt;0",$C$4),Orders!$E$2:$E$2864,B451)</f>
        <v>186</v>
      </c>
      <c r="E451" s="0" t="n">
        <f aca="false">COUNTIFS(Orders!$C$2:$C$2864,$C$3,Orders!$D$2:$D$2864,IF($C$4=0,"&gt;0",$C$4),Orders!$E$2:$E$2864,B451)</f>
        <v>3</v>
      </c>
      <c r="F451" s="0" t="n">
        <f aca="false">D451+ROW()/100000</f>
        <v>186.00451</v>
      </c>
      <c r="G451" s="0" t="n">
        <f aca="false">RANK(F451,$F$61:$F$580)</f>
        <v>265</v>
      </c>
    </row>
    <row r="452" customFormat="false" ht="15" hidden="false" customHeight="false" outlineLevel="0" collapsed="false">
      <c r="B452" s="0" t="s">
        <v>2227</v>
      </c>
      <c r="C452" s="0" t="s">
        <v>69</v>
      </c>
      <c r="D452" s="0" t="n">
        <f aca="false">SUMIFS(Orders!$L$2:$L$2864,Orders!$C$2:$C$2864,$C$3,Orders!$D$2:$D$2864,IF($C$4=0,"&gt;0",$C$4),Orders!$E$2:$E$2864,B452)</f>
        <v>210</v>
      </c>
      <c r="E452" s="0" t="n">
        <f aca="false">COUNTIFS(Orders!$C$2:$C$2864,$C$3,Orders!$D$2:$D$2864,IF($C$4=0,"&gt;0",$C$4),Orders!$E$2:$E$2864,B452)</f>
        <v>3</v>
      </c>
      <c r="F452" s="0" t="n">
        <f aca="false">D452+ROW()/100000</f>
        <v>210.00452</v>
      </c>
      <c r="G452" s="0" t="n">
        <f aca="false">RANK(F452,$F$61:$F$580)</f>
        <v>243</v>
      </c>
    </row>
    <row r="453" customFormat="false" ht="15" hidden="false" customHeight="false" outlineLevel="0" collapsed="false">
      <c r="B453" s="0" t="s">
        <v>1586</v>
      </c>
      <c r="C453" s="0" t="s">
        <v>81</v>
      </c>
      <c r="D453" s="0" t="n">
        <f aca="false">SUMIFS(Orders!$L$2:$L$2864,Orders!$C$2:$C$2864,$C$3,Orders!$D$2:$D$2864,IF($C$4=0,"&gt;0",$C$4),Orders!$E$2:$E$2864,B453)</f>
        <v>238</v>
      </c>
      <c r="E453" s="0" t="n">
        <f aca="false">COUNTIFS(Orders!$C$2:$C$2864,$C$3,Orders!$D$2:$D$2864,IF($C$4=0,"&gt;0",$C$4),Orders!$E$2:$E$2864,B453)</f>
        <v>1</v>
      </c>
      <c r="F453" s="0" t="n">
        <f aca="false">D453+ROW()/100000</f>
        <v>238.00453</v>
      </c>
      <c r="G453" s="0" t="n">
        <f aca="false">RANK(F453,$F$61:$F$580)</f>
        <v>215</v>
      </c>
    </row>
    <row r="454" customFormat="false" ht="15" hidden="false" customHeight="false" outlineLevel="0" collapsed="false">
      <c r="B454" s="0" t="s">
        <v>1509</v>
      </c>
      <c r="C454" s="0" t="s">
        <v>75</v>
      </c>
      <c r="D454" s="0" t="n">
        <f aca="false">SUMIFS(Orders!$L$2:$L$2864,Orders!$C$2:$C$2864,$C$3,Orders!$D$2:$D$2864,IF($C$4=0,"&gt;0",$C$4),Orders!$E$2:$E$2864,B454)</f>
        <v>257</v>
      </c>
      <c r="E454" s="0" t="n">
        <f aca="false">COUNTIFS(Orders!$C$2:$C$2864,$C$3,Orders!$D$2:$D$2864,IF($C$4=0,"&gt;0",$C$4),Orders!$E$2:$E$2864,B454)</f>
        <v>2</v>
      </c>
      <c r="F454" s="0" t="n">
        <f aca="false">D454+ROW()/100000</f>
        <v>257.00454</v>
      </c>
      <c r="G454" s="0" t="n">
        <f aca="false">RANK(F454,$F$61:$F$580)</f>
        <v>201</v>
      </c>
    </row>
    <row r="455" customFormat="false" ht="15" hidden="false" customHeight="false" outlineLevel="0" collapsed="false">
      <c r="B455" s="0" t="s">
        <v>1077</v>
      </c>
      <c r="C455" s="0" t="s">
        <v>81</v>
      </c>
      <c r="D455" s="0" t="n">
        <f aca="false">SUMIFS(Orders!$L$2:$L$2864,Orders!$C$2:$C$2864,$C$3,Orders!$D$2:$D$2864,IF($C$4=0,"&gt;0",$C$4),Orders!$E$2:$E$2864,B455)</f>
        <v>392</v>
      </c>
      <c r="E455" s="0" t="n">
        <f aca="false">COUNTIFS(Orders!$C$2:$C$2864,$C$3,Orders!$D$2:$D$2864,IF($C$4=0,"&gt;0",$C$4),Orders!$E$2:$E$2864,B455)</f>
        <v>5</v>
      </c>
      <c r="F455" s="0" t="n">
        <f aca="false">D455+ROW()/100000</f>
        <v>392.00455</v>
      </c>
      <c r="G455" s="0" t="n">
        <f aca="false">RANK(F455,$F$61:$F$580)</f>
        <v>134</v>
      </c>
    </row>
    <row r="456" customFormat="false" ht="15" hidden="false" customHeight="false" outlineLevel="0" collapsed="false">
      <c r="B456" s="0" t="s">
        <v>1155</v>
      </c>
      <c r="C456" s="0" t="s">
        <v>69</v>
      </c>
      <c r="D456" s="0" t="n">
        <f aca="false">SUMIFS(Orders!$L$2:$L$2864,Orders!$C$2:$C$2864,$C$3,Orders!$D$2:$D$2864,IF($C$4=0,"&gt;0",$C$4),Orders!$E$2:$E$2864,B456)</f>
        <v>172</v>
      </c>
      <c r="E456" s="0" t="n">
        <f aca="false">COUNTIFS(Orders!$C$2:$C$2864,$C$3,Orders!$D$2:$D$2864,IF($C$4=0,"&gt;0",$C$4),Orders!$E$2:$E$2864,B456)</f>
        <v>2</v>
      </c>
      <c r="F456" s="0" t="n">
        <f aca="false">D456+ROW()/100000</f>
        <v>172.00456</v>
      </c>
      <c r="G456" s="0" t="n">
        <f aca="false">RANK(F456,$F$61:$F$580)</f>
        <v>288</v>
      </c>
    </row>
    <row r="457" customFormat="false" ht="15" hidden="false" customHeight="false" outlineLevel="0" collapsed="false">
      <c r="B457" s="0" t="s">
        <v>1854</v>
      </c>
      <c r="C457" s="0" t="s">
        <v>69</v>
      </c>
      <c r="D457" s="0" t="n">
        <f aca="false">SUMIFS(Orders!$L$2:$L$2864,Orders!$C$2:$C$2864,$C$3,Orders!$D$2:$D$2864,IF($C$4=0,"&gt;0",$C$4),Orders!$E$2:$E$2864,B457)</f>
        <v>212</v>
      </c>
      <c r="E457" s="0" t="n">
        <f aca="false">COUNTIFS(Orders!$C$2:$C$2864,$C$3,Orders!$D$2:$D$2864,IF($C$4=0,"&gt;0",$C$4),Orders!$E$2:$E$2864,B457)</f>
        <v>3</v>
      </c>
      <c r="F457" s="0" t="n">
        <f aca="false">D457+ROW()/100000</f>
        <v>212.00457</v>
      </c>
      <c r="G457" s="0" t="n">
        <f aca="false">RANK(F457,$F$61:$F$580)</f>
        <v>238</v>
      </c>
    </row>
    <row r="458" customFormat="false" ht="15" hidden="false" customHeight="false" outlineLevel="0" collapsed="false">
      <c r="B458" s="0" t="s">
        <v>1493</v>
      </c>
      <c r="C458" s="0" t="s">
        <v>69</v>
      </c>
      <c r="D458" s="0" t="n">
        <f aca="false">SUMIFS(Orders!$L$2:$L$2864,Orders!$C$2:$C$2864,$C$3,Orders!$D$2:$D$2864,IF($C$4=0,"&gt;0",$C$4),Orders!$E$2:$E$2864,B458)</f>
        <v>139</v>
      </c>
      <c r="E458" s="0" t="n">
        <f aca="false">COUNTIFS(Orders!$C$2:$C$2864,$C$3,Orders!$D$2:$D$2864,IF($C$4=0,"&gt;0",$C$4),Orders!$E$2:$E$2864,B458)</f>
        <v>4</v>
      </c>
      <c r="F458" s="0" t="n">
        <f aca="false">D458+ROW()/100000</f>
        <v>139.00458</v>
      </c>
      <c r="G458" s="0" t="n">
        <f aca="false">RANK(F458,$F$61:$F$580)</f>
        <v>311</v>
      </c>
    </row>
    <row r="459" customFormat="false" ht="15" hidden="false" customHeight="false" outlineLevel="0" collapsed="false">
      <c r="B459" s="0" t="s">
        <v>302</v>
      </c>
      <c r="C459" s="0" t="s">
        <v>81</v>
      </c>
      <c r="D459" s="0" t="n">
        <f aca="false">SUMIFS(Orders!$L$2:$L$2864,Orders!$C$2:$C$2864,$C$3,Orders!$D$2:$D$2864,IF($C$4=0,"&gt;0",$C$4),Orders!$E$2:$E$2864,B459)</f>
        <v>143</v>
      </c>
      <c r="E459" s="0" t="n">
        <f aca="false">COUNTIFS(Orders!$C$2:$C$2864,$C$3,Orders!$D$2:$D$2864,IF($C$4=0,"&gt;0",$C$4),Orders!$E$2:$E$2864,B459)</f>
        <v>3</v>
      </c>
      <c r="F459" s="0" t="n">
        <f aca="false">D459+ROW()/100000</f>
        <v>143.00459</v>
      </c>
      <c r="G459" s="0" t="n">
        <f aca="false">RANK(F459,$F$61:$F$580)</f>
        <v>309</v>
      </c>
    </row>
    <row r="460" customFormat="false" ht="15" hidden="false" customHeight="false" outlineLevel="0" collapsed="false">
      <c r="B460" s="0" t="s">
        <v>2102</v>
      </c>
      <c r="C460" s="0" t="s">
        <v>78</v>
      </c>
      <c r="D460" s="0" t="n">
        <f aca="false">SUMIFS(Orders!$L$2:$L$2864,Orders!$C$2:$C$2864,$C$3,Orders!$D$2:$D$2864,IF($C$4=0,"&gt;0",$C$4),Orders!$E$2:$E$2864,B460)</f>
        <v>814</v>
      </c>
      <c r="E460" s="0" t="n">
        <f aca="false">COUNTIFS(Orders!$C$2:$C$2864,$C$3,Orders!$D$2:$D$2864,IF($C$4=0,"&gt;0",$C$4),Orders!$E$2:$E$2864,B460)</f>
        <v>4</v>
      </c>
      <c r="F460" s="0" t="n">
        <f aca="false">D460+ROW()/100000</f>
        <v>814.0046</v>
      </c>
      <c r="G460" s="0" t="n">
        <f aca="false">RANK(F460,$F$61:$F$580)</f>
        <v>30</v>
      </c>
    </row>
    <row r="461" customFormat="false" ht="15" hidden="false" customHeight="false" outlineLevel="0" collapsed="false">
      <c r="B461" s="0" t="s">
        <v>2570</v>
      </c>
      <c r="C461" s="0" t="s">
        <v>78</v>
      </c>
      <c r="D461" s="0" t="n">
        <f aca="false">SUMIFS(Orders!$L$2:$L$2864,Orders!$C$2:$C$2864,$C$3,Orders!$D$2:$D$2864,IF($C$4=0,"&gt;0",$C$4),Orders!$E$2:$E$2864,B461)</f>
        <v>220</v>
      </c>
      <c r="E461" s="0" t="n">
        <f aca="false">COUNTIFS(Orders!$C$2:$C$2864,$C$3,Orders!$D$2:$D$2864,IF($C$4=0,"&gt;0",$C$4),Orders!$E$2:$E$2864,B461)</f>
        <v>3</v>
      </c>
      <c r="F461" s="0" t="n">
        <f aca="false">D461+ROW()/100000</f>
        <v>220.00461</v>
      </c>
      <c r="G461" s="0" t="n">
        <f aca="false">RANK(F461,$F$61:$F$580)</f>
        <v>232</v>
      </c>
    </row>
    <row r="462" customFormat="false" ht="15" hidden="false" customHeight="false" outlineLevel="0" collapsed="false">
      <c r="B462" s="0" t="s">
        <v>1237</v>
      </c>
      <c r="C462" s="0" t="s">
        <v>78</v>
      </c>
      <c r="D462" s="0" t="n">
        <f aca="false">SUMIFS(Orders!$L$2:$L$2864,Orders!$C$2:$C$2864,$C$3,Orders!$D$2:$D$2864,IF($C$4=0,"&gt;0",$C$4),Orders!$E$2:$E$2864,B462)</f>
        <v>327</v>
      </c>
      <c r="E462" s="0" t="n">
        <f aca="false">COUNTIFS(Orders!$C$2:$C$2864,$C$3,Orders!$D$2:$D$2864,IF($C$4=0,"&gt;0",$C$4),Orders!$E$2:$E$2864,B462)</f>
        <v>2</v>
      </c>
      <c r="F462" s="0" t="n">
        <f aca="false">D462+ROW()/100000</f>
        <v>327.00462</v>
      </c>
      <c r="G462" s="0" t="n">
        <f aca="false">RANK(F462,$F$61:$F$580)</f>
        <v>157</v>
      </c>
    </row>
    <row r="463" customFormat="false" ht="15" hidden="false" customHeight="false" outlineLevel="0" collapsed="false">
      <c r="B463" s="0" t="s">
        <v>1395</v>
      </c>
      <c r="C463" s="0" t="s">
        <v>75</v>
      </c>
      <c r="D463" s="0" t="n">
        <f aca="false">SUMIFS(Orders!$L$2:$L$2864,Orders!$C$2:$C$2864,$C$3,Orders!$D$2:$D$2864,IF($C$4=0,"&gt;0",$C$4),Orders!$E$2:$E$2864,B463)</f>
        <v>118</v>
      </c>
      <c r="E463" s="0" t="n">
        <f aca="false">COUNTIFS(Orders!$C$2:$C$2864,$C$3,Orders!$D$2:$D$2864,IF($C$4=0,"&gt;0",$C$4),Orders!$E$2:$E$2864,B463)</f>
        <v>1</v>
      </c>
      <c r="F463" s="0" t="n">
        <f aca="false">D463+ROW()/100000</f>
        <v>118.00463</v>
      </c>
      <c r="G463" s="0" t="n">
        <f aca="false">RANK(F463,$F$61:$F$580)</f>
        <v>328</v>
      </c>
    </row>
    <row r="464" customFormat="false" ht="15" hidden="false" customHeight="false" outlineLevel="0" collapsed="false">
      <c r="B464" s="0" t="s">
        <v>1172</v>
      </c>
      <c r="C464" s="0" t="s">
        <v>75</v>
      </c>
      <c r="D464" s="0" t="n">
        <f aca="false">SUMIFS(Orders!$L$2:$L$2864,Orders!$C$2:$C$2864,$C$3,Orders!$D$2:$D$2864,IF($C$4=0,"&gt;0",$C$4),Orders!$E$2:$E$2864,B464)</f>
        <v>179</v>
      </c>
      <c r="E464" s="0" t="n">
        <f aca="false">COUNTIFS(Orders!$C$2:$C$2864,$C$3,Orders!$D$2:$D$2864,IF($C$4=0,"&gt;0",$C$4),Orders!$E$2:$E$2864,B464)</f>
        <v>1</v>
      </c>
      <c r="F464" s="0" t="n">
        <f aca="false">D464+ROW()/100000</f>
        <v>179.00464</v>
      </c>
      <c r="G464" s="0" t="n">
        <f aca="false">RANK(F464,$F$61:$F$580)</f>
        <v>271</v>
      </c>
    </row>
    <row r="465" customFormat="false" ht="15" hidden="false" customHeight="false" outlineLevel="0" collapsed="false">
      <c r="B465" s="0" t="s">
        <v>3293</v>
      </c>
      <c r="C465" s="0" t="s">
        <v>81</v>
      </c>
      <c r="D465" s="0" t="n">
        <f aca="false">SUMIFS(Orders!$L$2:$L$2864,Orders!$C$2:$C$2864,$C$3,Orders!$D$2:$D$2864,IF($C$4=0,"&gt;0",$C$4),Orders!$E$2:$E$2864,B465)</f>
        <v>358</v>
      </c>
      <c r="E465" s="0" t="n">
        <f aca="false">COUNTIFS(Orders!$C$2:$C$2864,$C$3,Orders!$D$2:$D$2864,IF($C$4=0,"&gt;0",$C$4),Orders!$E$2:$E$2864,B465)</f>
        <v>2</v>
      </c>
      <c r="F465" s="0" t="n">
        <f aca="false">D465+ROW()/100000</f>
        <v>358.00465</v>
      </c>
      <c r="G465" s="0" t="n">
        <f aca="false">RANK(F465,$F$61:$F$580)</f>
        <v>140</v>
      </c>
    </row>
    <row r="466" customFormat="false" ht="15" hidden="false" customHeight="false" outlineLevel="0" collapsed="false">
      <c r="B466" s="0" t="s">
        <v>74</v>
      </c>
      <c r="C466" s="0" t="s">
        <v>75</v>
      </c>
      <c r="D466" s="0" t="n">
        <f aca="false">SUMIFS(Orders!$L$2:$L$2864,Orders!$C$2:$C$2864,$C$3,Orders!$D$2:$D$2864,IF($C$4=0,"&gt;0",$C$4),Orders!$E$2:$E$2864,B466)</f>
        <v>0</v>
      </c>
      <c r="E466" s="0" t="n">
        <f aca="false">COUNTIFS(Orders!$C$2:$C$2864,$C$3,Orders!$D$2:$D$2864,IF($C$4=0,"&gt;0",$C$4),Orders!$E$2:$E$2864,B466)</f>
        <v>0</v>
      </c>
      <c r="F466" s="0" t="n">
        <f aca="false">D466+ROW()/100000</f>
        <v>0.00466</v>
      </c>
      <c r="G466" s="0" t="n">
        <f aca="false">RANK(F466,$F$61:$F$580)</f>
        <v>472</v>
      </c>
    </row>
    <row r="467" customFormat="false" ht="15" hidden="false" customHeight="false" outlineLevel="0" collapsed="false">
      <c r="B467" s="0" t="s">
        <v>1495</v>
      </c>
      <c r="C467" s="0" t="s">
        <v>72</v>
      </c>
      <c r="D467" s="0" t="n">
        <f aca="false">SUMIFS(Orders!$L$2:$L$2864,Orders!$C$2:$C$2864,$C$3,Orders!$D$2:$D$2864,IF($C$4=0,"&gt;0",$C$4),Orders!$E$2:$E$2864,B467)</f>
        <v>339</v>
      </c>
      <c r="E467" s="0" t="n">
        <f aca="false">COUNTIFS(Orders!$C$2:$C$2864,$C$3,Orders!$D$2:$D$2864,IF($C$4=0,"&gt;0",$C$4),Orders!$E$2:$E$2864,B467)</f>
        <v>4</v>
      </c>
      <c r="F467" s="0" t="n">
        <f aca="false">D467+ROW()/100000</f>
        <v>339.00467</v>
      </c>
      <c r="G467" s="0" t="n">
        <f aca="false">RANK(F467,$F$61:$F$580)</f>
        <v>152</v>
      </c>
    </row>
    <row r="468" customFormat="false" ht="15" hidden="false" customHeight="false" outlineLevel="0" collapsed="false">
      <c r="B468" s="0" t="s">
        <v>877</v>
      </c>
      <c r="C468" s="0" t="s">
        <v>69</v>
      </c>
      <c r="D468" s="0" t="n">
        <f aca="false">SUMIFS(Orders!$L$2:$L$2864,Orders!$C$2:$C$2864,$C$3,Orders!$D$2:$D$2864,IF($C$4=0,"&gt;0",$C$4),Orders!$E$2:$E$2864,B468)</f>
        <v>207</v>
      </c>
      <c r="E468" s="0" t="n">
        <f aca="false">COUNTIFS(Orders!$C$2:$C$2864,$C$3,Orders!$D$2:$D$2864,IF($C$4=0,"&gt;0",$C$4),Orders!$E$2:$E$2864,B468)</f>
        <v>2</v>
      </c>
      <c r="F468" s="0" t="n">
        <f aca="false">D468+ROW()/100000</f>
        <v>207.00468</v>
      </c>
      <c r="G468" s="0" t="n">
        <f aca="false">RANK(F468,$F$61:$F$580)</f>
        <v>247</v>
      </c>
    </row>
    <row r="469" customFormat="false" ht="15" hidden="false" customHeight="false" outlineLevel="0" collapsed="false">
      <c r="B469" s="0" t="s">
        <v>1478</v>
      </c>
      <c r="C469" s="0" t="s">
        <v>69</v>
      </c>
      <c r="D469" s="0" t="n">
        <f aca="false">SUMIFS(Orders!$L$2:$L$2864,Orders!$C$2:$C$2864,$C$3,Orders!$D$2:$D$2864,IF($C$4=0,"&gt;0",$C$4),Orders!$E$2:$E$2864,B469)</f>
        <v>291</v>
      </c>
      <c r="E469" s="0" t="n">
        <f aca="false">COUNTIFS(Orders!$C$2:$C$2864,$C$3,Orders!$D$2:$D$2864,IF($C$4=0,"&gt;0",$C$4),Orders!$E$2:$E$2864,B469)</f>
        <v>3</v>
      </c>
      <c r="F469" s="0" t="n">
        <f aca="false">D469+ROW()/100000</f>
        <v>291.00469</v>
      </c>
      <c r="G469" s="0" t="n">
        <f aca="false">RANK(F469,$F$61:$F$580)</f>
        <v>176</v>
      </c>
    </row>
    <row r="470" customFormat="false" ht="15" hidden="false" customHeight="false" outlineLevel="0" collapsed="false">
      <c r="B470" s="0" t="s">
        <v>3483</v>
      </c>
      <c r="C470" s="0" t="s">
        <v>75</v>
      </c>
      <c r="D470" s="0" t="n">
        <f aca="false">SUMIFS(Orders!$L$2:$L$2864,Orders!$C$2:$C$2864,$C$3,Orders!$D$2:$D$2864,IF($C$4=0,"&gt;0",$C$4),Orders!$E$2:$E$2864,B470)</f>
        <v>0</v>
      </c>
      <c r="E470" s="0" t="n">
        <f aca="false">COUNTIFS(Orders!$C$2:$C$2864,$C$3,Orders!$D$2:$D$2864,IF($C$4=0,"&gt;0",$C$4),Orders!$E$2:$E$2864,B470)</f>
        <v>0</v>
      </c>
      <c r="F470" s="0" t="n">
        <f aca="false">D470+ROW()/100000</f>
        <v>0.0047</v>
      </c>
      <c r="G470" s="0" t="n">
        <f aca="false">RANK(F470,$F$61:$F$580)</f>
        <v>471</v>
      </c>
    </row>
    <row r="471" customFormat="false" ht="15" hidden="false" customHeight="false" outlineLevel="0" collapsed="false">
      <c r="B471" s="0" t="s">
        <v>189</v>
      </c>
      <c r="C471" s="0" t="s">
        <v>69</v>
      </c>
      <c r="D471" s="0" t="n">
        <f aca="false">SUMIFS(Orders!$L$2:$L$2864,Orders!$C$2:$C$2864,$C$3,Orders!$D$2:$D$2864,IF($C$4=0,"&gt;0",$C$4),Orders!$E$2:$E$2864,B471)</f>
        <v>651</v>
      </c>
      <c r="E471" s="0" t="n">
        <f aca="false">COUNTIFS(Orders!$C$2:$C$2864,$C$3,Orders!$D$2:$D$2864,IF($C$4=0,"&gt;0",$C$4),Orders!$E$2:$E$2864,B471)</f>
        <v>7</v>
      </c>
      <c r="F471" s="0" t="n">
        <f aca="false">D471+ROW()/100000</f>
        <v>651.00471</v>
      </c>
      <c r="G471" s="0" t="n">
        <f aca="false">RANK(F471,$F$61:$F$580)</f>
        <v>61</v>
      </c>
    </row>
    <row r="472" customFormat="false" ht="15" hidden="false" customHeight="false" outlineLevel="0" collapsed="false">
      <c r="B472" s="0" t="s">
        <v>2868</v>
      </c>
      <c r="C472" s="0" t="s">
        <v>72</v>
      </c>
      <c r="D472" s="0" t="n">
        <f aca="false">SUMIFS(Orders!$L$2:$L$2864,Orders!$C$2:$C$2864,$C$3,Orders!$D$2:$D$2864,IF($C$4=0,"&gt;0",$C$4),Orders!$E$2:$E$2864,B472)</f>
        <v>119</v>
      </c>
      <c r="E472" s="0" t="n">
        <f aca="false">COUNTIFS(Orders!$C$2:$C$2864,$C$3,Orders!$D$2:$D$2864,IF($C$4=0,"&gt;0",$C$4),Orders!$E$2:$E$2864,B472)</f>
        <v>1</v>
      </c>
      <c r="F472" s="0" t="n">
        <f aca="false">D472+ROW()/100000</f>
        <v>119.00472</v>
      </c>
      <c r="G472" s="0" t="n">
        <f aca="false">RANK(F472,$F$61:$F$580)</f>
        <v>324</v>
      </c>
    </row>
    <row r="473" customFormat="false" ht="15" hidden="false" customHeight="false" outlineLevel="0" collapsed="false">
      <c r="B473" s="0" t="s">
        <v>675</v>
      </c>
      <c r="C473" s="0" t="s">
        <v>69</v>
      </c>
      <c r="D473" s="0" t="n">
        <f aca="false">SUMIFS(Orders!$L$2:$L$2864,Orders!$C$2:$C$2864,$C$3,Orders!$D$2:$D$2864,IF($C$4=0,"&gt;0",$C$4),Orders!$E$2:$E$2864,B473)</f>
        <v>91</v>
      </c>
      <c r="E473" s="0" t="n">
        <f aca="false">COUNTIFS(Orders!$C$2:$C$2864,$C$3,Orders!$D$2:$D$2864,IF($C$4=0,"&gt;0",$C$4),Orders!$E$2:$E$2864,B473)</f>
        <v>2</v>
      </c>
      <c r="F473" s="0" t="n">
        <f aca="false">D473+ROW()/100000</f>
        <v>91.00473</v>
      </c>
      <c r="G473" s="0" t="n">
        <f aca="false">RANK(F473,$F$61:$F$580)</f>
        <v>368</v>
      </c>
    </row>
    <row r="474" customFormat="false" ht="15" hidden="false" customHeight="false" outlineLevel="0" collapsed="false">
      <c r="B474" s="0" t="s">
        <v>1584</v>
      </c>
      <c r="C474" s="0" t="s">
        <v>75</v>
      </c>
      <c r="D474" s="0" t="n">
        <f aca="false">SUMIFS(Orders!$L$2:$L$2864,Orders!$C$2:$C$2864,$C$3,Orders!$D$2:$D$2864,IF($C$4=0,"&gt;0",$C$4),Orders!$E$2:$E$2864,B474)</f>
        <v>247</v>
      </c>
      <c r="E474" s="0" t="n">
        <f aca="false">COUNTIFS(Orders!$C$2:$C$2864,$C$3,Orders!$D$2:$D$2864,IF($C$4=0,"&gt;0",$C$4),Orders!$E$2:$E$2864,B474)</f>
        <v>2</v>
      </c>
      <c r="F474" s="0" t="n">
        <f aca="false">D474+ROW()/100000</f>
        <v>247.00474</v>
      </c>
      <c r="G474" s="0" t="n">
        <f aca="false">RANK(F474,$F$61:$F$580)</f>
        <v>208</v>
      </c>
    </row>
    <row r="475" customFormat="false" ht="15" hidden="false" customHeight="false" outlineLevel="0" collapsed="false">
      <c r="B475" s="0" t="s">
        <v>179</v>
      </c>
      <c r="C475" s="0" t="s">
        <v>78</v>
      </c>
      <c r="D475" s="0" t="n">
        <f aca="false">SUMIFS(Orders!$L$2:$L$2864,Orders!$C$2:$C$2864,$C$3,Orders!$D$2:$D$2864,IF($C$4=0,"&gt;0",$C$4),Orders!$E$2:$E$2864,B475)</f>
        <v>268</v>
      </c>
      <c r="E475" s="0" t="n">
        <f aca="false">COUNTIFS(Orders!$C$2:$C$2864,$C$3,Orders!$D$2:$D$2864,IF($C$4=0,"&gt;0",$C$4),Orders!$E$2:$E$2864,B475)</f>
        <v>2</v>
      </c>
      <c r="F475" s="0" t="n">
        <f aca="false">D475+ROW()/100000</f>
        <v>268.00475</v>
      </c>
      <c r="G475" s="0" t="n">
        <f aca="false">RANK(F475,$F$61:$F$580)</f>
        <v>195</v>
      </c>
    </row>
    <row r="476" customFormat="false" ht="15" hidden="false" customHeight="false" outlineLevel="0" collapsed="false">
      <c r="B476" s="0" t="s">
        <v>3484</v>
      </c>
      <c r="C476" s="0" t="s">
        <v>72</v>
      </c>
      <c r="D476" s="0" t="n">
        <f aca="false">SUMIFS(Orders!$L$2:$L$2864,Orders!$C$2:$C$2864,$C$3,Orders!$D$2:$D$2864,IF($C$4=0,"&gt;0",$C$4),Orders!$E$2:$E$2864,B476)</f>
        <v>0</v>
      </c>
      <c r="E476" s="0" t="n">
        <f aca="false">COUNTIFS(Orders!$C$2:$C$2864,$C$3,Orders!$D$2:$D$2864,IF($C$4=0,"&gt;0",$C$4),Orders!$E$2:$E$2864,B476)</f>
        <v>0</v>
      </c>
      <c r="F476" s="0" t="n">
        <f aca="false">D476+ROW()/100000</f>
        <v>0.00476</v>
      </c>
      <c r="G476" s="0" t="n">
        <f aca="false">RANK(F476,$F$61:$F$580)</f>
        <v>470</v>
      </c>
    </row>
    <row r="477" customFormat="false" ht="15" hidden="false" customHeight="false" outlineLevel="0" collapsed="false">
      <c r="B477" s="0" t="s">
        <v>2190</v>
      </c>
      <c r="C477" s="0" t="s">
        <v>81</v>
      </c>
      <c r="D477" s="0" t="n">
        <f aca="false">SUMIFS(Orders!$L$2:$L$2864,Orders!$C$2:$C$2864,$C$3,Orders!$D$2:$D$2864,IF($C$4=0,"&gt;0",$C$4),Orders!$E$2:$E$2864,B477)</f>
        <v>237</v>
      </c>
      <c r="E477" s="0" t="n">
        <f aca="false">COUNTIFS(Orders!$C$2:$C$2864,$C$3,Orders!$D$2:$D$2864,IF($C$4=0,"&gt;0",$C$4),Orders!$E$2:$E$2864,B477)</f>
        <v>2</v>
      </c>
      <c r="F477" s="0" t="n">
        <f aca="false">D477+ROW()/100000</f>
        <v>237.00477</v>
      </c>
      <c r="G477" s="0" t="n">
        <f aca="false">RANK(F477,$F$61:$F$580)</f>
        <v>220</v>
      </c>
    </row>
    <row r="478" customFormat="false" ht="15" hidden="false" customHeight="false" outlineLevel="0" collapsed="false">
      <c r="B478" s="0" t="s">
        <v>1619</v>
      </c>
      <c r="C478" s="0" t="s">
        <v>72</v>
      </c>
      <c r="D478" s="0" t="n">
        <f aca="false">SUMIFS(Orders!$L$2:$L$2864,Orders!$C$2:$C$2864,$C$3,Orders!$D$2:$D$2864,IF($C$4=0,"&gt;0",$C$4),Orders!$E$2:$E$2864,B478)</f>
        <v>89</v>
      </c>
      <c r="E478" s="0" t="n">
        <f aca="false">COUNTIFS(Orders!$C$2:$C$2864,$C$3,Orders!$D$2:$D$2864,IF($C$4=0,"&gt;0",$C$4),Orders!$E$2:$E$2864,B478)</f>
        <v>1</v>
      </c>
      <c r="F478" s="0" t="n">
        <f aca="false">D478+ROW()/100000</f>
        <v>89.00478</v>
      </c>
      <c r="G478" s="0" t="n">
        <f aca="false">RANK(F478,$F$61:$F$580)</f>
        <v>375</v>
      </c>
    </row>
    <row r="479" customFormat="false" ht="15" hidden="false" customHeight="false" outlineLevel="0" collapsed="false">
      <c r="B479" s="0" t="s">
        <v>2592</v>
      </c>
      <c r="C479" s="0" t="s">
        <v>78</v>
      </c>
      <c r="D479" s="0" t="n">
        <f aca="false">SUMIFS(Orders!$L$2:$L$2864,Orders!$C$2:$C$2864,$C$3,Orders!$D$2:$D$2864,IF($C$4=0,"&gt;0",$C$4),Orders!$E$2:$E$2864,B479)</f>
        <v>271</v>
      </c>
      <c r="E479" s="0" t="n">
        <f aca="false">COUNTIFS(Orders!$C$2:$C$2864,$C$3,Orders!$D$2:$D$2864,IF($C$4=0,"&gt;0",$C$4),Orders!$E$2:$E$2864,B479)</f>
        <v>3</v>
      </c>
      <c r="F479" s="0" t="n">
        <f aca="false">D479+ROW()/100000</f>
        <v>271.00479</v>
      </c>
      <c r="G479" s="0" t="n">
        <f aca="false">RANK(F479,$F$61:$F$580)</f>
        <v>192</v>
      </c>
    </row>
    <row r="480" customFormat="false" ht="15" hidden="false" customHeight="false" outlineLevel="0" collapsed="false">
      <c r="B480" s="0" t="s">
        <v>3485</v>
      </c>
      <c r="C480" s="0" t="s">
        <v>78</v>
      </c>
      <c r="D480" s="0" t="n">
        <f aca="false">SUMIFS(Orders!$L$2:$L$2864,Orders!$C$2:$C$2864,$C$3,Orders!$D$2:$D$2864,IF($C$4=0,"&gt;0",$C$4),Orders!$E$2:$E$2864,B480)</f>
        <v>0</v>
      </c>
      <c r="E480" s="0" t="n">
        <f aca="false">COUNTIFS(Orders!$C$2:$C$2864,$C$3,Orders!$D$2:$D$2864,IF($C$4=0,"&gt;0",$C$4),Orders!$E$2:$E$2864,B480)</f>
        <v>0</v>
      </c>
      <c r="F480" s="0" t="n">
        <f aca="false">D480+ROW()/100000</f>
        <v>0.0048</v>
      </c>
      <c r="G480" s="0" t="n">
        <f aca="false">RANK(F480,$F$61:$F$580)</f>
        <v>469</v>
      </c>
    </row>
    <row r="481" customFormat="false" ht="15" hidden="false" customHeight="false" outlineLevel="0" collapsed="false">
      <c r="B481" s="0" t="s">
        <v>1351</v>
      </c>
      <c r="C481" s="0" t="s">
        <v>81</v>
      </c>
      <c r="D481" s="0" t="n">
        <f aca="false">SUMIFS(Orders!$L$2:$L$2864,Orders!$C$2:$C$2864,$C$3,Orders!$D$2:$D$2864,IF($C$4=0,"&gt;0",$C$4),Orders!$E$2:$E$2864,B481)</f>
        <v>0</v>
      </c>
      <c r="E481" s="0" t="n">
        <f aca="false">COUNTIFS(Orders!$C$2:$C$2864,$C$3,Orders!$D$2:$D$2864,IF($C$4=0,"&gt;0",$C$4),Orders!$E$2:$E$2864,B481)</f>
        <v>0</v>
      </c>
      <c r="F481" s="0" t="n">
        <f aca="false">D481+ROW()/100000</f>
        <v>0.00481</v>
      </c>
      <c r="G481" s="0" t="n">
        <f aca="false">RANK(F481,$F$61:$F$580)</f>
        <v>468</v>
      </c>
    </row>
    <row r="482" customFormat="false" ht="15" hidden="false" customHeight="false" outlineLevel="0" collapsed="false">
      <c r="B482" s="0" t="s">
        <v>1151</v>
      </c>
      <c r="C482" s="0" t="s">
        <v>78</v>
      </c>
      <c r="D482" s="0" t="n">
        <f aca="false">SUMIFS(Orders!$L$2:$L$2864,Orders!$C$2:$C$2864,$C$3,Orders!$D$2:$D$2864,IF($C$4=0,"&gt;0",$C$4),Orders!$E$2:$E$2864,B482)</f>
        <v>484</v>
      </c>
      <c r="E482" s="0" t="n">
        <f aca="false">COUNTIFS(Orders!$C$2:$C$2864,$C$3,Orders!$D$2:$D$2864,IF($C$4=0,"&gt;0",$C$4),Orders!$E$2:$E$2864,B482)</f>
        <v>4</v>
      </c>
      <c r="F482" s="0" t="n">
        <f aca="false">D482+ROW()/100000</f>
        <v>484.00482</v>
      </c>
      <c r="G482" s="0" t="n">
        <f aca="false">RANK(F482,$F$61:$F$580)</f>
        <v>104</v>
      </c>
    </row>
    <row r="483" customFormat="false" ht="15" hidden="false" customHeight="false" outlineLevel="0" collapsed="false">
      <c r="B483" s="0" t="s">
        <v>2177</v>
      </c>
      <c r="C483" s="0" t="s">
        <v>78</v>
      </c>
      <c r="D483" s="0" t="n">
        <f aca="false">SUMIFS(Orders!$L$2:$L$2864,Orders!$C$2:$C$2864,$C$3,Orders!$D$2:$D$2864,IF($C$4=0,"&gt;0",$C$4),Orders!$E$2:$E$2864,B483)</f>
        <v>247</v>
      </c>
      <c r="E483" s="0" t="n">
        <f aca="false">COUNTIFS(Orders!$C$2:$C$2864,$C$3,Orders!$D$2:$D$2864,IF($C$4=0,"&gt;0",$C$4),Orders!$E$2:$E$2864,B483)</f>
        <v>2</v>
      </c>
      <c r="F483" s="0" t="n">
        <f aca="false">D483+ROW()/100000</f>
        <v>247.00483</v>
      </c>
      <c r="G483" s="0" t="n">
        <f aca="false">RANK(F483,$F$61:$F$580)</f>
        <v>207</v>
      </c>
    </row>
    <row r="484" customFormat="false" ht="15" hidden="false" customHeight="false" outlineLevel="0" collapsed="false">
      <c r="B484" s="0" t="s">
        <v>273</v>
      </c>
      <c r="C484" s="0" t="s">
        <v>69</v>
      </c>
      <c r="D484" s="0" t="n">
        <f aca="false">SUMIFS(Orders!$L$2:$L$2864,Orders!$C$2:$C$2864,$C$3,Orders!$D$2:$D$2864,IF($C$4=0,"&gt;0",$C$4),Orders!$E$2:$E$2864,B484)</f>
        <v>179</v>
      </c>
      <c r="E484" s="0" t="n">
        <f aca="false">COUNTIFS(Orders!$C$2:$C$2864,$C$3,Orders!$D$2:$D$2864,IF($C$4=0,"&gt;0",$C$4),Orders!$E$2:$E$2864,B484)</f>
        <v>1</v>
      </c>
      <c r="F484" s="0" t="n">
        <f aca="false">D484+ROW()/100000</f>
        <v>179.00484</v>
      </c>
      <c r="G484" s="0" t="n">
        <f aca="false">RANK(F484,$F$61:$F$580)</f>
        <v>270</v>
      </c>
    </row>
    <row r="485" customFormat="false" ht="15" hidden="false" customHeight="false" outlineLevel="0" collapsed="false">
      <c r="B485" s="0" t="s">
        <v>1444</v>
      </c>
      <c r="C485" s="0" t="s">
        <v>72</v>
      </c>
      <c r="D485" s="0" t="n">
        <f aca="false">SUMIFS(Orders!$L$2:$L$2864,Orders!$C$2:$C$2864,$C$3,Orders!$D$2:$D$2864,IF($C$4=0,"&gt;0",$C$4),Orders!$E$2:$E$2864,B485)</f>
        <v>0</v>
      </c>
      <c r="E485" s="0" t="n">
        <f aca="false">COUNTIFS(Orders!$C$2:$C$2864,$C$3,Orders!$D$2:$D$2864,IF($C$4=0,"&gt;0",$C$4),Orders!$E$2:$E$2864,B485)</f>
        <v>0</v>
      </c>
      <c r="F485" s="0" t="n">
        <f aca="false">D485+ROW()/100000</f>
        <v>0.00485</v>
      </c>
      <c r="G485" s="0" t="n">
        <f aca="false">RANK(F485,$F$61:$F$580)</f>
        <v>467</v>
      </c>
    </row>
    <row r="486" customFormat="false" ht="15" hidden="false" customHeight="false" outlineLevel="0" collapsed="false">
      <c r="B486" s="0" t="s">
        <v>2597</v>
      </c>
      <c r="C486" s="0" t="s">
        <v>81</v>
      </c>
      <c r="D486" s="0" t="n">
        <f aca="false">SUMIFS(Orders!$L$2:$L$2864,Orders!$C$2:$C$2864,$C$3,Orders!$D$2:$D$2864,IF($C$4=0,"&gt;0",$C$4),Orders!$E$2:$E$2864,B486)</f>
        <v>247</v>
      </c>
      <c r="E486" s="0" t="n">
        <f aca="false">COUNTIFS(Orders!$C$2:$C$2864,$C$3,Orders!$D$2:$D$2864,IF($C$4=0,"&gt;0",$C$4),Orders!$E$2:$E$2864,B486)</f>
        <v>2</v>
      </c>
      <c r="F486" s="0" t="n">
        <f aca="false">D486+ROW()/100000</f>
        <v>247.00486</v>
      </c>
      <c r="G486" s="0" t="n">
        <f aca="false">RANK(F486,$F$61:$F$580)</f>
        <v>206</v>
      </c>
    </row>
    <row r="487" customFormat="false" ht="15" hidden="false" customHeight="false" outlineLevel="0" collapsed="false">
      <c r="B487" s="0" t="s">
        <v>1277</v>
      </c>
      <c r="C487" s="0" t="s">
        <v>72</v>
      </c>
      <c r="D487" s="0" t="n">
        <f aca="false">SUMIFS(Orders!$L$2:$L$2864,Orders!$C$2:$C$2864,$C$3,Orders!$D$2:$D$2864,IF($C$4=0,"&gt;0",$C$4),Orders!$E$2:$E$2864,B487)</f>
        <v>0</v>
      </c>
      <c r="E487" s="0" t="n">
        <f aca="false">COUNTIFS(Orders!$C$2:$C$2864,$C$3,Orders!$D$2:$D$2864,IF($C$4=0,"&gt;0",$C$4),Orders!$E$2:$E$2864,B487)</f>
        <v>0</v>
      </c>
      <c r="F487" s="0" t="n">
        <f aca="false">D487+ROW()/100000</f>
        <v>0.00487</v>
      </c>
      <c r="G487" s="0" t="n">
        <f aca="false">RANK(F487,$F$61:$F$580)</f>
        <v>466</v>
      </c>
    </row>
    <row r="488" customFormat="false" ht="15" hidden="false" customHeight="false" outlineLevel="0" collapsed="false">
      <c r="B488" s="0" t="s">
        <v>252</v>
      </c>
      <c r="C488" s="0" t="s">
        <v>75</v>
      </c>
      <c r="D488" s="0" t="n">
        <f aca="false">SUMIFS(Orders!$L$2:$L$2864,Orders!$C$2:$C$2864,$C$3,Orders!$D$2:$D$2864,IF($C$4=0,"&gt;0",$C$4),Orders!$E$2:$E$2864,B488)</f>
        <v>98</v>
      </c>
      <c r="E488" s="0" t="n">
        <f aca="false">COUNTIFS(Orders!$C$2:$C$2864,$C$3,Orders!$D$2:$D$2864,IF($C$4=0,"&gt;0",$C$4),Orders!$E$2:$E$2864,B488)</f>
        <v>1</v>
      </c>
      <c r="F488" s="0" t="n">
        <f aca="false">D488+ROW()/100000</f>
        <v>98.00488</v>
      </c>
      <c r="G488" s="0" t="n">
        <f aca="false">RANK(F488,$F$61:$F$580)</f>
        <v>359</v>
      </c>
    </row>
    <row r="489" customFormat="false" ht="15" hidden="false" customHeight="false" outlineLevel="0" collapsed="false">
      <c r="B489" s="0" t="s">
        <v>3486</v>
      </c>
      <c r="C489" s="0" t="s">
        <v>72</v>
      </c>
      <c r="D489" s="0" t="n">
        <f aca="false">SUMIFS(Orders!$L$2:$L$2864,Orders!$C$2:$C$2864,$C$3,Orders!$D$2:$D$2864,IF($C$4=0,"&gt;0",$C$4),Orders!$E$2:$E$2864,B489)</f>
        <v>0</v>
      </c>
      <c r="E489" s="0" t="n">
        <f aca="false">COUNTIFS(Orders!$C$2:$C$2864,$C$3,Orders!$D$2:$D$2864,IF($C$4=0,"&gt;0",$C$4),Orders!$E$2:$E$2864,B489)</f>
        <v>0</v>
      </c>
      <c r="F489" s="0" t="n">
        <f aca="false">D489+ROW()/100000</f>
        <v>0.00489</v>
      </c>
      <c r="G489" s="0" t="n">
        <f aca="false">RANK(F489,$F$61:$F$580)</f>
        <v>465</v>
      </c>
    </row>
    <row r="490" customFormat="false" ht="15" hidden="false" customHeight="false" outlineLevel="0" collapsed="false">
      <c r="B490" s="0" t="s">
        <v>520</v>
      </c>
      <c r="C490" s="0" t="s">
        <v>78</v>
      </c>
      <c r="D490" s="0" t="n">
        <f aca="false">SUMIFS(Orders!$L$2:$L$2864,Orders!$C$2:$C$2864,$C$3,Orders!$D$2:$D$2864,IF($C$4=0,"&gt;0",$C$4),Orders!$E$2:$E$2864,B490)</f>
        <v>87</v>
      </c>
      <c r="E490" s="0" t="n">
        <f aca="false">COUNTIFS(Orders!$C$2:$C$2864,$C$3,Orders!$D$2:$D$2864,IF($C$4=0,"&gt;0",$C$4),Orders!$E$2:$E$2864,B490)</f>
        <v>1</v>
      </c>
      <c r="F490" s="0" t="n">
        <f aca="false">D490+ROW()/100000</f>
        <v>87.0049</v>
      </c>
      <c r="G490" s="0" t="n">
        <f aca="false">RANK(F490,$F$61:$F$580)</f>
        <v>386</v>
      </c>
    </row>
    <row r="491" customFormat="false" ht="15" hidden="false" customHeight="false" outlineLevel="0" collapsed="false">
      <c r="B491" s="0" t="s">
        <v>1358</v>
      </c>
      <c r="C491" s="0" t="s">
        <v>72</v>
      </c>
      <c r="D491" s="0" t="n">
        <f aca="false">SUMIFS(Orders!$L$2:$L$2864,Orders!$C$2:$C$2864,$C$3,Orders!$D$2:$D$2864,IF($C$4=0,"&gt;0",$C$4),Orders!$E$2:$E$2864,B491)</f>
        <v>178</v>
      </c>
      <c r="E491" s="0" t="n">
        <f aca="false">COUNTIFS(Orders!$C$2:$C$2864,$C$3,Orders!$D$2:$D$2864,IF($C$4=0,"&gt;0",$C$4),Orders!$E$2:$E$2864,B491)</f>
        <v>2</v>
      </c>
      <c r="F491" s="0" t="n">
        <f aca="false">D491+ROW()/100000</f>
        <v>178.00491</v>
      </c>
      <c r="G491" s="0" t="n">
        <f aca="false">RANK(F491,$F$61:$F$580)</f>
        <v>279</v>
      </c>
    </row>
    <row r="492" customFormat="false" ht="15" hidden="false" customHeight="false" outlineLevel="0" collapsed="false">
      <c r="B492" s="0" t="s">
        <v>370</v>
      </c>
      <c r="C492" s="0" t="s">
        <v>75</v>
      </c>
      <c r="D492" s="0" t="n">
        <f aca="false">SUMIFS(Orders!$L$2:$L$2864,Orders!$C$2:$C$2864,$C$3,Orders!$D$2:$D$2864,IF($C$4=0,"&gt;0",$C$4),Orders!$E$2:$E$2864,B492)</f>
        <v>92</v>
      </c>
      <c r="E492" s="0" t="n">
        <f aca="false">COUNTIFS(Orders!$C$2:$C$2864,$C$3,Orders!$D$2:$D$2864,IF($C$4=0,"&gt;0",$C$4),Orders!$E$2:$E$2864,B492)</f>
        <v>1</v>
      </c>
      <c r="F492" s="0" t="n">
        <f aca="false">D492+ROW()/100000</f>
        <v>92.00492</v>
      </c>
      <c r="G492" s="0" t="n">
        <f aca="false">RANK(F492,$F$61:$F$580)</f>
        <v>367</v>
      </c>
    </row>
    <row r="493" customFormat="false" ht="15" hidden="false" customHeight="false" outlineLevel="0" collapsed="false">
      <c r="B493" s="0" t="s">
        <v>319</v>
      </c>
      <c r="C493" s="0" t="s">
        <v>75</v>
      </c>
      <c r="D493" s="0" t="n">
        <f aca="false">SUMIFS(Orders!$L$2:$L$2864,Orders!$C$2:$C$2864,$C$3,Orders!$D$2:$D$2864,IF($C$4=0,"&gt;0",$C$4),Orders!$E$2:$E$2864,B493)</f>
        <v>83</v>
      </c>
      <c r="E493" s="0" t="n">
        <f aca="false">COUNTIFS(Orders!$C$2:$C$2864,$C$3,Orders!$D$2:$D$2864,IF($C$4=0,"&gt;0",$C$4),Orders!$E$2:$E$2864,B493)</f>
        <v>2</v>
      </c>
      <c r="F493" s="0" t="n">
        <f aca="false">D493+ROW()/100000</f>
        <v>83.00493</v>
      </c>
      <c r="G493" s="0" t="n">
        <f aca="false">RANK(F493,$F$61:$F$580)</f>
        <v>388</v>
      </c>
    </row>
    <row r="494" customFormat="false" ht="15" hidden="false" customHeight="false" outlineLevel="0" collapsed="false">
      <c r="B494" s="0" t="s">
        <v>281</v>
      </c>
      <c r="C494" s="0" t="s">
        <v>81</v>
      </c>
      <c r="D494" s="0" t="n">
        <f aca="false">SUMIFS(Orders!$L$2:$L$2864,Orders!$C$2:$C$2864,$C$3,Orders!$D$2:$D$2864,IF($C$4=0,"&gt;0",$C$4),Orders!$E$2:$E$2864,B494)</f>
        <v>143</v>
      </c>
      <c r="E494" s="0" t="n">
        <f aca="false">COUNTIFS(Orders!$C$2:$C$2864,$C$3,Orders!$D$2:$D$2864,IF($C$4=0,"&gt;0",$C$4),Orders!$E$2:$E$2864,B494)</f>
        <v>2</v>
      </c>
      <c r="F494" s="0" t="n">
        <f aca="false">D494+ROW()/100000</f>
        <v>143.00494</v>
      </c>
      <c r="G494" s="0" t="n">
        <f aca="false">RANK(F494,$F$61:$F$580)</f>
        <v>308</v>
      </c>
    </row>
    <row r="495" customFormat="false" ht="15" hidden="false" customHeight="false" outlineLevel="0" collapsed="false">
      <c r="B495" s="0" t="s">
        <v>359</v>
      </c>
      <c r="C495" s="0" t="s">
        <v>69</v>
      </c>
      <c r="D495" s="0" t="n">
        <f aca="false">SUMIFS(Orders!$L$2:$L$2864,Orders!$C$2:$C$2864,$C$3,Orders!$D$2:$D$2864,IF($C$4=0,"&gt;0",$C$4),Orders!$E$2:$E$2864,B495)</f>
        <v>179</v>
      </c>
      <c r="E495" s="0" t="n">
        <f aca="false">COUNTIFS(Orders!$C$2:$C$2864,$C$3,Orders!$D$2:$D$2864,IF($C$4=0,"&gt;0",$C$4),Orders!$E$2:$E$2864,B495)</f>
        <v>1</v>
      </c>
      <c r="F495" s="0" t="n">
        <f aca="false">D495+ROW()/100000</f>
        <v>179.00495</v>
      </c>
      <c r="G495" s="0" t="n">
        <f aca="false">RANK(F495,$F$61:$F$580)</f>
        <v>269</v>
      </c>
    </row>
    <row r="496" customFormat="false" ht="15" hidden="false" customHeight="false" outlineLevel="0" collapsed="false">
      <c r="B496" s="0" t="s">
        <v>2466</v>
      </c>
      <c r="C496" s="0" t="s">
        <v>69</v>
      </c>
      <c r="D496" s="0" t="n">
        <f aca="false">SUMIFS(Orders!$L$2:$L$2864,Orders!$C$2:$C$2864,$C$3,Orders!$D$2:$D$2864,IF($C$4=0,"&gt;0",$C$4),Orders!$E$2:$E$2864,B496)</f>
        <v>89</v>
      </c>
      <c r="E496" s="0" t="n">
        <f aca="false">COUNTIFS(Orders!$C$2:$C$2864,$C$3,Orders!$D$2:$D$2864,IF($C$4=0,"&gt;0",$C$4),Orders!$E$2:$E$2864,B496)</f>
        <v>1</v>
      </c>
      <c r="F496" s="0" t="n">
        <f aca="false">D496+ROW()/100000</f>
        <v>89.00496</v>
      </c>
      <c r="G496" s="0" t="n">
        <f aca="false">RANK(F496,$F$61:$F$580)</f>
        <v>374</v>
      </c>
    </row>
    <row r="497" customFormat="false" ht="15" hidden="false" customHeight="false" outlineLevel="0" collapsed="false">
      <c r="B497" s="0" t="s">
        <v>166</v>
      </c>
      <c r="C497" s="0" t="s">
        <v>78</v>
      </c>
      <c r="D497" s="0" t="n">
        <f aca="false">SUMIFS(Orders!$L$2:$L$2864,Orders!$C$2:$C$2864,$C$3,Orders!$D$2:$D$2864,IF($C$4=0,"&gt;0",$C$4),Orders!$E$2:$E$2864,B497)</f>
        <v>0</v>
      </c>
      <c r="E497" s="0" t="n">
        <f aca="false">COUNTIFS(Orders!$C$2:$C$2864,$C$3,Orders!$D$2:$D$2864,IF($C$4=0,"&gt;0",$C$4),Orders!$E$2:$E$2864,B497)</f>
        <v>0</v>
      </c>
      <c r="F497" s="0" t="n">
        <f aca="false">D497+ROW()/100000</f>
        <v>0.00497</v>
      </c>
      <c r="G497" s="0" t="n">
        <f aca="false">RANK(F497,$F$61:$F$580)</f>
        <v>464</v>
      </c>
    </row>
    <row r="498" customFormat="false" ht="15" hidden="false" customHeight="false" outlineLevel="0" collapsed="false">
      <c r="B498" s="0" t="s">
        <v>635</v>
      </c>
      <c r="C498" s="0" t="s">
        <v>69</v>
      </c>
      <c r="D498" s="0" t="n">
        <f aca="false">SUMIFS(Orders!$L$2:$L$2864,Orders!$C$2:$C$2864,$C$3,Orders!$D$2:$D$2864,IF($C$4=0,"&gt;0",$C$4),Orders!$E$2:$E$2864,B498)</f>
        <v>0</v>
      </c>
      <c r="E498" s="0" t="n">
        <f aca="false">COUNTIFS(Orders!$C$2:$C$2864,$C$3,Orders!$D$2:$D$2864,IF($C$4=0,"&gt;0",$C$4),Orders!$E$2:$E$2864,B498)</f>
        <v>0</v>
      </c>
      <c r="F498" s="0" t="n">
        <f aca="false">D498+ROW()/100000</f>
        <v>0.00498</v>
      </c>
      <c r="G498" s="0" t="n">
        <f aca="false">RANK(F498,$F$61:$F$580)</f>
        <v>463</v>
      </c>
    </row>
    <row r="499" customFormat="false" ht="15" hidden="false" customHeight="false" outlineLevel="0" collapsed="false">
      <c r="B499" s="0" t="s">
        <v>948</v>
      </c>
      <c r="C499" s="0" t="s">
        <v>81</v>
      </c>
      <c r="D499" s="0" t="n">
        <f aca="false">SUMIFS(Orders!$L$2:$L$2864,Orders!$C$2:$C$2864,$C$3,Orders!$D$2:$D$2864,IF($C$4=0,"&gt;0",$C$4),Orders!$E$2:$E$2864,B499)</f>
        <v>149</v>
      </c>
      <c r="E499" s="0" t="n">
        <f aca="false">COUNTIFS(Orders!$C$2:$C$2864,$C$3,Orders!$D$2:$D$2864,IF($C$4=0,"&gt;0",$C$4),Orders!$E$2:$E$2864,B499)</f>
        <v>1</v>
      </c>
      <c r="F499" s="0" t="n">
        <f aca="false">D499+ROW()/100000</f>
        <v>149.00499</v>
      </c>
      <c r="G499" s="0" t="n">
        <f aca="false">RANK(F499,$F$61:$F$580)</f>
        <v>299</v>
      </c>
    </row>
    <row r="500" customFormat="false" ht="15" hidden="false" customHeight="false" outlineLevel="0" collapsed="false">
      <c r="B500" s="0" t="s">
        <v>978</v>
      </c>
      <c r="C500" s="0" t="s">
        <v>75</v>
      </c>
      <c r="D500" s="0" t="n">
        <f aca="false">SUMIFS(Orders!$L$2:$L$2864,Orders!$C$2:$C$2864,$C$3,Orders!$D$2:$D$2864,IF($C$4=0,"&gt;0",$C$4),Orders!$E$2:$E$2864,B500)</f>
        <v>335</v>
      </c>
      <c r="E500" s="0" t="n">
        <f aca="false">COUNTIFS(Orders!$C$2:$C$2864,$C$3,Orders!$D$2:$D$2864,IF($C$4=0,"&gt;0",$C$4),Orders!$E$2:$E$2864,B500)</f>
        <v>4</v>
      </c>
      <c r="F500" s="0" t="n">
        <f aca="false">D500+ROW()/100000</f>
        <v>335.005</v>
      </c>
      <c r="G500" s="0" t="n">
        <f aca="false">RANK(F500,$F$61:$F$580)</f>
        <v>155</v>
      </c>
    </row>
    <row r="501" customFormat="false" ht="15" hidden="false" customHeight="false" outlineLevel="0" collapsed="false">
      <c r="B501" s="0" t="s">
        <v>233</v>
      </c>
      <c r="C501" s="0" t="s">
        <v>78</v>
      </c>
      <c r="D501" s="0" t="n">
        <f aca="false">SUMIFS(Orders!$L$2:$L$2864,Orders!$C$2:$C$2864,$C$3,Orders!$D$2:$D$2864,IF($C$4=0,"&gt;0",$C$4),Orders!$E$2:$E$2864,B501)</f>
        <v>191</v>
      </c>
      <c r="E501" s="0" t="n">
        <f aca="false">COUNTIFS(Orders!$C$2:$C$2864,$C$3,Orders!$D$2:$D$2864,IF($C$4=0,"&gt;0",$C$4),Orders!$E$2:$E$2864,B501)</f>
        <v>3</v>
      </c>
      <c r="F501" s="0" t="n">
        <f aca="false">D501+ROW()/100000</f>
        <v>191.00501</v>
      </c>
      <c r="G501" s="0" t="n">
        <f aca="false">RANK(F501,$F$61:$F$580)</f>
        <v>262</v>
      </c>
    </row>
    <row r="502" customFormat="false" ht="15" hidden="false" customHeight="false" outlineLevel="0" collapsed="false">
      <c r="B502" s="0" t="s">
        <v>2098</v>
      </c>
      <c r="C502" s="0" t="s">
        <v>69</v>
      </c>
      <c r="D502" s="0" t="n">
        <f aca="false">SUMIFS(Orders!$L$2:$L$2864,Orders!$C$2:$C$2864,$C$3,Orders!$D$2:$D$2864,IF($C$4=0,"&gt;0",$C$4),Orders!$E$2:$E$2864,B502)</f>
        <v>79</v>
      </c>
      <c r="E502" s="0" t="n">
        <f aca="false">COUNTIFS(Orders!$C$2:$C$2864,$C$3,Orders!$D$2:$D$2864,IF($C$4=0,"&gt;0",$C$4),Orders!$E$2:$E$2864,B502)</f>
        <v>1</v>
      </c>
      <c r="F502" s="0" t="n">
        <f aca="false">D502+ROW()/100000</f>
        <v>79.00502</v>
      </c>
      <c r="G502" s="0" t="n">
        <f aca="false">RANK(F502,$F$61:$F$580)</f>
        <v>395</v>
      </c>
    </row>
    <row r="503" customFormat="false" ht="15" hidden="false" customHeight="false" outlineLevel="0" collapsed="false">
      <c r="B503" s="0" t="s">
        <v>353</v>
      </c>
      <c r="C503" s="0" t="s">
        <v>75</v>
      </c>
      <c r="D503" s="0" t="n">
        <f aca="false">SUMIFS(Orders!$L$2:$L$2864,Orders!$C$2:$C$2864,$C$3,Orders!$D$2:$D$2864,IF($C$4=0,"&gt;0",$C$4),Orders!$E$2:$E$2864,B503)</f>
        <v>0</v>
      </c>
      <c r="E503" s="0" t="n">
        <f aca="false">COUNTIFS(Orders!$C$2:$C$2864,$C$3,Orders!$D$2:$D$2864,IF($C$4=0,"&gt;0",$C$4),Orders!$E$2:$E$2864,B503)</f>
        <v>0</v>
      </c>
      <c r="F503" s="0" t="n">
        <f aca="false">D503+ROW()/100000</f>
        <v>0.00503</v>
      </c>
      <c r="G503" s="0" t="n">
        <f aca="false">RANK(F503,$F$61:$F$580)</f>
        <v>462</v>
      </c>
    </row>
    <row r="504" customFormat="false" ht="15" hidden="false" customHeight="false" outlineLevel="0" collapsed="false">
      <c r="B504" s="0" t="s">
        <v>1307</v>
      </c>
      <c r="C504" s="0" t="s">
        <v>78</v>
      </c>
      <c r="D504" s="0" t="n">
        <f aca="false">SUMIFS(Orders!$L$2:$L$2864,Orders!$C$2:$C$2864,$C$3,Orders!$D$2:$D$2864,IF($C$4=0,"&gt;0",$C$4),Orders!$E$2:$E$2864,B504)</f>
        <v>98</v>
      </c>
      <c r="E504" s="0" t="n">
        <f aca="false">COUNTIFS(Orders!$C$2:$C$2864,$C$3,Orders!$D$2:$D$2864,IF($C$4=0,"&gt;0",$C$4),Orders!$E$2:$E$2864,B504)</f>
        <v>2</v>
      </c>
      <c r="F504" s="0" t="n">
        <f aca="false">D504+ROW()/100000</f>
        <v>98.00504</v>
      </c>
      <c r="G504" s="0" t="n">
        <f aca="false">RANK(F504,$F$61:$F$580)</f>
        <v>358</v>
      </c>
    </row>
    <row r="505" customFormat="false" ht="15" hidden="false" customHeight="false" outlineLevel="0" collapsed="false">
      <c r="B505" s="0" t="s">
        <v>1157</v>
      </c>
      <c r="C505" s="0" t="s">
        <v>75</v>
      </c>
      <c r="D505" s="0" t="n">
        <f aca="false">SUMIFS(Orders!$L$2:$L$2864,Orders!$C$2:$C$2864,$C$3,Orders!$D$2:$D$2864,IF($C$4=0,"&gt;0",$C$4),Orders!$E$2:$E$2864,B505)</f>
        <v>138</v>
      </c>
      <c r="E505" s="0" t="n">
        <f aca="false">COUNTIFS(Orders!$C$2:$C$2864,$C$3,Orders!$D$2:$D$2864,IF($C$4=0,"&gt;0",$C$4),Orders!$E$2:$E$2864,B505)</f>
        <v>1</v>
      </c>
      <c r="F505" s="0" t="n">
        <f aca="false">D505+ROW()/100000</f>
        <v>138.00505</v>
      </c>
      <c r="G505" s="0" t="n">
        <f aca="false">RANK(F505,$F$61:$F$580)</f>
        <v>312</v>
      </c>
    </row>
    <row r="506" customFormat="false" ht="15" hidden="false" customHeight="false" outlineLevel="0" collapsed="false">
      <c r="B506" s="0" t="s">
        <v>2588</v>
      </c>
      <c r="C506" s="0" t="s">
        <v>81</v>
      </c>
      <c r="D506" s="0" t="n">
        <f aca="false">SUMIFS(Orders!$L$2:$L$2864,Orders!$C$2:$C$2864,$C$3,Orders!$D$2:$D$2864,IF($C$4=0,"&gt;0",$C$4),Orders!$E$2:$E$2864,B506)</f>
        <v>238</v>
      </c>
      <c r="E506" s="0" t="n">
        <f aca="false">COUNTIFS(Orders!$C$2:$C$2864,$C$3,Orders!$D$2:$D$2864,IF($C$4=0,"&gt;0",$C$4),Orders!$E$2:$E$2864,B506)</f>
        <v>2</v>
      </c>
      <c r="F506" s="0" t="n">
        <f aca="false">D506+ROW()/100000</f>
        <v>238.00506</v>
      </c>
      <c r="G506" s="0" t="n">
        <f aca="false">RANK(F506,$F$61:$F$580)</f>
        <v>214</v>
      </c>
    </row>
    <row r="507" customFormat="false" ht="15" hidden="false" customHeight="false" outlineLevel="0" collapsed="false">
      <c r="B507" s="0" t="s">
        <v>129</v>
      </c>
      <c r="C507" s="0" t="s">
        <v>78</v>
      </c>
      <c r="D507" s="0" t="n">
        <f aca="false">SUMIFS(Orders!$L$2:$L$2864,Orders!$C$2:$C$2864,$C$3,Orders!$D$2:$D$2864,IF($C$4=0,"&gt;0",$C$4),Orders!$E$2:$E$2864,B507)</f>
        <v>0</v>
      </c>
      <c r="E507" s="0" t="n">
        <f aca="false">COUNTIFS(Orders!$C$2:$C$2864,$C$3,Orders!$D$2:$D$2864,IF($C$4=0,"&gt;0",$C$4),Orders!$E$2:$E$2864,B507)</f>
        <v>0</v>
      </c>
      <c r="F507" s="0" t="n">
        <f aca="false">D507+ROW()/100000</f>
        <v>0.00507</v>
      </c>
      <c r="G507" s="0" t="n">
        <f aca="false">RANK(F507,$F$61:$F$580)</f>
        <v>461</v>
      </c>
    </row>
    <row r="508" customFormat="false" ht="15" hidden="false" customHeight="false" outlineLevel="0" collapsed="false">
      <c r="B508" s="0" t="s">
        <v>415</v>
      </c>
      <c r="C508" s="0" t="s">
        <v>75</v>
      </c>
      <c r="D508" s="0" t="n">
        <f aca="false">SUMIFS(Orders!$L$2:$L$2864,Orders!$C$2:$C$2864,$C$3,Orders!$D$2:$D$2864,IF($C$4=0,"&gt;0",$C$4),Orders!$E$2:$E$2864,B508)</f>
        <v>98</v>
      </c>
      <c r="E508" s="0" t="n">
        <f aca="false">COUNTIFS(Orders!$C$2:$C$2864,$C$3,Orders!$D$2:$D$2864,IF($C$4=0,"&gt;0",$C$4),Orders!$E$2:$E$2864,B508)</f>
        <v>1</v>
      </c>
      <c r="F508" s="0" t="n">
        <f aca="false">D508+ROW()/100000</f>
        <v>98.00508</v>
      </c>
      <c r="G508" s="0" t="n">
        <f aca="false">RANK(F508,$F$61:$F$580)</f>
        <v>357</v>
      </c>
    </row>
    <row r="509" customFormat="false" ht="15" hidden="false" customHeight="false" outlineLevel="0" collapsed="false">
      <c r="B509" s="0" t="s">
        <v>998</v>
      </c>
      <c r="C509" s="0" t="s">
        <v>81</v>
      </c>
      <c r="D509" s="0" t="n">
        <f aca="false">SUMIFS(Orders!$L$2:$L$2864,Orders!$C$2:$C$2864,$C$3,Orders!$D$2:$D$2864,IF($C$4=0,"&gt;0",$C$4),Orders!$E$2:$E$2864,B509)</f>
        <v>362</v>
      </c>
      <c r="E509" s="0" t="n">
        <f aca="false">COUNTIFS(Orders!$C$2:$C$2864,$C$3,Orders!$D$2:$D$2864,IF($C$4=0,"&gt;0",$C$4),Orders!$E$2:$E$2864,B509)</f>
        <v>3</v>
      </c>
      <c r="F509" s="0" t="n">
        <f aca="false">D509+ROW()/100000</f>
        <v>362.00509</v>
      </c>
      <c r="G509" s="0" t="n">
        <f aca="false">RANK(F509,$F$61:$F$580)</f>
        <v>139</v>
      </c>
    </row>
    <row r="510" customFormat="false" ht="15" hidden="false" customHeight="false" outlineLevel="0" collapsed="false">
      <c r="B510" s="0" t="s">
        <v>3409</v>
      </c>
      <c r="C510" s="0" t="s">
        <v>69</v>
      </c>
      <c r="D510" s="0" t="n">
        <f aca="false">SUMIFS(Orders!$L$2:$L$2864,Orders!$C$2:$C$2864,$C$3,Orders!$D$2:$D$2864,IF($C$4=0,"&gt;0",$C$4),Orders!$E$2:$E$2864,B510)</f>
        <v>135</v>
      </c>
      <c r="E510" s="0" t="n">
        <f aca="false">COUNTIFS(Orders!$C$2:$C$2864,$C$3,Orders!$D$2:$D$2864,IF($C$4=0,"&gt;0",$C$4),Orders!$E$2:$E$2864,B510)</f>
        <v>1</v>
      </c>
      <c r="F510" s="0" t="n">
        <f aca="false">D510+ROW()/100000</f>
        <v>135.0051</v>
      </c>
      <c r="G510" s="0" t="n">
        <f aca="false">RANK(F510,$F$61:$F$580)</f>
        <v>316</v>
      </c>
    </row>
    <row r="511" customFormat="false" ht="15" hidden="false" customHeight="false" outlineLevel="0" collapsed="false">
      <c r="B511" s="0" t="s">
        <v>1234</v>
      </c>
      <c r="C511" s="0" t="s">
        <v>78</v>
      </c>
      <c r="D511" s="0" t="n">
        <f aca="false">SUMIFS(Orders!$L$2:$L$2864,Orders!$C$2:$C$2864,$C$3,Orders!$D$2:$D$2864,IF($C$4=0,"&gt;0",$C$4),Orders!$E$2:$E$2864,B511)</f>
        <v>335</v>
      </c>
      <c r="E511" s="0" t="n">
        <f aca="false">COUNTIFS(Orders!$C$2:$C$2864,$C$3,Orders!$D$2:$D$2864,IF($C$4=0,"&gt;0",$C$4),Orders!$E$2:$E$2864,B511)</f>
        <v>5</v>
      </c>
      <c r="F511" s="0" t="n">
        <f aca="false">D511+ROW()/100000</f>
        <v>335.00511</v>
      </c>
      <c r="G511" s="0" t="n">
        <f aca="false">RANK(F511,$F$61:$F$580)</f>
        <v>154</v>
      </c>
    </row>
    <row r="512" customFormat="false" ht="15" hidden="false" customHeight="false" outlineLevel="0" collapsed="false">
      <c r="B512" s="0" t="s">
        <v>965</v>
      </c>
      <c r="C512" s="0" t="s">
        <v>72</v>
      </c>
      <c r="D512" s="0" t="n">
        <f aca="false">SUMIFS(Orders!$L$2:$L$2864,Orders!$C$2:$C$2864,$C$3,Orders!$D$2:$D$2864,IF($C$4=0,"&gt;0",$C$4),Orders!$E$2:$E$2864,B512)</f>
        <v>255</v>
      </c>
      <c r="E512" s="0" t="n">
        <f aca="false">COUNTIFS(Orders!$C$2:$C$2864,$C$3,Orders!$D$2:$D$2864,IF($C$4=0,"&gt;0",$C$4),Orders!$E$2:$E$2864,B512)</f>
        <v>3</v>
      </c>
      <c r="F512" s="0" t="n">
        <f aca="false">D512+ROW()/100000</f>
        <v>255.00512</v>
      </c>
      <c r="G512" s="0" t="n">
        <f aca="false">RANK(F512,$F$61:$F$580)</f>
        <v>204</v>
      </c>
    </row>
    <row r="513" customFormat="false" ht="15" hidden="false" customHeight="false" outlineLevel="0" collapsed="false">
      <c r="B513" s="0" t="s">
        <v>1338</v>
      </c>
      <c r="C513" s="0" t="s">
        <v>69</v>
      </c>
      <c r="D513" s="0" t="n">
        <f aca="false">SUMIFS(Orders!$L$2:$L$2864,Orders!$C$2:$C$2864,$C$3,Orders!$D$2:$D$2864,IF($C$4=0,"&gt;0",$C$4),Orders!$E$2:$E$2864,B513)</f>
        <v>46</v>
      </c>
      <c r="E513" s="0" t="n">
        <f aca="false">COUNTIFS(Orders!$C$2:$C$2864,$C$3,Orders!$D$2:$D$2864,IF($C$4=0,"&gt;0",$C$4),Orders!$E$2:$E$2864,B513)</f>
        <v>1</v>
      </c>
      <c r="F513" s="0" t="n">
        <f aca="false">D513+ROW()/100000</f>
        <v>46.00513</v>
      </c>
      <c r="G513" s="0" t="n">
        <f aca="false">RANK(F513,$F$61:$F$580)</f>
        <v>428</v>
      </c>
    </row>
    <row r="514" customFormat="false" ht="15" hidden="false" customHeight="false" outlineLevel="0" collapsed="false">
      <c r="B514" s="0" t="s">
        <v>332</v>
      </c>
      <c r="C514" s="0" t="s">
        <v>72</v>
      </c>
      <c r="D514" s="0" t="n">
        <f aca="false">SUMIFS(Orders!$L$2:$L$2864,Orders!$C$2:$C$2864,$C$3,Orders!$D$2:$D$2864,IF($C$4=0,"&gt;0",$C$4),Orders!$E$2:$E$2864,B514)</f>
        <v>220</v>
      </c>
      <c r="E514" s="0" t="n">
        <f aca="false">COUNTIFS(Orders!$C$2:$C$2864,$C$3,Orders!$D$2:$D$2864,IF($C$4=0,"&gt;0",$C$4),Orders!$E$2:$E$2864,B514)</f>
        <v>2</v>
      </c>
      <c r="F514" s="0" t="n">
        <f aca="false">D514+ROW()/100000</f>
        <v>220.00514</v>
      </c>
      <c r="G514" s="0" t="n">
        <f aca="false">RANK(F514,$F$61:$F$580)</f>
        <v>231</v>
      </c>
    </row>
    <row r="515" customFormat="false" ht="15" hidden="false" customHeight="false" outlineLevel="0" collapsed="false">
      <c r="B515" s="0" t="s">
        <v>976</v>
      </c>
      <c r="C515" s="0" t="s">
        <v>75</v>
      </c>
      <c r="D515" s="0" t="n">
        <f aca="false">SUMIFS(Orders!$L$2:$L$2864,Orders!$C$2:$C$2864,$C$3,Orders!$D$2:$D$2864,IF($C$4=0,"&gt;0",$C$4),Orders!$E$2:$E$2864,B515)</f>
        <v>147</v>
      </c>
      <c r="E515" s="0" t="n">
        <f aca="false">COUNTIFS(Orders!$C$2:$C$2864,$C$3,Orders!$D$2:$D$2864,IF($C$4=0,"&gt;0",$C$4),Orders!$E$2:$E$2864,B515)</f>
        <v>3</v>
      </c>
      <c r="F515" s="0" t="n">
        <f aca="false">D515+ROW()/100000</f>
        <v>147.00515</v>
      </c>
      <c r="G515" s="0" t="n">
        <f aca="false">RANK(F515,$F$61:$F$580)</f>
        <v>307</v>
      </c>
    </row>
    <row r="516" customFormat="false" ht="15" hidden="false" customHeight="false" outlineLevel="0" collapsed="false">
      <c r="B516" s="0" t="s">
        <v>2501</v>
      </c>
      <c r="C516" s="0" t="s">
        <v>75</v>
      </c>
      <c r="D516" s="0" t="n">
        <f aca="false">SUMIFS(Orders!$L$2:$L$2864,Orders!$C$2:$C$2864,$C$3,Orders!$D$2:$D$2864,IF($C$4=0,"&gt;0",$C$4),Orders!$E$2:$E$2864,B516)</f>
        <v>401</v>
      </c>
      <c r="E516" s="0" t="n">
        <f aca="false">COUNTIFS(Orders!$C$2:$C$2864,$C$3,Orders!$D$2:$D$2864,IF($C$4=0,"&gt;0",$C$4),Orders!$E$2:$E$2864,B516)</f>
        <v>4</v>
      </c>
      <c r="F516" s="0" t="n">
        <f aca="false">D516+ROW()/100000</f>
        <v>401.00516</v>
      </c>
      <c r="G516" s="0" t="n">
        <f aca="false">RANK(F516,$F$61:$F$580)</f>
        <v>131</v>
      </c>
    </row>
    <row r="517" customFormat="false" ht="15" hidden="false" customHeight="false" outlineLevel="0" collapsed="false">
      <c r="B517" s="0" t="s">
        <v>758</v>
      </c>
      <c r="C517" s="0" t="s">
        <v>72</v>
      </c>
      <c r="D517" s="0" t="n">
        <f aca="false">SUMIFS(Orders!$L$2:$L$2864,Orders!$C$2:$C$2864,$C$3,Orders!$D$2:$D$2864,IF($C$4=0,"&gt;0",$C$4),Orders!$E$2:$E$2864,B517)</f>
        <v>0</v>
      </c>
      <c r="E517" s="0" t="n">
        <f aca="false">COUNTIFS(Orders!$C$2:$C$2864,$C$3,Orders!$D$2:$D$2864,IF($C$4=0,"&gt;0",$C$4),Orders!$E$2:$E$2864,B517)</f>
        <v>0</v>
      </c>
      <c r="F517" s="0" t="n">
        <f aca="false">D517+ROW()/100000</f>
        <v>0.00517</v>
      </c>
      <c r="G517" s="0" t="n">
        <f aca="false">RANK(F517,$F$61:$F$580)</f>
        <v>460</v>
      </c>
    </row>
    <row r="518" customFormat="false" ht="15" hidden="false" customHeight="false" outlineLevel="0" collapsed="false">
      <c r="B518" s="0" t="s">
        <v>1567</v>
      </c>
      <c r="C518" s="0" t="s">
        <v>75</v>
      </c>
      <c r="D518" s="0" t="n">
        <f aca="false">SUMIFS(Orders!$L$2:$L$2864,Orders!$C$2:$C$2864,$C$3,Orders!$D$2:$D$2864,IF($C$4=0,"&gt;0",$C$4),Orders!$E$2:$E$2864,B518)</f>
        <v>198</v>
      </c>
      <c r="E518" s="0" t="n">
        <f aca="false">COUNTIFS(Orders!$C$2:$C$2864,$C$3,Orders!$D$2:$D$2864,IF($C$4=0,"&gt;0",$C$4),Orders!$E$2:$E$2864,B518)</f>
        <v>1</v>
      </c>
      <c r="F518" s="0" t="n">
        <f aca="false">D518+ROW()/100000</f>
        <v>198.00518</v>
      </c>
      <c r="G518" s="0" t="n">
        <f aca="false">RANK(F518,$F$61:$F$580)</f>
        <v>258</v>
      </c>
    </row>
    <row r="519" customFormat="false" ht="15" hidden="false" customHeight="false" outlineLevel="0" collapsed="false">
      <c r="B519" s="0" t="s">
        <v>2529</v>
      </c>
      <c r="C519" s="0" t="s">
        <v>69</v>
      </c>
      <c r="D519" s="0" t="n">
        <f aca="false">SUMIFS(Orders!$L$2:$L$2864,Orders!$C$2:$C$2864,$C$3,Orders!$D$2:$D$2864,IF($C$4=0,"&gt;0",$C$4),Orders!$E$2:$E$2864,B519)</f>
        <v>300</v>
      </c>
      <c r="E519" s="0" t="n">
        <f aca="false">COUNTIFS(Orders!$C$2:$C$2864,$C$3,Orders!$D$2:$D$2864,IF($C$4=0,"&gt;0",$C$4),Orders!$E$2:$E$2864,B519)</f>
        <v>4</v>
      </c>
      <c r="F519" s="0" t="n">
        <f aca="false">D519+ROW()/100000</f>
        <v>300.00519</v>
      </c>
      <c r="G519" s="0" t="n">
        <f aca="false">RANK(F519,$F$61:$F$580)</f>
        <v>169</v>
      </c>
    </row>
    <row r="520" customFormat="false" ht="15" hidden="false" customHeight="false" outlineLevel="0" collapsed="false">
      <c r="B520" s="0" t="s">
        <v>1240</v>
      </c>
      <c r="C520" s="0" t="s">
        <v>69</v>
      </c>
      <c r="D520" s="0" t="n">
        <f aca="false">SUMIFS(Orders!$L$2:$L$2864,Orders!$C$2:$C$2864,$C$3,Orders!$D$2:$D$2864,IF($C$4=0,"&gt;0",$C$4),Orders!$E$2:$E$2864,B520)</f>
        <v>658</v>
      </c>
      <c r="E520" s="0" t="n">
        <f aca="false">COUNTIFS(Orders!$C$2:$C$2864,$C$3,Orders!$D$2:$D$2864,IF($C$4=0,"&gt;0",$C$4),Orders!$E$2:$E$2864,B520)</f>
        <v>3</v>
      </c>
      <c r="F520" s="0" t="n">
        <f aca="false">D520+ROW()/100000</f>
        <v>658.0052</v>
      </c>
      <c r="G520" s="0" t="n">
        <f aca="false">RANK(F520,$F$61:$F$580)</f>
        <v>59</v>
      </c>
    </row>
    <row r="521" customFormat="false" ht="15" hidden="false" customHeight="false" outlineLevel="0" collapsed="false">
      <c r="B521" s="0" t="s">
        <v>259</v>
      </c>
      <c r="C521" s="0" t="s">
        <v>78</v>
      </c>
      <c r="D521" s="0" t="n">
        <f aca="false">SUMIFS(Orders!$L$2:$L$2864,Orders!$C$2:$C$2864,$C$3,Orders!$D$2:$D$2864,IF($C$4=0,"&gt;0",$C$4),Orders!$E$2:$E$2864,B521)</f>
        <v>42</v>
      </c>
      <c r="E521" s="0" t="n">
        <f aca="false">COUNTIFS(Orders!$C$2:$C$2864,$C$3,Orders!$D$2:$D$2864,IF($C$4=0,"&gt;0",$C$4),Orders!$E$2:$E$2864,B521)</f>
        <v>1</v>
      </c>
      <c r="F521" s="0" t="n">
        <f aca="false">D521+ROW()/100000</f>
        <v>42.00521</v>
      </c>
      <c r="G521" s="0" t="n">
        <f aca="false">RANK(F521,$F$61:$F$580)</f>
        <v>438</v>
      </c>
    </row>
    <row r="522" customFormat="false" ht="15" hidden="false" customHeight="false" outlineLevel="0" collapsed="false">
      <c r="B522" s="0" t="s">
        <v>721</v>
      </c>
      <c r="C522" s="0" t="s">
        <v>69</v>
      </c>
      <c r="D522" s="0" t="n">
        <f aca="false">SUMIFS(Orders!$L$2:$L$2864,Orders!$C$2:$C$2864,$C$3,Orders!$D$2:$D$2864,IF($C$4=0,"&gt;0",$C$4),Orders!$E$2:$E$2864,B522)</f>
        <v>320</v>
      </c>
      <c r="E522" s="0" t="n">
        <f aca="false">COUNTIFS(Orders!$C$2:$C$2864,$C$3,Orders!$D$2:$D$2864,IF($C$4=0,"&gt;0",$C$4),Orders!$E$2:$E$2864,B522)</f>
        <v>4</v>
      </c>
      <c r="F522" s="0" t="n">
        <f aca="false">D522+ROW()/100000</f>
        <v>320.00522</v>
      </c>
      <c r="G522" s="0" t="n">
        <f aca="false">RANK(F522,$F$61:$F$580)</f>
        <v>159</v>
      </c>
    </row>
    <row r="523" customFormat="false" ht="15" hidden="false" customHeight="false" outlineLevel="0" collapsed="false">
      <c r="B523" s="0" t="s">
        <v>2420</v>
      </c>
      <c r="C523" s="0" t="s">
        <v>81</v>
      </c>
      <c r="D523" s="0" t="n">
        <f aca="false">SUMIFS(Orders!$L$2:$L$2864,Orders!$C$2:$C$2864,$C$3,Orders!$D$2:$D$2864,IF($C$4=0,"&gt;0",$C$4),Orders!$E$2:$E$2864,B523)</f>
        <v>149</v>
      </c>
      <c r="E523" s="0" t="n">
        <f aca="false">COUNTIFS(Orders!$C$2:$C$2864,$C$3,Orders!$D$2:$D$2864,IF($C$4=0,"&gt;0",$C$4),Orders!$E$2:$E$2864,B523)</f>
        <v>1</v>
      </c>
      <c r="F523" s="0" t="n">
        <f aca="false">D523+ROW()/100000</f>
        <v>149.00523</v>
      </c>
      <c r="G523" s="0" t="n">
        <f aca="false">RANK(F523,$F$61:$F$580)</f>
        <v>298</v>
      </c>
    </row>
    <row r="524" customFormat="false" ht="15" hidden="false" customHeight="false" outlineLevel="0" collapsed="false">
      <c r="B524" s="0" t="s">
        <v>1329</v>
      </c>
      <c r="C524" s="0" t="s">
        <v>69</v>
      </c>
      <c r="D524" s="0" t="n">
        <f aca="false">SUMIFS(Orders!$L$2:$L$2864,Orders!$C$2:$C$2864,$C$3,Orders!$D$2:$D$2864,IF($C$4=0,"&gt;0",$C$4),Orders!$E$2:$E$2864,B524)</f>
        <v>227</v>
      </c>
      <c r="E524" s="0" t="n">
        <f aca="false">COUNTIFS(Orders!$C$2:$C$2864,$C$3,Orders!$D$2:$D$2864,IF($C$4=0,"&gt;0",$C$4),Orders!$E$2:$E$2864,B524)</f>
        <v>2</v>
      </c>
      <c r="F524" s="0" t="n">
        <f aca="false">D524+ROW()/100000</f>
        <v>227.00524</v>
      </c>
      <c r="G524" s="0" t="n">
        <f aca="false">RANK(F524,$F$61:$F$580)</f>
        <v>224</v>
      </c>
    </row>
    <row r="525" customFormat="false" ht="15" hidden="false" customHeight="false" outlineLevel="0" collapsed="false">
      <c r="B525" s="0" t="s">
        <v>3487</v>
      </c>
      <c r="C525" s="0" t="s">
        <v>75</v>
      </c>
      <c r="D525" s="0" t="n">
        <f aca="false">SUMIFS(Orders!$L$2:$L$2864,Orders!$C$2:$C$2864,$C$3,Orders!$D$2:$D$2864,IF($C$4=0,"&gt;0",$C$4),Orders!$E$2:$E$2864,B525)</f>
        <v>0</v>
      </c>
      <c r="E525" s="0" t="n">
        <f aca="false">COUNTIFS(Orders!$C$2:$C$2864,$C$3,Orders!$D$2:$D$2864,IF($C$4=0,"&gt;0",$C$4),Orders!$E$2:$E$2864,B525)</f>
        <v>0</v>
      </c>
      <c r="F525" s="0" t="n">
        <f aca="false">D525+ROW()/100000</f>
        <v>0.00525</v>
      </c>
      <c r="G525" s="0" t="n">
        <f aca="false">RANK(F525,$F$61:$F$580)</f>
        <v>459</v>
      </c>
    </row>
    <row r="526" customFormat="false" ht="15" hidden="false" customHeight="false" outlineLevel="0" collapsed="false">
      <c r="B526" s="0" t="s">
        <v>127</v>
      </c>
      <c r="C526" s="0" t="s">
        <v>69</v>
      </c>
      <c r="D526" s="0" t="n">
        <f aca="false">SUMIFS(Orders!$L$2:$L$2864,Orders!$C$2:$C$2864,$C$3,Orders!$D$2:$D$2864,IF($C$4=0,"&gt;0",$C$4),Orders!$E$2:$E$2864,B526)</f>
        <v>0</v>
      </c>
      <c r="E526" s="0" t="n">
        <f aca="false">COUNTIFS(Orders!$C$2:$C$2864,$C$3,Orders!$D$2:$D$2864,IF($C$4=0,"&gt;0",$C$4),Orders!$E$2:$E$2864,B526)</f>
        <v>0</v>
      </c>
      <c r="F526" s="0" t="n">
        <f aca="false">D526+ROW()/100000</f>
        <v>0.00526</v>
      </c>
      <c r="G526" s="0" t="n">
        <f aca="false">RANK(F526,$F$61:$F$580)</f>
        <v>458</v>
      </c>
    </row>
    <row r="527" customFormat="false" ht="15" hidden="false" customHeight="false" outlineLevel="0" collapsed="false">
      <c r="B527" s="0" t="s">
        <v>838</v>
      </c>
      <c r="C527" s="0" t="s">
        <v>69</v>
      </c>
      <c r="D527" s="0" t="n">
        <f aca="false">SUMIFS(Orders!$L$2:$L$2864,Orders!$C$2:$C$2864,$C$3,Orders!$D$2:$D$2864,IF($C$4=0,"&gt;0",$C$4),Orders!$E$2:$E$2864,B527)</f>
        <v>222</v>
      </c>
      <c r="E527" s="0" t="n">
        <f aca="false">COUNTIFS(Orders!$C$2:$C$2864,$C$3,Orders!$D$2:$D$2864,IF($C$4=0,"&gt;0",$C$4),Orders!$E$2:$E$2864,B527)</f>
        <v>3</v>
      </c>
      <c r="F527" s="0" t="n">
        <f aca="false">D527+ROW()/100000</f>
        <v>222.00527</v>
      </c>
      <c r="G527" s="0" t="n">
        <f aca="false">RANK(F527,$F$61:$F$580)</f>
        <v>230</v>
      </c>
    </row>
    <row r="528" customFormat="false" ht="15" hidden="false" customHeight="false" outlineLevel="0" collapsed="false">
      <c r="B528" s="0" t="s">
        <v>1591</v>
      </c>
      <c r="C528" s="0" t="s">
        <v>81</v>
      </c>
      <c r="D528" s="0" t="n">
        <f aca="false">SUMIFS(Orders!$L$2:$L$2864,Orders!$C$2:$C$2864,$C$3,Orders!$D$2:$D$2864,IF($C$4=0,"&gt;0",$C$4),Orders!$E$2:$E$2864,B528)</f>
        <v>79</v>
      </c>
      <c r="E528" s="0" t="n">
        <f aca="false">COUNTIFS(Orders!$C$2:$C$2864,$C$3,Orders!$D$2:$D$2864,IF($C$4=0,"&gt;0",$C$4),Orders!$E$2:$E$2864,B528)</f>
        <v>1</v>
      </c>
      <c r="F528" s="0" t="n">
        <f aca="false">D528+ROW()/100000</f>
        <v>79.00528</v>
      </c>
      <c r="G528" s="0" t="n">
        <f aca="false">RANK(F528,$F$61:$F$580)</f>
        <v>394</v>
      </c>
    </row>
    <row r="529" customFormat="false" ht="15" hidden="false" customHeight="false" outlineLevel="0" collapsed="false">
      <c r="B529" s="0" t="s">
        <v>158</v>
      </c>
      <c r="C529" s="0" t="s">
        <v>81</v>
      </c>
      <c r="D529" s="0" t="n">
        <f aca="false">SUMIFS(Orders!$L$2:$L$2864,Orders!$C$2:$C$2864,$C$3,Orders!$D$2:$D$2864,IF($C$4=0,"&gt;0",$C$4),Orders!$E$2:$E$2864,B529)</f>
        <v>529</v>
      </c>
      <c r="E529" s="0" t="n">
        <f aca="false">COUNTIFS(Orders!$C$2:$C$2864,$C$3,Orders!$D$2:$D$2864,IF($C$4=0,"&gt;0",$C$4),Orders!$E$2:$E$2864,B529)</f>
        <v>4</v>
      </c>
      <c r="F529" s="0" t="n">
        <f aca="false">D529+ROW()/100000</f>
        <v>529.00529</v>
      </c>
      <c r="G529" s="0" t="n">
        <f aca="false">RANK(F529,$F$61:$F$580)</f>
        <v>93</v>
      </c>
    </row>
    <row r="530" customFormat="false" ht="15" hidden="false" customHeight="false" outlineLevel="0" collapsed="false">
      <c r="B530" s="0" t="s">
        <v>957</v>
      </c>
      <c r="C530" s="0" t="s">
        <v>69</v>
      </c>
      <c r="D530" s="0" t="n">
        <f aca="false">SUMIFS(Orders!$L$2:$L$2864,Orders!$C$2:$C$2864,$C$3,Orders!$D$2:$D$2864,IF($C$4=0,"&gt;0",$C$4),Orders!$E$2:$E$2864,B530)</f>
        <v>131</v>
      </c>
      <c r="E530" s="0" t="n">
        <f aca="false">COUNTIFS(Orders!$C$2:$C$2864,$C$3,Orders!$D$2:$D$2864,IF($C$4=0,"&gt;0",$C$4),Orders!$E$2:$E$2864,B530)</f>
        <v>2</v>
      </c>
      <c r="F530" s="0" t="n">
        <f aca="false">D530+ROW()/100000</f>
        <v>131.0053</v>
      </c>
      <c r="G530" s="0" t="n">
        <f aca="false">RANK(F530,$F$61:$F$580)</f>
        <v>319</v>
      </c>
    </row>
    <row r="531" customFormat="false" ht="15" hidden="false" customHeight="false" outlineLevel="0" collapsed="false">
      <c r="B531" s="0" t="s">
        <v>833</v>
      </c>
      <c r="C531" s="0" t="s">
        <v>72</v>
      </c>
      <c r="D531" s="0" t="n">
        <f aca="false">SUMIFS(Orders!$L$2:$L$2864,Orders!$C$2:$C$2864,$C$3,Orders!$D$2:$D$2864,IF($C$4=0,"&gt;0",$C$4),Orders!$E$2:$E$2864,B531)</f>
        <v>54</v>
      </c>
      <c r="E531" s="0" t="n">
        <f aca="false">COUNTIFS(Orders!$C$2:$C$2864,$C$3,Orders!$D$2:$D$2864,IF($C$4=0,"&gt;0",$C$4),Orders!$E$2:$E$2864,B531)</f>
        <v>1</v>
      </c>
      <c r="F531" s="0" t="n">
        <f aca="false">D531+ROW()/100000</f>
        <v>54.00531</v>
      </c>
      <c r="G531" s="0" t="n">
        <f aca="false">RANK(F531,$F$61:$F$580)</f>
        <v>415</v>
      </c>
    </row>
    <row r="532" customFormat="false" ht="15" hidden="false" customHeight="false" outlineLevel="0" collapsed="false">
      <c r="B532" s="0" t="s">
        <v>1808</v>
      </c>
      <c r="C532" s="0" t="s">
        <v>78</v>
      </c>
      <c r="D532" s="0" t="n">
        <f aca="false">SUMIFS(Orders!$L$2:$L$2864,Orders!$C$2:$C$2864,$C$3,Orders!$D$2:$D$2864,IF($C$4=0,"&gt;0",$C$4),Orders!$E$2:$E$2864,B532)</f>
        <v>39</v>
      </c>
      <c r="E532" s="0" t="n">
        <f aca="false">COUNTIFS(Orders!$C$2:$C$2864,$C$3,Orders!$D$2:$D$2864,IF($C$4=0,"&gt;0",$C$4),Orders!$E$2:$E$2864,B532)</f>
        <v>1</v>
      </c>
      <c r="F532" s="0" t="n">
        <f aca="false">D532+ROW()/100000</f>
        <v>39.00532</v>
      </c>
      <c r="G532" s="0" t="n">
        <f aca="false">RANK(F532,$F$61:$F$580)</f>
        <v>440</v>
      </c>
    </row>
    <row r="533" customFormat="false" ht="15" hidden="false" customHeight="false" outlineLevel="0" collapsed="false">
      <c r="B533" s="0" t="s">
        <v>475</v>
      </c>
      <c r="C533" s="0" t="s">
        <v>72</v>
      </c>
      <c r="D533" s="0" t="n">
        <f aca="false">SUMIFS(Orders!$L$2:$L$2864,Orders!$C$2:$C$2864,$C$3,Orders!$D$2:$D$2864,IF($C$4=0,"&gt;0",$C$4),Orders!$E$2:$E$2864,B533)</f>
        <v>0</v>
      </c>
      <c r="E533" s="0" t="n">
        <f aca="false">COUNTIFS(Orders!$C$2:$C$2864,$C$3,Orders!$D$2:$D$2864,IF($C$4=0,"&gt;0",$C$4),Orders!$E$2:$E$2864,B533)</f>
        <v>0</v>
      </c>
      <c r="F533" s="0" t="n">
        <f aca="false">D533+ROW()/100000</f>
        <v>0.00533</v>
      </c>
      <c r="G533" s="0" t="n">
        <f aca="false">RANK(F533,$F$61:$F$580)</f>
        <v>457</v>
      </c>
    </row>
    <row r="534" customFormat="false" ht="15" hidden="false" customHeight="false" outlineLevel="0" collapsed="false">
      <c r="B534" s="0" t="s">
        <v>1997</v>
      </c>
      <c r="C534" s="0" t="s">
        <v>78</v>
      </c>
      <c r="D534" s="0" t="n">
        <f aca="false">SUMIFS(Orders!$L$2:$L$2864,Orders!$C$2:$C$2864,$C$3,Orders!$D$2:$D$2864,IF($C$4=0,"&gt;0",$C$4),Orders!$E$2:$E$2864,B534)</f>
        <v>178</v>
      </c>
      <c r="E534" s="0" t="n">
        <f aca="false">COUNTIFS(Orders!$C$2:$C$2864,$C$3,Orders!$D$2:$D$2864,IF($C$4=0,"&gt;0",$C$4),Orders!$E$2:$E$2864,B534)</f>
        <v>1</v>
      </c>
      <c r="F534" s="0" t="n">
        <f aca="false">D534+ROW()/100000</f>
        <v>178.00534</v>
      </c>
      <c r="G534" s="0" t="n">
        <f aca="false">RANK(F534,$F$61:$F$580)</f>
        <v>278</v>
      </c>
    </row>
    <row r="535" customFormat="false" ht="15" hidden="false" customHeight="false" outlineLevel="0" collapsed="false">
      <c r="B535" s="0" t="s">
        <v>564</v>
      </c>
      <c r="C535" s="0" t="s">
        <v>78</v>
      </c>
      <c r="D535" s="0" t="n">
        <f aca="false">SUMIFS(Orders!$L$2:$L$2864,Orders!$C$2:$C$2864,$C$3,Orders!$D$2:$D$2864,IF($C$4=0,"&gt;0",$C$4),Orders!$E$2:$E$2864,B535)</f>
        <v>58</v>
      </c>
      <c r="E535" s="0" t="n">
        <f aca="false">COUNTIFS(Orders!$C$2:$C$2864,$C$3,Orders!$D$2:$D$2864,IF($C$4=0,"&gt;0",$C$4),Orders!$E$2:$E$2864,B535)</f>
        <v>1</v>
      </c>
      <c r="F535" s="0" t="n">
        <f aca="false">D535+ROW()/100000</f>
        <v>58.00535</v>
      </c>
      <c r="G535" s="0" t="n">
        <f aca="false">RANK(F535,$F$61:$F$580)</f>
        <v>413</v>
      </c>
    </row>
    <row r="536" customFormat="false" ht="15" hidden="false" customHeight="false" outlineLevel="0" collapsed="false">
      <c r="B536" s="0" t="s">
        <v>502</v>
      </c>
      <c r="C536" s="0" t="s">
        <v>72</v>
      </c>
      <c r="D536" s="0" t="n">
        <f aca="false">SUMIFS(Orders!$L$2:$L$2864,Orders!$C$2:$C$2864,$C$3,Orders!$D$2:$D$2864,IF($C$4=0,"&gt;0",$C$4),Orders!$E$2:$E$2864,B536)</f>
        <v>192</v>
      </c>
      <c r="E536" s="0" t="n">
        <f aca="false">COUNTIFS(Orders!$C$2:$C$2864,$C$3,Orders!$D$2:$D$2864,IF($C$4=0,"&gt;0",$C$4),Orders!$E$2:$E$2864,B536)</f>
        <v>2</v>
      </c>
      <c r="F536" s="0" t="n">
        <f aca="false">D536+ROW()/100000</f>
        <v>192.00536</v>
      </c>
      <c r="G536" s="0" t="n">
        <f aca="false">RANK(F536,$F$61:$F$580)</f>
        <v>261</v>
      </c>
    </row>
    <row r="537" customFormat="false" ht="15" hidden="false" customHeight="false" outlineLevel="0" collapsed="false">
      <c r="B537" s="0" t="s">
        <v>2844</v>
      </c>
      <c r="C537" s="0" t="s">
        <v>72</v>
      </c>
      <c r="D537" s="0" t="n">
        <f aca="false">SUMIFS(Orders!$L$2:$L$2864,Orders!$C$2:$C$2864,$C$3,Orders!$D$2:$D$2864,IF($C$4=0,"&gt;0",$C$4),Orders!$E$2:$E$2864,B537)</f>
        <v>86</v>
      </c>
      <c r="E537" s="0" t="n">
        <f aca="false">COUNTIFS(Orders!$C$2:$C$2864,$C$3,Orders!$D$2:$D$2864,IF($C$4=0,"&gt;0",$C$4),Orders!$E$2:$E$2864,B537)</f>
        <v>2</v>
      </c>
      <c r="F537" s="0" t="n">
        <f aca="false">D537+ROW()/100000</f>
        <v>86.00537</v>
      </c>
      <c r="G537" s="0" t="n">
        <f aca="false">RANK(F537,$F$61:$F$580)</f>
        <v>387</v>
      </c>
    </row>
    <row r="538" customFormat="false" ht="15" hidden="false" customHeight="false" outlineLevel="0" collapsed="false">
      <c r="B538" s="0" t="s">
        <v>680</v>
      </c>
      <c r="C538" s="0" t="s">
        <v>81</v>
      </c>
      <c r="D538" s="0" t="n">
        <f aca="false">SUMIFS(Orders!$L$2:$L$2864,Orders!$C$2:$C$2864,$C$3,Orders!$D$2:$D$2864,IF($C$4=0,"&gt;0",$C$4),Orders!$E$2:$E$2864,B538)</f>
        <v>49</v>
      </c>
      <c r="E538" s="0" t="n">
        <f aca="false">COUNTIFS(Orders!$C$2:$C$2864,$C$3,Orders!$D$2:$D$2864,IF($C$4=0,"&gt;0",$C$4),Orders!$E$2:$E$2864,B538)</f>
        <v>1</v>
      </c>
      <c r="F538" s="0" t="n">
        <f aca="false">D538+ROW()/100000</f>
        <v>49.00538</v>
      </c>
      <c r="G538" s="0" t="n">
        <f aca="false">RANK(F538,$F$61:$F$580)</f>
        <v>421</v>
      </c>
    </row>
    <row r="539" customFormat="false" ht="15" hidden="false" customHeight="false" outlineLevel="0" collapsed="false">
      <c r="B539" s="0" t="s">
        <v>571</v>
      </c>
      <c r="C539" s="0" t="s">
        <v>75</v>
      </c>
      <c r="D539" s="0" t="n">
        <f aca="false">SUMIFS(Orders!$L$2:$L$2864,Orders!$C$2:$C$2864,$C$3,Orders!$D$2:$D$2864,IF($C$4=0,"&gt;0",$C$4),Orders!$E$2:$E$2864,B539)</f>
        <v>79</v>
      </c>
      <c r="E539" s="0" t="n">
        <f aca="false">COUNTIFS(Orders!$C$2:$C$2864,$C$3,Orders!$D$2:$D$2864,IF($C$4=0,"&gt;0",$C$4),Orders!$E$2:$E$2864,B539)</f>
        <v>1</v>
      </c>
      <c r="F539" s="0" t="n">
        <f aca="false">D539+ROW()/100000</f>
        <v>79.00539</v>
      </c>
      <c r="G539" s="0" t="n">
        <f aca="false">RANK(F539,$F$61:$F$580)</f>
        <v>393</v>
      </c>
    </row>
    <row r="540" customFormat="false" ht="15" hidden="false" customHeight="false" outlineLevel="0" collapsed="false">
      <c r="B540" s="0" t="s">
        <v>1049</v>
      </c>
      <c r="C540" s="0" t="s">
        <v>81</v>
      </c>
      <c r="D540" s="0" t="n">
        <f aca="false">SUMIFS(Orders!$L$2:$L$2864,Orders!$C$2:$C$2864,$C$3,Orders!$D$2:$D$2864,IF($C$4=0,"&gt;0",$C$4),Orders!$E$2:$E$2864,B540)</f>
        <v>0</v>
      </c>
      <c r="E540" s="0" t="n">
        <f aca="false">COUNTIFS(Orders!$C$2:$C$2864,$C$3,Orders!$D$2:$D$2864,IF($C$4=0,"&gt;0",$C$4),Orders!$E$2:$E$2864,B540)</f>
        <v>0</v>
      </c>
      <c r="F540" s="0" t="n">
        <f aca="false">D540+ROW()/100000</f>
        <v>0.0054</v>
      </c>
      <c r="G540" s="0" t="n">
        <f aca="false">RANK(F540,$F$61:$F$580)</f>
        <v>456</v>
      </c>
    </row>
    <row r="541" customFormat="false" ht="15" hidden="false" customHeight="false" outlineLevel="0" collapsed="false">
      <c r="B541" s="0" t="s">
        <v>1292</v>
      </c>
      <c r="C541" s="0" t="s">
        <v>69</v>
      </c>
      <c r="D541" s="0" t="n">
        <f aca="false">SUMIFS(Orders!$L$2:$L$2864,Orders!$C$2:$C$2864,$C$3,Orders!$D$2:$D$2864,IF($C$4=0,"&gt;0",$C$4),Orders!$E$2:$E$2864,B541)</f>
        <v>49</v>
      </c>
      <c r="E541" s="0" t="n">
        <f aca="false">COUNTIFS(Orders!$C$2:$C$2864,$C$3,Orders!$D$2:$D$2864,IF($C$4=0,"&gt;0",$C$4),Orders!$E$2:$E$2864,B541)</f>
        <v>1</v>
      </c>
      <c r="F541" s="0" t="n">
        <f aca="false">D541+ROW()/100000</f>
        <v>49.00541</v>
      </c>
      <c r="G541" s="0" t="n">
        <f aca="false">RANK(F541,$F$61:$F$580)</f>
        <v>420</v>
      </c>
    </row>
    <row r="542" customFormat="false" ht="15" hidden="false" customHeight="false" outlineLevel="0" collapsed="false">
      <c r="B542" s="0" t="s">
        <v>1101</v>
      </c>
      <c r="C542" s="0" t="s">
        <v>75</v>
      </c>
      <c r="D542" s="0" t="n">
        <f aca="false">SUMIFS(Orders!$L$2:$L$2864,Orders!$C$2:$C$2864,$C$3,Orders!$D$2:$D$2864,IF($C$4=0,"&gt;0",$C$4),Orders!$E$2:$E$2864,B542)</f>
        <v>287</v>
      </c>
      <c r="E542" s="0" t="n">
        <f aca="false">COUNTIFS(Orders!$C$2:$C$2864,$C$3,Orders!$D$2:$D$2864,IF($C$4=0,"&gt;0",$C$4),Orders!$E$2:$E$2864,B542)</f>
        <v>3</v>
      </c>
      <c r="F542" s="0" t="n">
        <f aca="false">D542+ROW()/100000</f>
        <v>287.00542</v>
      </c>
      <c r="G542" s="0" t="n">
        <f aca="false">RANK(F542,$F$61:$F$580)</f>
        <v>179</v>
      </c>
    </row>
    <row r="543" customFormat="false" ht="15" hidden="false" customHeight="false" outlineLevel="0" collapsed="false">
      <c r="B543" s="0" t="s">
        <v>2141</v>
      </c>
      <c r="C543" s="0" t="s">
        <v>75</v>
      </c>
      <c r="D543" s="0" t="n">
        <f aca="false">SUMIFS(Orders!$L$2:$L$2864,Orders!$C$2:$C$2864,$C$3,Orders!$D$2:$D$2864,IF($C$4=0,"&gt;0",$C$4),Orders!$E$2:$E$2864,B543)</f>
        <v>465</v>
      </c>
      <c r="E543" s="0" t="n">
        <f aca="false">COUNTIFS(Orders!$C$2:$C$2864,$C$3,Orders!$D$2:$D$2864,IF($C$4=0,"&gt;0",$C$4),Orders!$E$2:$E$2864,B543)</f>
        <v>3</v>
      </c>
      <c r="F543" s="0" t="n">
        <f aca="false">D543+ROW()/100000</f>
        <v>465.00543</v>
      </c>
      <c r="G543" s="0" t="n">
        <f aca="false">RANK(F543,$F$61:$F$580)</f>
        <v>109</v>
      </c>
    </row>
    <row r="544" customFormat="false" ht="15" hidden="false" customHeight="false" outlineLevel="0" collapsed="false">
      <c r="B544" s="0" t="s">
        <v>1260</v>
      </c>
      <c r="C544" s="0" t="s">
        <v>72</v>
      </c>
      <c r="D544" s="0" t="n">
        <f aca="false">SUMIFS(Orders!$L$2:$L$2864,Orders!$C$2:$C$2864,$C$3,Orders!$D$2:$D$2864,IF($C$4=0,"&gt;0",$C$4),Orders!$E$2:$E$2864,B544)</f>
        <v>117</v>
      </c>
      <c r="E544" s="0" t="n">
        <f aca="false">COUNTIFS(Orders!$C$2:$C$2864,$C$3,Orders!$D$2:$D$2864,IF($C$4=0,"&gt;0",$C$4),Orders!$E$2:$E$2864,B544)</f>
        <v>3</v>
      </c>
      <c r="F544" s="0" t="n">
        <f aca="false">D544+ROW()/100000</f>
        <v>117.00544</v>
      </c>
      <c r="G544" s="0" t="n">
        <f aca="false">RANK(F544,$F$61:$F$580)</f>
        <v>336</v>
      </c>
    </row>
    <row r="545" customFormat="false" ht="15" hidden="false" customHeight="false" outlineLevel="0" collapsed="false">
      <c r="B545" s="0" t="s">
        <v>820</v>
      </c>
      <c r="C545" s="0" t="s">
        <v>78</v>
      </c>
      <c r="D545" s="0" t="n">
        <f aca="false">SUMIFS(Orders!$L$2:$L$2864,Orders!$C$2:$C$2864,$C$3,Orders!$D$2:$D$2864,IF($C$4=0,"&gt;0",$C$4),Orders!$E$2:$E$2864,B545)</f>
        <v>0</v>
      </c>
      <c r="E545" s="0" t="n">
        <f aca="false">COUNTIFS(Orders!$C$2:$C$2864,$C$3,Orders!$D$2:$D$2864,IF($C$4=0,"&gt;0",$C$4),Orders!$E$2:$E$2864,B545)</f>
        <v>0</v>
      </c>
      <c r="F545" s="0" t="n">
        <f aca="false">D545+ROW()/100000</f>
        <v>0.00545</v>
      </c>
      <c r="G545" s="0" t="n">
        <f aca="false">RANK(F545,$F$61:$F$580)</f>
        <v>455</v>
      </c>
    </row>
    <row r="546" customFormat="false" ht="15" hidden="false" customHeight="false" outlineLevel="0" collapsed="false">
      <c r="B546" s="0" t="s">
        <v>1691</v>
      </c>
      <c r="C546" s="0" t="s">
        <v>72</v>
      </c>
      <c r="D546" s="0" t="n">
        <f aca="false">SUMIFS(Orders!$L$2:$L$2864,Orders!$C$2:$C$2864,$C$3,Orders!$D$2:$D$2864,IF($C$4=0,"&gt;0",$C$4),Orders!$E$2:$E$2864,B546)</f>
        <v>0</v>
      </c>
      <c r="E546" s="0" t="n">
        <f aca="false">COUNTIFS(Orders!$C$2:$C$2864,$C$3,Orders!$D$2:$D$2864,IF($C$4=0,"&gt;0",$C$4),Orders!$E$2:$E$2864,B546)</f>
        <v>0</v>
      </c>
      <c r="F546" s="0" t="n">
        <f aca="false">D546+ROW()/100000</f>
        <v>0.00546</v>
      </c>
      <c r="G546" s="0" t="n">
        <f aca="false">RANK(F546,$F$61:$F$580)</f>
        <v>454</v>
      </c>
    </row>
    <row r="547" customFormat="false" ht="15" hidden="false" customHeight="false" outlineLevel="0" collapsed="false">
      <c r="B547" s="0" t="s">
        <v>823</v>
      </c>
      <c r="C547" s="0" t="s">
        <v>81</v>
      </c>
      <c r="D547" s="0" t="n">
        <f aca="false">SUMIFS(Orders!$L$2:$L$2864,Orders!$C$2:$C$2864,$C$3,Orders!$D$2:$D$2864,IF($C$4=0,"&gt;0",$C$4),Orders!$E$2:$E$2864,B547)</f>
        <v>93</v>
      </c>
      <c r="E547" s="0" t="n">
        <f aca="false">COUNTIFS(Orders!$C$2:$C$2864,$C$3,Orders!$D$2:$D$2864,IF($C$4=0,"&gt;0",$C$4),Orders!$E$2:$E$2864,B547)</f>
        <v>2</v>
      </c>
      <c r="F547" s="0" t="n">
        <f aca="false">D547+ROW()/100000</f>
        <v>93.00547</v>
      </c>
      <c r="G547" s="0" t="n">
        <f aca="false">RANK(F547,$F$61:$F$580)</f>
        <v>365</v>
      </c>
    </row>
    <row r="548" customFormat="false" ht="15" hidden="false" customHeight="false" outlineLevel="0" collapsed="false">
      <c r="B548" s="0" t="s">
        <v>2860</v>
      </c>
      <c r="C548" s="0" t="s">
        <v>69</v>
      </c>
      <c r="D548" s="0" t="n">
        <f aca="false">SUMIFS(Orders!$L$2:$L$2864,Orders!$C$2:$C$2864,$C$3,Orders!$D$2:$D$2864,IF($C$4=0,"&gt;0",$C$4),Orders!$E$2:$E$2864,B548)</f>
        <v>68</v>
      </c>
      <c r="E548" s="0" t="n">
        <f aca="false">COUNTIFS(Orders!$C$2:$C$2864,$C$3,Orders!$D$2:$D$2864,IF($C$4=0,"&gt;0",$C$4),Orders!$E$2:$E$2864,B548)</f>
        <v>1</v>
      </c>
      <c r="F548" s="0" t="n">
        <f aca="false">D548+ROW()/100000</f>
        <v>68.00548</v>
      </c>
      <c r="G548" s="0" t="n">
        <f aca="false">RANK(F548,$F$61:$F$580)</f>
        <v>402</v>
      </c>
    </row>
    <row r="549" customFormat="false" ht="15" hidden="false" customHeight="false" outlineLevel="0" collapsed="false">
      <c r="B549" s="0" t="s">
        <v>1842</v>
      </c>
      <c r="C549" s="0" t="s">
        <v>72</v>
      </c>
      <c r="D549" s="0" t="n">
        <f aca="false">SUMIFS(Orders!$L$2:$L$2864,Orders!$C$2:$C$2864,$C$3,Orders!$D$2:$D$2864,IF($C$4=0,"&gt;0",$C$4),Orders!$E$2:$E$2864,B549)</f>
        <v>79</v>
      </c>
      <c r="E549" s="0" t="n">
        <f aca="false">COUNTIFS(Orders!$C$2:$C$2864,$C$3,Orders!$D$2:$D$2864,IF($C$4=0,"&gt;0",$C$4),Orders!$E$2:$E$2864,B549)</f>
        <v>1</v>
      </c>
      <c r="F549" s="0" t="n">
        <f aca="false">D549+ROW()/100000</f>
        <v>79.00549</v>
      </c>
      <c r="G549" s="0" t="n">
        <f aca="false">RANK(F549,$F$61:$F$580)</f>
        <v>392</v>
      </c>
    </row>
    <row r="550" customFormat="false" ht="15" hidden="false" customHeight="false" outlineLevel="0" collapsed="false">
      <c r="B550" s="0" t="s">
        <v>825</v>
      </c>
      <c r="C550" s="0" t="s">
        <v>81</v>
      </c>
      <c r="D550" s="0" t="n">
        <f aca="false">SUMIFS(Orders!$L$2:$L$2864,Orders!$C$2:$C$2864,$C$3,Orders!$D$2:$D$2864,IF($C$4=0,"&gt;0",$C$4),Orders!$E$2:$E$2864,B550)</f>
        <v>0</v>
      </c>
      <c r="E550" s="0" t="n">
        <f aca="false">COUNTIFS(Orders!$C$2:$C$2864,$C$3,Orders!$D$2:$D$2864,IF($C$4=0,"&gt;0",$C$4),Orders!$E$2:$E$2864,B550)</f>
        <v>0</v>
      </c>
      <c r="F550" s="0" t="n">
        <f aca="false">D550+ROW()/100000</f>
        <v>0.0055</v>
      </c>
      <c r="G550" s="0" t="n">
        <f aca="false">RANK(F550,$F$61:$F$580)</f>
        <v>453</v>
      </c>
    </row>
    <row r="551" customFormat="false" ht="15" hidden="false" customHeight="false" outlineLevel="0" collapsed="false">
      <c r="B551" s="0" t="s">
        <v>411</v>
      </c>
      <c r="C551" s="0" t="s">
        <v>72</v>
      </c>
      <c r="D551" s="0" t="n">
        <f aca="false">SUMIFS(Orders!$L$2:$L$2864,Orders!$C$2:$C$2864,$C$3,Orders!$D$2:$D$2864,IF($C$4=0,"&gt;0",$C$4),Orders!$E$2:$E$2864,B551)</f>
        <v>34</v>
      </c>
      <c r="E551" s="0" t="n">
        <f aca="false">COUNTIFS(Orders!$C$2:$C$2864,$C$3,Orders!$D$2:$D$2864,IF($C$4=0,"&gt;0",$C$4),Orders!$E$2:$E$2864,B551)</f>
        <v>1</v>
      </c>
      <c r="F551" s="0" t="n">
        <f aca="false">D551+ROW()/100000</f>
        <v>34.00551</v>
      </c>
      <c r="G551" s="0" t="n">
        <f aca="false">RANK(F551,$F$61:$F$580)</f>
        <v>442</v>
      </c>
    </row>
    <row r="552" customFormat="false" ht="15" hidden="false" customHeight="false" outlineLevel="0" collapsed="false">
      <c r="B552" s="0" t="s">
        <v>317</v>
      </c>
      <c r="C552" s="0" t="s">
        <v>72</v>
      </c>
      <c r="D552" s="0" t="n">
        <f aca="false">SUMIFS(Orders!$L$2:$L$2864,Orders!$C$2:$C$2864,$C$3,Orders!$D$2:$D$2864,IF($C$4=0,"&gt;0",$C$4),Orders!$E$2:$E$2864,B552)</f>
        <v>298</v>
      </c>
      <c r="E552" s="0" t="n">
        <f aca="false">COUNTIFS(Orders!$C$2:$C$2864,$C$3,Orders!$D$2:$D$2864,IF($C$4=0,"&gt;0",$C$4),Orders!$E$2:$E$2864,B552)</f>
        <v>2</v>
      </c>
      <c r="F552" s="0" t="n">
        <f aca="false">D552+ROW()/100000</f>
        <v>298.00552</v>
      </c>
      <c r="G552" s="0" t="n">
        <f aca="false">RANK(F552,$F$61:$F$580)</f>
        <v>170</v>
      </c>
    </row>
    <row r="553" customFormat="false" ht="15" hidden="false" customHeight="false" outlineLevel="0" collapsed="false">
      <c r="B553" s="0" t="s">
        <v>951</v>
      </c>
      <c r="C553" s="0" t="s">
        <v>78</v>
      </c>
      <c r="D553" s="0" t="n">
        <f aca="false">SUMIFS(Orders!$L$2:$L$2864,Orders!$C$2:$C$2864,$C$3,Orders!$D$2:$D$2864,IF($C$4=0,"&gt;0",$C$4),Orders!$E$2:$E$2864,B553)</f>
        <v>88</v>
      </c>
      <c r="E553" s="0" t="n">
        <f aca="false">COUNTIFS(Orders!$C$2:$C$2864,$C$3,Orders!$D$2:$D$2864,IF($C$4=0,"&gt;0",$C$4),Orders!$E$2:$E$2864,B553)</f>
        <v>2</v>
      </c>
      <c r="F553" s="0" t="n">
        <f aca="false">D553+ROW()/100000</f>
        <v>88.00553</v>
      </c>
      <c r="G553" s="0" t="n">
        <f aca="false">RANK(F553,$F$61:$F$580)</f>
        <v>383</v>
      </c>
    </row>
    <row r="554" customFormat="false" ht="15" hidden="false" customHeight="false" outlineLevel="0" collapsed="false">
      <c r="B554" s="0" t="s">
        <v>1466</v>
      </c>
      <c r="C554" s="0" t="s">
        <v>75</v>
      </c>
      <c r="D554" s="0" t="n">
        <f aca="false">SUMIFS(Orders!$L$2:$L$2864,Orders!$C$2:$C$2864,$C$3,Orders!$D$2:$D$2864,IF($C$4=0,"&gt;0",$C$4),Orders!$E$2:$E$2864,B554)</f>
        <v>284</v>
      </c>
      <c r="E554" s="0" t="n">
        <f aca="false">COUNTIFS(Orders!$C$2:$C$2864,$C$3,Orders!$D$2:$D$2864,IF($C$4=0,"&gt;0",$C$4),Orders!$E$2:$E$2864,B554)</f>
        <v>2</v>
      </c>
      <c r="F554" s="0" t="n">
        <f aca="false">D554+ROW()/100000</f>
        <v>284.00554</v>
      </c>
      <c r="G554" s="0" t="n">
        <f aca="false">RANK(F554,$F$61:$F$580)</f>
        <v>181</v>
      </c>
    </row>
    <row r="555" customFormat="false" ht="15" hidden="false" customHeight="false" outlineLevel="0" collapsed="false">
      <c r="B555" s="0" t="s">
        <v>2677</v>
      </c>
      <c r="C555" s="0" t="s">
        <v>75</v>
      </c>
      <c r="D555" s="0" t="n">
        <f aca="false">SUMIFS(Orders!$L$2:$L$2864,Orders!$C$2:$C$2864,$C$3,Orders!$D$2:$D$2864,IF($C$4=0,"&gt;0",$C$4),Orders!$E$2:$E$2864,B555)</f>
        <v>49</v>
      </c>
      <c r="E555" s="0" t="n">
        <f aca="false">COUNTIFS(Orders!$C$2:$C$2864,$C$3,Orders!$D$2:$D$2864,IF($C$4=0,"&gt;0",$C$4),Orders!$E$2:$E$2864,B555)</f>
        <v>1</v>
      </c>
      <c r="F555" s="0" t="n">
        <f aca="false">D555+ROW()/100000</f>
        <v>49.00555</v>
      </c>
      <c r="G555" s="0" t="n">
        <f aca="false">RANK(F555,$F$61:$F$580)</f>
        <v>419</v>
      </c>
    </row>
    <row r="556" customFormat="false" ht="15" hidden="false" customHeight="false" outlineLevel="0" collapsed="false">
      <c r="B556" s="0" t="s">
        <v>2407</v>
      </c>
      <c r="C556" s="0" t="s">
        <v>72</v>
      </c>
      <c r="D556" s="0" t="n">
        <f aca="false">SUMIFS(Orders!$L$2:$L$2864,Orders!$C$2:$C$2864,$C$3,Orders!$D$2:$D$2864,IF($C$4=0,"&gt;0",$C$4),Orders!$E$2:$E$2864,B556)</f>
        <v>172</v>
      </c>
      <c r="E556" s="0" t="n">
        <f aca="false">COUNTIFS(Orders!$C$2:$C$2864,$C$3,Orders!$D$2:$D$2864,IF($C$4=0,"&gt;0",$C$4),Orders!$E$2:$E$2864,B556)</f>
        <v>2</v>
      </c>
      <c r="F556" s="0" t="n">
        <f aca="false">D556+ROW()/100000</f>
        <v>172.00556</v>
      </c>
      <c r="G556" s="0" t="n">
        <f aca="false">RANK(F556,$F$61:$F$580)</f>
        <v>287</v>
      </c>
    </row>
    <row r="557" customFormat="false" ht="15" hidden="false" customHeight="false" outlineLevel="0" collapsed="false">
      <c r="B557" s="0" t="s">
        <v>1553</v>
      </c>
      <c r="C557" s="0" t="s">
        <v>81</v>
      </c>
      <c r="D557" s="0" t="n">
        <f aca="false">SUMIFS(Orders!$L$2:$L$2864,Orders!$C$2:$C$2864,$C$3,Orders!$D$2:$D$2864,IF($C$4=0,"&gt;0",$C$4),Orders!$E$2:$E$2864,B557)</f>
        <v>696</v>
      </c>
      <c r="E557" s="0" t="n">
        <f aca="false">COUNTIFS(Orders!$C$2:$C$2864,$C$3,Orders!$D$2:$D$2864,IF($C$4=0,"&gt;0",$C$4),Orders!$E$2:$E$2864,B557)</f>
        <v>6</v>
      </c>
      <c r="F557" s="0" t="n">
        <f aca="false">D557+ROW()/100000</f>
        <v>696.00557</v>
      </c>
      <c r="G557" s="0" t="n">
        <f aca="false">RANK(F557,$F$61:$F$580)</f>
        <v>53</v>
      </c>
    </row>
    <row r="558" customFormat="false" ht="15" hidden="false" customHeight="false" outlineLevel="0" collapsed="false">
      <c r="B558" s="0" t="s">
        <v>455</v>
      </c>
      <c r="C558" s="0" t="s">
        <v>69</v>
      </c>
      <c r="D558" s="0" t="n">
        <f aca="false">SUMIFS(Orders!$L$2:$L$2864,Orders!$C$2:$C$2864,$C$3,Orders!$D$2:$D$2864,IF($C$4=0,"&gt;0",$C$4),Orders!$E$2:$E$2864,B558)</f>
        <v>178</v>
      </c>
      <c r="E558" s="0" t="n">
        <f aca="false">COUNTIFS(Orders!$C$2:$C$2864,$C$3,Orders!$D$2:$D$2864,IF($C$4=0,"&gt;0",$C$4),Orders!$E$2:$E$2864,B558)</f>
        <v>2</v>
      </c>
      <c r="F558" s="0" t="n">
        <f aca="false">D558+ROW()/100000</f>
        <v>178.00558</v>
      </c>
      <c r="G558" s="0" t="n">
        <f aca="false">RANK(F558,$F$61:$F$580)</f>
        <v>277</v>
      </c>
    </row>
    <row r="559" customFormat="false" ht="15" hidden="false" customHeight="false" outlineLevel="0" collapsed="false">
      <c r="B559" s="0" t="s">
        <v>221</v>
      </c>
      <c r="C559" s="0" t="s">
        <v>69</v>
      </c>
      <c r="D559" s="0" t="n">
        <f aca="false">SUMIFS(Orders!$L$2:$L$2864,Orders!$C$2:$C$2864,$C$3,Orders!$D$2:$D$2864,IF($C$4=0,"&gt;0",$C$4),Orders!$E$2:$E$2864,B559)</f>
        <v>112</v>
      </c>
      <c r="E559" s="0" t="n">
        <f aca="false">COUNTIFS(Orders!$C$2:$C$2864,$C$3,Orders!$D$2:$D$2864,IF($C$4=0,"&gt;0",$C$4),Orders!$E$2:$E$2864,B559)</f>
        <v>2</v>
      </c>
      <c r="F559" s="0" t="n">
        <f aca="false">D559+ROW()/100000</f>
        <v>112.00559</v>
      </c>
      <c r="G559" s="0" t="n">
        <f aca="false">RANK(F559,$F$61:$F$580)</f>
        <v>340</v>
      </c>
    </row>
    <row r="560" customFormat="false" ht="15" hidden="false" customHeight="false" outlineLevel="0" collapsed="false">
      <c r="B560" s="0" t="s">
        <v>862</v>
      </c>
      <c r="C560" s="0" t="s">
        <v>81</v>
      </c>
      <c r="D560" s="0" t="n">
        <f aca="false">SUMIFS(Orders!$L$2:$L$2864,Orders!$C$2:$C$2864,$C$3,Orders!$D$2:$D$2864,IF($C$4=0,"&gt;0",$C$4),Orders!$E$2:$E$2864,B560)</f>
        <v>0</v>
      </c>
      <c r="E560" s="0" t="n">
        <f aca="false">COUNTIFS(Orders!$C$2:$C$2864,$C$3,Orders!$D$2:$D$2864,IF($C$4=0,"&gt;0",$C$4),Orders!$E$2:$E$2864,B560)</f>
        <v>0</v>
      </c>
      <c r="F560" s="0" t="n">
        <f aca="false">D560+ROW()/100000</f>
        <v>0.0056</v>
      </c>
      <c r="G560" s="0" t="n">
        <f aca="false">RANK(F560,$F$61:$F$580)</f>
        <v>452</v>
      </c>
    </row>
    <row r="561" customFormat="false" ht="15" hidden="false" customHeight="false" outlineLevel="0" collapsed="false">
      <c r="B561" s="0" t="s">
        <v>1929</v>
      </c>
      <c r="C561" s="0" t="s">
        <v>75</v>
      </c>
      <c r="D561" s="0" t="n">
        <f aca="false">SUMIFS(Orders!$L$2:$L$2864,Orders!$C$2:$C$2864,$C$3,Orders!$D$2:$D$2864,IF($C$4=0,"&gt;0",$C$4),Orders!$E$2:$E$2864,B561)</f>
        <v>403</v>
      </c>
      <c r="E561" s="0" t="n">
        <f aca="false">COUNTIFS(Orders!$C$2:$C$2864,$C$3,Orders!$D$2:$D$2864,IF($C$4=0,"&gt;0",$C$4),Orders!$E$2:$E$2864,B561)</f>
        <v>4</v>
      </c>
      <c r="F561" s="0" t="n">
        <f aca="false">D561+ROW()/100000</f>
        <v>403.00561</v>
      </c>
      <c r="G561" s="0" t="n">
        <f aca="false">RANK(F561,$F$61:$F$580)</f>
        <v>129</v>
      </c>
    </row>
    <row r="562" customFormat="false" ht="15" hidden="false" customHeight="false" outlineLevel="0" collapsed="false">
      <c r="B562" s="0" t="s">
        <v>1980</v>
      </c>
      <c r="C562" s="0" t="s">
        <v>81</v>
      </c>
      <c r="D562" s="0" t="n">
        <f aca="false">SUMIFS(Orders!$L$2:$L$2864,Orders!$C$2:$C$2864,$C$3,Orders!$D$2:$D$2864,IF($C$4=0,"&gt;0",$C$4),Orders!$E$2:$E$2864,B562)</f>
        <v>177</v>
      </c>
      <c r="E562" s="0" t="n">
        <f aca="false">COUNTIFS(Orders!$C$2:$C$2864,$C$3,Orders!$D$2:$D$2864,IF($C$4=0,"&gt;0",$C$4),Orders!$E$2:$E$2864,B562)</f>
        <v>3</v>
      </c>
      <c r="F562" s="0" t="n">
        <f aca="false">D562+ROW()/100000</f>
        <v>177.00562</v>
      </c>
      <c r="G562" s="0" t="n">
        <f aca="false">RANK(F562,$F$61:$F$580)</f>
        <v>284</v>
      </c>
    </row>
    <row r="563" customFormat="false" ht="15" hidden="false" customHeight="false" outlineLevel="0" collapsed="false">
      <c r="B563" s="0" t="s">
        <v>523</v>
      </c>
      <c r="C563" s="0" t="s">
        <v>69</v>
      </c>
      <c r="D563" s="0" t="n">
        <f aca="false">SUMIFS(Orders!$L$2:$L$2864,Orders!$C$2:$C$2864,$C$3,Orders!$D$2:$D$2864,IF($C$4=0,"&gt;0",$C$4),Orders!$E$2:$E$2864,B563)</f>
        <v>207</v>
      </c>
      <c r="E563" s="0" t="n">
        <f aca="false">COUNTIFS(Orders!$C$2:$C$2864,$C$3,Orders!$D$2:$D$2864,IF($C$4=0,"&gt;0",$C$4),Orders!$E$2:$E$2864,B563)</f>
        <v>3</v>
      </c>
      <c r="F563" s="0" t="n">
        <f aca="false">D563+ROW()/100000</f>
        <v>207.00563</v>
      </c>
      <c r="G563" s="0" t="n">
        <f aca="false">RANK(F563,$F$61:$F$580)</f>
        <v>246</v>
      </c>
    </row>
    <row r="564" customFormat="false" ht="15" hidden="false" customHeight="false" outlineLevel="0" collapsed="false">
      <c r="B564" s="0" t="s">
        <v>177</v>
      </c>
      <c r="C564" s="0" t="s">
        <v>75</v>
      </c>
      <c r="D564" s="0" t="n">
        <f aca="false">SUMIFS(Orders!$L$2:$L$2864,Orders!$C$2:$C$2864,$C$3,Orders!$D$2:$D$2864,IF($C$4=0,"&gt;0",$C$4),Orders!$E$2:$E$2864,B564)</f>
        <v>257</v>
      </c>
      <c r="E564" s="0" t="n">
        <f aca="false">COUNTIFS(Orders!$C$2:$C$2864,$C$3,Orders!$D$2:$D$2864,IF($C$4=0,"&gt;0",$C$4),Orders!$E$2:$E$2864,B564)</f>
        <v>3</v>
      </c>
      <c r="F564" s="0" t="n">
        <f aca="false">D564+ROW()/100000</f>
        <v>257.00564</v>
      </c>
      <c r="G564" s="0" t="n">
        <f aca="false">RANK(F564,$F$61:$F$580)</f>
        <v>200</v>
      </c>
    </row>
    <row r="565" customFormat="false" ht="15" hidden="false" customHeight="false" outlineLevel="0" collapsed="false">
      <c r="B565" s="0" t="s">
        <v>2307</v>
      </c>
      <c r="C565" s="0" t="s">
        <v>72</v>
      </c>
      <c r="D565" s="0" t="n">
        <f aca="false">SUMIFS(Orders!$L$2:$L$2864,Orders!$C$2:$C$2864,$C$3,Orders!$D$2:$D$2864,IF($C$4=0,"&gt;0",$C$4),Orders!$E$2:$E$2864,B565)</f>
        <v>108</v>
      </c>
      <c r="E565" s="0" t="n">
        <f aca="false">COUNTIFS(Orders!$C$2:$C$2864,$C$3,Orders!$D$2:$D$2864,IF($C$4=0,"&gt;0",$C$4),Orders!$E$2:$E$2864,B565)</f>
        <v>2</v>
      </c>
      <c r="F565" s="0" t="n">
        <f aca="false">D565+ROW()/100000</f>
        <v>108.00565</v>
      </c>
      <c r="G565" s="0" t="n">
        <f aca="false">RANK(F565,$F$61:$F$580)</f>
        <v>344</v>
      </c>
    </row>
    <row r="566" customFormat="false" ht="15" hidden="false" customHeight="false" outlineLevel="0" collapsed="false">
      <c r="B566" s="0" t="s">
        <v>765</v>
      </c>
      <c r="C566" s="0" t="s">
        <v>72</v>
      </c>
      <c r="D566" s="0" t="n">
        <f aca="false">SUMIFS(Orders!$L$2:$L$2864,Orders!$C$2:$C$2864,$C$3,Orders!$D$2:$D$2864,IF($C$4=0,"&gt;0",$C$4),Orders!$E$2:$E$2864,B566)</f>
        <v>0</v>
      </c>
      <c r="E566" s="0" t="n">
        <f aca="false">COUNTIFS(Orders!$C$2:$C$2864,$C$3,Orders!$D$2:$D$2864,IF($C$4=0,"&gt;0",$C$4),Orders!$E$2:$E$2864,B566)</f>
        <v>0</v>
      </c>
      <c r="F566" s="0" t="n">
        <f aca="false">D566+ROW()/100000</f>
        <v>0.00566</v>
      </c>
      <c r="G566" s="0" t="n">
        <f aca="false">RANK(F566,$F$61:$F$580)</f>
        <v>451</v>
      </c>
    </row>
    <row r="567" customFormat="false" ht="15" hidden="false" customHeight="false" outlineLevel="0" collapsed="false">
      <c r="B567" s="0" t="s">
        <v>2892</v>
      </c>
      <c r="C567" s="0" t="s">
        <v>69</v>
      </c>
      <c r="D567" s="0" t="n">
        <f aca="false">SUMIFS(Orders!$L$2:$L$2864,Orders!$C$2:$C$2864,$C$3,Orders!$D$2:$D$2864,IF($C$4=0,"&gt;0",$C$4),Orders!$E$2:$E$2864,B567)</f>
        <v>89</v>
      </c>
      <c r="E567" s="0" t="n">
        <f aca="false">COUNTIFS(Orders!$C$2:$C$2864,$C$3,Orders!$D$2:$D$2864,IF($C$4=0,"&gt;0",$C$4),Orders!$E$2:$E$2864,B567)</f>
        <v>1</v>
      </c>
      <c r="F567" s="0" t="n">
        <f aca="false">D567+ROW()/100000</f>
        <v>89.00567</v>
      </c>
      <c r="G567" s="0" t="n">
        <f aca="false">RANK(F567,$F$61:$F$580)</f>
        <v>373</v>
      </c>
    </row>
    <row r="568" customFormat="false" ht="15" hidden="false" customHeight="false" outlineLevel="0" collapsed="false">
      <c r="B568" s="0" t="s">
        <v>1919</v>
      </c>
      <c r="C568" s="0" t="s">
        <v>75</v>
      </c>
      <c r="D568" s="0" t="n">
        <f aca="false">SUMIFS(Orders!$L$2:$L$2864,Orders!$C$2:$C$2864,$C$3,Orders!$D$2:$D$2864,IF($C$4=0,"&gt;0",$C$4),Orders!$E$2:$E$2864,B568)</f>
        <v>226</v>
      </c>
      <c r="E568" s="0" t="n">
        <f aca="false">COUNTIFS(Orders!$C$2:$C$2864,$C$3,Orders!$D$2:$D$2864,IF($C$4=0,"&gt;0",$C$4),Orders!$E$2:$E$2864,B568)</f>
        <v>2</v>
      </c>
      <c r="F568" s="0" t="n">
        <f aca="false">D568+ROW()/100000</f>
        <v>226.00568</v>
      </c>
      <c r="G568" s="0" t="n">
        <f aca="false">RANK(F568,$F$61:$F$580)</f>
        <v>225</v>
      </c>
    </row>
    <row r="569" customFormat="false" ht="15" hidden="false" customHeight="false" outlineLevel="0" collapsed="false">
      <c r="B569" s="0" t="s">
        <v>448</v>
      </c>
      <c r="C569" s="0" t="s">
        <v>69</v>
      </c>
      <c r="D569" s="0" t="n">
        <f aca="false">SUMIFS(Orders!$L$2:$L$2864,Orders!$C$2:$C$2864,$C$3,Orders!$D$2:$D$2864,IF($C$4=0,"&gt;0",$C$4),Orders!$E$2:$E$2864,B569)</f>
        <v>555</v>
      </c>
      <c r="E569" s="0" t="n">
        <f aca="false">COUNTIFS(Orders!$C$2:$C$2864,$C$3,Orders!$D$2:$D$2864,IF($C$4=0,"&gt;0",$C$4),Orders!$E$2:$E$2864,B569)</f>
        <v>2</v>
      </c>
      <c r="F569" s="0" t="n">
        <f aca="false">D569+ROW()/100000</f>
        <v>555.00569</v>
      </c>
      <c r="G569" s="0" t="n">
        <f aca="false">RANK(F569,$F$61:$F$580)</f>
        <v>85</v>
      </c>
    </row>
    <row r="570" customFormat="false" ht="15" hidden="false" customHeight="false" outlineLevel="0" collapsed="false">
      <c r="B570" s="0" t="s">
        <v>2089</v>
      </c>
      <c r="C570" s="0" t="s">
        <v>69</v>
      </c>
      <c r="D570" s="0" t="n">
        <f aca="false">SUMIFS(Orders!$L$2:$L$2864,Orders!$C$2:$C$2864,$C$3,Orders!$D$2:$D$2864,IF($C$4=0,"&gt;0",$C$4),Orders!$E$2:$E$2864,B570)</f>
        <v>563</v>
      </c>
      <c r="E570" s="0" t="n">
        <f aca="false">COUNTIFS(Orders!$C$2:$C$2864,$C$3,Orders!$D$2:$D$2864,IF($C$4=0,"&gt;0",$C$4),Orders!$E$2:$E$2864,B570)</f>
        <v>5</v>
      </c>
      <c r="F570" s="0" t="n">
        <f aca="false">D570+ROW()/100000</f>
        <v>563.0057</v>
      </c>
      <c r="G570" s="0" t="n">
        <f aca="false">RANK(F570,$F$61:$F$580)</f>
        <v>83</v>
      </c>
    </row>
    <row r="571" customFormat="false" ht="15" hidden="false" customHeight="false" outlineLevel="0" collapsed="false">
      <c r="B571" s="0" t="s">
        <v>3271</v>
      </c>
      <c r="C571" s="0" t="s">
        <v>72</v>
      </c>
      <c r="D571" s="0" t="n">
        <f aca="false">SUMIFS(Orders!$L$2:$L$2864,Orders!$C$2:$C$2864,$C$3,Orders!$D$2:$D$2864,IF($C$4=0,"&gt;0",$C$4),Orders!$E$2:$E$2864,B571)</f>
        <v>108</v>
      </c>
      <c r="E571" s="0" t="n">
        <f aca="false">COUNTIFS(Orders!$C$2:$C$2864,$C$3,Orders!$D$2:$D$2864,IF($C$4=0,"&gt;0",$C$4),Orders!$E$2:$E$2864,B571)</f>
        <v>1</v>
      </c>
      <c r="F571" s="0" t="n">
        <f aca="false">D571+ROW()/100000</f>
        <v>108.00571</v>
      </c>
      <c r="G571" s="0" t="n">
        <f aca="false">RANK(F571,$F$61:$F$580)</f>
        <v>343</v>
      </c>
    </row>
    <row r="572" customFormat="false" ht="15" hidden="false" customHeight="false" outlineLevel="0" collapsed="false">
      <c r="B572" s="0" t="s">
        <v>746</v>
      </c>
      <c r="C572" s="0" t="s">
        <v>69</v>
      </c>
      <c r="D572" s="0" t="n">
        <f aca="false">SUMIFS(Orders!$L$2:$L$2864,Orders!$C$2:$C$2864,$C$3,Orders!$D$2:$D$2864,IF($C$4=0,"&gt;0",$C$4),Orders!$E$2:$E$2864,B572)</f>
        <v>99</v>
      </c>
      <c r="E572" s="0" t="n">
        <f aca="false">COUNTIFS(Orders!$C$2:$C$2864,$C$3,Orders!$D$2:$D$2864,IF($C$4=0,"&gt;0",$C$4),Orders!$E$2:$E$2864,B572)</f>
        <v>1</v>
      </c>
      <c r="F572" s="0" t="n">
        <f aca="false">D572+ROW()/100000</f>
        <v>99.00572</v>
      </c>
      <c r="G572" s="0" t="n">
        <f aca="false">RANK(F572,$F$61:$F$580)</f>
        <v>352</v>
      </c>
    </row>
    <row r="573" customFormat="false" ht="15" hidden="false" customHeight="false" outlineLevel="0" collapsed="false">
      <c r="B573" s="0" t="s">
        <v>899</v>
      </c>
      <c r="C573" s="0" t="s">
        <v>75</v>
      </c>
      <c r="D573" s="0" t="n">
        <f aca="false">SUMIFS(Orders!$L$2:$L$2864,Orders!$C$2:$C$2864,$C$3,Orders!$D$2:$D$2864,IF($C$4=0,"&gt;0",$C$4),Orders!$E$2:$E$2864,B573)</f>
        <v>124</v>
      </c>
      <c r="E573" s="0" t="n">
        <f aca="false">COUNTIFS(Orders!$C$2:$C$2864,$C$3,Orders!$D$2:$D$2864,IF($C$4=0,"&gt;0",$C$4),Orders!$E$2:$E$2864,B573)</f>
        <v>3</v>
      </c>
      <c r="F573" s="0" t="n">
        <f aca="false">D573+ROW()/100000</f>
        <v>124.00573</v>
      </c>
      <c r="G573" s="0" t="n">
        <f aca="false">RANK(F573,$F$61:$F$580)</f>
        <v>322</v>
      </c>
    </row>
    <row r="574" customFormat="false" ht="15" hidden="false" customHeight="false" outlineLevel="0" collapsed="false">
      <c r="B574" s="0" t="s">
        <v>528</v>
      </c>
      <c r="C574" s="0" t="s">
        <v>78</v>
      </c>
      <c r="D574" s="0" t="n">
        <f aca="false">SUMIFS(Orders!$L$2:$L$2864,Orders!$C$2:$C$2864,$C$3,Orders!$D$2:$D$2864,IF($C$4=0,"&gt;0",$C$4),Orders!$E$2:$E$2864,B574)</f>
        <v>188</v>
      </c>
      <c r="E574" s="0" t="n">
        <f aca="false">COUNTIFS(Orders!$C$2:$C$2864,$C$3,Orders!$D$2:$D$2864,IF($C$4=0,"&gt;0",$C$4),Orders!$E$2:$E$2864,B574)</f>
        <v>3</v>
      </c>
      <c r="F574" s="0" t="n">
        <f aca="false">D574+ROW()/100000</f>
        <v>188.00574</v>
      </c>
      <c r="G574" s="0" t="n">
        <f aca="false">RANK(F574,$F$61:$F$580)</f>
        <v>263</v>
      </c>
    </row>
    <row r="575" customFormat="false" ht="15" hidden="false" customHeight="false" outlineLevel="0" collapsed="false">
      <c r="B575" s="0" t="s">
        <v>215</v>
      </c>
      <c r="C575" s="0" t="s">
        <v>75</v>
      </c>
      <c r="D575" s="0" t="n">
        <f aca="false">SUMIFS(Orders!$L$2:$L$2864,Orders!$C$2:$C$2864,$C$3,Orders!$D$2:$D$2864,IF($C$4=0,"&gt;0",$C$4),Orders!$E$2:$E$2864,B575)</f>
        <v>278</v>
      </c>
      <c r="E575" s="0" t="n">
        <f aca="false">COUNTIFS(Orders!$C$2:$C$2864,$C$3,Orders!$D$2:$D$2864,IF($C$4=0,"&gt;0",$C$4),Orders!$E$2:$E$2864,B575)</f>
        <v>3</v>
      </c>
      <c r="F575" s="0" t="n">
        <f aca="false">D575+ROW()/100000</f>
        <v>278.00575</v>
      </c>
      <c r="G575" s="0" t="n">
        <f aca="false">RANK(F575,$F$61:$F$580)</f>
        <v>184</v>
      </c>
    </row>
    <row r="576" customFormat="false" ht="15" hidden="false" customHeight="false" outlineLevel="0" collapsed="false">
      <c r="B576" s="0" t="s">
        <v>666</v>
      </c>
      <c r="C576" s="0" t="s">
        <v>69</v>
      </c>
      <c r="D576" s="0" t="n">
        <f aca="false">SUMIFS(Orders!$L$2:$L$2864,Orders!$C$2:$C$2864,$C$3,Orders!$D$2:$D$2864,IF($C$4=0,"&gt;0",$C$4),Orders!$E$2:$E$2864,B576)</f>
        <v>99</v>
      </c>
      <c r="E576" s="0" t="n">
        <f aca="false">COUNTIFS(Orders!$C$2:$C$2864,$C$3,Orders!$D$2:$D$2864,IF($C$4=0,"&gt;0",$C$4),Orders!$E$2:$E$2864,B576)</f>
        <v>1</v>
      </c>
      <c r="F576" s="0" t="n">
        <f aca="false">D576+ROW()/100000</f>
        <v>99.00576</v>
      </c>
      <c r="G576" s="0" t="n">
        <f aca="false">RANK(F576,$F$61:$F$580)</f>
        <v>351</v>
      </c>
    </row>
    <row r="577" customFormat="false" ht="15" hidden="false" customHeight="false" outlineLevel="0" collapsed="false">
      <c r="B577" s="0" t="s">
        <v>227</v>
      </c>
      <c r="C577" s="0" t="s">
        <v>69</v>
      </c>
      <c r="D577" s="0" t="n">
        <f aca="false">SUMIFS(Orders!$L$2:$L$2864,Orders!$C$2:$C$2864,$C$3,Orders!$D$2:$D$2864,IF($C$4=0,"&gt;0",$C$4),Orders!$E$2:$E$2864,B577)</f>
        <v>0</v>
      </c>
      <c r="E577" s="0" t="n">
        <f aca="false">COUNTIFS(Orders!$C$2:$C$2864,$C$3,Orders!$D$2:$D$2864,IF($C$4=0,"&gt;0",$C$4),Orders!$E$2:$E$2864,B577)</f>
        <v>0</v>
      </c>
      <c r="F577" s="0" t="n">
        <f aca="false">D577+ROW()/100000</f>
        <v>0.00577</v>
      </c>
      <c r="G577" s="0" t="n">
        <f aca="false">RANK(F577,$F$61:$F$580)</f>
        <v>450</v>
      </c>
    </row>
    <row r="578" customFormat="false" ht="15" hidden="false" customHeight="false" outlineLevel="0" collapsed="false">
      <c r="B578" s="0" t="s">
        <v>566</v>
      </c>
      <c r="C578" s="0" t="s">
        <v>69</v>
      </c>
      <c r="D578" s="0" t="n">
        <f aca="false">SUMIFS(Orders!$L$2:$L$2864,Orders!$C$2:$C$2864,$C$3,Orders!$D$2:$D$2864,IF($C$4=0,"&gt;0",$C$4),Orders!$E$2:$E$2864,B578)</f>
        <v>369</v>
      </c>
      <c r="E578" s="0" t="n">
        <f aca="false">COUNTIFS(Orders!$C$2:$C$2864,$C$3,Orders!$D$2:$D$2864,IF($C$4=0,"&gt;0",$C$4),Orders!$E$2:$E$2864,B578)</f>
        <v>3</v>
      </c>
      <c r="F578" s="0" t="n">
        <f aca="false">D578+ROW()/100000</f>
        <v>369.00578</v>
      </c>
      <c r="G578" s="0" t="n">
        <f aca="false">RANK(F578,$F$61:$F$580)</f>
        <v>138</v>
      </c>
    </row>
    <row r="579" customFormat="false" ht="15" hidden="false" customHeight="false" outlineLevel="0" collapsed="false">
      <c r="B579" s="0" t="s">
        <v>1139</v>
      </c>
      <c r="C579" s="0" t="s">
        <v>72</v>
      </c>
      <c r="D579" s="0" t="n">
        <f aca="false">SUMIFS(Orders!$L$2:$L$2864,Orders!$C$2:$C$2864,$C$3,Orders!$D$2:$D$2864,IF($C$4=0,"&gt;0",$C$4),Orders!$E$2:$E$2864,B579)</f>
        <v>89</v>
      </c>
      <c r="E579" s="0" t="n">
        <f aca="false">COUNTIFS(Orders!$C$2:$C$2864,$C$3,Orders!$D$2:$D$2864,IF($C$4=0,"&gt;0",$C$4),Orders!$E$2:$E$2864,B579)</f>
        <v>1</v>
      </c>
      <c r="F579" s="0" t="n">
        <f aca="false">D579+ROW()/100000</f>
        <v>89.00579</v>
      </c>
      <c r="G579" s="0" t="n">
        <f aca="false">RANK(F579,$F$61:$F$580)</f>
        <v>372</v>
      </c>
    </row>
    <row r="580" customFormat="false" ht="15" hidden="false" customHeight="false" outlineLevel="0" collapsed="false">
      <c r="B580" s="0" t="s">
        <v>492</v>
      </c>
      <c r="C580" s="0" t="s">
        <v>78</v>
      </c>
      <c r="D580" s="0" t="n">
        <f aca="false">SUMIFS(Orders!$L$2:$L$2864,Orders!$C$2:$C$2864,$C$3,Orders!$D$2:$D$2864,IF($C$4=0,"&gt;0",$C$4),Orders!$E$2:$E$2864,B580)</f>
        <v>0</v>
      </c>
      <c r="E580" s="0" t="n">
        <f aca="false">COUNTIFS(Orders!$C$2:$C$2864,$C$3,Orders!$D$2:$D$2864,IF($C$4=0,"&gt;0",$C$4),Orders!$E$2:$E$2864,B580)</f>
        <v>0</v>
      </c>
      <c r="F580" s="0" t="n">
        <f aca="false">D580+ROW()/100000</f>
        <v>0.0058</v>
      </c>
      <c r="G580" s="0" t="n">
        <f aca="false">RANK(F580,$F$61:$F$580)</f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</v>
      </c>
      <c r="B1" s="0" t="s">
        <v>3</v>
      </c>
    </row>
    <row r="2" customFormat="false" ht="15" hidden="false" customHeight="false" outlineLevel="0" collapsed="false">
      <c r="A2" s="0" t="n">
        <v>2025</v>
      </c>
      <c r="B2" s="0" t="s">
        <v>4</v>
      </c>
    </row>
    <row r="3" customFormat="false" ht="15" hidden="false" customHeight="false" outlineLevel="0" collapsed="false">
      <c r="A3" s="0" t="n">
        <v>2024</v>
      </c>
      <c r="B3" s="0" t="s">
        <v>3454</v>
      </c>
    </row>
    <row r="4" customFormat="false" ht="15" hidden="false" customHeight="false" outlineLevel="0" collapsed="false">
      <c r="B4" s="0" t="s">
        <v>3455</v>
      </c>
    </row>
    <row r="5" customFormat="false" ht="15" hidden="false" customHeight="false" outlineLevel="0" collapsed="false">
      <c r="B5" s="0" t="s">
        <v>3456</v>
      </c>
    </row>
    <row r="6" customFormat="false" ht="15" hidden="false" customHeight="false" outlineLevel="0" collapsed="false">
      <c r="B6" s="0" t="s">
        <v>3457</v>
      </c>
    </row>
    <row r="7" customFormat="false" ht="15" hidden="false" customHeight="false" outlineLevel="0" collapsed="false">
      <c r="B7" s="0" t="s">
        <v>3458</v>
      </c>
    </row>
    <row r="8" customFormat="false" ht="15" hidden="false" customHeight="false" outlineLevel="0" collapsed="false">
      <c r="B8" s="0" t="s">
        <v>3459</v>
      </c>
    </row>
    <row r="9" customFormat="false" ht="15" hidden="false" customHeight="false" outlineLevel="0" collapsed="false">
      <c r="B9" s="0" t="s">
        <v>3460</v>
      </c>
    </row>
    <row r="10" customFormat="false" ht="15" hidden="false" customHeight="false" outlineLevel="0" collapsed="false">
      <c r="B10" s="0" t="s">
        <v>3461</v>
      </c>
    </row>
    <row r="11" customFormat="false" ht="15" hidden="false" customHeight="false" outlineLevel="0" collapsed="false">
      <c r="B11" s="0" t="s">
        <v>3462</v>
      </c>
    </row>
    <row r="12" customFormat="false" ht="15" hidden="false" customHeight="false" outlineLevel="0" collapsed="false">
      <c r="B12" s="0" t="s">
        <v>3463</v>
      </c>
    </row>
    <row r="13" customFormat="false" ht="15" hidden="false" customHeight="false" outlineLevel="0" collapsed="false">
      <c r="B13" s="0" t="s">
        <v>3464</v>
      </c>
    </row>
    <row r="14" customFormat="false" ht="15" hidden="false" customHeight="false" outlineLevel="0" collapsed="false">
      <c r="B14" s="0" t="s">
        <v>3465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B2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66" t="s">
        <v>3488</v>
      </c>
    </row>
    <row r="3" customFormat="false" ht="15" hidden="false" customHeight="false" outlineLevel="0" collapsed="false">
      <c r="B3" s="67"/>
    </row>
    <row r="4" customFormat="false" ht="26.85" hidden="false" customHeight="false" outlineLevel="0" collapsed="false">
      <c r="B4" s="68" t="s">
        <v>3489</v>
      </c>
    </row>
    <row r="5" customFormat="false" ht="26.85" hidden="false" customHeight="false" outlineLevel="0" collapsed="false">
      <c r="B5" s="68" t="s">
        <v>3490</v>
      </c>
    </row>
    <row r="6" customFormat="false" ht="26.85" hidden="false" customHeight="false" outlineLevel="0" collapsed="false">
      <c r="B6" s="68" t="s">
        <v>3491</v>
      </c>
    </row>
    <row r="7" customFormat="false" ht="15" hidden="false" customHeight="false" outlineLevel="0" collapsed="false">
      <c r="B7" s="68" t="s">
        <v>3492</v>
      </c>
    </row>
    <row r="8" customFormat="false" ht="15" hidden="false" customHeight="false" outlineLevel="0" collapsed="false">
      <c r="B8" s="67"/>
    </row>
    <row r="9" customFormat="false" ht="26.85" hidden="false" customHeight="false" outlineLevel="0" collapsed="false">
      <c r="B9" s="68" t="s">
        <v>3493</v>
      </c>
    </row>
    <row r="10" customFormat="false" ht="26.85" hidden="false" customHeight="false" outlineLevel="0" collapsed="false">
      <c r="B10" s="68" t="s">
        <v>3494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2026-10-30T05:37:24Z</dcterms:created>
  <dc:creator>openpyxl</dc:creator>
  <dc:description/>
  <dc:language>en-US</dc:language>
  <cp:lastModifiedBy/>
  <dcterms:modified xsi:type="dcterms:W3CDTF">2026-10-30T05:37:29Z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